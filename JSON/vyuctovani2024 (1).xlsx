
<file path=[Content_Types].xml><?xml version="1.0" encoding="utf-8"?>
<Types xmlns="http://schemas.openxmlformats.org/package/2006/content-types"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n\Downloads\"/>
    </mc:Choice>
  </mc:AlternateContent>
  <xr:revisionPtr revIDLastSave="0" documentId="13_ncr:1_{52E36FDF-7A21-47F4-A54E-269C6A3642A0}" xr6:coauthVersionLast="47" xr6:coauthVersionMax="47" xr10:uidLastSave="{00000000-0000-0000-0000-000000000000}"/>
  <bookViews>
    <workbookView xWindow="50685" yWindow="0" windowWidth="25350" windowHeight="20880" firstSheet="7" activeTab="12" xr2:uid="{00000000-000D-0000-FFFF-FFFF00000000}"/>
  </bookViews>
  <sheets>
    <sheet name="Zborovská 2 - s vodoměry" sheetId="1" state="hidden" r:id="rId1"/>
    <sheet name="Zborovská 2 - bez vodoměrů" sheetId="2" state="hidden" r:id="rId2"/>
    <sheet name="export send mail" sheetId="3" r:id="rId3"/>
    <sheet name="Zálohy byt - měsíčně" sheetId="4" r:id="rId4"/>
    <sheet name="Seznam" sheetId="5" r:id="rId5"/>
    <sheet name="Vyúčtování byt - 1.část" sheetId="6" r:id="rId6"/>
    <sheet name="vstupní data" sheetId="7" r:id="rId7"/>
    <sheet name="Výpočet" sheetId="8" r:id="rId8"/>
    <sheet name="Předpisy - navýšení o částku" sheetId="9" r:id="rId9"/>
    <sheet name="Předpisy - navýšení o procento" sheetId="10" r:id="rId10"/>
    <sheet name="Tisk" sheetId="11" r:id="rId11"/>
    <sheet name="Tisk příjmu SVJ" sheetId="12" r:id="rId12"/>
    <sheet name="Faktury" sheetId="13" r:id="rId13"/>
    <sheet name="Evidence" sheetId="14" r:id="rId14"/>
    <sheet name="faktury za služby" sheetId="15" r:id="rId15"/>
    <sheet name="Parametry" sheetId="16" r:id="rId16"/>
    <sheet name="Počet osob" sheetId="17" r:id="rId17"/>
    <sheet name="Předpis po mesici" sheetId="18" r:id="rId18"/>
    <sheet name="Výtahy" sheetId="19" r:id="rId19"/>
    <sheet name="Vodoměry TUV" sheetId="20" r:id="rId20"/>
    <sheet name="Vodoměry SV" sheetId="21" r:id="rId21"/>
    <sheet name="Teplo" sheetId="22" r:id="rId22"/>
    <sheet name="Elektroměry" sheetId="23" r:id="rId23"/>
    <sheet name="Přeplatky nedoplatky" sheetId="24" r:id="rId24"/>
    <sheet name="uhrady" sheetId="25" r:id="rId25"/>
    <sheet name="Odečty formular" sheetId="26" r:id="rId26"/>
    <sheet name="Bytové domy" sheetId="27" r:id="rId27"/>
    <sheet name="Rozpočet domu" sheetId="28" r:id="rId28"/>
    <sheet name="prijem SVJ" sheetId="29" r:id="rId29"/>
    <sheet name="prijem SVJ bez vydaju" sheetId="30" r:id="rId30"/>
    <sheet name="ExcelMacroData" sheetId="31" r:id="rId31"/>
    <sheet name="Náklady na dům" sheetId="32" r:id="rId32"/>
    <sheet name="Sheet1" sheetId="33" state="hidden" r:id="rId33"/>
  </sheets>
  <definedNames>
    <definedName name="_xlnm._FilterDatabase" localSheetId="26" hidden="1">'Bytové domy'!$A$1:$G$13</definedName>
    <definedName name="_xlnm._FilterDatabase" localSheetId="31" hidden="1">'Náklady na dům'!$A$6:$H$6</definedName>
    <definedName name="_xlnm._FilterDatabase" localSheetId="23" hidden="1">'Přeplatky nedoplatky'!$A$1:$E$104</definedName>
    <definedName name="_xlnm._FilterDatabase" localSheetId="27" hidden="1">'Rozpočet domu'!$A$6:$G$6</definedName>
    <definedName name="_xlnm._FilterDatabase" localSheetId="24" hidden="1">uhrady!$A$1:$N$102</definedName>
    <definedName name="BYT" localSheetId="2">'vstupní data'!$B$4</definedName>
    <definedName name="BYT">'vstupní data'!$B$4</definedName>
    <definedName name="BYTOVE_DOMY">'Bytové domy'!$A$1</definedName>
    <definedName name="DŮM" localSheetId="2">'vstupní data'!$B$3</definedName>
    <definedName name="DŮM">'vstupní data'!$B$3</definedName>
    <definedName name="dum_adresa">'vstupní data'!$D$3</definedName>
    <definedName name="EVIDENCE">Evidence!$A$1</definedName>
    <definedName name="EXPORT_PRO_SEND_MAIL">'export send mail'!$A$1</definedName>
    <definedName name="FAKTURY_ZA_SLUZBY">'faktury za služby'!$A$1</definedName>
    <definedName name="NAKLADY_BYTOVY_DUM_ZA_ROK" localSheetId="27">'Rozpočet domu'!$A$1</definedName>
    <definedName name="NAKLADY_BYTOVY_DUM_ZA_ROK">'Náklady na dům'!$A$1</definedName>
    <definedName name="POCET_OSOB">'Počet osob'!$A$1</definedName>
    <definedName name="PREDPISI_PO_MESICI">'Předpis po mesici'!$B$1</definedName>
    <definedName name="PREPLATKY_NEDOPLATKY">'Přeplatky nedoplatky'!$A$1</definedName>
    <definedName name="PRIJEM_SVJ_BEZ_VYDAJU">'prijem SVJ bez vydaju'!$A$1</definedName>
    <definedName name="PRIJEM_SVJ_VCETNE_VYDAJU">'prijem SVJ'!$A$1</definedName>
    <definedName name="_xlnm.Print_Area" localSheetId="22">Elektroměry!$A$1:$J$116</definedName>
    <definedName name="_xlnm.Print_Area" localSheetId="31">'Náklady na dům'!$A$1:$H$24</definedName>
    <definedName name="_xlnm.Print_Area" localSheetId="25">'Odečty formular'!$A$1:$H$159</definedName>
    <definedName name="_xlnm.Print_Area" localSheetId="16">'Počet osob'!$A$1:$O$104</definedName>
    <definedName name="_xlnm.Print_Area" localSheetId="28">'prijem SVJ'!$A$1:$H$34</definedName>
    <definedName name="_xlnm.Print_Area" localSheetId="29">'prijem SVJ bez vydaju'!$A$1:$H$33</definedName>
    <definedName name="_xlnm.Print_Area" localSheetId="27">'Rozpočet domu'!$A$1:$G$31</definedName>
    <definedName name="_xlnm.Print_Area" localSheetId="21">Teplo!$A$1:$J$104</definedName>
    <definedName name="_xlnm.Print_Area" localSheetId="20">'Vodoměry SV'!$A$1:$I$104</definedName>
    <definedName name="_xlnm.Print_Area" localSheetId="19">'Vodoměry TUV'!$B$1:$H$115</definedName>
    <definedName name="_xlnm.Print_Area" localSheetId="7">Výpočet!$A$3:$X$105</definedName>
    <definedName name="_xlnm.Print_Area" localSheetId="5">'Vyúčtování byt - 1.část'!$A$1:$L$63</definedName>
    <definedName name="_xlnm.Print_Area" localSheetId="3">'Zálohy byt - měsíčně'!$A$1:$Q$35</definedName>
    <definedName name="_xlnm.Print_Area" localSheetId="1">'Zborovská 2 - bez vodoměrů'!$A$1:$L$44</definedName>
    <definedName name="_xlnm.Print_Area" localSheetId="0">'Zborovská 2 - s vodoměry'!$A$1:$L$44</definedName>
    <definedName name="Print_Area_Ucto" localSheetId="5">'Vyúčtování byt - 1.část'!$A$1:$L$63</definedName>
    <definedName name="Print_Area_Ucto" localSheetId="3">'Zálohy byt - měsíčně'!$A$1:$Q$35</definedName>
    <definedName name="_xlnm.Print_Titles" localSheetId="25">'Odečty formular'!$4:$4</definedName>
    <definedName name="_xlnm.Print_Titles" localSheetId="16">'Počet osob'!$1:$1</definedName>
    <definedName name="TEPLO">Teplo!$A$1</definedName>
    <definedName name="UHRADY">uhrady!$A$1</definedName>
    <definedName name="VB_Jednotka_Osvětlení" localSheetId="5">'Vyúčtování byt - 1.část'!$C$10</definedName>
    <definedName name="VB_Jednotka_Osvětlení" localSheetId="3">'Zálohy byt - měsíčně'!$C$10</definedName>
    <definedName name="VB_PDF_name" localSheetId="5">'Vyúčtování byt - 1.část'!$P$38</definedName>
    <definedName name="VB_preplatky_celkem" localSheetId="5">'Vyúčtování byt - 1.část'!$K$34</definedName>
    <definedName name="VB_preplatky_celkem" localSheetId="3">'Zálohy byt - měsíčně'!$P$33</definedName>
    <definedName name="VD_celková_plocha_jednotky" localSheetId="2">'vstupní data'!$B$25</definedName>
    <definedName name="VD_celková_plocha_jednotky">'vstupní data'!$B$25</definedName>
    <definedName name="VD_Cena_BVak" localSheetId="2">'vstupní data'!$B$13</definedName>
    <definedName name="VD_Cena_BVak">'vstupní data'!$B$13</definedName>
    <definedName name="VD_číslo_účtu_SVJ" localSheetId="2">'vstupní data'!$B$22</definedName>
    <definedName name="VD_číslo_účtu_SVJ">'vstupní data'!$B$22</definedName>
    <definedName name="VD_externí_výpočet_nákladů_tepla" localSheetId="2">'vstupní data'!$B$29</definedName>
    <definedName name="VD_externí_výpočet_nákladů_tepla">'vstupní data'!$B$29</definedName>
    <definedName name="vd_faktury_za_sluzby">'faktury za služby'!$1:$9</definedName>
    <definedName name="VD_jméno" localSheetId="2">'vstupní data'!$B$5</definedName>
    <definedName name="VD_jméno">'vstupní data'!$B$5</definedName>
    <definedName name="VD_odečet_SV_vody_za_daný_rok" localSheetId="2">'vstupní data'!$B$23</definedName>
    <definedName name="VD_odečet_SV_vody_za_daný_rok">'vstupní data'!$B$23</definedName>
    <definedName name="VD_odečet_TUV_za_daný_rok" localSheetId="2">'vstupní data'!$B$24</definedName>
    <definedName name="VD_odečet_TUV_za_daný_rok">'vstupní data'!$B$24</definedName>
    <definedName name="VD_Počet_jednotek" localSheetId="2">'vstupní data'!$B$17</definedName>
    <definedName name="VD_Počet_jednotek">'vstupní data'!$B$17</definedName>
    <definedName name="VD_Počet_komínů">'vstupní data'!$B$20</definedName>
    <definedName name="VD_počet_měsíců_úžívání" localSheetId="2">'vstupní data'!$B$15</definedName>
    <definedName name="VD_počet_měsíců_úžívání">'vstupní data'!$B$15</definedName>
    <definedName name="VD_Počet_osob">'vstupní data'!$B$21</definedName>
    <definedName name="VD_přeplatek_aktuální_rok">'vstupní data'!$B$11</definedName>
    <definedName name="VD_přeplatek_z_minula">'vstupní data'!$B$10</definedName>
    <definedName name="VD_reklamace_do">'vstupní data'!$B$14</definedName>
    <definedName name="VD_spoluvlastnictví_podíl">'vstupní data'!$B$27</definedName>
    <definedName name="VD_účet_vlastníka" localSheetId="2">'vstupní data'!$B$7</definedName>
    <definedName name="VD_účet_vlastníka">'vstupní data'!$B$7</definedName>
    <definedName name="VD_účetní_období">'vstupní data'!$B$8</definedName>
    <definedName name="VD_Užitná_plocha_domu_celkem">'vstupní data'!$B$18</definedName>
    <definedName name="VD_Užitná_plocha_domu_započitatelná">'vstupní data'!$B$19</definedName>
    <definedName name="VD_VS" localSheetId="2">'vstupní data'!$B$6</definedName>
    <definedName name="VD_VS">'vstupní data'!$B$6</definedName>
    <definedName name="VD_vyplaceno_do">'vstupní data'!$B$16</definedName>
    <definedName name="VD_výpočet_vlastnického_podílu" localSheetId="2">'vstupní data'!$B$28</definedName>
    <definedName name="VD_výpočet_vlastnického_podílu">'vstupní data'!$B$28</definedName>
    <definedName name="VD_výsledek_vyúčtování">'vstupní data'!$B$9</definedName>
    <definedName name="VD_za_rok" localSheetId="2">'vstupní data'!$B$12</definedName>
    <definedName name="VD_za_rok">'vstupní data'!$B$12</definedName>
    <definedName name="VD_započitatelná_plocha_jednotky" localSheetId="2">'vstupní data'!$B$26</definedName>
    <definedName name="VD_započitatelná_plocha_jednotky">'vstupní data'!$B$26</definedName>
    <definedName name="vodomery_SV">'Vodoměry SV'!$A$1</definedName>
    <definedName name="vodomery_TUV">'Vodoměry TUV'!$A$1</definedName>
    <definedName name="vp_evidence" localSheetId="2">Evidence!$A:$Z</definedName>
    <definedName name="vp_evidence">Evidence!$A:$Z</definedName>
    <definedName name="vp_faktury_za_sluzby" localSheetId="2">'faktury za služby'!$A$2:$W$9</definedName>
    <definedName name="vp_faktury_za_sluzby">'faktury za služby'!$A$2:$W$9</definedName>
    <definedName name="vp_preplatky_nedoplatky" localSheetId="2">'Přeplatky nedoplatky'!$A:$E</definedName>
    <definedName name="vp_preplatky_nedoplatky">'Přeplatky nedoplatky'!$A:$E</definedName>
    <definedName name="vp_Teplo" localSheetId="2">Teplo!$A:$J</definedName>
    <definedName name="vp_Teplo">Teplo!$A:$J</definedName>
    <definedName name="vp_uhrady" localSheetId="2">uhrady!$A:$Z</definedName>
    <definedName name="vp_uhrady">uhrady!$A:$Z</definedName>
    <definedName name="vp_Vodomery_SV" localSheetId="2">'Vodoměry SV'!$A:$J</definedName>
    <definedName name="vp_Vodomery_SV">'Vodoměry SV'!$A:$J</definedName>
    <definedName name="vp_Vodomery_TUV" localSheetId="2">'Vodoměry TUV'!$A:$J</definedName>
    <definedName name="vp_Vodomery_TUV">'Vodoměry TUV'!$A:$J</definedName>
    <definedName name="vstupni_data">'vstupní data'!$A$1</definedName>
    <definedName name="VYTAHY">Výtahy!$A$1</definedName>
    <definedName name="VYUCTOVANI" localSheetId="5">'Vyúčtování byt - 1.část'!$C$1</definedName>
    <definedName name="VYUCTOVANI" localSheetId="3">'Zálohy byt - měsíčně'!$A$1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2" l="1"/>
  <c r="D23" i="32"/>
  <c r="F23" i="32" s="1"/>
  <c r="C23" i="32"/>
  <c r="B23" i="32"/>
  <c r="F22" i="32"/>
  <c r="D22" i="32"/>
  <c r="C22" i="32"/>
  <c r="B22" i="32"/>
  <c r="H21" i="32"/>
  <c r="F21" i="32"/>
  <c r="D21" i="32"/>
  <c r="C21" i="32"/>
  <c r="B21" i="32"/>
  <c r="D20" i="32"/>
  <c r="F20" i="32" s="1"/>
  <c r="C20" i="32"/>
  <c r="B20" i="32"/>
  <c r="F19" i="32"/>
  <c r="D19" i="32"/>
  <c r="C19" i="32"/>
  <c r="B19" i="32"/>
  <c r="F18" i="32"/>
  <c r="D18" i="32"/>
  <c r="C18" i="32"/>
  <c r="B18" i="32"/>
  <c r="D17" i="32"/>
  <c r="F17" i="32" s="1"/>
  <c r="H17" i="32" s="1"/>
  <c r="C17" i="32"/>
  <c r="B17" i="32"/>
  <c r="H16" i="32"/>
  <c r="F16" i="32"/>
  <c r="D16" i="32"/>
  <c r="C16" i="32"/>
  <c r="B16" i="32"/>
  <c r="D15" i="32"/>
  <c r="F15" i="32" s="1"/>
  <c r="H15" i="32" s="1"/>
  <c r="C15" i="32"/>
  <c r="B15" i="32"/>
  <c r="D14" i="32"/>
  <c r="F14" i="32" s="1"/>
  <c r="C14" i="32"/>
  <c r="B14" i="32"/>
  <c r="D13" i="32"/>
  <c r="F13" i="32" s="1"/>
  <c r="C13" i="32"/>
  <c r="B13" i="32"/>
  <c r="F12" i="32"/>
  <c r="D12" i="32"/>
  <c r="C12" i="32"/>
  <c r="B12" i="32"/>
  <c r="F11" i="32"/>
  <c r="H11" i="32" s="1"/>
  <c r="D11" i="32"/>
  <c r="C11" i="32"/>
  <c r="B11" i="32"/>
  <c r="D10" i="32"/>
  <c r="F10" i="32" s="1"/>
  <c r="C10" i="32"/>
  <c r="B10" i="32"/>
  <c r="F9" i="32"/>
  <c r="D9" i="32"/>
  <c r="C9" i="32"/>
  <c r="B9" i="32"/>
  <c r="D8" i="32"/>
  <c r="F8" i="32" s="1"/>
  <c r="C8" i="32"/>
  <c r="B8" i="32"/>
  <c r="F7" i="32"/>
  <c r="F24" i="32" s="1"/>
  <c r="D7" i="32"/>
  <c r="C7" i="32"/>
  <c r="B7" i="32"/>
  <c r="A3" i="32"/>
  <c r="C7" i="31"/>
  <c r="C6" i="31"/>
  <c r="C5" i="31"/>
  <c r="F32" i="30"/>
  <c r="D24" i="30"/>
  <c r="A24" i="30"/>
  <c r="A16" i="30"/>
  <c r="A11" i="30"/>
  <c r="F32" i="29"/>
  <c r="D24" i="29"/>
  <c r="A24" i="29"/>
  <c r="A20" i="29"/>
  <c r="H19" i="29"/>
  <c r="A19" i="29"/>
  <c r="A16" i="29"/>
  <c r="A11" i="29"/>
  <c r="A3" i="28"/>
  <c r="Q237" i="26"/>
  <c r="Q236" i="26"/>
  <c r="Q235" i="26"/>
  <c r="Q234" i="26"/>
  <c r="Q233" i="26"/>
  <c r="Q232" i="26"/>
  <c r="Q231" i="26"/>
  <c r="Q230" i="26"/>
  <c r="Q229" i="26"/>
  <c r="Q228" i="26"/>
  <c r="R227" i="26"/>
  <c r="Q227" i="26"/>
  <c r="R226" i="26"/>
  <c r="Q226" i="26"/>
  <c r="Q225" i="26"/>
  <c r="Q224" i="26"/>
  <c r="Q223" i="26"/>
  <c r="Q222" i="26"/>
  <c r="Q221" i="26"/>
  <c r="Q220" i="26"/>
  <c r="Q219" i="26"/>
  <c r="R218" i="26"/>
  <c r="Q218" i="26"/>
  <c r="Q217" i="26"/>
  <c r="Q216" i="26"/>
  <c r="Q215" i="26"/>
  <c r="Q214" i="26"/>
  <c r="Q213" i="26"/>
  <c r="Q212" i="26"/>
  <c r="Q211" i="26"/>
  <c r="Q210" i="26"/>
  <c r="Q209" i="26"/>
  <c r="Q208" i="26"/>
  <c r="Q207" i="26"/>
  <c r="Q206" i="26"/>
  <c r="Q205" i="26"/>
  <c r="R204" i="26"/>
  <c r="Q204" i="26"/>
  <c r="R203" i="26"/>
  <c r="Q203" i="26"/>
  <c r="Q202" i="26"/>
  <c r="Q201" i="26"/>
  <c r="Q200" i="26"/>
  <c r="Q199" i="26"/>
  <c r="Q198" i="26"/>
  <c r="Q197" i="26"/>
  <c r="Q196" i="26"/>
  <c r="Q195" i="26"/>
  <c r="R194" i="26"/>
  <c r="Q194" i="26"/>
  <c r="Q193" i="26"/>
  <c r="Q192" i="26"/>
  <c r="Q191" i="26"/>
  <c r="Q190" i="26"/>
  <c r="Q189" i="26"/>
  <c r="Q188" i="26"/>
  <c r="Q187" i="26"/>
  <c r="Q186" i="26"/>
  <c r="Q185" i="26"/>
  <c r="Q184" i="26"/>
  <c r="R183" i="26"/>
  <c r="Q183" i="26"/>
  <c r="Q182" i="26"/>
  <c r="Q181" i="26"/>
  <c r="Q180" i="26"/>
  <c r="Q179" i="26"/>
  <c r="Q178" i="26"/>
  <c r="Q177" i="26"/>
  <c r="Q176" i="26"/>
  <c r="Q175" i="26"/>
  <c r="Q174" i="26"/>
  <c r="Q173" i="26"/>
  <c r="R172" i="26"/>
  <c r="Q172" i="26"/>
  <c r="R171" i="26"/>
  <c r="Q171" i="26"/>
  <c r="Q170" i="26"/>
  <c r="Q169" i="26"/>
  <c r="Q168" i="26"/>
  <c r="Q167" i="26"/>
  <c r="Q166" i="26"/>
  <c r="Q165" i="26"/>
  <c r="Q164" i="26"/>
  <c r="Q163" i="26"/>
  <c r="R162" i="26"/>
  <c r="Q162" i="26"/>
  <c r="Q161" i="26"/>
  <c r="Q160" i="26"/>
  <c r="Q159" i="26"/>
  <c r="Q158" i="26"/>
  <c r="Q157" i="26"/>
  <c r="Q156" i="26"/>
  <c r="Q155" i="26"/>
  <c r="Q154" i="26"/>
  <c r="Q153" i="26"/>
  <c r="Q152" i="26"/>
  <c r="R151" i="26"/>
  <c r="Q151" i="26"/>
  <c r="Q150" i="26"/>
  <c r="Q149" i="26"/>
  <c r="Q148" i="26"/>
  <c r="Q147" i="26"/>
  <c r="Q146" i="26"/>
  <c r="Q145" i="26"/>
  <c r="Q144" i="26"/>
  <c r="R143" i="26"/>
  <c r="Q143" i="26"/>
  <c r="Q142" i="26"/>
  <c r="Q141" i="26"/>
  <c r="R140" i="26"/>
  <c r="Q140" i="26"/>
  <c r="R139" i="26"/>
  <c r="Q139" i="26"/>
  <c r="Q138" i="26"/>
  <c r="Q137" i="26"/>
  <c r="Q136" i="26"/>
  <c r="Q135" i="26"/>
  <c r="Q134" i="26"/>
  <c r="Q133" i="26"/>
  <c r="Q132" i="26"/>
  <c r="R131" i="26"/>
  <c r="Q131" i="26"/>
  <c r="R130" i="26"/>
  <c r="Q130" i="26"/>
  <c r="Q129" i="26"/>
  <c r="Q128" i="26"/>
  <c r="Q127" i="26"/>
  <c r="Q126" i="26"/>
  <c r="Q125" i="26"/>
  <c r="Q124" i="26"/>
  <c r="R123" i="26"/>
  <c r="Q123" i="26"/>
  <c r="Q122" i="26"/>
  <c r="R121" i="26"/>
  <c r="Q121" i="26"/>
  <c r="Q120" i="26"/>
  <c r="Q119" i="26"/>
  <c r="Q118" i="26"/>
  <c r="Q117" i="26"/>
  <c r="Q116" i="26"/>
  <c r="Q115" i="26"/>
  <c r="Q114" i="26"/>
  <c r="Q113" i="26"/>
  <c r="Q112" i="26"/>
  <c r="R111" i="26"/>
  <c r="Q111" i="26"/>
  <c r="Q110" i="26"/>
  <c r="Q109" i="26"/>
  <c r="Q108" i="26"/>
  <c r="Q107" i="26"/>
  <c r="Q106" i="26"/>
  <c r="Q105" i="26"/>
  <c r="Q104" i="26"/>
  <c r="Q103" i="26"/>
  <c r="Q102" i="26"/>
  <c r="Q101" i="26"/>
  <c r="R100" i="26"/>
  <c r="Q100" i="26"/>
  <c r="Q99" i="26"/>
  <c r="Q98" i="26"/>
  <c r="Q97" i="26"/>
  <c r="Q96" i="26"/>
  <c r="Q95" i="26"/>
  <c r="Q94" i="26"/>
  <c r="Q93" i="26"/>
  <c r="Q92" i="26"/>
  <c r="R91" i="26"/>
  <c r="Q91" i="26"/>
  <c r="R90" i="26"/>
  <c r="Q90" i="26"/>
  <c r="Q89" i="26"/>
  <c r="Q88" i="26"/>
  <c r="R87" i="26"/>
  <c r="Q87" i="26"/>
  <c r="Q86" i="26"/>
  <c r="Q85" i="26"/>
  <c r="Q84" i="26"/>
  <c r="Q83" i="26"/>
  <c r="R82" i="26"/>
  <c r="Q82" i="26"/>
  <c r="R81" i="26"/>
  <c r="Q81" i="26"/>
  <c r="Q80" i="26"/>
  <c r="Q79" i="26"/>
  <c r="Q78" i="26"/>
  <c r="Q77" i="26"/>
  <c r="Q76" i="26"/>
  <c r="Q75" i="26"/>
  <c r="R74" i="26"/>
  <c r="Q74" i="26"/>
  <c r="Q73" i="26"/>
  <c r="Q72" i="26"/>
  <c r="R71" i="26"/>
  <c r="Q71" i="26"/>
  <c r="Q70" i="26"/>
  <c r="Q69" i="26"/>
  <c r="Q68" i="26"/>
  <c r="R67" i="26"/>
  <c r="Q67" i="26"/>
  <c r="Q66" i="26"/>
  <c r="Q65" i="26"/>
  <c r="Q64" i="26"/>
  <c r="Q63" i="26"/>
  <c r="Q62" i="26"/>
  <c r="Q61" i="26"/>
  <c r="R60" i="26"/>
  <c r="Q60" i="26"/>
  <c r="Q59" i="26"/>
  <c r="Q58" i="26"/>
  <c r="Q57" i="26"/>
  <c r="Q56" i="26"/>
  <c r="Q55" i="26"/>
  <c r="Q54" i="26"/>
  <c r="Q53" i="26"/>
  <c r="R52" i="26"/>
  <c r="Q52" i="26"/>
  <c r="R51" i="26"/>
  <c r="Q51" i="26"/>
  <c r="Q50" i="26"/>
  <c r="Q49" i="26"/>
  <c r="Q48" i="26"/>
  <c r="Q47" i="26"/>
  <c r="R46" i="26"/>
  <c r="Q46" i="26"/>
  <c r="Q45" i="26"/>
  <c r="R44" i="26"/>
  <c r="Q44" i="26"/>
  <c r="R43" i="26"/>
  <c r="Q43" i="26"/>
  <c r="Q42" i="26"/>
  <c r="Q41" i="26"/>
  <c r="Q40" i="26"/>
  <c r="Q39" i="26"/>
  <c r="R38" i="26"/>
  <c r="Q38" i="26"/>
  <c r="Q37" i="26"/>
  <c r="R36" i="26"/>
  <c r="Q36" i="26"/>
  <c r="R35" i="26"/>
  <c r="Q35" i="26"/>
  <c r="Q34" i="26"/>
  <c r="Q33" i="26"/>
  <c r="Q32" i="26"/>
  <c r="Q31" i="26"/>
  <c r="R30" i="26"/>
  <c r="Q30" i="26"/>
  <c r="Q29" i="26"/>
  <c r="R28" i="26"/>
  <c r="Q28" i="26"/>
  <c r="R27" i="26"/>
  <c r="Q27" i="26"/>
  <c r="Q26" i="26"/>
  <c r="Q25" i="26"/>
  <c r="Q24" i="26"/>
  <c r="Q23" i="26"/>
  <c r="R22" i="26"/>
  <c r="Q22" i="26"/>
  <c r="Q21" i="26"/>
  <c r="R20" i="26"/>
  <c r="Q20" i="26"/>
  <c r="R19" i="26"/>
  <c r="Q19" i="26"/>
  <c r="Q18" i="26"/>
  <c r="Q17" i="26"/>
  <c r="Q16" i="26"/>
  <c r="Q15" i="26"/>
  <c r="R14" i="26"/>
  <c r="Q14" i="26"/>
  <c r="Q13" i="26"/>
  <c r="R12" i="26"/>
  <c r="Q12" i="26"/>
  <c r="R11" i="26"/>
  <c r="Q11" i="26"/>
  <c r="R10" i="26"/>
  <c r="R211" i="26" s="1"/>
  <c r="Q10" i="26"/>
  <c r="Q9" i="26"/>
  <c r="Q8" i="26"/>
  <c r="Q7" i="26"/>
  <c r="R6" i="26"/>
  <c r="Q6" i="26"/>
  <c r="R5" i="26"/>
  <c r="Q5" i="26"/>
  <c r="B3" i="26"/>
  <c r="A1" i="26"/>
  <c r="Q103" i="25"/>
  <c r="P102" i="25"/>
  <c r="Q102" i="25" s="1"/>
  <c r="N102" i="25"/>
  <c r="Q101" i="25"/>
  <c r="P101" i="25"/>
  <c r="N101" i="25"/>
  <c r="P100" i="25"/>
  <c r="Q100" i="25" s="1"/>
  <c r="N100" i="25"/>
  <c r="Q99" i="25"/>
  <c r="P99" i="25"/>
  <c r="N99" i="25"/>
  <c r="P98" i="25"/>
  <c r="Q98" i="25" s="1"/>
  <c r="N98" i="25"/>
  <c r="Q97" i="25"/>
  <c r="P97" i="25"/>
  <c r="N97" i="25"/>
  <c r="P96" i="25"/>
  <c r="Q96" i="25" s="1"/>
  <c r="N96" i="25"/>
  <c r="Q95" i="25"/>
  <c r="P95" i="25"/>
  <c r="N95" i="25"/>
  <c r="P94" i="25"/>
  <c r="Q94" i="25" s="1"/>
  <c r="N94" i="25"/>
  <c r="Q93" i="25"/>
  <c r="P93" i="25"/>
  <c r="N93" i="25"/>
  <c r="P92" i="25"/>
  <c r="Q92" i="25" s="1"/>
  <c r="N92" i="25"/>
  <c r="Q91" i="25"/>
  <c r="P91" i="25"/>
  <c r="N91" i="25"/>
  <c r="P90" i="25"/>
  <c r="Q90" i="25" s="1"/>
  <c r="N90" i="25"/>
  <c r="Q89" i="25"/>
  <c r="P89" i="25"/>
  <c r="N89" i="25"/>
  <c r="P88" i="25"/>
  <c r="Q88" i="25" s="1"/>
  <c r="N88" i="25"/>
  <c r="Q87" i="25"/>
  <c r="P87" i="25"/>
  <c r="N87" i="25"/>
  <c r="P86" i="25"/>
  <c r="Q86" i="25" s="1"/>
  <c r="N86" i="25"/>
  <c r="Q85" i="25"/>
  <c r="P85" i="25"/>
  <c r="N85" i="25"/>
  <c r="P84" i="25"/>
  <c r="Q84" i="25" s="1"/>
  <c r="N84" i="25"/>
  <c r="Q83" i="25"/>
  <c r="P83" i="25"/>
  <c r="N83" i="25"/>
  <c r="P82" i="25"/>
  <c r="Q82" i="25" s="1"/>
  <c r="N82" i="25"/>
  <c r="Q81" i="25"/>
  <c r="P81" i="25"/>
  <c r="N81" i="25"/>
  <c r="P80" i="25"/>
  <c r="Q80" i="25" s="1"/>
  <c r="N80" i="25"/>
  <c r="Q79" i="25"/>
  <c r="P79" i="25"/>
  <c r="N79" i="25"/>
  <c r="P78" i="25"/>
  <c r="Q78" i="25" s="1"/>
  <c r="N78" i="25"/>
  <c r="Q77" i="25"/>
  <c r="P77" i="25"/>
  <c r="N77" i="25"/>
  <c r="P76" i="25"/>
  <c r="Q76" i="25" s="1"/>
  <c r="N76" i="25"/>
  <c r="Q75" i="25"/>
  <c r="P75" i="25"/>
  <c r="N75" i="25"/>
  <c r="P74" i="25"/>
  <c r="Q74" i="25" s="1"/>
  <c r="N74" i="25"/>
  <c r="Q73" i="25"/>
  <c r="P73" i="25"/>
  <c r="N73" i="25"/>
  <c r="P72" i="25"/>
  <c r="Q72" i="25" s="1"/>
  <c r="N72" i="25"/>
  <c r="Q71" i="25"/>
  <c r="P71" i="25"/>
  <c r="N71" i="25"/>
  <c r="P70" i="25"/>
  <c r="Q70" i="25" s="1"/>
  <c r="N70" i="25"/>
  <c r="Q69" i="25"/>
  <c r="P69" i="25"/>
  <c r="N69" i="25"/>
  <c r="P68" i="25"/>
  <c r="Q68" i="25" s="1"/>
  <c r="N68" i="25"/>
  <c r="Q67" i="25"/>
  <c r="P67" i="25"/>
  <c r="N67" i="25"/>
  <c r="P66" i="25"/>
  <c r="Q66" i="25" s="1"/>
  <c r="N66" i="25"/>
  <c r="Q65" i="25"/>
  <c r="P65" i="25"/>
  <c r="N65" i="25"/>
  <c r="P64" i="25"/>
  <c r="Q64" i="25" s="1"/>
  <c r="N64" i="25"/>
  <c r="Q63" i="25"/>
  <c r="P63" i="25"/>
  <c r="N63" i="25"/>
  <c r="P62" i="25"/>
  <c r="Q62" i="25" s="1"/>
  <c r="N62" i="25"/>
  <c r="Q61" i="25"/>
  <c r="P61" i="25"/>
  <c r="N61" i="25"/>
  <c r="P60" i="25"/>
  <c r="Q60" i="25" s="1"/>
  <c r="N60" i="25"/>
  <c r="Q59" i="25"/>
  <c r="P59" i="25"/>
  <c r="N59" i="25"/>
  <c r="P58" i="25"/>
  <c r="Q58" i="25" s="1"/>
  <c r="N58" i="25"/>
  <c r="Q57" i="25"/>
  <c r="P57" i="25"/>
  <c r="N57" i="25"/>
  <c r="P56" i="25"/>
  <c r="Q56" i="25" s="1"/>
  <c r="N56" i="25"/>
  <c r="Q55" i="25"/>
  <c r="P55" i="25"/>
  <c r="N55" i="25"/>
  <c r="P54" i="25"/>
  <c r="Q54" i="25" s="1"/>
  <c r="N54" i="25"/>
  <c r="Q53" i="25"/>
  <c r="P53" i="25"/>
  <c r="N53" i="25"/>
  <c r="P52" i="25"/>
  <c r="Q52" i="25" s="1"/>
  <c r="N52" i="25"/>
  <c r="Q51" i="25"/>
  <c r="P51" i="25"/>
  <c r="N51" i="25"/>
  <c r="P50" i="25"/>
  <c r="Q50" i="25" s="1"/>
  <c r="N50" i="25"/>
  <c r="Q49" i="25"/>
  <c r="P49" i="25"/>
  <c r="N49" i="25"/>
  <c r="P48" i="25"/>
  <c r="Q48" i="25" s="1"/>
  <c r="N48" i="25"/>
  <c r="Q47" i="25"/>
  <c r="P47" i="25"/>
  <c r="N47" i="25"/>
  <c r="P46" i="25"/>
  <c r="Q46" i="25" s="1"/>
  <c r="N46" i="25"/>
  <c r="Q45" i="25"/>
  <c r="P45" i="25"/>
  <c r="N45" i="25"/>
  <c r="P44" i="25"/>
  <c r="Q44" i="25" s="1"/>
  <c r="N44" i="25"/>
  <c r="Q43" i="25"/>
  <c r="P43" i="25"/>
  <c r="N43" i="25"/>
  <c r="P42" i="25"/>
  <c r="Q42" i="25" s="1"/>
  <c r="N42" i="25"/>
  <c r="Q41" i="25"/>
  <c r="P41" i="25"/>
  <c r="N41" i="25"/>
  <c r="P40" i="25"/>
  <c r="Q40" i="25" s="1"/>
  <c r="N40" i="25"/>
  <c r="Q39" i="25"/>
  <c r="P39" i="25"/>
  <c r="N39" i="25"/>
  <c r="P38" i="25"/>
  <c r="Q38" i="25" s="1"/>
  <c r="N38" i="25"/>
  <c r="Q37" i="25"/>
  <c r="P37" i="25"/>
  <c r="N37" i="25"/>
  <c r="P36" i="25"/>
  <c r="Q36" i="25" s="1"/>
  <c r="N36" i="25"/>
  <c r="Q35" i="25"/>
  <c r="P35" i="25"/>
  <c r="N35" i="25"/>
  <c r="P34" i="25"/>
  <c r="Q34" i="25" s="1"/>
  <c r="N34" i="25"/>
  <c r="Q33" i="25"/>
  <c r="P33" i="25"/>
  <c r="N33" i="25"/>
  <c r="P32" i="25"/>
  <c r="Q32" i="25" s="1"/>
  <c r="N32" i="25"/>
  <c r="Q31" i="25"/>
  <c r="P31" i="25"/>
  <c r="N31" i="25"/>
  <c r="P30" i="25"/>
  <c r="Q30" i="25" s="1"/>
  <c r="N30" i="25"/>
  <c r="Q29" i="25"/>
  <c r="P29" i="25"/>
  <c r="N29" i="25"/>
  <c r="P28" i="25"/>
  <c r="Q28" i="25" s="1"/>
  <c r="N28" i="25"/>
  <c r="Q27" i="25"/>
  <c r="P27" i="25"/>
  <c r="N27" i="25"/>
  <c r="P26" i="25"/>
  <c r="Q26" i="25" s="1"/>
  <c r="N26" i="25"/>
  <c r="Q25" i="25"/>
  <c r="P25" i="25"/>
  <c r="N25" i="25"/>
  <c r="P24" i="25"/>
  <c r="Q24" i="25" s="1"/>
  <c r="N24" i="25"/>
  <c r="Q23" i="25"/>
  <c r="P23" i="25"/>
  <c r="N23" i="25"/>
  <c r="P22" i="25"/>
  <c r="Q22" i="25" s="1"/>
  <c r="N22" i="25"/>
  <c r="N21" i="25"/>
  <c r="N20" i="25"/>
  <c r="N19" i="25"/>
  <c r="N18" i="25"/>
  <c r="N17" i="25"/>
  <c r="N16" i="25"/>
  <c r="N15" i="25"/>
  <c r="N14" i="25"/>
  <c r="N13" i="25"/>
  <c r="N12" i="25"/>
  <c r="N11" i="25"/>
  <c r="N10" i="25"/>
  <c r="N9" i="25"/>
  <c r="N8" i="25"/>
  <c r="N7" i="25"/>
  <c r="N6" i="25"/>
  <c r="N5" i="25"/>
  <c r="N4" i="25"/>
  <c r="N3" i="25"/>
  <c r="N2" i="25"/>
  <c r="M1" i="25"/>
  <c r="L1" i="25"/>
  <c r="K1" i="25"/>
  <c r="J1" i="25"/>
  <c r="I1" i="25"/>
  <c r="H1" i="25"/>
  <c r="G1" i="25"/>
  <c r="F1" i="25"/>
  <c r="E1" i="25"/>
  <c r="D1" i="25"/>
  <c r="C1" i="25"/>
  <c r="B1" i="25"/>
  <c r="E104" i="24"/>
  <c r="B104" i="24"/>
  <c r="J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J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I104" i="21" s="1"/>
  <c r="J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115" i="20" s="1"/>
  <c r="I2" i="20"/>
  <c r="D102" i="19"/>
  <c r="C102" i="19"/>
  <c r="A102" i="19"/>
  <c r="D101" i="19"/>
  <c r="C101" i="19"/>
  <c r="A101" i="19"/>
  <c r="D100" i="19"/>
  <c r="C100" i="19"/>
  <c r="A100" i="19"/>
  <c r="D99" i="19"/>
  <c r="C99" i="19"/>
  <c r="A99" i="19"/>
  <c r="D98" i="19"/>
  <c r="C98" i="19"/>
  <c r="A98" i="19"/>
  <c r="D97" i="19"/>
  <c r="C97" i="19"/>
  <c r="A97" i="19"/>
  <c r="D96" i="19"/>
  <c r="C96" i="19"/>
  <c r="A96" i="19"/>
  <c r="D95" i="19"/>
  <c r="C95" i="19"/>
  <c r="A95" i="19"/>
  <c r="D94" i="19"/>
  <c r="C94" i="19"/>
  <c r="A94" i="19"/>
  <c r="D93" i="19"/>
  <c r="C93" i="19"/>
  <c r="A93" i="19"/>
  <c r="D92" i="19"/>
  <c r="C92" i="19"/>
  <c r="A92" i="19"/>
  <c r="D91" i="19"/>
  <c r="C91" i="19"/>
  <c r="A91" i="19"/>
  <c r="D90" i="19"/>
  <c r="C90" i="19"/>
  <c r="A90" i="19"/>
  <c r="D89" i="19"/>
  <c r="C89" i="19"/>
  <c r="A89" i="19"/>
  <c r="D88" i="19"/>
  <c r="C88" i="19"/>
  <c r="A88" i="19"/>
  <c r="D87" i="19"/>
  <c r="C87" i="19"/>
  <c r="A87" i="19"/>
  <c r="D86" i="19"/>
  <c r="C86" i="19"/>
  <c r="A86" i="19"/>
  <c r="D85" i="19"/>
  <c r="C85" i="19"/>
  <c r="A85" i="19"/>
  <c r="D84" i="19"/>
  <c r="C84" i="19"/>
  <c r="A84" i="19"/>
  <c r="D83" i="19"/>
  <c r="C83" i="19"/>
  <c r="A83" i="19"/>
  <c r="D82" i="19"/>
  <c r="C82" i="19"/>
  <c r="A82" i="19"/>
  <c r="D81" i="19"/>
  <c r="C81" i="19"/>
  <c r="A81" i="19"/>
  <c r="D80" i="19"/>
  <c r="C80" i="19"/>
  <c r="A80" i="19"/>
  <c r="D79" i="19"/>
  <c r="C79" i="19"/>
  <c r="A79" i="19"/>
  <c r="D78" i="19"/>
  <c r="C78" i="19"/>
  <c r="A78" i="19"/>
  <c r="D77" i="19"/>
  <c r="C77" i="19"/>
  <c r="A77" i="19"/>
  <c r="D76" i="19"/>
  <c r="C76" i="19"/>
  <c r="A76" i="19"/>
  <c r="D75" i="19"/>
  <c r="C75" i="19"/>
  <c r="A75" i="19"/>
  <c r="D74" i="19"/>
  <c r="C74" i="19"/>
  <c r="A74" i="19"/>
  <c r="D73" i="19"/>
  <c r="C73" i="19"/>
  <c r="A73" i="19"/>
  <c r="D72" i="19"/>
  <c r="C72" i="19"/>
  <c r="A72" i="19"/>
  <c r="D71" i="19"/>
  <c r="C71" i="19"/>
  <c r="A71" i="19"/>
  <c r="D70" i="19"/>
  <c r="C70" i="19"/>
  <c r="A70" i="19"/>
  <c r="D69" i="19"/>
  <c r="C69" i="19"/>
  <c r="A69" i="19"/>
  <c r="D68" i="19"/>
  <c r="C68" i="19"/>
  <c r="A68" i="19"/>
  <c r="D67" i="19"/>
  <c r="C67" i="19"/>
  <c r="A67" i="19"/>
  <c r="D66" i="19"/>
  <c r="C66" i="19"/>
  <c r="A66" i="19"/>
  <c r="D65" i="19"/>
  <c r="C65" i="19"/>
  <c r="A65" i="19"/>
  <c r="D64" i="19"/>
  <c r="C64" i="19"/>
  <c r="A64" i="19"/>
  <c r="D63" i="19"/>
  <c r="C63" i="19"/>
  <c r="A63" i="19"/>
  <c r="D62" i="19"/>
  <c r="C62" i="19"/>
  <c r="A62" i="19"/>
  <c r="D61" i="19"/>
  <c r="C61" i="19"/>
  <c r="A61" i="19"/>
  <c r="D60" i="19"/>
  <c r="C60" i="19"/>
  <c r="A60" i="19"/>
  <c r="D59" i="19"/>
  <c r="C59" i="19"/>
  <c r="A59" i="19"/>
  <c r="D58" i="19"/>
  <c r="C58" i="19"/>
  <c r="A58" i="19"/>
  <c r="D57" i="19"/>
  <c r="C57" i="19"/>
  <c r="A57" i="19"/>
  <c r="D56" i="19"/>
  <c r="C56" i="19"/>
  <c r="A56" i="19"/>
  <c r="D55" i="19"/>
  <c r="C55" i="19"/>
  <c r="A55" i="19"/>
  <c r="D54" i="19"/>
  <c r="C54" i="19"/>
  <c r="A54" i="19"/>
  <c r="D53" i="19"/>
  <c r="C53" i="19"/>
  <c r="A53" i="19"/>
  <c r="D52" i="19"/>
  <c r="C52" i="19"/>
  <c r="A52" i="19"/>
  <c r="D51" i="19"/>
  <c r="C51" i="19"/>
  <c r="A51" i="19"/>
  <c r="D50" i="19"/>
  <c r="C50" i="19"/>
  <c r="A50" i="19"/>
  <c r="D49" i="19"/>
  <c r="C49" i="19"/>
  <c r="A49" i="19"/>
  <c r="D48" i="19"/>
  <c r="C48" i="19"/>
  <c r="A48" i="19"/>
  <c r="D47" i="19"/>
  <c r="C47" i="19"/>
  <c r="A47" i="19"/>
  <c r="D46" i="19"/>
  <c r="C46" i="19"/>
  <c r="A46" i="19"/>
  <c r="D45" i="19"/>
  <c r="C45" i="19"/>
  <c r="A45" i="19"/>
  <c r="D44" i="19"/>
  <c r="C44" i="19"/>
  <c r="A44" i="19"/>
  <c r="D43" i="19"/>
  <c r="C43" i="19"/>
  <c r="A43" i="19"/>
  <c r="D42" i="19"/>
  <c r="C42" i="19"/>
  <c r="A42" i="19"/>
  <c r="D41" i="19"/>
  <c r="C41" i="19"/>
  <c r="A41" i="19"/>
  <c r="D40" i="19"/>
  <c r="C40" i="19"/>
  <c r="A40" i="19"/>
  <c r="D39" i="19"/>
  <c r="C39" i="19"/>
  <c r="A39" i="19"/>
  <c r="D38" i="19"/>
  <c r="C38" i="19"/>
  <c r="A38" i="19"/>
  <c r="D37" i="19"/>
  <c r="C37" i="19"/>
  <c r="A37" i="19"/>
  <c r="D36" i="19"/>
  <c r="C36" i="19"/>
  <c r="A36" i="19"/>
  <c r="D35" i="19"/>
  <c r="C35" i="19"/>
  <c r="A35" i="19"/>
  <c r="D34" i="19"/>
  <c r="C34" i="19"/>
  <c r="A34" i="19"/>
  <c r="D33" i="19"/>
  <c r="C33" i="19"/>
  <c r="A33" i="19"/>
  <c r="D32" i="19"/>
  <c r="C32" i="19"/>
  <c r="A32" i="19"/>
  <c r="D31" i="19"/>
  <c r="C31" i="19"/>
  <c r="A31" i="19"/>
  <c r="D30" i="19"/>
  <c r="C30" i="19"/>
  <c r="A30" i="19"/>
  <c r="D29" i="19"/>
  <c r="C29" i="19"/>
  <c r="A29" i="19"/>
  <c r="D28" i="19"/>
  <c r="C28" i="19"/>
  <c r="A28" i="19"/>
  <c r="D27" i="19"/>
  <c r="C27" i="19"/>
  <c r="A27" i="19"/>
  <c r="D26" i="19"/>
  <c r="C26" i="19"/>
  <c r="A26" i="19"/>
  <c r="D25" i="19"/>
  <c r="C25" i="19"/>
  <c r="A25" i="19"/>
  <c r="D24" i="19"/>
  <c r="C24" i="19"/>
  <c r="A24" i="19"/>
  <c r="D23" i="19"/>
  <c r="C23" i="19"/>
  <c r="A23" i="19"/>
  <c r="D22" i="19"/>
  <c r="C22" i="19"/>
  <c r="A22" i="19"/>
  <c r="D21" i="19"/>
  <c r="C21" i="19"/>
  <c r="A21" i="19"/>
  <c r="D20" i="19"/>
  <c r="C20" i="19"/>
  <c r="A20" i="19"/>
  <c r="D19" i="19"/>
  <c r="C19" i="19"/>
  <c r="A19" i="19"/>
  <c r="D18" i="19"/>
  <c r="C18" i="19"/>
  <c r="A18" i="19"/>
  <c r="D17" i="19"/>
  <c r="C17" i="19"/>
  <c r="A17" i="19"/>
  <c r="D16" i="19"/>
  <c r="C16" i="19"/>
  <c r="A16" i="19"/>
  <c r="D15" i="19"/>
  <c r="C15" i="19"/>
  <c r="A15" i="19"/>
  <c r="D14" i="19"/>
  <c r="C14" i="19"/>
  <c r="A14" i="19"/>
  <c r="D13" i="19"/>
  <c r="C13" i="19"/>
  <c r="A13" i="19"/>
  <c r="D12" i="19"/>
  <c r="C12" i="19"/>
  <c r="A12" i="19"/>
  <c r="D11" i="19"/>
  <c r="C11" i="19"/>
  <c r="A11" i="19"/>
  <c r="D10" i="19"/>
  <c r="C10" i="19"/>
  <c r="A10" i="19"/>
  <c r="D9" i="19"/>
  <c r="C9" i="19"/>
  <c r="A9" i="19"/>
  <c r="D8" i="19"/>
  <c r="C8" i="19"/>
  <c r="A8" i="19"/>
  <c r="D7" i="19"/>
  <c r="C7" i="19"/>
  <c r="A7" i="19"/>
  <c r="D6" i="19"/>
  <c r="C6" i="19"/>
  <c r="A6" i="19"/>
  <c r="D5" i="19"/>
  <c r="C5" i="19"/>
  <c r="A5" i="19"/>
  <c r="D4" i="19"/>
  <c r="C4" i="19"/>
  <c r="A4" i="19"/>
  <c r="D3" i="19"/>
  <c r="C3" i="19"/>
  <c r="A3" i="19"/>
  <c r="D2" i="19"/>
  <c r="C2" i="19"/>
  <c r="A2" i="19"/>
  <c r="JQ103" i="18"/>
  <c r="JN103" i="18"/>
  <c r="JM103" i="18"/>
  <c r="JL103" i="18"/>
  <c r="JK103" i="18"/>
  <c r="JJ103" i="18"/>
  <c r="JI103" i="18"/>
  <c r="JH103" i="18"/>
  <c r="JG103" i="18"/>
  <c r="JF103" i="18"/>
  <c r="JE103" i="18"/>
  <c r="JD103" i="18"/>
  <c r="JC103" i="18"/>
  <c r="JO103" i="18" s="1"/>
  <c r="JA103" i="18"/>
  <c r="IN103" i="18"/>
  <c r="IA103" i="18"/>
  <c r="HN103" i="18"/>
  <c r="HA103" i="18"/>
  <c r="GN103" i="18"/>
  <c r="GA103" i="18"/>
  <c r="FN103" i="18"/>
  <c r="FA103" i="18"/>
  <c r="EN103" i="18"/>
  <c r="EA103" i="18"/>
  <c r="DN103" i="18"/>
  <c r="DA103" i="18"/>
  <c r="CN103" i="18"/>
  <c r="CA103" i="18"/>
  <c r="BN103" i="18"/>
  <c r="BA103" i="18"/>
  <c r="AN103" i="18"/>
  <c r="AA103" i="18"/>
  <c r="N103" i="18"/>
  <c r="JN102" i="18"/>
  <c r="JM102" i="18"/>
  <c r="JL102" i="18"/>
  <c r="JK102" i="18"/>
  <c r="JJ102" i="18"/>
  <c r="JI102" i="18"/>
  <c r="JH102" i="18"/>
  <c r="JG102" i="18"/>
  <c r="JF102" i="18"/>
  <c r="JE102" i="18"/>
  <c r="JD102" i="18"/>
  <c r="JC102" i="18"/>
  <c r="JA102" i="18"/>
  <c r="IN102" i="18"/>
  <c r="IA102" i="18"/>
  <c r="HN102" i="18"/>
  <c r="HA102" i="18"/>
  <c r="GN102" i="18"/>
  <c r="GA102" i="18"/>
  <c r="FN102" i="18"/>
  <c r="FA102" i="18"/>
  <c r="EN102" i="18"/>
  <c r="EA102" i="18"/>
  <c r="DN102" i="18"/>
  <c r="DA102" i="18"/>
  <c r="CN102" i="18"/>
  <c r="CA102" i="18"/>
  <c r="BN102" i="18"/>
  <c r="BA102" i="18"/>
  <c r="AN102" i="18"/>
  <c r="AA102" i="18"/>
  <c r="N102" i="18"/>
  <c r="JQ101" i="18"/>
  <c r="JN101" i="18"/>
  <c r="JM101" i="18"/>
  <c r="JL101" i="18"/>
  <c r="JK101" i="18"/>
  <c r="JJ101" i="18"/>
  <c r="JI101" i="18"/>
  <c r="JH101" i="18"/>
  <c r="JG101" i="18"/>
  <c r="JF101" i="18"/>
  <c r="JE101" i="18"/>
  <c r="JD101" i="18"/>
  <c r="JC101" i="18"/>
  <c r="JA101" i="18"/>
  <c r="IN101" i="18"/>
  <c r="IA101" i="18"/>
  <c r="HN101" i="18"/>
  <c r="HA101" i="18"/>
  <c r="GN101" i="18"/>
  <c r="GA101" i="18"/>
  <c r="FN101" i="18"/>
  <c r="FA101" i="18"/>
  <c r="EN101" i="18"/>
  <c r="EA101" i="18"/>
  <c r="DN101" i="18"/>
  <c r="DA101" i="18"/>
  <c r="CN101" i="18"/>
  <c r="CA101" i="18"/>
  <c r="BN101" i="18"/>
  <c r="BA101" i="18"/>
  <c r="AN101" i="18"/>
  <c r="AA101" i="18"/>
  <c r="N101" i="18"/>
  <c r="JN100" i="18"/>
  <c r="JM100" i="18"/>
  <c r="JL100" i="18"/>
  <c r="JK100" i="18"/>
  <c r="JJ100" i="18"/>
  <c r="JI100" i="18"/>
  <c r="JH100" i="18"/>
  <c r="JG100" i="18"/>
  <c r="JF100" i="18"/>
  <c r="JE100" i="18"/>
  <c r="JD100" i="18"/>
  <c r="JC100" i="18"/>
  <c r="JA100" i="18"/>
  <c r="IN100" i="18"/>
  <c r="IA100" i="18"/>
  <c r="HN100" i="18"/>
  <c r="HA100" i="18"/>
  <c r="GN100" i="18"/>
  <c r="GA100" i="18"/>
  <c r="FN100" i="18"/>
  <c r="FA100" i="18"/>
  <c r="EN100" i="18"/>
  <c r="EA100" i="18"/>
  <c r="DN100" i="18"/>
  <c r="DA100" i="18"/>
  <c r="CN100" i="18"/>
  <c r="CA100" i="18"/>
  <c r="BN100" i="18"/>
  <c r="BA100" i="18"/>
  <c r="AN100" i="18"/>
  <c r="AA100" i="18"/>
  <c r="N100" i="18"/>
  <c r="JQ99" i="18"/>
  <c r="JN99" i="18"/>
  <c r="JM99" i="18"/>
  <c r="JL99" i="18"/>
  <c r="JK99" i="18"/>
  <c r="JJ99" i="18"/>
  <c r="JI99" i="18"/>
  <c r="JH99" i="18"/>
  <c r="JG99" i="18"/>
  <c r="JF99" i="18"/>
  <c r="JE99" i="18"/>
  <c r="JD99" i="18"/>
  <c r="JC99" i="18"/>
  <c r="JO99" i="18" s="1"/>
  <c r="JA99" i="18"/>
  <c r="IN99" i="18"/>
  <c r="IA99" i="18"/>
  <c r="HN99" i="18"/>
  <c r="HA99" i="18"/>
  <c r="GN99" i="18"/>
  <c r="GA99" i="18"/>
  <c r="FN99" i="18"/>
  <c r="FA99" i="18"/>
  <c r="EN99" i="18"/>
  <c r="EA99" i="18"/>
  <c r="DN99" i="18"/>
  <c r="DA99" i="18"/>
  <c r="CN99" i="18"/>
  <c r="CA99" i="18"/>
  <c r="BN99" i="18"/>
  <c r="BA99" i="18"/>
  <c r="AN99" i="18"/>
  <c r="AA99" i="18"/>
  <c r="N99" i="18"/>
  <c r="JN98" i="18"/>
  <c r="JM98" i="18"/>
  <c r="JL98" i="18"/>
  <c r="JK98" i="18"/>
  <c r="JJ98" i="18"/>
  <c r="JI98" i="18"/>
  <c r="JH98" i="18"/>
  <c r="JG98" i="18"/>
  <c r="JF98" i="18"/>
  <c r="JE98" i="18"/>
  <c r="JD98" i="18"/>
  <c r="JC98" i="18"/>
  <c r="JA98" i="18"/>
  <c r="IN98" i="18"/>
  <c r="IA98" i="18"/>
  <c r="HN98" i="18"/>
  <c r="HA98" i="18"/>
  <c r="GN98" i="18"/>
  <c r="GA98" i="18"/>
  <c r="FN98" i="18"/>
  <c r="FA98" i="18"/>
  <c r="EN98" i="18"/>
  <c r="EA98" i="18"/>
  <c r="DN98" i="18"/>
  <c r="DA98" i="18"/>
  <c r="CN98" i="18"/>
  <c r="CA98" i="18"/>
  <c r="BN98" i="18"/>
  <c r="BA98" i="18"/>
  <c r="AN98" i="18"/>
  <c r="AA98" i="18"/>
  <c r="N98" i="18"/>
  <c r="JQ97" i="18"/>
  <c r="JN97" i="18"/>
  <c r="JM97" i="18"/>
  <c r="JL97" i="18"/>
  <c r="JK97" i="18"/>
  <c r="JJ97" i="18"/>
  <c r="JI97" i="18"/>
  <c r="JH97" i="18"/>
  <c r="JG97" i="18"/>
  <c r="JF97" i="18"/>
  <c r="JE97" i="18"/>
  <c r="JD97" i="18"/>
  <c r="JC97" i="18"/>
  <c r="JA97" i="18"/>
  <c r="IN97" i="18"/>
  <c r="IA97" i="18"/>
  <c r="HN97" i="18"/>
  <c r="HA97" i="18"/>
  <c r="GN97" i="18"/>
  <c r="GA97" i="18"/>
  <c r="FN97" i="18"/>
  <c r="FA97" i="18"/>
  <c r="EN97" i="18"/>
  <c r="EA97" i="18"/>
  <c r="DN97" i="18"/>
  <c r="DA97" i="18"/>
  <c r="CN97" i="18"/>
  <c r="CA97" i="18"/>
  <c r="BN97" i="18"/>
  <c r="BA97" i="18"/>
  <c r="AN97" i="18"/>
  <c r="AA97" i="18"/>
  <c r="N97" i="18"/>
  <c r="JN96" i="18"/>
  <c r="JM96" i="18"/>
  <c r="JL96" i="18"/>
  <c r="JK96" i="18"/>
  <c r="JJ96" i="18"/>
  <c r="JI96" i="18"/>
  <c r="JH96" i="18"/>
  <c r="JG96" i="18"/>
  <c r="JF96" i="18"/>
  <c r="JE96" i="18"/>
  <c r="JD96" i="18"/>
  <c r="JC96" i="18"/>
  <c r="JA96" i="18"/>
  <c r="IN96" i="18"/>
  <c r="IA96" i="18"/>
  <c r="HN96" i="18"/>
  <c r="HA96" i="18"/>
  <c r="GN96" i="18"/>
  <c r="GA96" i="18"/>
  <c r="FN96" i="18"/>
  <c r="FA96" i="18"/>
  <c r="EN96" i="18"/>
  <c r="EA96" i="18"/>
  <c r="DN96" i="18"/>
  <c r="DA96" i="18"/>
  <c r="CN96" i="18"/>
  <c r="CA96" i="18"/>
  <c r="BN96" i="18"/>
  <c r="BA96" i="18"/>
  <c r="AN96" i="18"/>
  <c r="AA96" i="18"/>
  <c r="N96" i="18"/>
  <c r="JQ95" i="18"/>
  <c r="JN95" i="18"/>
  <c r="JM95" i="18"/>
  <c r="JL95" i="18"/>
  <c r="JK95" i="18"/>
  <c r="JJ95" i="18"/>
  <c r="JI95" i="18"/>
  <c r="JH95" i="18"/>
  <c r="JG95" i="18"/>
  <c r="JF95" i="18"/>
  <c r="JE95" i="18"/>
  <c r="JD95" i="18"/>
  <c r="JC95" i="18"/>
  <c r="JO95" i="18" s="1"/>
  <c r="JA95" i="18"/>
  <c r="IN95" i="18"/>
  <c r="IA95" i="18"/>
  <c r="HN95" i="18"/>
  <c r="HA95" i="18"/>
  <c r="GN95" i="18"/>
  <c r="GA95" i="18"/>
  <c r="FN95" i="18"/>
  <c r="FA95" i="18"/>
  <c r="EN95" i="18"/>
  <c r="EA95" i="18"/>
  <c r="DN95" i="18"/>
  <c r="DA95" i="18"/>
  <c r="CN95" i="18"/>
  <c r="CA95" i="18"/>
  <c r="BN95" i="18"/>
  <c r="BA95" i="18"/>
  <c r="AN95" i="18"/>
  <c r="AA95" i="18"/>
  <c r="N95" i="18"/>
  <c r="JN94" i="18"/>
  <c r="JM94" i="18"/>
  <c r="JL94" i="18"/>
  <c r="JK94" i="18"/>
  <c r="JJ94" i="18"/>
  <c r="JI94" i="18"/>
  <c r="JH94" i="18"/>
  <c r="JG94" i="18"/>
  <c r="JF94" i="18"/>
  <c r="JE94" i="18"/>
  <c r="JD94" i="18"/>
  <c r="JC94" i="18"/>
  <c r="JA94" i="18"/>
  <c r="IN94" i="18"/>
  <c r="IA94" i="18"/>
  <c r="HN94" i="18"/>
  <c r="HA94" i="18"/>
  <c r="GN94" i="18"/>
  <c r="GA94" i="18"/>
  <c r="FN94" i="18"/>
  <c r="FA94" i="18"/>
  <c r="EN94" i="18"/>
  <c r="EA94" i="18"/>
  <c r="DN94" i="18"/>
  <c r="DA94" i="18"/>
  <c r="CN94" i="18"/>
  <c r="CA94" i="18"/>
  <c r="BN94" i="18"/>
  <c r="BA94" i="18"/>
  <c r="AN94" i="18"/>
  <c r="AA94" i="18"/>
  <c r="N94" i="18"/>
  <c r="JQ93" i="18"/>
  <c r="JN93" i="18"/>
  <c r="JM93" i="18"/>
  <c r="JL93" i="18"/>
  <c r="JK93" i="18"/>
  <c r="JJ93" i="18"/>
  <c r="JI93" i="18"/>
  <c r="JH93" i="18"/>
  <c r="JG93" i="18"/>
  <c r="JF93" i="18"/>
  <c r="JE93" i="18"/>
  <c r="JD93" i="18"/>
  <c r="JC93" i="18"/>
  <c r="JA93" i="18"/>
  <c r="IN93" i="18"/>
  <c r="IA93" i="18"/>
  <c r="HN93" i="18"/>
  <c r="HA93" i="18"/>
  <c r="GN93" i="18"/>
  <c r="GA93" i="18"/>
  <c r="FN93" i="18"/>
  <c r="FA93" i="18"/>
  <c r="EN93" i="18"/>
  <c r="EA93" i="18"/>
  <c r="DN93" i="18"/>
  <c r="DA93" i="18"/>
  <c r="CN93" i="18"/>
  <c r="CA93" i="18"/>
  <c r="BN93" i="18"/>
  <c r="BA93" i="18"/>
  <c r="AN93" i="18"/>
  <c r="AA93" i="18"/>
  <c r="N93" i="18"/>
  <c r="JN92" i="18"/>
  <c r="JM92" i="18"/>
  <c r="JL92" i="18"/>
  <c r="JK92" i="18"/>
  <c r="JJ92" i="18"/>
  <c r="JI92" i="18"/>
  <c r="JH92" i="18"/>
  <c r="JG92" i="18"/>
  <c r="JF92" i="18"/>
  <c r="JE92" i="18"/>
  <c r="JD92" i="18"/>
  <c r="JC92" i="18"/>
  <c r="JA92" i="18"/>
  <c r="IN92" i="18"/>
  <c r="IA92" i="18"/>
  <c r="HN92" i="18"/>
  <c r="HA92" i="18"/>
  <c r="GN92" i="18"/>
  <c r="GA92" i="18"/>
  <c r="FN92" i="18"/>
  <c r="FA92" i="18"/>
  <c r="EN92" i="18"/>
  <c r="EA92" i="18"/>
  <c r="DN92" i="18"/>
  <c r="DA92" i="18"/>
  <c r="CN92" i="18"/>
  <c r="CA92" i="18"/>
  <c r="BN92" i="18"/>
  <c r="BA92" i="18"/>
  <c r="AN92" i="18"/>
  <c r="AA92" i="18"/>
  <c r="N92" i="18"/>
  <c r="JQ91" i="18"/>
  <c r="JN91" i="18"/>
  <c r="JM91" i="18"/>
  <c r="JL91" i="18"/>
  <c r="JK91" i="18"/>
  <c r="JJ91" i="18"/>
  <c r="JI91" i="18"/>
  <c r="JH91" i="18"/>
  <c r="JG91" i="18"/>
  <c r="JF91" i="18"/>
  <c r="JE91" i="18"/>
  <c r="JD91" i="18"/>
  <c r="JC91" i="18"/>
  <c r="JO91" i="18" s="1"/>
  <c r="JA91" i="18"/>
  <c r="IN91" i="18"/>
  <c r="IA91" i="18"/>
  <c r="HN91" i="18"/>
  <c r="HA91" i="18"/>
  <c r="GN91" i="18"/>
  <c r="GA91" i="18"/>
  <c r="FN91" i="18"/>
  <c r="FA91" i="18"/>
  <c r="EN91" i="18"/>
  <c r="EA91" i="18"/>
  <c r="DN91" i="18"/>
  <c r="DA91" i="18"/>
  <c r="CN91" i="18"/>
  <c r="CA91" i="18"/>
  <c r="BN91" i="18"/>
  <c r="BA91" i="18"/>
  <c r="AN91" i="18"/>
  <c r="AA91" i="18"/>
  <c r="N91" i="18"/>
  <c r="JN90" i="18"/>
  <c r="JM90" i="18"/>
  <c r="JL90" i="18"/>
  <c r="JK90" i="18"/>
  <c r="JJ90" i="18"/>
  <c r="JI90" i="18"/>
  <c r="JH90" i="18"/>
  <c r="JG90" i="18"/>
  <c r="JF90" i="18"/>
  <c r="JE90" i="18"/>
  <c r="JD90" i="18"/>
  <c r="JC90" i="18"/>
  <c r="JA90" i="18"/>
  <c r="IN90" i="18"/>
  <c r="IA90" i="18"/>
  <c r="HN90" i="18"/>
  <c r="HA90" i="18"/>
  <c r="GN90" i="18"/>
  <c r="GA90" i="18"/>
  <c r="FN90" i="18"/>
  <c r="FA90" i="18"/>
  <c r="EN90" i="18"/>
  <c r="EA90" i="18"/>
  <c r="DN90" i="18"/>
  <c r="DA90" i="18"/>
  <c r="CN90" i="18"/>
  <c r="CA90" i="18"/>
  <c r="BN90" i="18"/>
  <c r="BA90" i="18"/>
  <c r="AN90" i="18"/>
  <c r="AA90" i="18"/>
  <c r="N90" i="18"/>
  <c r="JQ89" i="18"/>
  <c r="JN89" i="18"/>
  <c r="JM89" i="18"/>
  <c r="JL89" i="18"/>
  <c r="JK89" i="18"/>
  <c r="JJ89" i="18"/>
  <c r="JI89" i="18"/>
  <c r="JH89" i="18"/>
  <c r="JG89" i="18"/>
  <c r="JF89" i="18"/>
  <c r="JE89" i="18"/>
  <c r="JD89" i="18"/>
  <c r="JC89" i="18"/>
  <c r="JA89" i="18"/>
  <c r="IN89" i="18"/>
  <c r="IA89" i="18"/>
  <c r="HN89" i="18"/>
  <c r="HA89" i="18"/>
  <c r="GN89" i="18"/>
  <c r="GA89" i="18"/>
  <c r="FN89" i="18"/>
  <c r="FA89" i="18"/>
  <c r="EN89" i="18"/>
  <c r="EA89" i="18"/>
  <c r="DN89" i="18"/>
  <c r="DA89" i="18"/>
  <c r="CN89" i="18"/>
  <c r="CA89" i="18"/>
  <c r="BN89" i="18"/>
  <c r="BA89" i="18"/>
  <c r="AN89" i="18"/>
  <c r="AA89" i="18"/>
  <c r="N89" i="18"/>
  <c r="JN88" i="18"/>
  <c r="JM88" i="18"/>
  <c r="JL88" i="18"/>
  <c r="JK88" i="18"/>
  <c r="JJ88" i="18"/>
  <c r="JI88" i="18"/>
  <c r="JH88" i="18"/>
  <c r="JG88" i="18"/>
  <c r="JF88" i="18"/>
  <c r="JE88" i="18"/>
  <c r="JD88" i="18"/>
  <c r="JC88" i="18"/>
  <c r="JA88" i="18"/>
  <c r="IN88" i="18"/>
  <c r="IA88" i="18"/>
  <c r="HN88" i="18"/>
  <c r="HA88" i="18"/>
  <c r="GN88" i="18"/>
  <c r="GA88" i="18"/>
  <c r="FN88" i="18"/>
  <c r="FA88" i="18"/>
  <c r="EN88" i="18"/>
  <c r="EA88" i="18"/>
  <c r="DN88" i="18"/>
  <c r="DA88" i="18"/>
  <c r="CN88" i="18"/>
  <c r="CA88" i="18"/>
  <c r="BN88" i="18"/>
  <c r="BA88" i="18"/>
  <c r="AN88" i="18"/>
  <c r="AA88" i="18"/>
  <c r="N88" i="18"/>
  <c r="JQ87" i="18"/>
  <c r="JN87" i="18"/>
  <c r="JM87" i="18"/>
  <c r="JL87" i="18"/>
  <c r="JK87" i="18"/>
  <c r="JJ87" i="18"/>
  <c r="JI87" i="18"/>
  <c r="JH87" i="18"/>
  <c r="JG87" i="18"/>
  <c r="JF87" i="18"/>
  <c r="JE87" i="18"/>
  <c r="JD87" i="18"/>
  <c r="JC87" i="18"/>
  <c r="JO87" i="18" s="1"/>
  <c r="JA87" i="18"/>
  <c r="IN87" i="18"/>
  <c r="IA87" i="18"/>
  <c r="HN87" i="18"/>
  <c r="HA87" i="18"/>
  <c r="GN87" i="18"/>
  <c r="GA87" i="18"/>
  <c r="FN87" i="18"/>
  <c r="FA87" i="18"/>
  <c r="EN87" i="18"/>
  <c r="EA87" i="18"/>
  <c r="DN87" i="18"/>
  <c r="DA87" i="18"/>
  <c r="CN87" i="18"/>
  <c r="CA87" i="18"/>
  <c r="BN87" i="18"/>
  <c r="BA87" i="18"/>
  <c r="AN87" i="18"/>
  <c r="AA87" i="18"/>
  <c r="N87" i="18"/>
  <c r="JN86" i="18"/>
  <c r="JM86" i="18"/>
  <c r="JL86" i="18"/>
  <c r="JK86" i="18"/>
  <c r="JJ86" i="18"/>
  <c r="JI86" i="18"/>
  <c r="JH86" i="18"/>
  <c r="JG86" i="18"/>
  <c r="JF86" i="18"/>
  <c r="JE86" i="18"/>
  <c r="JD86" i="18"/>
  <c r="JC86" i="18"/>
  <c r="JA86" i="18"/>
  <c r="IN86" i="18"/>
  <c r="IA86" i="18"/>
  <c r="HN86" i="18"/>
  <c r="HA86" i="18"/>
  <c r="GN86" i="18"/>
  <c r="GA86" i="18"/>
  <c r="FN86" i="18"/>
  <c r="FA86" i="18"/>
  <c r="EN86" i="18"/>
  <c r="EA86" i="18"/>
  <c r="DN86" i="18"/>
  <c r="DA86" i="18"/>
  <c r="CN86" i="18"/>
  <c r="CA86" i="18"/>
  <c r="BN86" i="18"/>
  <c r="BA86" i="18"/>
  <c r="AN86" i="18"/>
  <c r="AA86" i="18"/>
  <c r="N86" i="18"/>
  <c r="JQ85" i="18"/>
  <c r="JN85" i="18"/>
  <c r="JM85" i="18"/>
  <c r="JL85" i="18"/>
  <c r="JK85" i="18"/>
  <c r="JJ85" i="18"/>
  <c r="JI85" i="18"/>
  <c r="JH85" i="18"/>
  <c r="JG85" i="18"/>
  <c r="JF85" i="18"/>
  <c r="JE85" i="18"/>
  <c r="JD85" i="18"/>
  <c r="JC85" i="18"/>
  <c r="JA85" i="18"/>
  <c r="IN85" i="18"/>
  <c r="IA85" i="18"/>
  <c r="HN85" i="18"/>
  <c r="HA85" i="18"/>
  <c r="GN85" i="18"/>
  <c r="GA85" i="18"/>
  <c r="FN85" i="18"/>
  <c r="FA85" i="18"/>
  <c r="EN85" i="18"/>
  <c r="EA85" i="18"/>
  <c r="DN85" i="18"/>
  <c r="DA85" i="18"/>
  <c r="CN85" i="18"/>
  <c r="CA85" i="18"/>
  <c r="BN85" i="18"/>
  <c r="BA85" i="18"/>
  <c r="AN85" i="18"/>
  <c r="AA85" i="18"/>
  <c r="N85" i="18"/>
  <c r="JN84" i="18"/>
  <c r="JM84" i="18"/>
  <c r="JL84" i="18"/>
  <c r="JK84" i="18"/>
  <c r="JJ84" i="18"/>
  <c r="JI84" i="18"/>
  <c r="JH84" i="18"/>
  <c r="JG84" i="18"/>
  <c r="JF84" i="18"/>
  <c r="JE84" i="18"/>
  <c r="JD84" i="18"/>
  <c r="JC84" i="18"/>
  <c r="JA84" i="18"/>
  <c r="IN84" i="18"/>
  <c r="IA84" i="18"/>
  <c r="HN84" i="18"/>
  <c r="HA84" i="18"/>
  <c r="GN84" i="18"/>
  <c r="GA84" i="18"/>
  <c r="FN84" i="18"/>
  <c r="FA84" i="18"/>
  <c r="EN84" i="18"/>
  <c r="EA84" i="18"/>
  <c r="DN84" i="18"/>
  <c r="DA84" i="18"/>
  <c r="CN84" i="18"/>
  <c r="CA84" i="18"/>
  <c r="BN84" i="18"/>
  <c r="BA84" i="18"/>
  <c r="AN84" i="18"/>
  <c r="AA84" i="18"/>
  <c r="N84" i="18"/>
  <c r="JQ83" i="18"/>
  <c r="JN83" i="18"/>
  <c r="JM83" i="18"/>
  <c r="JL83" i="18"/>
  <c r="JK83" i="18"/>
  <c r="JJ83" i="18"/>
  <c r="JI83" i="18"/>
  <c r="JH83" i="18"/>
  <c r="JG83" i="18"/>
  <c r="JF83" i="18"/>
  <c r="JE83" i="18"/>
  <c r="JD83" i="18"/>
  <c r="JC83" i="18"/>
  <c r="JO83" i="18" s="1"/>
  <c r="JA83" i="18"/>
  <c r="IN83" i="18"/>
  <c r="IA83" i="18"/>
  <c r="HN83" i="18"/>
  <c r="HA83" i="18"/>
  <c r="GN83" i="18"/>
  <c r="GA83" i="18"/>
  <c r="FN83" i="18"/>
  <c r="FA83" i="18"/>
  <c r="EN83" i="18"/>
  <c r="EA83" i="18"/>
  <c r="DN83" i="18"/>
  <c r="DA83" i="18"/>
  <c r="CN83" i="18"/>
  <c r="CA83" i="18"/>
  <c r="BN83" i="18"/>
  <c r="BA83" i="18"/>
  <c r="AN83" i="18"/>
  <c r="AA83" i="18"/>
  <c r="N83" i="18"/>
  <c r="JN82" i="18"/>
  <c r="JM82" i="18"/>
  <c r="JL82" i="18"/>
  <c r="JK82" i="18"/>
  <c r="JJ82" i="18"/>
  <c r="JI82" i="18"/>
  <c r="JH82" i="18"/>
  <c r="JG82" i="18"/>
  <c r="JF82" i="18"/>
  <c r="JE82" i="18"/>
  <c r="JD82" i="18"/>
  <c r="JC82" i="18"/>
  <c r="JA82" i="18"/>
  <c r="IN82" i="18"/>
  <c r="IA82" i="18"/>
  <c r="HN82" i="18"/>
  <c r="HA82" i="18"/>
  <c r="GN82" i="18"/>
  <c r="GA82" i="18"/>
  <c r="FN82" i="18"/>
  <c r="FA82" i="18"/>
  <c r="EN82" i="18"/>
  <c r="EA82" i="18"/>
  <c r="DN82" i="18"/>
  <c r="DA82" i="18"/>
  <c r="CN82" i="18"/>
  <c r="CA82" i="18"/>
  <c r="BN82" i="18"/>
  <c r="BA82" i="18"/>
  <c r="AN82" i="18"/>
  <c r="AA82" i="18"/>
  <c r="N82" i="18"/>
  <c r="JQ81" i="18"/>
  <c r="JN81" i="18"/>
  <c r="JM81" i="18"/>
  <c r="JL81" i="18"/>
  <c r="JK81" i="18"/>
  <c r="JJ81" i="18"/>
  <c r="JI81" i="18"/>
  <c r="JH81" i="18"/>
  <c r="JG81" i="18"/>
  <c r="JF81" i="18"/>
  <c r="JE81" i="18"/>
  <c r="JD81" i="18"/>
  <c r="JC81" i="18"/>
  <c r="JA81" i="18"/>
  <c r="IN81" i="18"/>
  <c r="IA81" i="18"/>
  <c r="HN81" i="18"/>
  <c r="HA81" i="18"/>
  <c r="GN81" i="18"/>
  <c r="GA81" i="18"/>
  <c r="FN81" i="18"/>
  <c r="FA81" i="18"/>
  <c r="EN81" i="18"/>
  <c r="EA81" i="18"/>
  <c r="DN81" i="18"/>
  <c r="DA81" i="18"/>
  <c r="CN81" i="18"/>
  <c r="CA81" i="18"/>
  <c r="BN81" i="18"/>
  <c r="BA81" i="18"/>
  <c r="AN81" i="18"/>
  <c r="AA81" i="18"/>
  <c r="N81" i="18"/>
  <c r="JN80" i="18"/>
  <c r="JM80" i="18"/>
  <c r="JL80" i="18"/>
  <c r="JK80" i="18"/>
  <c r="JJ80" i="18"/>
  <c r="JI80" i="18"/>
  <c r="JH80" i="18"/>
  <c r="JG80" i="18"/>
  <c r="JF80" i="18"/>
  <c r="JE80" i="18"/>
  <c r="JD80" i="18"/>
  <c r="JC80" i="18"/>
  <c r="JA80" i="18"/>
  <c r="IN80" i="18"/>
  <c r="IA80" i="18"/>
  <c r="HN80" i="18"/>
  <c r="HA80" i="18"/>
  <c r="GN80" i="18"/>
  <c r="GA80" i="18"/>
  <c r="FN80" i="18"/>
  <c r="FA80" i="18"/>
  <c r="EN80" i="18"/>
  <c r="EA80" i="18"/>
  <c r="DN80" i="18"/>
  <c r="DA80" i="18"/>
  <c r="CN80" i="18"/>
  <c r="CA80" i="18"/>
  <c r="BN80" i="18"/>
  <c r="BA80" i="18"/>
  <c r="AN80" i="18"/>
  <c r="AA80" i="18"/>
  <c r="JQ80" i="18" s="1"/>
  <c r="N80" i="18"/>
  <c r="JQ79" i="18"/>
  <c r="JN79" i="18"/>
  <c r="JM79" i="18"/>
  <c r="JL79" i="18"/>
  <c r="JK79" i="18"/>
  <c r="JJ79" i="18"/>
  <c r="JI79" i="18"/>
  <c r="JH79" i="18"/>
  <c r="JG79" i="18"/>
  <c r="JF79" i="18"/>
  <c r="JE79" i="18"/>
  <c r="JD79" i="18"/>
  <c r="JC79" i="18"/>
  <c r="JO79" i="18" s="1"/>
  <c r="JA79" i="18"/>
  <c r="IN79" i="18"/>
  <c r="IA79" i="18"/>
  <c r="HN79" i="18"/>
  <c r="HA79" i="18"/>
  <c r="GN79" i="18"/>
  <c r="GA79" i="18"/>
  <c r="FN79" i="18"/>
  <c r="FA79" i="18"/>
  <c r="EN79" i="18"/>
  <c r="EA79" i="18"/>
  <c r="DN79" i="18"/>
  <c r="DA79" i="18"/>
  <c r="CN79" i="18"/>
  <c r="CA79" i="18"/>
  <c r="BN79" i="18"/>
  <c r="BA79" i="18"/>
  <c r="AN79" i="18"/>
  <c r="AA79" i="18"/>
  <c r="N79" i="18"/>
  <c r="JN78" i="18"/>
  <c r="JM78" i="18"/>
  <c r="JL78" i="18"/>
  <c r="JK78" i="18"/>
  <c r="JJ78" i="18"/>
  <c r="JI78" i="18"/>
  <c r="JH78" i="18"/>
  <c r="JG78" i="18"/>
  <c r="JF78" i="18"/>
  <c r="JE78" i="18"/>
  <c r="JD78" i="18"/>
  <c r="JC78" i="18"/>
  <c r="JA78" i="18"/>
  <c r="IN78" i="18"/>
  <c r="IA78" i="18"/>
  <c r="HN78" i="18"/>
  <c r="HA78" i="18"/>
  <c r="GN78" i="18"/>
  <c r="GA78" i="18"/>
  <c r="FN78" i="18"/>
  <c r="FA78" i="18"/>
  <c r="EN78" i="18"/>
  <c r="EA78" i="18"/>
  <c r="DN78" i="18"/>
  <c r="DA78" i="18"/>
  <c r="CN78" i="18"/>
  <c r="CA78" i="18"/>
  <c r="BN78" i="18"/>
  <c r="BA78" i="18"/>
  <c r="AN78" i="18"/>
  <c r="AA78" i="18"/>
  <c r="N78" i="18"/>
  <c r="JQ77" i="18"/>
  <c r="JN77" i="18"/>
  <c r="JM77" i="18"/>
  <c r="JL77" i="18"/>
  <c r="JK77" i="18"/>
  <c r="JJ77" i="18"/>
  <c r="JI77" i="18"/>
  <c r="JH77" i="18"/>
  <c r="JG77" i="18"/>
  <c r="JF77" i="18"/>
  <c r="JE77" i="18"/>
  <c r="JD77" i="18"/>
  <c r="JC77" i="18"/>
  <c r="JA77" i="18"/>
  <c r="IN77" i="18"/>
  <c r="IA77" i="18"/>
  <c r="HN77" i="18"/>
  <c r="HA77" i="18"/>
  <c r="GN77" i="18"/>
  <c r="GA77" i="18"/>
  <c r="FN77" i="18"/>
  <c r="FA77" i="18"/>
  <c r="EN77" i="18"/>
  <c r="EA77" i="18"/>
  <c r="DN77" i="18"/>
  <c r="DA77" i="18"/>
  <c r="CN77" i="18"/>
  <c r="CA77" i="18"/>
  <c r="BN77" i="18"/>
  <c r="BA77" i="18"/>
  <c r="AN77" i="18"/>
  <c r="AA77" i="18"/>
  <c r="N77" i="18"/>
  <c r="JN76" i="18"/>
  <c r="JM76" i="18"/>
  <c r="JL76" i="18"/>
  <c r="JK76" i="18"/>
  <c r="JJ76" i="18"/>
  <c r="JI76" i="18"/>
  <c r="JH76" i="18"/>
  <c r="JG76" i="18"/>
  <c r="JF76" i="18"/>
  <c r="JE76" i="18"/>
  <c r="JD76" i="18"/>
  <c r="JC76" i="18"/>
  <c r="JA76" i="18"/>
  <c r="IN76" i="18"/>
  <c r="IA76" i="18"/>
  <c r="HN76" i="18"/>
  <c r="HA76" i="18"/>
  <c r="GN76" i="18"/>
  <c r="GA76" i="18"/>
  <c r="FN76" i="18"/>
  <c r="FA76" i="18"/>
  <c r="EN76" i="18"/>
  <c r="EA76" i="18"/>
  <c r="DN76" i="18"/>
  <c r="DA76" i="18"/>
  <c r="CN76" i="18"/>
  <c r="CA76" i="18"/>
  <c r="BN76" i="18"/>
  <c r="BA76" i="18"/>
  <c r="AN76" i="18"/>
  <c r="AA76" i="18"/>
  <c r="N76" i="18"/>
  <c r="JQ75" i="18"/>
  <c r="JN75" i="18"/>
  <c r="JM75" i="18"/>
  <c r="JL75" i="18"/>
  <c r="JK75" i="18"/>
  <c r="JJ75" i="18"/>
  <c r="JI75" i="18"/>
  <c r="JH75" i="18"/>
  <c r="JG75" i="18"/>
  <c r="JF75" i="18"/>
  <c r="JE75" i="18"/>
  <c r="JD75" i="18"/>
  <c r="JC75" i="18"/>
  <c r="JO75" i="18" s="1"/>
  <c r="JA75" i="18"/>
  <c r="IN75" i="18"/>
  <c r="IA75" i="18"/>
  <c r="HN75" i="18"/>
  <c r="HA75" i="18"/>
  <c r="GN75" i="18"/>
  <c r="GA75" i="18"/>
  <c r="FN75" i="18"/>
  <c r="FA75" i="18"/>
  <c r="EN75" i="18"/>
  <c r="EA75" i="18"/>
  <c r="DN75" i="18"/>
  <c r="DA75" i="18"/>
  <c r="CN75" i="18"/>
  <c r="CA75" i="18"/>
  <c r="BN75" i="18"/>
  <c r="BA75" i="18"/>
  <c r="AN75" i="18"/>
  <c r="AA75" i="18"/>
  <c r="N75" i="18"/>
  <c r="JN74" i="18"/>
  <c r="JM74" i="18"/>
  <c r="JL74" i="18"/>
  <c r="JK74" i="18"/>
  <c r="JJ74" i="18"/>
  <c r="JI74" i="18"/>
  <c r="JH74" i="18"/>
  <c r="JG74" i="18"/>
  <c r="JF74" i="18"/>
  <c r="JE74" i="18"/>
  <c r="JD74" i="18"/>
  <c r="JC74" i="18"/>
  <c r="JA74" i="18"/>
  <c r="IN74" i="18"/>
  <c r="IA74" i="18"/>
  <c r="HN74" i="18"/>
  <c r="HA74" i="18"/>
  <c r="GN74" i="18"/>
  <c r="GA74" i="18"/>
  <c r="FN74" i="18"/>
  <c r="FA74" i="18"/>
  <c r="EN74" i="18"/>
  <c r="EA74" i="18"/>
  <c r="DN74" i="18"/>
  <c r="DA74" i="18"/>
  <c r="CN74" i="18"/>
  <c r="CA74" i="18"/>
  <c r="BN74" i="18"/>
  <c r="BA74" i="18"/>
  <c r="AN74" i="18"/>
  <c r="AA74" i="18"/>
  <c r="JQ74" i="18" s="1"/>
  <c r="N74" i="18"/>
  <c r="JQ73" i="18"/>
  <c r="JN73" i="18"/>
  <c r="JM73" i="18"/>
  <c r="JL73" i="18"/>
  <c r="JK73" i="18"/>
  <c r="JJ73" i="18"/>
  <c r="JI73" i="18"/>
  <c r="JH73" i="18"/>
  <c r="JG73" i="18"/>
  <c r="JF73" i="18"/>
  <c r="JE73" i="18"/>
  <c r="JD73" i="18"/>
  <c r="JO73" i="18" s="1"/>
  <c r="JC73" i="18"/>
  <c r="JA73" i="18"/>
  <c r="IN73" i="18"/>
  <c r="IA73" i="18"/>
  <c r="HN73" i="18"/>
  <c r="HA73" i="18"/>
  <c r="GN73" i="18"/>
  <c r="GA73" i="18"/>
  <c r="FN73" i="18"/>
  <c r="FA73" i="18"/>
  <c r="EN73" i="18"/>
  <c r="EA73" i="18"/>
  <c r="DN73" i="18"/>
  <c r="DA73" i="18"/>
  <c r="CN73" i="18"/>
  <c r="CA73" i="18"/>
  <c r="BN73" i="18"/>
  <c r="BA73" i="18"/>
  <c r="AN73" i="18"/>
  <c r="AA73" i="18"/>
  <c r="N73" i="18"/>
  <c r="JN72" i="18"/>
  <c r="JM72" i="18"/>
  <c r="JL72" i="18"/>
  <c r="JK72" i="18"/>
  <c r="JJ72" i="18"/>
  <c r="JI72" i="18"/>
  <c r="JH72" i="18"/>
  <c r="JG72" i="18"/>
  <c r="JF72" i="18"/>
  <c r="JE72" i="18"/>
  <c r="JD72" i="18"/>
  <c r="JO72" i="18" s="1"/>
  <c r="JC72" i="18"/>
  <c r="JA72" i="18"/>
  <c r="IN72" i="18"/>
  <c r="IA72" i="18"/>
  <c r="HN72" i="18"/>
  <c r="HA72" i="18"/>
  <c r="GN72" i="18"/>
  <c r="GA72" i="18"/>
  <c r="FN72" i="18"/>
  <c r="FA72" i="18"/>
  <c r="EN72" i="18"/>
  <c r="EA72" i="18"/>
  <c r="DN72" i="18"/>
  <c r="DA72" i="18"/>
  <c r="CN72" i="18"/>
  <c r="CA72" i="18"/>
  <c r="BN72" i="18"/>
  <c r="BA72" i="18"/>
  <c r="AN72" i="18"/>
  <c r="AA72" i="18"/>
  <c r="N72" i="18"/>
  <c r="JQ71" i="18"/>
  <c r="JN71" i="18"/>
  <c r="JM71" i="18"/>
  <c r="JL71" i="18"/>
  <c r="JK71" i="18"/>
  <c r="JJ71" i="18"/>
  <c r="JI71" i="18"/>
  <c r="JH71" i="18"/>
  <c r="JG71" i="18"/>
  <c r="JF71" i="18"/>
  <c r="JE71" i="18"/>
  <c r="JD71" i="18"/>
  <c r="JC71" i="18"/>
  <c r="JO71" i="18" s="1"/>
  <c r="JA71" i="18"/>
  <c r="IN71" i="18"/>
  <c r="IA71" i="18"/>
  <c r="HN71" i="18"/>
  <c r="HA71" i="18"/>
  <c r="GN71" i="18"/>
  <c r="GA71" i="18"/>
  <c r="FN71" i="18"/>
  <c r="FA71" i="18"/>
  <c r="EN71" i="18"/>
  <c r="EA71" i="18"/>
  <c r="DN71" i="18"/>
  <c r="DA71" i="18"/>
  <c r="CN71" i="18"/>
  <c r="CA71" i="18"/>
  <c r="BN71" i="18"/>
  <c r="BA71" i="18"/>
  <c r="AN71" i="18"/>
  <c r="AA71" i="18"/>
  <c r="N71" i="18"/>
  <c r="JN70" i="18"/>
  <c r="JM70" i="18"/>
  <c r="JL70" i="18"/>
  <c r="JK70" i="18"/>
  <c r="JJ70" i="18"/>
  <c r="JI70" i="18"/>
  <c r="JH70" i="18"/>
  <c r="JG70" i="18"/>
  <c r="JF70" i="18"/>
  <c r="JE70" i="18"/>
  <c r="JD70" i="18"/>
  <c r="JC70" i="18"/>
  <c r="JA70" i="18"/>
  <c r="JA104" i="18" s="1"/>
  <c r="IN70" i="18"/>
  <c r="IA70" i="18"/>
  <c r="HN70" i="18"/>
  <c r="HA70" i="18"/>
  <c r="GN70" i="18"/>
  <c r="GA70" i="18"/>
  <c r="FN70" i="18"/>
  <c r="FA70" i="18"/>
  <c r="EN70" i="18"/>
  <c r="EA70" i="18"/>
  <c r="DN70" i="18"/>
  <c r="DA70" i="18"/>
  <c r="CN70" i="18"/>
  <c r="CA70" i="18"/>
  <c r="BN70" i="18"/>
  <c r="BA70" i="18"/>
  <c r="AN70" i="18"/>
  <c r="AA70" i="18"/>
  <c r="N70" i="18"/>
  <c r="JQ69" i="18"/>
  <c r="JN69" i="18"/>
  <c r="JM69" i="18"/>
  <c r="JL69" i="18"/>
  <c r="JK69" i="18"/>
  <c r="JJ69" i="18"/>
  <c r="JI69" i="18"/>
  <c r="JH69" i="18"/>
  <c r="JG69" i="18"/>
  <c r="JF69" i="18"/>
  <c r="JE69" i="18"/>
  <c r="JD69" i="18"/>
  <c r="JC69" i="18"/>
  <c r="JA69" i="18"/>
  <c r="IN69" i="18"/>
  <c r="IA69" i="18"/>
  <c r="HN69" i="18"/>
  <c r="HA69" i="18"/>
  <c r="GN69" i="18"/>
  <c r="GA69" i="18"/>
  <c r="FN69" i="18"/>
  <c r="FA69" i="18"/>
  <c r="EN69" i="18"/>
  <c r="EA69" i="18"/>
  <c r="DN69" i="18"/>
  <c r="DA69" i="18"/>
  <c r="CN69" i="18"/>
  <c r="CA69" i="18"/>
  <c r="BN69" i="18"/>
  <c r="BA69" i="18"/>
  <c r="AN69" i="18"/>
  <c r="AA69" i="18"/>
  <c r="N69" i="18"/>
  <c r="JN68" i="18"/>
  <c r="JM68" i="18"/>
  <c r="JL68" i="18"/>
  <c r="JK68" i="18"/>
  <c r="JJ68" i="18"/>
  <c r="JI68" i="18"/>
  <c r="JH68" i="18"/>
  <c r="JG68" i="18"/>
  <c r="JF68" i="18"/>
  <c r="JE68" i="18"/>
  <c r="JD68" i="18"/>
  <c r="JC68" i="18"/>
  <c r="JA68" i="18"/>
  <c r="IN68" i="18"/>
  <c r="IA68" i="18"/>
  <c r="HN68" i="18"/>
  <c r="HA68" i="18"/>
  <c r="GN68" i="18"/>
  <c r="GA68" i="18"/>
  <c r="FN68" i="18"/>
  <c r="FA68" i="18"/>
  <c r="EN68" i="18"/>
  <c r="EA68" i="18"/>
  <c r="DN68" i="18"/>
  <c r="DA68" i="18"/>
  <c r="CN68" i="18"/>
  <c r="CA68" i="18"/>
  <c r="BN68" i="18"/>
  <c r="BA68" i="18"/>
  <c r="AN68" i="18"/>
  <c r="AA68" i="18"/>
  <c r="N68" i="18"/>
  <c r="JQ67" i="18"/>
  <c r="JN67" i="18"/>
  <c r="JM67" i="18"/>
  <c r="JL67" i="18"/>
  <c r="JK67" i="18"/>
  <c r="JJ67" i="18"/>
  <c r="JI67" i="18"/>
  <c r="JH67" i="18"/>
  <c r="JG67" i="18"/>
  <c r="JF67" i="18"/>
  <c r="JE67" i="18"/>
  <c r="JD67" i="18"/>
  <c r="JC67" i="18"/>
  <c r="JO67" i="18" s="1"/>
  <c r="JA67" i="18"/>
  <c r="IN67" i="18"/>
  <c r="IA67" i="18"/>
  <c r="HN67" i="18"/>
  <c r="HA67" i="18"/>
  <c r="GN67" i="18"/>
  <c r="GA67" i="18"/>
  <c r="FN67" i="18"/>
  <c r="FA67" i="18"/>
  <c r="EN67" i="18"/>
  <c r="EA67" i="18"/>
  <c r="DN67" i="18"/>
  <c r="DA67" i="18"/>
  <c r="CN67" i="18"/>
  <c r="CA67" i="18"/>
  <c r="BN67" i="18"/>
  <c r="BA67" i="18"/>
  <c r="AN67" i="18"/>
  <c r="AA67" i="18"/>
  <c r="N67" i="18"/>
  <c r="JN66" i="18"/>
  <c r="JM66" i="18"/>
  <c r="JL66" i="18"/>
  <c r="JK66" i="18"/>
  <c r="JJ66" i="18"/>
  <c r="JI66" i="18"/>
  <c r="JH66" i="18"/>
  <c r="JG66" i="18"/>
  <c r="JF66" i="18"/>
  <c r="JE66" i="18"/>
  <c r="JD66" i="18"/>
  <c r="JC66" i="18"/>
  <c r="JA66" i="18"/>
  <c r="IN66" i="18"/>
  <c r="IA66" i="18"/>
  <c r="HN66" i="18"/>
  <c r="HA66" i="18"/>
  <c r="GN66" i="18"/>
  <c r="GA66" i="18"/>
  <c r="FN66" i="18"/>
  <c r="FA66" i="18"/>
  <c r="EN66" i="18"/>
  <c r="EA66" i="18"/>
  <c r="DN66" i="18"/>
  <c r="DA66" i="18"/>
  <c r="CN66" i="18"/>
  <c r="CA66" i="18"/>
  <c r="BN66" i="18"/>
  <c r="BA66" i="18"/>
  <c r="AN66" i="18"/>
  <c r="AA66" i="18"/>
  <c r="N66" i="18"/>
  <c r="JQ65" i="18"/>
  <c r="JN65" i="18"/>
  <c r="JM65" i="18"/>
  <c r="JL65" i="18"/>
  <c r="JK65" i="18"/>
  <c r="JJ65" i="18"/>
  <c r="JI65" i="18"/>
  <c r="JH65" i="18"/>
  <c r="JG65" i="18"/>
  <c r="JF65" i="18"/>
  <c r="JE65" i="18"/>
  <c r="JD65" i="18"/>
  <c r="JC65" i="18"/>
  <c r="JA65" i="18"/>
  <c r="IN65" i="18"/>
  <c r="IA65" i="18"/>
  <c r="HN65" i="18"/>
  <c r="HA65" i="18"/>
  <c r="GN65" i="18"/>
  <c r="GA65" i="18"/>
  <c r="FN65" i="18"/>
  <c r="FA65" i="18"/>
  <c r="EN65" i="18"/>
  <c r="EA65" i="18"/>
  <c r="DN65" i="18"/>
  <c r="DA65" i="18"/>
  <c r="CN65" i="18"/>
  <c r="CA65" i="18"/>
  <c r="BN65" i="18"/>
  <c r="BA65" i="18"/>
  <c r="AN65" i="18"/>
  <c r="AA65" i="18"/>
  <c r="N65" i="18"/>
  <c r="JN64" i="18"/>
  <c r="JM64" i="18"/>
  <c r="JL64" i="18"/>
  <c r="JK64" i="18"/>
  <c r="JJ64" i="18"/>
  <c r="JI64" i="18"/>
  <c r="JH64" i="18"/>
  <c r="JG64" i="18"/>
  <c r="JF64" i="18"/>
  <c r="JE64" i="18"/>
  <c r="JD64" i="18"/>
  <c r="JC64" i="18"/>
  <c r="JA64" i="18"/>
  <c r="IN64" i="18"/>
  <c r="IA64" i="18"/>
  <c r="HN64" i="18"/>
  <c r="HA64" i="18"/>
  <c r="GN64" i="18"/>
  <c r="GA64" i="18"/>
  <c r="FN64" i="18"/>
  <c r="FA64" i="18"/>
  <c r="EN64" i="18"/>
  <c r="EA64" i="18"/>
  <c r="DN64" i="18"/>
  <c r="DA64" i="18"/>
  <c r="CN64" i="18"/>
  <c r="CA64" i="18"/>
  <c r="BN64" i="18"/>
  <c r="BA64" i="18"/>
  <c r="AN64" i="18"/>
  <c r="AA64" i="18"/>
  <c r="N64" i="18"/>
  <c r="JQ63" i="18"/>
  <c r="JN63" i="18"/>
  <c r="JM63" i="18"/>
  <c r="JL63" i="18"/>
  <c r="JK63" i="18"/>
  <c r="JJ63" i="18"/>
  <c r="JI63" i="18"/>
  <c r="JH63" i="18"/>
  <c r="JG63" i="18"/>
  <c r="JF63" i="18"/>
  <c r="JE63" i="18"/>
  <c r="JD63" i="18"/>
  <c r="JC63" i="18"/>
  <c r="JO63" i="18" s="1"/>
  <c r="JA63" i="18"/>
  <c r="IN63" i="18"/>
  <c r="IA63" i="18"/>
  <c r="HN63" i="18"/>
  <c r="HA63" i="18"/>
  <c r="GN63" i="18"/>
  <c r="GA63" i="18"/>
  <c r="FN63" i="18"/>
  <c r="FA63" i="18"/>
  <c r="EN63" i="18"/>
  <c r="EA63" i="18"/>
  <c r="DN63" i="18"/>
  <c r="DA63" i="18"/>
  <c r="CN63" i="18"/>
  <c r="CA63" i="18"/>
  <c r="BN63" i="18"/>
  <c r="BA63" i="18"/>
  <c r="AN63" i="18"/>
  <c r="AA63" i="18"/>
  <c r="N63" i="18"/>
  <c r="JN62" i="18"/>
  <c r="JM62" i="18"/>
  <c r="JL62" i="18"/>
  <c r="JK62" i="18"/>
  <c r="JJ62" i="18"/>
  <c r="JI62" i="18"/>
  <c r="JH62" i="18"/>
  <c r="JG62" i="18"/>
  <c r="JF62" i="18"/>
  <c r="JE62" i="18"/>
  <c r="JD62" i="18"/>
  <c r="JC62" i="18"/>
  <c r="JA62" i="18"/>
  <c r="IN62" i="18"/>
  <c r="IA62" i="18"/>
  <c r="HN62" i="18"/>
  <c r="HA62" i="18"/>
  <c r="GN62" i="18"/>
  <c r="GA62" i="18"/>
  <c r="FN62" i="18"/>
  <c r="FA62" i="18"/>
  <c r="EN62" i="18"/>
  <c r="EA62" i="18"/>
  <c r="DN62" i="18"/>
  <c r="DA62" i="18"/>
  <c r="CN62" i="18"/>
  <c r="CA62" i="18"/>
  <c r="BN62" i="18"/>
  <c r="BA62" i="18"/>
  <c r="AN62" i="18"/>
  <c r="AA62" i="18"/>
  <c r="N62" i="18"/>
  <c r="JQ61" i="18"/>
  <c r="JN61" i="18"/>
  <c r="JM61" i="18"/>
  <c r="JL61" i="18"/>
  <c r="JK61" i="18"/>
  <c r="JJ61" i="18"/>
  <c r="JI61" i="18"/>
  <c r="JH61" i="18"/>
  <c r="JG61" i="18"/>
  <c r="JF61" i="18"/>
  <c r="JE61" i="18"/>
  <c r="JD61" i="18"/>
  <c r="JC61" i="18"/>
  <c r="JA61" i="18"/>
  <c r="IN61" i="18"/>
  <c r="IA61" i="18"/>
  <c r="HN61" i="18"/>
  <c r="HA61" i="18"/>
  <c r="GN61" i="18"/>
  <c r="GA61" i="18"/>
  <c r="FN61" i="18"/>
  <c r="FA61" i="18"/>
  <c r="EN61" i="18"/>
  <c r="EA61" i="18"/>
  <c r="DN61" i="18"/>
  <c r="DA61" i="18"/>
  <c r="CN61" i="18"/>
  <c r="CA61" i="18"/>
  <c r="BN61" i="18"/>
  <c r="BA61" i="18"/>
  <c r="AN61" i="18"/>
  <c r="AA61" i="18"/>
  <c r="N61" i="18"/>
  <c r="JN60" i="18"/>
  <c r="JM60" i="18"/>
  <c r="JL60" i="18"/>
  <c r="JK60" i="18"/>
  <c r="JJ60" i="18"/>
  <c r="JI60" i="18"/>
  <c r="JH60" i="18"/>
  <c r="JG60" i="18"/>
  <c r="JF60" i="18"/>
  <c r="JE60" i="18"/>
  <c r="JD60" i="18"/>
  <c r="JC60" i="18"/>
  <c r="JA60" i="18"/>
  <c r="IN60" i="18"/>
  <c r="IA60" i="18"/>
  <c r="HN60" i="18"/>
  <c r="HA60" i="18"/>
  <c r="GN60" i="18"/>
  <c r="GA60" i="18"/>
  <c r="FN60" i="18"/>
  <c r="FA60" i="18"/>
  <c r="EN60" i="18"/>
  <c r="EA60" i="18"/>
  <c r="DN60" i="18"/>
  <c r="DA60" i="18"/>
  <c r="CN60" i="18"/>
  <c r="CA60" i="18"/>
  <c r="BN60" i="18"/>
  <c r="BA60" i="18"/>
  <c r="AN60" i="18"/>
  <c r="AA60" i="18"/>
  <c r="N60" i="18"/>
  <c r="JN59" i="18"/>
  <c r="JM59" i="18"/>
  <c r="JL59" i="18"/>
  <c r="JK59" i="18"/>
  <c r="JJ59" i="18"/>
  <c r="JI59" i="18"/>
  <c r="JH59" i="18"/>
  <c r="JG59" i="18"/>
  <c r="JF59" i="18"/>
  <c r="JE59" i="18"/>
  <c r="JD59" i="18"/>
  <c r="JC59" i="18"/>
  <c r="JO59" i="18" s="1"/>
  <c r="JA59" i="18"/>
  <c r="IN59" i="18"/>
  <c r="IA59" i="18"/>
  <c r="HN59" i="18"/>
  <c r="HA59" i="18"/>
  <c r="GN59" i="18"/>
  <c r="GA59" i="18"/>
  <c r="FN59" i="18"/>
  <c r="FA59" i="18"/>
  <c r="EN59" i="18"/>
  <c r="EA59" i="18"/>
  <c r="DN59" i="18"/>
  <c r="DA59" i="18"/>
  <c r="CN59" i="18"/>
  <c r="CA59" i="18"/>
  <c r="BN59" i="18"/>
  <c r="BA59" i="18"/>
  <c r="JQ59" i="18" s="1"/>
  <c r="AN59" i="18"/>
  <c r="AA59" i="18"/>
  <c r="N59" i="18"/>
  <c r="JN58" i="18"/>
  <c r="JM58" i="18"/>
  <c r="JL58" i="18"/>
  <c r="JK58" i="18"/>
  <c r="JJ58" i="18"/>
  <c r="JI58" i="18"/>
  <c r="JH58" i="18"/>
  <c r="JG58" i="18"/>
  <c r="JF58" i="18"/>
  <c r="JE58" i="18"/>
  <c r="JD58" i="18"/>
  <c r="JC58" i="18"/>
  <c r="JA58" i="18"/>
  <c r="IN58" i="18"/>
  <c r="IA58" i="18"/>
  <c r="HN58" i="18"/>
  <c r="HA58" i="18"/>
  <c r="GN58" i="18"/>
  <c r="GA58" i="18"/>
  <c r="FN58" i="18"/>
  <c r="FA58" i="18"/>
  <c r="EN58" i="18"/>
  <c r="EA58" i="18"/>
  <c r="DN58" i="18"/>
  <c r="DA58" i="18"/>
  <c r="CN58" i="18"/>
  <c r="CA58" i="18"/>
  <c r="BN58" i="18"/>
  <c r="BA58" i="18"/>
  <c r="AN58" i="18"/>
  <c r="AA58" i="18"/>
  <c r="N58" i="18"/>
  <c r="JQ57" i="18"/>
  <c r="JN57" i="18"/>
  <c r="JM57" i="18"/>
  <c r="JL57" i="18"/>
  <c r="JK57" i="18"/>
  <c r="JJ57" i="18"/>
  <c r="JI57" i="18"/>
  <c r="JH57" i="18"/>
  <c r="JG57" i="18"/>
  <c r="JF57" i="18"/>
  <c r="JE57" i="18"/>
  <c r="JD57" i="18"/>
  <c r="JO57" i="18" s="1"/>
  <c r="JC57" i="18"/>
  <c r="JA57" i="18"/>
  <c r="IN57" i="18"/>
  <c r="IA57" i="18"/>
  <c r="HN57" i="18"/>
  <c r="HA57" i="18"/>
  <c r="GN57" i="18"/>
  <c r="GA57" i="18"/>
  <c r="FN57" i="18"/>
  <c r="FA57" i="18"/>
  <c r="EN57" i="18"/>
  <c r="EA57" i="18"/>
  <c r="DN57" i="18"/>
  <c r="DA57" i="18"/>
  <c r="CN57" i="18"/>
  <c r="CA57" i="18"/>
  <c r="BN57" i="18"/>
  <c r="BA57" i="18"/>
  <c r="AN57" i="18"/>
  <c r="AA57" i="18"/>
  <c r="N57" i="18"/>
  <c r="JN56" i="18"/>
  <c r="JM56" i="18"/>
  <c r="JL56" i="18"/>
  <c r="JK56" i="18"/>
  <c r="JJ56" i="18"/>
  <c r="JI56" i="18"/>
  <c r="JH56" i="18"/>
  <c r="JG56" i="18"/>
  <c r="JF56" i="18"/>
  <c r="JE56" i="18"/>
  <c r="JD56" i="18"/>
  <c r="JC56" i="18"/>
  <c r="JA56" i="18"/>
  <c r="IN56" i="18"/>
  <c r="IA56" i="18"/>
  <c r="HN56" i="18"/>
  <c r="HA56" i="18"/>
  <c r="GN56" i="18"/>
  <c r="GA56" i="18"/>
  <c r="FN56" i="18"/>
  <c r="FA56" i="18"/>
  <c r="EN56" i="18"/>
  <c r="EA56" i="18"/>
  <c r="DN56" i="18"/>
  <c r="DA56" i="18"/>
  <c r="CN56" i="18"/>
  <c r="CA56" i="18"/>
  <c r="BN56" i="18"/>
  <c r="BA56" i="18"/>
  <c r="AN56" i="18"/>
  <c r="AA56" i="18"/>
  <c r="N56" i="18"/>
  <c r="JN55" i="18"/>
  <c r="JM55" i="18"/>
  <c r="JL55" i="18"/>
  <c r="JK55" i="18"/>
  <c r="JJ55" i="18"/>
  <c r="JI55" i="18"/>
  <c r="JH55" i="18"/>
  <c r="JG55" i="18"/>
  <c r="JF55" i="18"/>
  <c r="JE55" i="18"/>
  <c r="JD55" i="18"/>
  <c r="JC55" i="18"/>
  <c r="JA55" i="18"/>
  <c r="IN55" i="18"/>
  <c r="IA55" i="18"/>
  <c r="HN55" i="18"/>
  <c r="HA55" i="18"/>
  <c r="GN55" i="18"/>
  <c r="GA55" i="18"/>
  <c r="FN55" i="18"/>
  <c r="FA55" i="18"/>
  <c r="EN55" i="18"/>
  <c r="EA55" i="18"/>
  <c r="DN55" i="18"/>
  <c r="DA55" i="18"/>
  <c r="JQ55" i="18" s="1"/>
  <c r="CN55" i="18"/>
  <c r="CA55" i="18"/>
  <c r="BN55" i="18"/>
  <c r="BA55" i="18"/>
  <c r="AN55" i="18"/>
  <c r="AA55" i="18"/>
  <c r="N55" i="18"/>
  <c r="JN54" i="18"/>
  <c r="JM54" i="18"/>
  <c r="JL54" i="18"/>
  <c r="JK54" i="18"/>
  <c r="JJ54" i="18"/>
  <c r="JI54" i="18"/>
  <c r="JH54" i="18"/>
  <c r="JG54" i="18"/>
  <c r="JF54" i="18"/>
  <c r="JE54" i="18"/>
  <c r="JD54" i="18"/>
  <c r="JC54" i="18"/>
  <c r="JA54" i="18"/>
  <c r="IN54" i="18"/>
  <c r="IA54" i="18"/>
  <c r="HN54" i="18"/>
  <c r="HA54" i="18"/>
  <c r="GN54" i="18"/>
  <c r="GA54" i="18"/>
  <c r="FN54" i="18"/>
  <c r="FA54" i="18"/>
  <c r="EN54" i="18"/>
  <c r="EA54" i="18"/>
  <c r="DN54" i="18"/>
  <c r="DA54" i="18"/>
  <c r="CN54" i="18"/>
  <c r="CA54" i="18"/>
  <c r="BN54" i="18"/>
  <c r="BA54" i="18"/>
  <c r="AN54" i="18"/>
  <c r="AA54" i="18"/>
  <c r="N54" i="18"/>
  <c r="JQ53" i="18"/>
  <c r="JN53" i="18"/>
  <c r="JM53" i="18"/>
  <c r="JL53" i="18"/>
  <c r="JK53" i="18"/>
  <c r="JJ53" i="18"/>
  <c r="JI53" i="18"/>
  <c r="JH53" i="18"/>
  <c r="JG53" i="18"/>
  <c r="JF53" i="18"/>
  <c r="JE53" i="18"/>
  <c r="JD53" i="18"/>
  <c r="JC53" i="18"/>
  <c r="JA53" i="18"/>
  <c r="IN53" i="18"/>
  <c r="IA53" i="18"/>
  <c r="HN53" i="18"/>
  <c r="HA53" i="18"/>
  <c r="GN53" i="18"/>
  <c r="GA53" i="18"/>
  <c r="FN53" i="18"/>
  <c r="FA53" i="18"/>
  <c r="EN53" i="18"/>
  <c r="EA53" i="18"/>
  <c r="DN53" i="18"/>
  <c r="DA53" i="18"/>
  <c r="CN53" i="18"/>
  <c r="CA53" i="18"/>
  <c r="BN53" i="18"/>
  <c r="BA53" i="18"/>
  <c r="AN53" i="18"/>
  <c r="AA53" i="18"/>
  <c r="N53" i="18"/>
  <c r="JN52" i="18"/>
  <c r="JM52" i="18"/>
  <c r="JL52" i="18"/>
  <c r="JK52" i="18"/>
  <c r="JJ52" i="18"/>
  <c r="JI52" i="18"/>
  <c r="JH52" i="18"/>
  <c r="JG52" i="18"/>
  <c r="JF52" i="18"/>
  <c r="JE52" i="18"/>
  <c r="JD52" i="18"/>
  <c r="JC52" i="18"/>
  <c r="JA52" i="18"/>
  <c r="IN52" i="18"/>
  <c r="IA52" i="18"/>
  <c r="HN52" i="18"/>
  <c r="HA52" i="18"/>
  <c r="GN52" i="18"/>
  <c r="GA52" i="18"/>
  <c r="FN52" i="18"/>
  <c r="FA52" i="18"/>
  <c r="EN52" i="18"/>
  <c r="EA52" i="18"/>
  <c r="DN52" i="18"/>
  <c r="DA52" i="18"/>
  <c r="CN52" i="18"/>
  <c r="CA52" i="18"/>
  <c r="BN52" i="18"/>
  <c r="BA52" i="18"/>
  <c r="AN52" i="18"/>
  <c r="AA52" i="18"/>
  <c r="N52" i="18"/>
  <c r="JQ51" i="18"/>
  <c r="JN51" i="18"/>
  <c r="JM51" i="18"/>
  <c r="JL51" i="18"/>
  <c r="JK51" i="18"/>
  <c r="JJ51" i="18"/>
  <c r="JI51" i="18"/>
  <c r="JH51" i="18"/>
  <c r="JG51" i="18"/>
  <c r="JF51" i="18"/>
  <c r="JE51" i="18"/>
  <c r="JD51" i="18"/>
  <c r="JC51" i="18"/>
  <c r="JA51" i="18"/>
  <c r="IN51" i="18"/>
  <c r="IA51" i="18"/>
  <c r="HN51" i="18"/>
  <c r="HA51" i="18"/>
  <c r="GN51" i="18"/>
  <c r="GA51" i="18"/>
  <c r="FN51" i="18"/>
  <c r="FA51" i="18"/>
  <c r="EN51" i="18"/>
  <c r="EA51" i="18"/>
  <c r="DN51" i="18"/>
  <c r="DA51" i="18"/>
  <c r="CN51" i="18"/>
  <c r="CA51" i="18"/>
  <c r="BN51" i="18"/>
  <c r="BA51" i="18"/>
  <c r="AN51" i="18"/>
  <c r="AA51" i="18"/>
  <c r="N51" i="18"/>
  <c r="JN50" i="18"/>
  <c r="JM50" i="18"/>
  <c r="JL50" i="18"/>
  <c r="JK50" i="18"/>
  <c r="JJ50" i="18"/>
  <c r="JI50" i="18"/>
  <c r="JH50" i="18"/>
  <c r="JG50" i="18"/>
  <c r="JF50" i="18"/>
  <c r="JE50" i="18"/>
  <c r="JD50" i="18"/>
  <c r="JC50" i="18"/>
  <c r="JA50" i="18"/>
  <c r="IN50" i="18"/>
  <c r="IA50" i="18"/>
  <c r="HN50" i="18"/>
  <c r="HA50" i="18"/>
  <c r="GN50" i="18"/>
  <c r="GA50" i="18"/>
  <c r="FN50" i="18"/>
  <c r="FA50" i="18"/>
  <c r="EN50" i="18"/>
  <c r="EA50" i="18"/>
  <c r="DN50" i="18"/>
  <c r="DA50" i="18"/>
  <c r="CN50" i="18"/>
  <c r="CA50" i="18"/>
  <c r="BN50" i="18"/>
  <c r="BA50" i="18"/>
  <c r="AN50" i="18"/>
  <c r="AA50" i="18"/>
  <c r="N50" i="18"/>
  <c r="JQ49" i="18"/>
  <c r="JN49" i="18"/>
  <c r="JM49" i="18"/>
  <c r="JL49" i="18"/>
  <c r="JK49" i="18"/>
  <c r="JJ49" i="18"/>
  <c r="JI49" i="18"/>
  <c r="JH49" i="18"/>
  <c r="JG49" i="18"/>
  <c r="JF49" i="18"/>
  <c r="JE49" i="18"/>
  <c r="JD49" i="18"/>
  <c r="JC49" i="18"/>
  <c r="JA49" i="18"/>
  <c r="IN49" i="18"/>
  <c r="IA49" i="18"/>
  <c r="HN49" i="18"/>
  <c r="HA49" i="18"/>
  <c r="GN49" i="18"/>
  <c r="GA49" i="18"/>
  <c r="FN49" i="18"/>
  <c r="FA49" i="18"/>
  <c r="EN49" i="18"/>
  <c r="EA49" i="18"/>
  <c r="DN49" i="18"/>
  <c r="DA49" i="18"/>
  <c r="CN49" i="18"/>
  <c r="CA49" i="18"/>
  <c r="BN49" i="18"/>
  <c r="BA49" i="18"/>
  <c r="AN49" i="18"/>
  <c r="AA49" i="18"/>
  <c r="N49" i="18"/>
  <c r="JN48" i="18"/>
  <c r="JM48" i="18"/>
  <c r="JL48" i="18"/>
  <c r="JK48" i="18"/>
  <c r="JJ48" i="18"/>
  <c r="JI48" i="18"/>
  <c r="JH48" i="18"/>
  <c r="JG48" i="18"/>
  <c r="JF48" i="18"/>
  <c r="JE48" i="18"/>
  <c r="JD48" i="18"/>
  <c r="JC48" i="18"/>
  <c r="JA48" i="18"/>
  <c r="IN48" i="18"/>
  <c r="IA48" i="18"/>
  <c r="HN48" i="18"/>
  <c r="HA48" i="18"/>
  <c r="GN48" i="18"/>
  <c r="GA48" i="18"/>
  <c r="FN48" i="18"/>
  <c r="FA48" i="18"/>
  <c r="EN48" i="18"/>
  <c r="EA48" i="18"/>
  <c r="DN48" i="18"/>
  <c r="DA48" i="18"/>
  <c r="CN48" i="18"/>
  <c r="CA48" i="18"/>
  <c r="BN48" i="18"/>
  <c r="BA48" i="18"/>
  <c r="AN48" i="18"/>
  <c r="AA48" i="18"/>
  <c r="N48" i="18"/>
  <c r="JN47" i="18"/>
  <c r="JM47" i="18"/>
  <c r="JL47" i="18"/>
  <c r="JK47" i="18"/>
  <c r="JJ47" i="18"/>
  <c r="JI47" i="18"/>
  <c r="JH47" i="18"/>
  <c r="JG47" i="18"/>
  <c r="JF47" i="18"/>
  <c r="JE47" i="18"/>
  <c r="JD47" i="18"/>
  <c r="JC47" i="18"/>
  <c r="JA47" i="18"/>
  <c r="IN47" i="18"/>
  <c r="IA47" i="18"/>
  <c r="HN47" i="18"/>
  <c r="HA47" i="18"/>
  <c r="JQ47" i="18" s="1"/>
  <c r="GN47" i="18"/>
  <c r="GA47" i="18"/>
  <c r="FN47" i="18"/>
  <c r="FA47" i="18"/>
  <c r="EN47" i="18"/>
  <c r="EA47" i="18"/>
  <c r="DN47" i="18"/>
  <c r="DA47" i="18"/>
  <c r="CN47" i="18"/>
  <c r="CA47" i="18"/>
  <c r="BN47" i="18"/>
  <c r="BA47" i="18"/>
  <c r="AN47" i="18"/>
  <c r="AA47" i="18"/>
  <c r="N47" i="18"/>
  <c r="JQ46" i="18"/>
  <c r="JN46" i="18"/>
  <c r="JM46" i="18"/>
  <c r="JL46" i="18"/>
  <c r="JK46" i="18"/>
  <c r="JJ46" i="18"/>
  <c r="JI46" i="18"/>
  <c r="JH46" i="18"/>
  <c r="JG46" i="18"/>
  <c r="JF46" i="18"/>
  <c r="JE46" i="18"/>
  <c r="JD46" i="18"/>
  <c r="JC46" i="18"/>
  <c r="JA46" i="18"/>
  <c r="IN46" i="18"/>
  <c r="IA46" i="18"/>
  <c r="HN46" i="18"/>
  <c r="HA46" i="18"/>
  <c r="GN46" i="18"/>
  <c r="GA46" i="18"/>
  <c r="FN46" i="18"/>
  <c r="FA46" i="18"/>
  <c r="EN46" i="18"/>
  <c r="EA46" i="18"/>
  <c r="DN46" i="18"/>
  <c r="DA46" i="18"/>
  <c r="CN46" i="18"/>
  <c r="CA46" i="18"/>
  <c r="BN46" i="18"/>
  <c r="BA46" i="18"/>
  <c r="AN46" i="18"/>
  <c r="AA46" i="18"/>
  <c r="N46" i="18"/>
  <c r="JN45" i="18"/>
  <c r="JM45" i="18"/>
  <c r="JL45" i="18"/>
  <c r="JK45" i="18"/>
  <c r="JJ45" i="18"/>
  <c r="JI45" i="18"/>
  <c r="JH45" i="18"/>
  <c r="JG45" i="18"/>
  <c r="JF45" i="18"/>
  <c r="JE45" i="18"/>
  <c r="JD45" i="18"/>
  <c r="JC45" i="18"/>
  <c r="JO45" i="18" s="1"/>
  <c r="JA45" i="18"/>
  <c r="IN45" i="18"/>
  <c r="IA45" i="18"/>
  <c r="HN45" i="18"/>
  <c r="HA45" i="18"/>
  <c r="GN45" i="18"/>
  <c r="GA45" i="18"/>
  <c r="FN45" i="18"/>
  <c r="FA45" i="18"/>
  <c r="EN45" i="18"/>
  <c r="EA45" i="18"/>
  <c r="DN45" i="18"/>
  <c r="DA45" i="18"/>
  <c r="CN45" i="18"/>
  <c r="CA45" i="18"/>
  <c r="BN45" i="18"/>
  <c r="BA45" i="18"/>
  <c r="AN45" i="18"/>
  <c r="AA45" i="18"/>
  <c r="JQ45" i="18" s="1"/>
  <c r="N45" i="18"/>
  <c r="JN44" i="18"/>
  <c r="JM44" i="18"/>
  <c r="JL44" i="18"/>
  <c r="JK44" i="18"/>
  <c r="JJ44" i="18"/>
  <c r="JI44" i="18"/>
  <c r="JH44" i="18"/>
  <c r="JG44" i="18"/>
  <c r="JF44" i="18"/>
  <c r="JE44" i="18"/>
  <c r="JD44" i="18"/>
  <c r="JC44" i="18"/>
  <c r="JA44" i="18"/>
  <c r="IN44" i="18"/>
  <c r="IA44" i="18"/>
  <c r="HN44" i="18"/>
  <c r="HA44" i="18"/>
  <c r="GN44" i="18"/>
  <c r="GA44" i="18"/>
  <c r="FN44" i="18"/>
  <c r="FA44" i="18"/>
  <c r="EN44" i="18"/>
  <c r="EA44" i="18"/>
  <c r="DN44" i="18"/>
  <c r="DA44" i="18"/>
  <c r="CN44" i="18"/>
  <c r="CA44" i="18"/>
  <c r="BN44" i="18"/>
  <c r="BA44" i="18"/>
  <c r="AN44" i="18"/>
  <c r="AA44" i="18"/>
  <c r="JQ44" i="18" s="1"/>
  <c r="N44" i="18"/>
  <c r="JN43" i="18"/>
  <c r="JM43" i="18"/>
  <c r="JL43" i="18"/>
  <c r="JK43" i="18"/>
  <c r="JJ43" i="18"/>
  <c r="JI43" i="18"/>
  <c r="JH43" i="18"/>
  <c r="JG43" i="18"/>
  <c r="JF43" i="18"/>
  <c r="JE43" i="18"/>
  <c r="JD43" i="18"/>
  <c r="JC43" i="18"/>
  <c r="JO43" i="18" s="1"/>
  <c r="JA43" i="18"/>
  <c r="IN43" i="18"/>
  <c r="IA43" i="18"/>
  <c r="HN43" i="18"/>
  <c r="HA43" i="18"/>
  <c r="GN43" i="18"/>
  <c r="GA43" i="18"/>
  <c r="FN43" i="18"/>
  <c r="FA43" i="18"/>
  <c r="EN43" i="18"/>
  <c r="EA43" i="18"/>
  <c r="DN43" i="18"/>
  <c r="DA43" i="18"/>
  <c r="CN43" i="18"/>
  <c r="CA43" i="18"/>
  <c r="BN43" i="18"/>
  <c r="BA43" i="18"/>
  <c r="JQ43" i="18" s="1"/>
  <c r="AN43" i="18"/>
  <c r="AA43" i="18"/>
  <c r="N43" i="18"/>
  <c r="JN42" i="18"/>
  <c r="JM42" i="18"/>
  <c r="JL42" i="18"/>
  <c r="JK42" i="18"/>
  <c r="JJ42" i="18"/>
  <c r="JI42" i="18"/>
  <c r="JH42" i="18"/>
  <c r="JG42" i="18"/>
  <c r="JF42" i="18"/>
  <c r="JE42" i="18"/>
  <c r="JD42" i="18"/>
  <c r="JC42" i="18"/>
  <c r="JO42" i="18" s="1"/>
  <c r="JA42" i="18"/>
  <c r="IN42" i="18"/>
  <c r="IA42" i="18"/>
  <c r="HN42" i="18"/>
  <c r="HA42" i="18"/>
  <c r="GN42" i="18"/>
  <c r="GA42" i="18"/>
  <c r="FN42" i="18"/>
  <c r="FA42" i="18"/>
  <c r="EN42" i="18"/>
  <c r="EA42" i="18"/>
  <c r="DN42" i="18"/>
  <c r="DA42" i="18"/>
  <c r="CN42" i="18"/>
  <c r="CA42" i="18"/>
  <c r="BN42" i="18"/>
  <c r="BA42" i="18"/>
  <c r="AN42" i="18"/>
  <c r="AA42" i="18"/>
  <c r="N42" i="18"/>
  <c r="JN41" i="18"/>
  <c r="JM41" i="18"/>
  <c r="JL41" i="18"/>
  <c r="JK41" i="18"/>
  <c r="JJ41" i="18"/>
  <c r="JI41" i="18"/>
  <c r="JH41" i="18"/>
  <c r="JG41" i="18"/>
  <c r="JF41" i="18"/>
  <c r="JE41" i="18"/>
  <c r="JD41" i="18"/>
  <c r="JO41" i="18" s="1"/>
  <c r="JC41" i="18"/>
  <c r="JA41" i="18"/>
  <c r="IN41" i="18"/>
  <c r="IA41" i="18"/>
  <c r="HN41" i="18"/>
  <c r="HA41" i="18"/>
  <c r="GN41" i="18"/>
  <c r="GA41" i="18"/>
  <c r="FN41" i="18"/>
  <c r="FA41" i="18"/>
  <c r="EN41" i="18"/>
  <c r="EA41" i="18"/>
  <c r="DN41" i="18"/>
  <c r="DA41" i="18"/>
  <c r="CN41" i="18"/>
  <c r="CA41" i="18"/>
  <c r="JQ41" i="18" s="1"/>
  <c r="BN41" i="18"/>
  <c r="BA41" i="18"/>
  <c r="AN41" i="18"/>
  <c r="AA41" i="18"/>
  <c r="N41" i="18"/>
  <c r="JN40" i="18"/>
  <c r="JM40" i="18"/>
  <c r="JL40" i="18"/>
  <c r="JK40" i="18"/>
  <c r="JJ40" i="18"/>
  <c r="JI40" i="18"/>
  <c r="JH40" i="18"/>
  <c r="JG40" i="18"/>
  <c r="JF40" i="18"/>
  <c r="JE40" i="18"/>
  <c r="JD40" i="18"/>
  <c r="JC40" i="18"/>
  <c r="JA40" i="18"/>
  <c r="IN40" i="18"/>
  <c r="IA40" i="18"/>
  <c r="HN40" i="18"/>
  <c r="HA40" i="18"/>
  <c r="GN40" i="18"/>
  <c r="GA40" i="18"/>
  <c r="FN40" i="18"/>
  <c r="FA40" i="18"/>
  <c r="EN40" i="18"/>
  <c r="EA40" i="18"/>
  <c r="DN40" i="18"/>
  <c r="DA40" i="18"/>
  <c r="CN40" i="18"/>
  <c r="CA40" i="18"/>
  <c r="BN40" i="18"/>
  <c r="BA40" i="18"/>
  <c r="AN40" i="18"/>
  <c r="AA40" i="18"/>
  <c r="N40" i="18"/>
  <c r="JN39" i="18"/>
  <c r="JM39" i="18"/>
  <c r="JL39" i="18"/>
  <c r="JK39" i="18"/>
  <c r="JJ39" i="18"/>
  <c r="JI39" i="18"/>
  <c r="JH39" i="18"/>
  <c r="JG39" i="18"/>
  <c r="JF39" i="18"/>
  <c r="JE39" i="18"/>
  <c r="JD39" i="18"/>
  <c r="JC39" i="18"/>
  <c r="JO39" i="18" s="1"/>
  <c r="JA39" i="18"/>
  <c r="IN39" i="18"/>
  <c r="IA39" i="18"/>
  <c r="HN39" i="18"/>
  <c r="HA39" i="18"/>
  <c r="GN39" i="18"/>
  <c r="GA39" i="18"/>
  <c r="FN39" i="18"/>
  <c r="FA39" i="18"/>
  <c r="EN39" i="18"/>
  <c r="EA39" i="18"/>
  <c r="DN39" i="18"/>
  <c r="DA39" i="18"/>
  <c r="JQ39" i="18" s="1"/>
  <c r="CN39" i="18"/>
  <c r="CA39" i="18"/>
  <c r="BN39" i="18"/>
  <c r="BA39" i="18"/>
  <c r="AN39" i="18"/>
  <c r="AA39" i="18"/>
  <c r="N39" i="18"/>
  <c r="JN38" i="18"/>
  <c r="JM38" i="18"/>
  <c r="JL38" i="18"/>
  <c r="JK38" i="18"/>
  <c r="JJ38" i="18"/>
  <c r="JI38" i="18"/>
  <c r="JH38" i="18"/>
  <c r="JG38" i="18"/>
  <c r="JF38" i="18"/>
  <c r="JE38" i="18"/>
  <c r="JD38" i="18"/>
  <c r="JC38" i="18"/>
  <c r="JA38" i="18"/>
  <c r="IN38" i="18"/>
  <c r="IA38" i="18"/>
  <c r="HN38" i="18"/>
  <c r="HA38" i="18"/>
  <c r="GN38" i="18"/>
  <c r="GA38" i="18"/>
  <c r="FN38" i="18"/>
  <c r="FA38" i="18"/>
  <c r="EN38" i="18"/>
  <c r="EA38" i="18"/>
  <c r="DN38" i="18"/>
  <c r="DA38" i="18"/>
  <c r="CN38" i="18"/>
  <c r="CA38" i="18"/>
  <c r="BN38" i="18"/>
  <c r="BA38" i="18"/>
  <c r="AN38" i="18"/>
  <c r="AA38" i="18"/>
  <c r="N38" i="18"/>
  <c r="JQ37" i="18"/>
  <c r="JN37" i="18"/>
  <c r="JM37" i="18"/>
  <c r="JL37" i="18"/>
  <c r="JK37" i="18"/>
  <c r="JJ37" i="18"/>
  <c r="JI37" i="18"/>
  <c r="JH37" i="18"/>
  <c r="JG37" i="18"/>
  <c r="JF37" i="18"/>
  <c r="JE37" i="18"/>
  <c r="JD37" i="18"/>
  <c r="JC37" i="18"/>
  <c r="JA37" i="18"/>
  <c r="IN37" i="18"/>
  <c r="IA37" i="18"/>
  <c r="HN37" i="18"/>
  <c r="HA37" i="18"/>
  <c r="GN37" i="18"/>
  <c r="GA37" i="18"/>
  <c r="FN37" i="18"/>
  <c r="FA37" i="18"/>
  <c r="EN37" i="18"/>
  <c r="EA37" i="18"/>
  <c r="DN37" i="18"/>
  <c r="DA37" i="18"/>
  <c r="CN37" i="18"/>
  <c r="CA37" i="18"/>
  <c r="BN37" i="18"/>
  <c r="BA37" i="18"/>
  <c r="AN37" i="18"/>
  <c r="AA37" i="18"/>
  <c r="N37" i="18"/>
  <c r="JN36" i="18"/>
  <c r="JM36" i="18"/>
  <c r="JL36" i="18"/>
  <c r="JK36" i="18"/>
  <c r="JJ36" i="18"/>
  <c r="JI36" i="18"/>
  <c r="JH36" i="18"/>
  <c r="JG36" i="18"/>
  <c r="JF36" i="18"/>
  <c r="JE36" i="18"/>
  <c r="JD36" i="18"/>
  <c r="JC36" i="18"/>
  <c r="JA36" i="18"/>
  <c r="IN36" i="18"/>
  <c r="IA36" i="18"/>
  <c r="HN36" i="18"/>
  <c r="HA36" i="18"/>
  <c r="GN36" i="18"/>
  <c r="GA36" i="18"/>
  <c r="FN36" i="18"/>
  <c r="FA36" i="18"/>
  <c r="FA104" i="18" s="1"/>
  <c r="G19" i="32" s="1"/>
  <c r="H19" i="32" s="1"/>
  <c r="EN36" i="18"/>
  <c r="EA36" i="18"/>
  <c r="DN36" i="18"/>
  <c r="DA36" i="18"/>
  <c r="CN36" i="18"/>
  <c r="CA36" i="18"/>
  <c r="BN36" i="18"/>
  <c r="BA36" i="18"/>
  <c r="AN36" i="18"/>
  <c r="AA36" i="18"/>
  <c r="N36" i="18"/>
  <c r="JQ35" i="18"/>
  <c r="JN35" i="18"/>
  <c r="JM35" i="18"/>
  <c r="JL35" i="18"/>
  <c r="JK35" i="18"/>
  <c r="JJ35" i="18"/>
  <c r="JI35" i="18"/>
  <c r="JH35" i="18"/>
  <c r="JG35" i="18"/>
  <c r="JF35" i="18"/>
  <c r="JE35" i="18"/>
  <c r="JD35" i="18"/>
  <c r="JC35" i="18"/>
  <c r="JO35" i="18" s="1"/>
  <c r="JA35" i="18"/>
  <c r="IN35" i="18"/>
  <c r="IA35" i="18"/>
  <c r="HN35" i="18"/>
  <c r="HA35" i="18"/>
  <c r="GN35" i="18"/>
  <c r="GA35" i="18"/>
  <c r="FN35" i="18"/>
  <c r="FA35" i="18"/>
  <c r="EN35" i="18"/>
  <c r="EA35" i="18"/>
  <c r="DN35" i="18"/>
  <c r="DA35" i="18"/>
  <c r="CN35" i="18"/>
  <c r="CA35" i="18"/>
  <c r="BN35" i="18"/>
  <c r="BA35" i="18"/>
  <c r="AN35" i="18"/>
  <c r="AA35" i="18"/>
  <c r="N35" i="18"/>
  <c r="JN34" i="18"/>
  <c r="JM34" i="18"/>
  <c r="JL34" i="18"/>
  <c r="JK34" i="18"/>
  <c r="JJ34" i="18"/>
  <c r="JI34" i="18"/>
  <c r="JH34" i="18"/>
  <c r="JG34" i="18"/>
  <c r="JF34" i="18"/>
  <c r="JE34" i="18"/>
  <c r="JD34" i="18"/>
  <c r="JC34" i="18"/>
  <c r="JA34" i="18"/>
  <c r="IN34" i="18"/>
  <c r="IA34" i="18"/>
  <c r="HN34" i="18"/>
  <c r="HA34" i="18"/>
  <c r="GN34" i="18"/>
  <c r="GA34" i="18"/>
  <c r="FN34" i="18"/>
  <c r="FA34" i="18"/>
  <c r="EN34" i="18"/>
  <c r="EA34" i="18"/>
  <c r="DN34" i="18"/>
  <c r="DA34" i="18"/>
  <c r="CN34" i="18"/>
  <c r="CA34" i="18"/>
  <c r="BN34" i="18"/>
  <c r="BA34" i="18"/>
  <c r="AN34" i="18"/>
  <c r="AA34" i="18"/>
  <c r="N34" i="18"/>
  <c r="JN33" i="18"/>
  <c r="JM33" i="18"/>
  <c r="JL33" i="18"/>
  <c r="JK33" i="18"/>
  <c r="JJ33" i="18"/>
  <c r="JI33" i="18"/>
  <c r="JH33" i="18"/>
  <c r="JG33" i="18"/>
  <c r="JF33" i="18"/>
  <c r="JE33" i="18"/>
  <c r="JD33" i="18"/>
  <c r="JC33" i="18"/>
  <c r="JA33" i="18"/>
  <c r="IN33" i="18"/>
  <c r="IA33" i="18"/>
  <c r="HN33" i="18"/>
  <c r="HA33" i="18"/>
  <c r="GN33" i="18"/>
  <c r="GA33" i="18"/>
  <c r="JQ33" i="18" s="1"/>
  <c r="FN33" i="18"/>
  <c r="FA33" i="18"/>
  <c r="EN33" i="18"/>
  <c r="EA33" i="18"/>
  <c r="DN33" i="18"/>
  <c r="DA33" i="18"/>
  <c r="CN33" i="18"/>
  <c r="CA33" i="18"/>
  <c r="BN33" i="18"/>
  <c r="BA33" i="18"/>
  <c r="AN33" i="18"/>
  <c r="AA33" i="18"/>
  <c r="N33" i="18"/>
  <c r="JN32" i="18"/>
  <c r="JM32" i="18"/>
  <c r="JL32" i="18"/>
  <c r="JK32" i="18"/>
  <c r="JJ32" i="18"/>
  <c r="JI32" i="18"/>
  <c r="JH32" i="18"/>
  <c r="JG32" i="18"/>
  <c r="JF32" i="18"/>
  <c r="JE32" i="18"/>
  <c r="JD32" i="18"/>
  <c r="JC32" i="18"/>
  <c r="JA32" i="18"/>
  <c r="IN32" i="18"/>
  <c r="IA32" i="18"/>
  <c r="HN32" i="18"/>
  <c r="HA32" i="18"/>
  <c r="GN32" i="18"/>
  <c r="GA32" i="18"/>
  <c r="FN32" i="18"/>
  <c r="FA32" i="18"/>
  <c r="EN32" i="18"/>
  <c r="EA32" i="18"/>
  <c r="DN32" i="18"/>
  <c r="DA32" i="18"/>
  <c r="CN32" i="18"/>
  <c r="CA32" i="18"/>
  <c r="BN32" i="18"/>
  <c r="BA32" i="18"/>
  <c r="AN32" i="18"/>
  <c r="AA32" i="18"/>
  <c r="N32" i="18"/>
  <c r="JN31" i="18"/>
  <c r="JM31" i="18"/>
  <c r="JL31" i="18"/>
  <c r="JK31" i="18"/>
  <c r="JJ31" i="18"/>
  <c r="JI31" i="18"/>
  <c r="JH31" i="18"/>
  <c r="JG31" i="18"/>
  <c r="JF31" i="18"/>
  <c r="JE31" i="18"/>
  <c r="JD31" i="18"/>
  <c r="JC31" i="18"/>
  <c r="JO31" i="18" s="1"/>
  <c r="JA31" i="18"/>
  <c r="IN31" i="18"/>
  <c r="IA31" i="18"/>
  <c r="HN31" i="18"/>
  <c r="HA31" i="18"/>
  <c r="GN31" i="18"/>
  <c r="GA31" i="18"/>
  <c r="FN31" i="18"/>
  <c r="FA31" i="18"/>
  <c r="EN31" i="18"/>
  <c r="JQ31" i="18" s="1"/>
  <c r="EA31" i="18"/>
  <c r="DN31" i="18"/>
  <c r="DA31" i="18"/>
  <c r="CN31" i="18"/>
  <c r="CA31" i="18"/>
  <c r="BN31" i="18"/>
  <c r="BA31" i="18"/>
  <c r="AN31" i="18"/>
  <c r="AA31" i="18"/>
  <c r="N31" i="18"/>
  <c r="JN30" i="18"/>
  <c r="JM30" i="18"/>
  <c r="JL30" i="18"/>
  <c r="JK30" i="18"/>
  <c r="JJ30" i="18"/>
  <c r="JI30" i="18"/>
  <c r="JH30" i="18"/>
  <c r="JG30" i="18"/>
  <c r="JF30" i="18"/>
  <c r="JE30" i="18"/>
  <c r="JD30" i="18"/>
  <c r="JC30" i="18"/>
  <c r="JA30" i="18"/>
  <c r="IN30" i="18"/>
  <c r="IA30" i="18"/>
  <c r="HN30" i="18"/>
  <c r="HA30" i="18"/>
  <c r="GN30" i="18"/>
  <c r="GA30" i="18"/>
  <c r="FN30" i="18"/>
  <c r="FA30" i="18"/>
  <c r="EN30" i="18"/>
  <c r="EA30" i="18"/>
  <c r="DN30" i="18"/>
  <c r="DA30" i="18"/>
  <c r="CN30" i="18"/>
  <c r="CA30" i="18"/>
  <c r="BN30" i="18"/>
  <c r="BA30" i="18"/>
  <c r="AN30" i="18"/>
  <c r="AA30" i="18"/>
  <c r="N30" i="18"/>
  <c r="JQ29" i="18"/>
  <c r="JN29" i="18"/>
  <c r="JM29" i="18"/>
  <c r="JL29" i="18"/>
  <c r="JK29" i="18"/>
  <c r="JJ29" i="18"/>
  <c r="JI29" i="18"/>
  <c r="JH29" i="18"/>
  <c r="JG29" i="18"/>
  <c r="JF29" i="18"/>
  <c r="JE29" i="18"/>
  <c r="JD29" i="18"/>
  <c r="JC29" i="18"/>
  <c r="JA29" i="18"/>
  <c r="IN29" i="18"/>
  <c r="IA29" i="18"/>
  <c r="HN29" i="18"/>
  <c r="HA29" i="18"/>
  <c r="GN29" i="18"/>
  <c r="GA29" i="18"/>
  <c r="FN29" i="18"/>
  <c r="FA29" i="18"/>
  <c r="EN29" i="18"/>
  <c r="EA29" i="18"/>
  <c r="DN29" i="18"/>
  <c r="DA29" i="18"/>
  <c r="CN29" i="18"/>
  <c r="CA29" i="18"/>
  <c r="BN29" i="18"/>
  <c r="BA29" i="18"/>
  <c r="AN29" i="18"/>
  <c r="AA29" i="18"/>
  <c r="N29" i="18"/>
  <c r="JO28" i="18"/>
  <c r="JN28" i="18"/>
  <c r="JM28" i="18"/>
  <c r="JL28" i="18"/>
  <c r="JK28" i="18"/>
  <c r="JJ28" i="18"/>
  <c r="JI28" i="18"/>
  <c r="JH28" i="18"/>
  <c r="JG28" i="18"/>
  <c r="JF28" i="18"/>
  <c r="JE28" i="18"/>
  <c r="JD28" i="18"/>
  <c r="JC28" i="18"/>
  <c r="JA28" i="18"/>
  <c r="IN28" i="18"/>
  <c r="IA28" i="18"/>
  <c r="HN28" i="18"/>
  <c r="HA28" i="18"/>
  <c r="GN28" i="18"/>
  <c r="GA28" i="18"/>
  <c r="FN28" i="18"/>
  <c r="FA28" i="18"/>
  <c r="EN28" i="18"/>
  <c r="EA28" i="18"/>
  <c r="DN28" i="18"/>
  <c r="DA28" i="18"/>
  <c r="CN28" i="18"/>
  <c r="CA28" i="18"/>
  <c r="BN28" i="18"/>
  <c r="BA28" i="18"/>
  <c r="AN28" i="18"/>
  <c r="AA28" i="18"/>
  <c r="N28" i="18"/>
  <c r="JN27" i="18"/>
  <c r="JM27" i="18"/>
  <c r="JL27" i="18"/>
  <c r="JK27" i="18"/>
  <c r="JJ27" i="18"/>
  <c r="JI27" i="18"/>
  <c r="JH27" i="18"/>
  <c r="JG27" i="18"/>
  <c r="JF27" i="18"/>
  <c r="JE27" i="18"/>
  <c r="JD27" i="18"/>
  <c r="JC27" i="18"/>
  <c r="JA27" i="18"/>
  <c r="IN27" i="18"/>
  <c r="IA27" i="18"/>
  <c r="HN27" i="18"/>
  <c r="HA27" i="18"/>
  <c r="GN27" i="18"/>
  <c r="GA27" i="18"/>
  <c r="FN27" i="18"/>
  <c r="FA27" i="18"/>
  <c r="EN27" i="18"/>
  <c r="EA27" i="18"/>
  <c r="DN27" i="18"/>
  <c r="DA27" i="18"/>
  <c r="CN27" i="18"/>
  <c r="CA27" i="18"/>
  <c r="BN27" i="18"/>
  <c r="BA27" i="18"/>
  <c r="AN27" i="18"/>
  <c r="AA27" i="18"/>
  <c r="JQ27" i="18" s="1"/>
  <c r="N27" i="18"/>
  <c r="JN26" i="18"/>
  <c r="JM26" i="18"/>
  <c r="JL26" i="18"/>
  <c r="JK26" i="18"/>
  <c r="JJ26" i="18"/>
  <c r="JI26" i="18"/>
  <c r="JH26" i="18"/>
  <c r="JG26" i="18"/>
  <c r="JF26" i="18"/>
  <c r="JE26" i="18"/>
  <c r="JD26" i="18"/>
  <c r="JC26" i="18"/>
  <c r="JA26" i="18"/>
  <c r="IN26" i="18"/>
  <c r="IA26" i="18"/>
  <c r="HN26" i="18"/>
  <c r="HA26" i="18"/>
  <c r="GN26" i="18"/>
  <c r="GA26" i="18"/>
  <c r="FN26" i="18"/>
  <c r="FA26" i="18"/>
  <c r="EN26" i="18"/>
  <c r="EA26" i="18"/>
  <c r="DN26" i="18"/>
  <c r="DA26" i="18"/>
  <c r="CN26" i="18"/>
  <c r="CA26" i="18"/>
  <c r="BN26" i="18"/>
  <c r="BA26" i="18"/>
  <c r="AN26" i="18"/>
  <c r="AA26" i="18"/>
  <c r="N26" i="18"/>
  <c r="JO25" i="18"/>
  <c r="JN25" i="18"/>
  <c r="JM25" i="18"/>
  <c r="JL25" i="18"/>
  <c r="JK25" i="18"/>
  <c r="JJ25" i="18"/>
  <c r="JI25" i="18"/>
  <c r="JH25" i="18"/>
  <c r="JG25" i="18"/>
  <c r="JF25" i="18"/>
  <c r="JE25" i="18"/>
  <c r="JD25" i="18"/>
  <c r="JC25" i="18"/>
  <c r="JA25" i="18"/>
  <c r="IN25" i="18"/>
  <c r="IA25" i="18"/>
  <c r="HN25" i="18"/>
  <c r="HA25" i="18"/>
  <c r="GN25" i="18"/>
  <c r="GA25" i="18"/>
  <c r="FN25" i="18"/>
  <c r="FA25" i="18"/>
  <c r="EN25" i="18"/>
  <c r="EA25" i="18"/>
  <c r="DN25" i="18"/>
  <c r="DA25" i="18"/>
  <c r="CN25" i="18"/>
  <c r="CA25" i="18"/>
  <c r="BN25" i="18"/>
  <c r="BA25" i="18"/>
  <c r="AN25" i="18"/>
  <c r="AA25" i="18"/>
  <c r="N25" i="18"/>
  <c r="JQ25" i="18" s="1"/>
  <c r="JO24" i="18"/>
  <c r="JN24" i="18"/>
  <c r="JM24" i="18"/>
  <c r="JL24" i="18"/>
  <c r="JK24" i="18"/>
  <c r="JJ24" i="18"/>
  <c r="JI24" i="18"/>
  <c r="JH24" i="18"/>
  <c r="JG24" i="18"/>
  <c r="JF24" i="18"/>
  <c r="JE24" i="18"/>
  <c r="JD24" i="18"/>
  <c r="JC24" i="18"/>
  <c r="JA24" i="18"/>
  <c r="IN24" i="18"/>
  <c r="IA24" i="18"/>
  <c r="HN24" i="18"/>
  <c r="HA24" i="18"/>
  <c r="GN24" i="18"/>
  <c r="GA24" i="18"/>
  <c r="FN24" i="18"/>
  <c r="FA24" i="18"/>
  <c r="EN24" i="18"/>
  <c r="EA24" i="18"/>
  <c r="DN24" i="18"/>
  <c r="DA24" i="18"/>
  <c r="CN24" i="18"/>
  <c r="CA24" i="18"/>
  <c r="BN24" i="18"/>
  <c r="BA24" i="18"/>
  <c r="AN24" i="18"/>
  <c r="AA24" i="18"/>
  <c r="N24" i="18"/>
  <c r="JQ24" i="18" s="1"/>
  <c r="JN23" i="18"/>
  <c r="JM23" i="18"/>
  <c r="JL23" i="18"/>
  <c r="JK23" i="18"/>
  <c r="JJ23" i="18"/>
  <c r="JI23" i="18"/>
  <c r="JH23" i="18"/>
  <c r="JG23" i="18"/>
  <c r="JF23" i="18"/>
  <c r="JE23" i="18"/>
  <c r="JD23" i="18"/>
  <c r="JC23" i="18"/>
  <c r="JA23" i="18"/>
  <c r="IN23" i="18"/>
  <c r="IA23" i="18"/>
  <c r="HN23" i="18"/>
  <c r="HA23" i="18"/>
  <c r="GN23" i="18"/>
  <c r="GA23" i="18"/>
  <c r="FN23" i="18"/>
  <c r="FA23" i="18"/>
  <c r="EN23" i="18"/>
  <c r="EA23" i="18"/>
  <c r="DN23" i="18"/>
  <c r="DA23" i="18"/>
  <c r="CN23" i="18"/>
  <c r="CA23" i="18"/>
  <c r="BN23" i="18"/>
  <c r="BA23" i="18"/>
  <c r="AN23" i="18"/>
  <c r="AA23" i="18"/>
  <c r="JQ23" i="18" s="1"/>
  <c r="N23" i="18"/>
  <c r="JQ22" i="18"/>
  <c r="JN22" i="18"/>
  <c r="P19" i="25" s="1"/>
  <c r="Q19" i="25" s="1"/>
  <c r="JM22" i="18"/>
  <c r="JL22" i="18"/>
  <c r="JK22" i="18"/>
  <c r="JJ22" i="18"/>
  <c r="JI22" i="18"/>
  <c r="JH22" i="18"/>
  <c r="JG22" i="18"/>
  <c r="JF22" i="18"/>
  <c r="JE22" i="18"/>
  <c r="JD22" i="18"/>
  <c r="JC22" i="18"/>
  <c r="JA22" i="18"/>
  <c r="IN22" i="18"/>
  <c r="IA22" i="18"/>
  <c r="HN22" i="18"/>
  <c r="HA22" i="18"/>
  <c r="GN22" i="18"/>
  <c r="GA22" i="18"/>
  <c r="FN22" i="18"/>
  <c r="FA22" i="18"/>
  <c r="EN22" i="18"/>
  <c r="EA22" i="18"/>
  <c r="DN22" i="18"/>
  <c r="DA22" i="18"/>
  <c r="CN22" i="18"/>
  <c r="CA22" i="18"/>
  <c r="BN22" i="18"/>
  <c r="BA22" i="18"/>
  <c r="AN22" i="18"/>
  <c r="AA22" i="18"/>
  <c r="N22" i="18"/>
  <c r="JN21" i="18"/>
  <c r="P18" i="25" s="1"/>
  <c r="Q18" i="25" s="1"/>
  <c r="JM21" i="18"/>
  <c r="JL21" i="18"/>
  <c r="JK21" i="18"/>
  <c r="JJ21" i="18"/>
  <c r="JI21" i="18"/>
  <c r="JH21" i="18"/>
  <c r="JG21" i="18"/>
  <c r="JF21" i="18"/>
  <c r="JE21" i="18"/>
  <c r="JD21" i="18"/>
  <c r="JC21" i="18"/>
  <c r="JA21" i="18"/>
  <c r="IN21" i="18"/>
  <c r="IA21" i="18"/>
  <c r="HN21" i="18"/>
  <c r="HA21" i="18"/>
  <c r="GN21" i="18"/>
  <c r="GA21" i="18"/>
  <c r="FN21" i="18"/>
  <c r="FA21" i="18"/>
  <c r="EN21" i="18"/>
  <c r="EA21" i="18"/>
  <c r="DN21" i="18"/>
  <c r="DA21" i="18"/>
  <c r="CN21" i="18"/>
  <c r="CA21" i="18"/>
  <c r="BN21" i="18"/>
  <c r="BA21" i="18"/>
  <c r="AN21" i="18"/>
  <c r="AA21" i="18"/>
  <c r="JQ21" i="18" s="1"/>
  <c r="N21" i="18"/>
  <c r="JN20" i="18"/>
  <c r="P17" i="25" s="1"/>
  <c r="Q17" i="25" s="1"/>
  <c r="JM20" i="18"/>
  <c r="JL20" i="18"/>
  <c r="JK20" i="18"/>
  <c r="JJ20" i="18"/>
  <c r="JI20" i="18"/>
  <c r="JH20" i="18"/>
  <c r="JG20" i="18"/>
  <c r="JF20" i="18"/>
  <c r="JE20" i="18"/>
  <c r="JD20" i="18"/>
  <c r="JC20" i="18"/>
  <c r="JA20" i="18"/>
  <c r="IN20" i="18"/>
  <c r="IA20" i="18"/>
  <c r="HN20" i="18"/>
  <c r="HA20" i="18"/>
  <c r="GN20" i="18"/>
  <c r="GA20" i="18"/>
  <c r="FN20" i="18"/>
  <c r="FA20" i="18"/>
  <c r="EN20" i="18"/>
  <c r="EA20" i="18"/>
  <c r="DN20" i="18"/>
  <c r="DA20" i="18"/>
  <c r="CN20" i="18"/>
  <c r="CA20" i="18"/>
  <c r="BN20" i="18"/>
  <c r="BA20" i="18"/>
  <c r="AN20" i="18"/>
  <c r="AA20" i="18"/>
  <c r="JQ20" i="18" s="1"/>
  <c r="N20" i="18"/>
  <c r="JN19" i="18"/>
  <c r="P21" i="25" s="1"/>
  <c r="Q21" i="25" s="1"/>
  <c r="JM19" i="18"/>
  <c r="JL19" i="18"/>
  <c r="JK19" i="18"/>
  <c r="JJ19" i="18"/>
  <c r="JI19" i="18"/>
  <c r="JH19" i="18"/>
  <c r="JG19" i="18"/>
  <c r="JF19" i="18"/>
  <c r="JE19" i="18"/>
  <c r="JD19" i="18"/>
  <c r="JC19" i="18"/>
  <c r="JO19" i="18" s="1"/>
  <c r="JA19" i="18"/>
  <c r="IN19" i="18"/>
  <c r="IA19" i="18"/>
  <c r="HN19" i="18"/>
  <c r="HA19" i="18"/>
  <c r="GN19" i="18"/>
  <c r="GA19" i="18"/>
  <c r="FN19" i="18"/>
  <c r="FA19" i="18"/>
  <c r="EN19" i="18"/>
  <c r="EA19" i="18"/>
  <c r="DN19" i="18"/>
  <c r="DA19" i="18"/>
  <c r="CN19" i="18"/>
  <c r="CA19" i="18"/>
  <c r="BN19" i="18"/>
  <c r="BA19" i="18"/>
  <c r="AN19" i="18"/>
  <c r="JQ19" i="18" s="1"/>
  <c r="AA19" i="18"/>
  <c r="N19" i="18"/>
  <c r="JN18" i="18"/>
  <c r="P16" i="25" s="1"/>
  <c r="Q16" i="25" s="1"/>
  <c r="JM18" i="18"/>
  <c r="JL18" i="18"/>
  <c r="JK18" i="18"/>
  <c r="JJ18" i="18"/>
  <c r="JI18" i="18"/>
  <c r="JH18" i="18"/>
  <c r="JG18" i="18"/>
  <c r="JF18" i="18"/>
  <c r="JE18" i="18"/>
  <c r="JD18" i="18"/>
  <c r="JC18" i="18"/>
  <c r="JO18" i="18" s="1"/>
  <c r="JA18" i="18"/>
  <c r="IN18" i="18"/>
  <c r="IA18" i="18"/>
  <c r="HN18" i="18"/>
  <c r="HA18" i="18"/>
  <c r="GN18" i="18"/>
  <c r="GA18" i="18"/>
  <c r="FN18" i="18"/>
  <c r="FA18" i="18"/>
  <c r="EN18" i="18"/>
  <c r="EA18" i="18"/>
  <c r="DN18" i="18"/>
  <c r="DA18" i="18"/>
  <c r="CN18" i="18"/>
  <c r="CA18" i="18"/>
  <c r="BN18" i="18"/>
  <c r="BA18" i="18"/>
  <c r="AN18" i="18"/>
  <c r="AA18" i="18"/>
  <c r="N18" i="18"/>
  <c r="JN17" i="18"/>
  <c r="P15" i="25" s="1"/>
  <c r="Q15" i="25" s="1"/>
  <c r="JM17" i="18"/>
  <c r="JL17" i="18"/>
  <c r="JK17" i="18"/>
  <c r="JJ17" i="18"/>
  <c r="JI17" i="18"/>
  <c r="JH17" i="18"/>
  <c r="JG17" i="18"/>
  <c r="JF17" i="18"/>
  <c r="JE17" i="18"/>
  <c r="JO17" i="18" s="1"/>
  <c r="JD17" i="18"/>
  <c r="JC17" i="18"/>
  <c r="JA17" i="18"/>
  <c r="IN17" i="18"/>
  <c r="IA17" i="18"/>
  <c r="HN17" i="18"/>
  <c r="HA17" i="18"/>
  <c r="GN17" i="18"/>
  <c r="GA17" i="18"/>
  <c r="FN17" i="18"/>
  <c r="FA17" i="18"/>
  <c r="EN17" i="18"/>
  <c r="EA17" i="18"/>
  <c r="DN17" i="18"/>
  <c r="DA17" i="18"/>
  <c r="CN17" i="18"/>
  <c r="CA17" i="18"/>
  <c r="BN17" i="18"/>
  <c r="BA17" i="18"/>
  <c r="AN17" i="18"/>
  <c r="AA17" i="18"/>
  <c r="N17" i="18"/>
  <c r="JN16" i="18"/>
  <c r="P14" i="25" s="1"/>
  <c r="Q14" i="25" s="1"/>
  <c r="JM16" i="18"/>
  <c r="JL16" i="18"/>
  <c r="JK16" i="18"/>
  <c r="JJ16" i="18"/>
  <c r="JI16" i="18"/>
  <c r="JH16" i="18"/>
  <c r="JG16" i="18"/>
  <c r="JF16" i="18"/>
  <c r="JE16" i="18"/>
  <c r="JD16" i="18"/>
  <c r="JC16" i="18"/>
  <c r="JA16" i="18"/>
  <c r="IN16" i="18"/>
  <c r="IA16" i="18"/>
  <c r="HN16" i="18"/>
  <c r="HA16" i="18"/>
  <c r="GN16" i="18"/>
  <c r="GA16" i="18"/>
  <c r="FN16" i="18"/>
  <c r="FA16" i="18"/>
  <c r="EN16" i="18"/>
  <c r="EA16" i="18"/>
  <c r="DN16" i="18"/>
  <c r="DA16" i="18"/>
  <c r="CN16" i="18"/>
  <c r="CA16" i="18"/>
  <c r="BN16" i="18"/>
  <c r="BA16" i="18"/>
  <c r="AN16" i="18"/>
  <c r="AA16" i="18"/>
  <c r="N16" i="18"/>
  <c r="JN15" i="18"/>
  <c r="P13" i="25" s="1"/>
  <c r="Q13" i="25" s="1"/>
  <c r="JM15" i="18"/>
  <c r="JL15" i="18"/>
  <c r="JK15" i="18"/>
  <c r="JJ15" i="18"/>
  <c r="JI15" i="18"/>
  <c r="JH15" i="18"/>
  <c r="JG15" i="18"/>
  <c r="JF15" i="18"/>
  <c r="JE15" i="18"/>
  <c r="JD15" i="18"/>
  <c r="JC15" i="18"/>
  <c r="JA15" i="18"/>
  <c r="IN15" i="18"/>
  <c r="IA15" i="18"/>
  <c r="HN15" i="18"/>
  <c r="HA15" i="18"/>
  <c r="GN15" i="18"/>
  <c r="GA15" i="18"/>
  <c r="FN15" i="18"/>
  <c r="FA15" i="18"/>
  <c r="EN15" i="18"/>
  <c r="EA15" i="18"/>
  <c r="DN15" i="18"/>
  <c r="DA15" i="18"/>
  <c r="CN15" i="18"/>
  <c r="CA15" i="18"/>
  <c r="BN15" i="18"/>
  <c r="BA15" i="18"/>
  <c r="AN15" i="18"/>
  <c r="AA15" i="18"/>
  <c r="N15" i="18"/>
  <c r="JN14" i="18"/>
  <c r="P12" i="25" s="1"/>
  <c r="Q12" i="25" s="1"/>
  <c r="JM14" i="18"/>
  <c r="JL14" i="18"/>
  <c r="JK14" i="18"/>
  <c r="JJ14" i="18"/>
  <c r="JI14" i="18"/>
  <c r="JH14" i="18"/>
  <c r="JG14" i="18"/>
  <c r="JF14" i="18"/>
  <c r="JE14" i="18"/>
  <c r="JD14" i="18"/>
  <c r="JC14" i="18"/>
  <c r="JA14" i="18"/>
  <c r="IN14" i="18"/>
  <c r="IA14" i="18"/>
  <c r="HN14" i="18"/>
  <c r="HA14" i="18"/>
  <c r="GN14" i="18"/>
  <c r="GA14" i="18"/>
  <c r="FN14" i="18"/>
  <c r="FA14" i="18"/>
  <c r="EN14" i="18"/>
  <c r="EA14" i="18"/>
  <c r="DN14" i="18"/>
  <c r="DA14" i="18"/>
  <c r="CN14" i="18"/>
  <c r="CA14" i="18"/>
  <c r="BN14" i="18"/>
  <c r="JQ14" i="18" s="1"/>
  <c r="BA14" i="18"/>
  <c r="AN14" i="18"/>
  <c r="AA14" i="18"/>
  <c r="N14" i="18"/>
  <c r="JN13" i="18"/>
  <c r="P11" i="25" s="1"/>
  <c r="Q11" i="25" s="1"/>
  <c r="JM13" i="18"/>
  <c r="JL13" i="18"/>
  <c r="JK13" i="18"/>
  <c r="JJ13" i="18"/>
  <c r="JI13" i="18"/>
  <c r="JH13" i="18"/>
  <c r="JG13" i="18"/>
  <c r="JF13" i="18"/>
  <c r="JE13" i="18"/>
  <c r="JD13" i="18"/>
  <c r="JC13" i="18"/>
  <c r="JA13" i="18"/>
  <c r="IN13" i="18"/>
  <c r="IA13" i="18"/>
  <c r="HN13" i="18"/>
  <c r="HA13" i="18"/>
  <c r="GN13" i="18"/>
  <c r="GA13" i="18"/>
  <c r="FN13" i="18"/>
  <c r="FA13" i="18"/>
  <c r="EN13" i="18"/>
  <c r="EA13" i="18"/>
  <c r="DN13" i="18"/>
  <c r="DA13" i="18"/>
  <c r="CN13" i="18"/>
  <c r="CA13" i="18"/>
  <c r="BN13" i="18"/>
  <c r="BA13" i="18"/>
  <c r="AN13" i="18"/>
  <c r="AA13" i="18"/>
  <c r="N13" i="18"/>
  <c r="JN12" i="18"/>
  <c r="P10" i="25" s="1"/>
  <c r="Q10" i="25" s="1"/>
  <c r="JM12" i="18"/>
  <c r="JL12" i="18"/>
  <c r="JK12" i="18"/>
  <c r="JJ12" i="18"/>
  <c r="JI12" i="18"/>
  <c r="JH12" i="18"/>
  <c r="JG12" i="18"/>
  <c r="JF12" i="18"/>
  <c r="JE12" i="18"/>
  <c r="JD12" i="18"/>
  <c r="JC12" i="18"/>
  <c r="JA12" i="18"/>
  <c r="IN12" i="18"/>
  <c r="IA12" i="18"/>
  <c r="HN12" i="18"/>
  <c r="HA12" i="18"/>
  <c r="GN12" i="18"/>
  <c r="GA12" i="18"/>
  <c r="FN12" i="18"/>
  <c r="FA12" i="18"/>
  <c r="EN12" i="18"/>
  <c r="EA12" i="18"/>
  <c r="DN12" i="18"/>
  <c r="DA12" i="18"/>
  <c r="CN12" i="18"/>
  <c r="CA12" i="18"/>
  <c r="BN12" i="18"/>
  <c r="BA12" i="18"/>
  <c r="AN12" i="18"/>
  <c r="AA12" i="18"/>
  <c r="N12" i="18"/>
  <c r="JN11" i="18"/>
  <c r="P9" i="25" s="1"/>
  <c r="Q9" i="25" s="1"/>
  <c r="JM11" i="18"/>
  <c r="JL11" i="18"/>
  <c r="JK11" i="18"/>
  <c r="JJ11" i="18"/>
  <c r="JI11" i="18"/>
  <c r="JH11" i="18"/>
  <c r="JG11" i="18"/>
  <c r="JF11" i="18"/>
  <c r="JE11" i="18"/>
  <c r="JD11" i="18"/>
  <c r="JC11" i="18"/>
  <c r="JA11" i="18"/>
  <c r="IN11" i="18"/>
  <c r="IA11" i="18"/>
  <c r="HN11" i="18"/>
  <c r="HA11" i="18"/>
  <c r="GN11" i="18"/>
  <c r="GA11" i="18"/>
  <c r="FN11" i="18"/>
  <c r="FA11" i="18"/>
  <c r="EN11" i="18"/>
  <c r="EA11" i="18"/>
  <c r="DN11" i="18"/>
  <c r="DA11" i="18"/>
  <c r="CN11" i="18"/>
  <c r="CA11" i="18"/>
  <c r="BN11" i="18"/>
  <c r="BA11" i="18"/>
  <c r="AN11" i="18"/>
  <c r="JQ11" i="18" s="1"/>
  <c r="AA11" i="18"/>
  <c r="N11" i="18"/>
  <c r="JN10" i="18"/>
  <c r="P8" i="25" s="1"/>
  <c r="Q8" i="25" s="1"/>
  <c r="JM10" i="18"/>
  <c r="JL10" i="18"/>
  <c r="JK10" i="18"/>
  <c r="JJ10" i="18"/>
  <c r="JI10" i="18"/>
  <c r="JH10" i="18"/>
  <c r="JG10" i="18"/>
  <c r="JF10" i="18"/>
  <c r="JE10" i="18"/>
  <c r="JD10" i="18"/>
  <c r="JC10" i="18"/>
  <c r="JO10" i="18" s="1"/>
  <c r="JA10" i="18"/>
  <c r="IN10" i="18"/>
  <c r="IA10" i="18"/>
  <c r="HN10" i="18"/>
  <c r="HA10" i="18"/>
  <c r="GN10" i="18"/>
  <c r="GA10" i="18"/>
  <c r="FN10" i="18"/>
  <c r="FA10" i="18"/>
  <c r="EN10" i="18"/>
  <c r="EA10" i="18"/>
  <c r="DN10" i="18"/>
  <c r="DA10" i="18"/>
  <c r="CN10" i="18"/>
  <c r="CA10" i="18"/>
  <c r="BN10" i="18"/>
  <c r="BA10" i="18"/>
  <c r="AN10" i="18"/>
  <c r="AA10" i="18"/>
  <c r="N10" i="18"/>
  <c r="JO9" i="18"/>
  <c r="JN9" i="18"/>
  <c r="P7" i="25" s="1"/>
  <c r="Q7" i="25" s="1"/>
  <c r="JM9" i="18"/>
  <c r="JL9" i="18"/>
  <c r="JK9" i="18"/>
  <c r="JJ9" i="18"/>
  <c r="JI9" i="18"/>
  <c r="JH9" i="18"/>
  <c r="JG9" i="18"/>
  <c r="JF9" i="18"/>
  <c r="JE9" i="18"/>
  <c r="JD9" i="18"/>
  <c r="JC9" i="18"/>
  <c r="JA9" i="18"/>
  <c r="IN9" i="18"/>
  <c r="IA9" i="18"/>
  <c r="HN9" i="18"/>
  <c r="HA9" i="18"/>
  <c r="GN9" i="18"/>
  <c r="GA9" i="18"/>
  <c r="FN9" i="18"/>
  <c r="FA9" i="18"/>
  <c r="EN9" i="18"/>
  <c r="EA9" i="18"/>
  <c r="DN9" i="18"/>
  <c r="DA9" i="18"/>
  <c r="CN9" i="18"/>
  <c r="CA9" i="18"/>
  <c r="BN9" i="18"/>
  <c r="BA9" i="18"/>
  <c r="AN9" i="18"/>
  <c r="AA9" i="18"/>
  <c r="N9" i="18"/>
  <c r="JQ9" i="18" s="1"/>
  <c r="JO8" i="18"/>
  <c r="JN8" i="18"/>
  <c r="P20" i="25" s="1"/>
  <c r="Q20" i="25" s="1"/>
  <c r="JM8" i="18"/>
  <c r="JL8" i="18"/>
  <c r="JK8" i="18"/>
  <c r="JJ8" i="18"/>
  <c r="JI8" i="18"/>
  <c r="JH8" i="18"/>
  <c r="JG8" i="18"/>
  <c r="JF8" i="18"/>
  <c r="JE8" i="18"/>
  <c r="JD8" i="18"/>
  <c r="JC8" i="18"/>
  <c r="JA8" i="18"/>
  <c r="IN8" i="18"/>
  <c r="IA8" i="18"/>
  <c r="HN8" i="18"/>
  <c r="HA8" i="18"/>
  <c r="GN8" i="18"/>
  <c r="GA8" i="18"/>
  <c r="FN8" i="18"/>
  <c r="FA8" i="18"/>
  <c r="EN8" i="18"/>
  <c r="EA8" i="18"/>
  <c r="DN8" i="18"/>
  <c r="DA8" i="18"/>
  <c r="CN8" i="18"/>
  <c r="CA8" i="18"/>
  <c r="BN8" i="18"/>
  <c r="BA8" i="18"/>
  <c r="AN8" i="18"/>
  <c r="AA8" i="18"/>
  <c r="N8" i="18"/>
  <c r="JQ8" i="18" s="1"/>
  <c r="JN7" i="18"/>
  <c r="P6" i="25" s="1"/>
  <c r="Q6" i="25" s="1"/>
  <c r="JM7" i="18"/>
  <c r="JL7" i="18"/>
  <c r="JK7" i="18"/>
  <c r="JJ7" i="18"/>
  <c r="JI7" i="18"/>
  <c r="JH7" i="18"/>
  <c r="JG7" i="18"/>
  <c r="JF7" i="18"/>
  <c r="JE7" i="18"/>
  <c r="JD7" i="18"/>
  <c r="JC7" i="18"/>
  <c r="JA7" i="18"/>
  <c r="IN7" i="18"/>
  <c r="IA7" i="18"/>
  <c r="HN7" i="18"/>
  <c r="HA7" i="18"/>
  <c r="GN7" i="18"/>
  <c r="GA7" i="18"/>
  <c r="FN7" i="18"/>
  <c r="FA7" i="18"/>
  <c r="EN7" i="18"/>
  <c r="EA7" i="18"/>
  <c r="DN7" i="18"/>
  <c r="DA7" i="18"/>
  <c r="CN7" i="18"/>
  <c r="CA7" i="18"/>
  <c r="BN7" i="18"/>
  <c r="BA7" i="18"/>
  <c r="AN7" i="18"/>
  <c r="AA7" i="18"/>
  <c r="N7" i="18"/>
  <c r="JN6" i="18"/>
  <c r="P5" i="25" s="1"/>
  <c r="Q5" i="25" s="1"/>
  <c r="JM6" i="18"/>
  <c r="JL6" i="18"/>
  <c r="JK6" i="18"/>
  <c r="JJ6" i="18"/>
  <c r="JI6" i="18"/>
  <c r="JH6" i="18"/>
  <c r="JG6" i="18"/>
  <c r="JF6" i="18"/>
  <c r="JE6" i="18"/>
  <c r="JD6" i="18"/>
  <c r="JC6" i="18"/>
  <c r="JA6" i="18"/>
  <c r="IN6" i="18"/>
  <c r="IA6" i="18"/>
  <c r="HN6" i="18"/>
  <c r="HA6" i="18"/>
  <c r="GN6" i="18"/>
  <c r="GA6" i="18"/>
  <c r="FN6" i="18"/>
  <c r="FA6" i="18"/>
  <c r="EN6" i="18"/>
  <c r="EA6" i="18"/>
  <c r="DN6" i="18"/>
  <c r="DA6" i="18"/>
  <c r="CN6" i="18"/>
  <c r="CA6" i="18"/>
  <c r="BN6" i="18"/>
  <c r="BA6" i="18"/>
  <c r="JQ6" i="18" s="1"/>
  <c r="AN6" i="18"/>
  <c r="AA6" i="18"/>
  <c r="N6" i="18"/>
  <c r="JN5" i="18"/>
  <c r="P4" i="25" s="1"/>
  <c r="Q4" i="25" s="1"/>
  <c r="JM5" i="18"/>
  <c r="JL5" i="18"/>
  <c r="JK5" i="18"/>
  <c r="JJ5" i="18"/>
  <c r="JI5" i="18"/>
  <c r="JH5" i="18"/>
  <c r="JG5" i="18"/>
  <c r="JF5" i="18"/>
  <c r="JE5" i="18"/>
  <c r="JD5" i="18"/>
  <c r="JC5" i="18"/>
  <c r="JA5" i="18"/>
  <c r="IN5" i="18"/>
  <c r="IA5" i="18"/>
  <c r="HN5" i="18"/>
  <c r="HA5" i="18"/>
  <c r="HA104" i="18" s="1"/>
  <c r="GN5" i="18"/>
  <c r="GA5" i="18"/>
  <c r="FN5" i="18"/>
  <c r="FA5" i="18"/>
  <c r="EN5" i="18"/>
  <c r="EA5" i="18"/>
  <c r="DN5" i="18"/>
  <c r="DA5" i="18"/>
  <c r="CN5" i="18"/>
  <c r="CA5" i="18"/>
  <c r="BN5" i="18"/>
  <c r="BA5" i="18"/>
  <c r="AN5" i="18"/>
  <c r="AA5" i="18"/>
  <c r="N5" i="18"/>
  <c r="JQ4" i="18"/>
  <c r="JN4" i="18"/>
  <c r="P3" i="25" s="1"/>
  <c r="Q3" i="25" s="1"/>
  <c r="JM4" i="18"/>
  <c r="JL4" i="18"/>
  <c r="JK4" i="18"/>
  <c r="JJ4" i="18"/>
  <c r="JI4" i="18"/>
  <c r="JH4" i="18"/>
  <c r="JG4" i="18"/>
  <c r="JF4" i="18"/>
  <c r="JE4" i="18"/>
  <c r="JD4" i="18"/>
  <c r="JC4" i="18"/>
  <c r="JA4" i="18"/>
  <c r="IN4" i="18"/>
  <c r="IA4" i="18"/>
  <c r="HN4" i="18"/>
  <c r="HA4" i="18"/>
  <c r="GN4" i="18"/>
  <c r="GA4" i="18"/>
  <c r="FN4" i="18"/>
  <c r="FA4" i="18"/>
  <c r="EN4" i="18"/>
  <c r="EA4" i="18"/>
  <c r="DN4" i="18"/>
  <c r="DA4" i="18"/>
  <c r="CN4" i="18"/>
  <c r="CA4" i="18"/>
  <c r="BN4" i="18"/>
  <c r="BA4" i="18"/>
  <c r="AN4" i="18"/>
  <c r="AA4" i="18"/>
  <c r="N4" i="18"/>
  <c r="JQ3" i="18"/>
  <c r="JN3" i="18"/>
  <c r="P2" i="25" s="1"/>
  <c r="Q2" i="25" s="1"/>
  <c r="JM3" i="18"/>
  <c r="JL3" i="18"/>
  <c r="JK3" i="18"/>
  <c r="JJ3" i="18"/>
  <c r="JI3" i="18"/>
  <c r="JH3" i="18"/>
  <c r="JG3" i="18"/>
  <c r="JF3" i="18"/>
  <c r="JE3" i="18"/>
  <c r="JD3" i="18"/>
  <c r="JC3" i="18"/>
  <c r="JA3" i="18"/>
  <c r="IN3" i="18"/>
  <c r="IA3" i="18"/>
  <c r="HN3" i="18"/>
  <c r="HA3" i="18"/>
  <c r="GN3" i="18"/>
  <c r="GA3" i="18"/>
  <c r="FN3" i="18"/>
  <c r="FA3" i="18"/>
  <c r="EN3" i="18"/>
  <c r="EA3" i="18"/>
  <c r="DN3" i="18"/>
  <c r="DA3" i="18"/>
  <c r="DA104" i="18" s="1"/>
  <c r="G18" i="32" s="1"/>
  <c r="H18" i="32" s="1"/>
  <c r="CN3" i="18"/>
  <c r="CA3" i="18"/>
  <c r="BN3" i="18"/>
  <c r="BA3" i="18"/>
  <c r="AN3" i="18"/>
  <c r="AA3" i="18"/>
  <c r="N3" i="18"/>
  <c r="X105" i="17"/>
  <c r="Q103" i="17"/>
  <c r="P103" i="17"/>
  <c r="O103" i="17"/>
  <c r="P102" i="17"/>
  <c r="O102" i="17"/>
  <c r="Q102" i="17" s="1"/>
  <c r="P101" i="17"/>
  <c r="O101" i="17"/>
  <c r="Q101" i="17" s="1"/>
  <c r="Y100" i="17"/>
  <c r="P100" i="17"/>
  <c r="O100" i="17"/>
  <c r="Q100" i="17" s="1"/>
  <c r="Q99" i="17"/>
  <c r="P99" i="17"/>
  <c r="O99" i="17"/>
  <c r="Y98" i="17"/>
  <c r="P98" i="17"/>
  <c r="O98" i="17"/>
  <c r="Q98" i="17" s="1"/>
  <c r="P97" i="17"/>
  <c r="O97" i="17"/>
  <c r="Q97" i="17" s="1"/>
  <c r="P96" i="17"/>
  <c r="O96" i="17"/>
  <c r="Q96" i="17" s="1"/>
  <c r="Q95" i="17"/>
  <c r="P95" i="17"/>
  <c r="O95" i="17"/>
  <c r="P94" i="17"/>
  <c r="O94" i="17"/>
  <c r="Q94" i="17" s="1"/>
  <c r="P93" i="17"/>
  <c r="O93" i="17"/>
  <c r="Q93" i="17" s="1"/>
  <c r="P92" i="17"/>
  <c r="O92" i="17"/>
  <c r="Q92" i="17" s="1"/>
  <c r="Q91" i="17"/>
  <c r="P91" i="17"/>
  <c r="O91" i="17"/>
  <c r="Y90" i="17"/>
  <c r="P90" i="17"/>
  <c r="O90" i="17"/>
  <c r="Q90" i="17" s="1"/>
  <c r="Y89" i="17"/>
  <c r="Q89" i="17"/>
  <c r="P89" i="17"/>
  <c r="O89" i="17"/>
  <c r="P88" i="17"/>
  <c r="O88" i="17"/>
  <c r="Q88" i="17" s="1"/>
  <c r="Q87" i="17"/>
  <c r="P87" i="17"/>
  <c r="O87" i="17"/>
  <c r="Y86" i="17"/>
  <c r="P86" i="17"/>
  <c r="O86" i="17"/>
  <c r="Q86" i="17" s="1"/>
  <c r="Y85" i="17"/>
  <c r="P85" i="17"/>
  <c r="O85" i="17"/>
  <c r="Q85" i="17" s="1"/>
  <c r="P84" i="17"/>
  <c r="O84" i="17"/>
  <c r="Q84" i="17" s="1"/>
  <c r="Q83" i="17"/>
  <c r="P83" i="17"/>
  <c r="O83" i="17"/>
  <c r="Y82" i="17"/>
  <c r="P82" i="17"/>
  <c r="O82" i="17"/>
  <c r="Q82" i="17" s="1"/>
  <c r="Y81" i="17"/>
  <c r="P81" i="17"/>
  <c r="O81" i="17"/>
  <c r="Q81" i="17" s="1"/>
  <c r="P80" i="17"/>
  <c r="O80" i="17"/>
  <c r="Q80" i="17" s="1"/>
  <c r="Q79" i="17"/>
  <c r="P79" i="17"/>
  <c r="O79" i="17"/>
  <c r="P78" i="17"/>
  <c r="O78" i="17"/>
  <c r="Q78" i="17" s="1"/>
  <c r="Y77" i="17"/>
  <c r="P77" i="17"/>
  <c r="O77" i="17"/>
  <c r="Q77" i="17" s="1"/>
  <c r="P76" i="17"/>
  <c r="O76" i="17"/>
  <c r="Q76" i="17" s="1"/>
  <c r="Q75" i="17"/>
  <c r="P75" i="17"/>
  <c r="O75" i="17"/>
  <c r="Y74" i="17"/>
  <c r="P74" i="17"/>
  <c r="O74" i="17"/>
  <c r="Q74" i="17" s="1"/>
  <c r="P73" i="17"/>
  <c r="O73" i="17"/>
  <c r="Q73" i="17" s="1"/>
  <c r="P72" i="17"/>
  <c r="O72" i="17"/>
  <c r="Q72" i="17" s="1"/>
  <c r="Q71" i="17"/>
  <c r="P71" i="17"/>
  <c r="O71" i="17"/>
  <c r="Y70" i="17"/>
  <c r="P70" i="17"/>
  <c r="O70" i="17"/>
  <c r="Q70" i="17" s="1"/>
  <c r="P69" i="17"/>
  <c r="O69" i="17"/>
  <c r="Q69" i="17" s="1"/>
  <c r="Y68" i="17"/>
  <c r="P68" i="17"/>
  <c r="O68" i="17"/>
  <c r="Q68" i="17" s="1"/>
  <c r="Q67" i="17"/>
  <c r="P67" i="17"/>
  <c r="O67" i="17"/>
  <c r="Y66" i="17"/>
  <c r="P66" i="17"/>
  <c r="O66" i="17"/>
  <c r="Q66" i="17" s="1"/>
  <c r="Y65" i="17"/>
  <c r="P65" i="17"/>
  <c r="O65" i="17"/>
  <c r="Q65" i="17" s="1"/>
  <c r="Y64" i="17"/>
  <c r="P64" i="17"/>
  <c r="O64" i="17"/>
  <c r="Q64" i="17" s="1"/>
  <c r="Q63" i="17"/>
  <c r="P63" i="17"/>
  <c r="O63" i="17"/>
  <c r="P62" i="17"/>
  <c r="O62" i="17"/>
  <c r="Q62" i="17" s="1"/>
  <c r="Y61" i="17"/>
  <c r="P61" i="17"/>
  <c r="O61" i="17"/>
  <c r="Q61" i="17" s="1"/>
  <c r="Y60" i="17"/>
  <c r="P60" i="17"/>
  <c r="O60" i="17"/>
  <c r="Q60" i="17" s="1"/>
  <c r="Q59" i="17"/>
  <c r="P59" i="17"/>
  <c r="O59" i="17"/>
  <c r="P58" i="17"/>
  <c r="O58" i="17"/>
  <c r="Q58" i="17" s="1"/>
  <c r="P57" i="17"/>
  <c r="O57" i="17"/>
  <c r="Q57" i="17" s="1"/>
  <c r="Y56" i="17"/>
  <c r="P56" i="17"/>
  <c r="O56" i="17"/>
  <c r="Q56" i="17" s="1"/>
  <c r="Q55" i="17"/>
  <c r="P55" i="17"/>
  <c r="O55" i="17"/>
  <c r="Y54" i="17"/>
  <c r="P54" i="17"/>
  <c r="O54" i="17"/>
  <c r="Q54" i="17" s="1"/>
  <c r="P53" i="17"/>
  <c r="O53" i="17"/>
  <c r="Q53" i="17" s="1"/>
  <c r="P52" i="17"/>
  <c r="O52" i="17"/>
  <c r="Q52" i="17" s="1"/>
  <c r="Q51" i="17"/>
  <c r="P51" i="17"/>
  <c r="O51" i="17"/>
  <c r="P50" i="17"/>
  <c r="O50" i="17"/>
  <c r="Q50" i="17" s="1"/>
  <c r="Y49" i="17"/>
  <c r="P49" i="17"/>
  <c r="O49" i="17"/>
  <c r="Q49" i="17" s="1"/>
  <c r="P48" i="17"/>
  <c r="O48" i="17"/>
  <c r="Q48" i="17" s="1"/>
  <c r="Q47" i="17"/>
  <c r="P47" i="17"/>
  <c r="O47" i="17"/>
  <c r="P46" i="17"/>
  <c r="O46" i="17"/>
  <c r="Q46" i="17" s="1"/>
  <c r="Y45" i="17"/>
  <c r="P45" i="17"/>
  <c r="O45" i="17"/>
  <c r="Q45" i="17" s="1"/>
  <c r="P44" i="17"/>
  <c r="O44" i="17"/>
  <c r="Q44" i="17" s="1"/>
  <c r="Q43" i="17"/>
  <c r="P43" i="17"/>
  <c r="O43" i="17"/>
  <c r="P42" i="17"/>
  <c r="O42" i="17"/>
  <c r="Q42" i="17" s="1"/>
  <c r="Y41" i="17"/>
  <c r="P41" i="17"/>
  <c r="O41" i="17"/>
  <c r="Q41" i="17" s="1"/>
  <c r="P40" i="17"/>
  <c r="O40" i="17"/>
  <c r="Q40" i="17" s="1"/>
  <c r="Q39" i="17"/>
  <c r="P39" i="17"/>
  <c r="O39" i="17"/>
  <c r="P38" i="17"/>
  <c r="O38" i="17"/>
  <c r="Q38" i="17" s="1"/>
  <c r="P37" i="17"/>
  <c r="O37" i="17"/>
  <c r="Q37" i="17" s="1"/>
  <c r="P36" i="17"/>
  <c r="O36" i="17"/>
  <c r="Q36" i="17" s="1"/>
  <c r="Q35" i="17"/>
  <c r="P35" i="17"/>
  <c r="O35" i="17"/>
  <c r="P34" i="17"/>
  <c r="O34" i="17"/>
  <c r="Q34" i="17" s="1"/>
  <c r="Y33" i="17"/>
  <c r="P33" i="17"/>
  <c r="O33" i="17"/>
  <c r="Q33" i="17" s="1"/>
  <c r="Q32" i="17"/>
  <c r="P32" i="17"/>
  <c r="O32" i="17"/>
  <c r="Q31" i="17"/>
  <c r="P31" i="17"/>
  <c r="O31" i="17"/>
  <c r="P30" i="17"/>
  <c r="O30" i="17"/>
  <c r="Q30" i="17" s="1"/>
  <c r="P29" i="17"/>
  <c r="O29" i="17"/>
  <c r="Q29" i="17" s="1"/>
  <c r="U28" i="17"/>
  <c r="S28" i="17"/>
  <c r="Q28" i="17"/>
  <c r="P28" i="17"/>
  <c r="O28" i="17"/>
  <c r="U27" i="17"/>
  <c r="S27" i="17"/>
  <c r="P27" i="17"/>
  <c r="O27" i="17"/>
  <c r="Q27" i="17" s="1"/>
  <c r="S26" i="17"/>
  <c r="U26" i="17" s="1"/>
  <c r="P26" i="17"/>
  <c r="O26" i="17"/>
  <c r="Q26" i="17" s="1"/>
  <c r="S25" i="17"/>
  <c r="P25" i="17"/>
  <c r="O25" i="17"/>
  <c r="Y24" i="17"/>
  <c r="S24" i="17"/>
  <c r="U24" i="17" s="1"/>
  <c r="Q24" i="17"/>
  <c r="P24" i="17"/>
  <c r="O24" i="17"/>
  <c r="S23" i="17"/>
  <c r="U23" i="17" s="1"/>
  <c r="Q23" i="17"/>
  <c r="P23" i="17"/>
  <c r="O23" i="17"/>
  <c r="S22" i="17"/>
  <c r="U22" i="17" s="1"/>
  <c r="P22" i="17"/>
  <c r="O22" i="17"/>
  <c r="Q22" i="17" s="1"/>
  <c r="S21" i="17"/>
  <c r="U21" i="17" s="1"/>
  <c r="O21" i="17"/>
  <c r="U20" i="17"/>
  <c r="S20" i="17"/>
  <c r="Q20" i="17"/>
  <c r="P20" i="17"/>
  <c r="O20" i="17"/>
  <c r="S19" i="17"/>
  <c r="U19" i="17" s="1"/>
  <c r="O19" i="17"/>
  <c r="S18" i="17"/>
  <c r="U18" i="17" s="1"/>
  <c r="P18" i="17"/>
  <c r="O18" i="17"/>
  <c r="Q18" i="17" s="1"/>
  <c r="S17" i="17"/>
  <c r="U17" i="17" s="1"/>
  <c r="Q17" i="17"/>
  <c r="P17" i="17"/>
  <c r="O17" i="17"/>
  <c r="S16" i="17"/>
  <c r="U16" i="17" s="1"/>
  <c r="Q16" i="17"/>
  <c r="P16" i="17"/>
  <c r="O16" i="17"/>
  <c r="U15" i="17"/>
  <c r="S15" i="17"/>
  <c r="P15" i="17"/>
  <c r="O15" i="17"/>
  <c r="Q15" i="17" s="1"/>
  <c r="S14" i="17"/>
  <c r="U14" i="17" s="1"/>
  <c r="Q14" i="17"/>
  <c r="P14" i="17"/>
  <c r="O14" i="17"/>
  <c r="S13" i="17"/>
  <c r="U13" i="17" s="1"/>
  <c r="O13" i="17"/>
  <c r="U12" i="17"/>
  <c r="S12" i="17"/>
  <c r="Q12" i="17"/>
  <c r="P12" i="17"/>
  <c r="O12" i="17"/>
  <c r="S11" i="17"/>
  <c r="U11" i="17" s="1"/>
  <c r="O11" i="17"/>
  <c r="S10" i="17"/>
  <c r="U10" i="17" s="1"/>
  <c r="P10" i="17"/>
  <c r="O10" i="17"/>
  <c r="Q10" i="17" s="1"/>
  <c r="S9" i="17"/>
  <c r="U9" i="17" s="1"/>
  <c r="Q9" i="17"/>
  <c r="P9" i="17"/>
  <c r="O9" i="17"/>
  <c r="S8" i="17"/>
  <c r="U8" i="17" s="1"/>
  <c r="Q8" i="17"/>
  <c r="P8" i="17"/>
  <c r="O8" i="17"/>
  <c r="U7" i="17"/>
  <c r="S7" i="17"/>
  <c r="P7" i="17"/>
  <c r="O7" i="17"/>
  <c r="Q7" i="17" s="1"/>
  <c r="S6" i="17"/>
  <c r="U6" i="17" s="1"/>
  <c r="Q6" i="17"/>
  <c r="P6" i="17"/>
  <c r="O6" i="17"/>
  <c r="S5" i="17"/>
  <c r="U5" i="17" s="1"/>
  <c r="O5" i="17"/>
  <c r="Y4" i="17"/>
  <c r="S4" i="17"/>
  <c r="U4" i="17" s="1"/>
  <c r="Q4" i="17"/>
  <c r="P4" i="17"/>
  <c r="O4" i="17"/>
  <c r="S3" i="17"/>
  <c r="U3" i="17" s="1"/>
  <c r="P3" i="17"/>
  <c r="O3" i="17"/>
  <c r="Q3" i="17" s="1"/>
  <c r="S2" i="17"/>
  <c r="U2" i="17" s="1"/>
  <c r="P2" i="17"/>
  <c r="O2" i="17"/>
  <c r="AC1" i="17"/>
  <c r="M55" i="15"/>
  <c r="L55" i="15"/>
  <c r="M53" i="15"/>
  <c r="K53" i="15"/>
  <c r="D53" i="15"/>
  <c r="J45" i="15"/>
  <c r="F45" i="15"/>
  <c r="C41" i="15"/>
  <c r="E38" i="15"/>
  <c r="D38" i="15"/>
  <c r="C38" i="15"/>
  <c r="H6" i="15" s="1"/>
  <c r="C36" i="15"/>
  <c r="I34" i="15"/>
  <c r="K31" i="15"/>
  <c r="J31" i="15"/>
  <c r="L31" i="15" s="1"/>
  <c r="M27" i="15"/>
  <c r="M26" i="15"/>
  <c r="F25" i="15"/>
  <c r="F24" i="15"/>
  <c r="J5" i="15" s="1"/>
  <c r="D24" i="15"/>
  <c r="N20" i="15"/>
  <c r="M19" i="15"/>
  <c r="L19" i="15"/>
  <c r="E19" i="15"/>
  <c r="D19" i="15"/>
  <c r="N18" i="15"/>
  <c r="C17" i="15"/>
  <c r="B15" i="15"/>
  <c r="A15" i="15"/>
  <c r="B14" i="15"/>
  <c r="A14" i="15"/>
  <c r="B13" i="15"/>
  <c r="A13" i="15"/>
  <c r="B12" i="15"/>
  <c r="A12" i="15"/>
  <c r="W11" i="15"/>
  <c r="B11" i="15"/>
  <c r="A11" i="15"/>
  <c r="M10" i="15"/>
  <c r="W10" i="15" s="1"/>
  <c r="B10" i="15"/>
  <c r="A10" i="15"/>
  <c r="W9" i="15"/>
  <c r="B9" i="15"/>
  <c r="A9" i="15"/>
  <c r="W8" i="15"/>
  <c r="R8" i="15"/>
  <c r="B8" i="15"/>
  <c r="A8" i="15"/>
  <c r="W7" i="15"/>
  <c r="B7" i="15"/>
  <c r="A7" i="15"/>
  <c r="V6" i="15"/>
  <c r="I6" i="15"/>
  <c r="B6" i="15"/>
  <c r="A6" i="15"/>
  <c r="M5" i="15"/>
  <c r="K5" i="15"/>
  <c r="C5" i="15"/>
  <c r="B5" i="15"/>
  <c r="A5" i="15"/>
  <c r="H4" i="15"/>
  <c r="B4" i="15"/>
  <c r="A4" i="15"/>
  <c r="M3" i="15"/>
  <c r="W3" i="15" s="1"/>
  <c r="B3" i="15"/>
  <c r="A3" i="15"/>
  <c r="W2" i="15"/>
  <c r="B2" i="15"/>
  <c r="A2" i="15"/>
  <c r="V1" i="15"/>
  <c r="U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H104" i="14"/>
  <c r="G104" i="14"/>
  <c r="F104" i="14"/>
  <c r="A104" i="14"/>
  <c r="O103" i="14"/>
  <c r="L103" i="14"/>
  <c r="O102" i="14"/>
  <c r="M102" i="14" s="1"/>
  <c r="N102" i="14"/>
  <c r="Y102" i="17" s="1"/>
  <c r="L102" i="14"/>
  <c r="O101" i="14"/>
  <c r="M101" i="14"/>
  <c r="L101" i="14"/>
  <c r="N101" i="14" s="1"/>
  <c r="Y101" i="17" s="1"/>
  <c r="O100" i="14"/>
  <c r="M100" i="14" s="1"/>
  <c r="N100" i="14"/>
  <c r="L100" i="14"/>
  <c r="O99" i="14"/>
  <c r="L99" i="14"/>
  <c r="N99" i="14" s="1"/>
  <c r="Y99" i="17" s="1"/>
  <c r="O98" i="14"/>
  <c r="N98" i="14"/>
  <c r="M98" i="14"/>
  <c r="L98" i="14"/>
  <c r="O97" i="14"/>
  <c r="M97" i="14" s="1"/>
  <c r="L97" i="14"/>
  <c r="N97" i="14" s="1"/>
  <c r="Y97" i="17" s="1"/>
  <c r="O96" i="14"/>
  <c r="L96" i="14"/>
  <c r="O95" i="14"/>
  <c r="L95" i="14"/>
  <c r="M95" i="14" s="1"/>
  <c r="O94" i="14"/>
  <c r="L94" i="14"/>
  <c r="N94" i="14" s="1"/>
  <c r="Y94" i="17" s="1"/>
  <c r="O93" i="14"/>
  <c r="L93" i="14"/>
  <c r="O92" i="14"/>
  <c r="M92" i="14" s="1"/>
  <c r="L92" i="14"/>
  <c r="N92" i="14" s="1"/>
  <c r="Y92" i="17" s="1"/>
  <c r="O91" i="14"/>
  <c r="M91" i="14"/>
  <c r="L91" i="14"/>
  <c r="N91" i="14" s="1"/>
  <c r="Y91" i="17" s="1"/>
  <c r="O90" i="14"/>
  <c r="M90" i="14" s="1"/>
  <c r="N90" i="14"/>
  <c r="L90" i="14"/>
  <c r="O89" i="14"/>
  <c r="M89" i="14" s="1"/>
  <c r="L89" i="14"/>
  <c r="N89" i="14" s="1"/>
  <c r="O88" i="14"/>
  <c r="M88" i="14" s="1"/>
  <c r="L88" i="14"/>
  <c r="N88" i="14" s="1"/>
  <c r="Y88" i="17" s="1"/>
  <c r="O87" i="14"/>
  <c r="N87" i="14"/>
  <c r="Y87" i="17" s="1"/>
  <c r="L87" i="14"/>
  <c r="O86" i="14"/>
  <c r="N86" i="14"/>
  <c r="M86" i="14"/>
  <c r="L86" i="14"/>
  <c r="O85" i="14"/>
  <c r="M85" i="14"/>
  <c r="L85" i="14"/>
  <c r="N85" i="14" s="1"/>
  <c r="O84" i="14"/>
  <c r="M84" i="14" s="1"/>
  <c r="N84" i="14"/>
  <c r="Y84" i="17" s="1"/>
  <c r="L84" i="14"/>
  <c r="O83" i="14"/>
  <c r="N83" i="14"/>
  <c r="Y83" i="17" s="1"/>
  <c r="M83" i="14"/>
  <c r="L83" i="14"/>
  <c r="O82" i="14"/>
  <c r="M82" i="14" s="1"/>
  <c r="L82" i="14"/>
  <c r="N82" i="14" s="1"/>
  <c r="O81" i="14"/>
  <c r="M81" i="14" s="1"/>
  <c r="L81" i="14"/>
  <c r="N81" i="14" s="1"/>
  <c r="O80" i="14"/>
  <c r="N80" i="14"/>
  <c r="Y80" i="17" s="1"/>
  <c r="L80" i="14"/>
  <c r="M80" i="14" s="1"/>
  <c r="O79" i="14"/>
  <c r="L79" i="14"/>
  <c r="O78" i="14"/>
  <c r="L78" i="14"/>
  <c r="O77" i="14"/>
  <c r="M77" i="14"/>
  <c r="L77" i="14"/>
  <c r="N77" i="14" s="1"/>
  <c r="O76" i="14"/>
  <c r="M76" i="14"/>
  <c r="L76" i="14"/>
  <c r="N76" i="14" s="1"/>
  <c r="Y76" i="17" s="1"/>
  <c r="O75" i="14"/>
  <c r="M75" i="14" s="1"/>
  <c r="L75" i="14"/>
  <c r="N75" i="14" s="1"/>
  <c r="Y75" i="17" s="1"/>
  <c r="O74" i="14"/>
  <c r="M74" i="14" s="1"/>
  <c r="L74" i="14"/>
  <c r="N74" i="14" s="1"/>
  <c r="O73" i="14"/>
  <c r="M73" i="14" s="1"/>
  <c r="L73" i="14"/>
  <c r="N73" i="14" s="1"/>
  <c r="Y73" i="17" s="1"/>
  <c r="O72" i="14"/>
  <c r="L72" i="14"/>
  <c r="N72" i="14" s="1"/>
  <c r="Y72" i="17" s="1"/>
  <c r="O71" i="14"/>
  <c r="M71" i="14" s="1"/>
  <c r="L71" i="14"/>
  <c r="N71" i="14" s="1"/>
  <c r="Y71" i="17" s="1"/>
  <c r="O70" i="14"/>
  <c r="N70" i="14"/>
  <c r="L70" i="14"/>
  <c r="O69" i="14"/>
  <c r="M69" i="14"/>
  <c r="L69" i="14"/>
  <c r="N69" i="14" s="1"/>
  <c r="Y69" i="17" s="1"/>
  <c r="O68" i="14"/>
  <c r="M68" i="14" s="1"/>
  <c r="N68" i="14"/>
  <c r="L68" i="14"/>
  <c r="O67" i="14"/>
  <c r="N67" i="14"/>
  <c r="Y67" i="17" s="1"/>
  <c r="M67" i="14"/>
  <c r="L67" i="14"/>
  <c r="O66" i="14"/>
  <c r="M66" i="14" s="1"/>
  <c r="N66" i="14"/>
  <c r="L66" i="14"/>
  <c r="O65" i="14"/>
  <c r="M65" i="14" s="1"/>
  <c r="L65" i="14"/>
  <c r="N65" i="14" s="1"/>
  <c r="O64" i="14"/>
  <c r="M64" i="14" s="1"/>
  <c r="N64" i="14"/>
  <c r="L64" i="14"/>
  <c r="O63" i="14"/>
  <c r="L63" i="14"/>
  <c r="O62" i="14"/>
  <c r="N62" i="14"/>
  <c r="Y62" i="17" s="1"/>
  <c r="L62" i="14"/>
  <c r="M62" i="14" s="1"/>
  <c r="O61" i="14"/>
  <c r="M61" i="14"/>
  <c r="L61" i="14"/>
  <c r="N61" i="14" s="1"/>
  <c r="O60" i="14"/>
  <c r="M60" i="14" s="1"/>
  <c r="N60" i="14"/>
  <c r="L60" i="14"/>
  <c r="O59" i="14"/>
  <c r="L59" i="14"/>
  <c r="N59" i="14" s="1"/>
  <c r="Y59" i="17" s="1"/>
  <c r="O58" i="14"/>
  <c r="M58" i="14"/>
  <c r="L58" i="14"/>
  <c r="N58" i="14" s="1"/>
  <c r="Y58" i="17" s="1"/>
  <c r="O57" i="14"/>
  <c r="M57" i="14" s="1"/>
  <c r="L57" i="14"/>
  <c r="N57" i="14" s="1"/>
  <c r="Y57" i="17" s="1"/>
  <c r="O56" i="14"/>
  <c r="N56" i="14"/>
  <c r="M56" i="14"/>
  <c r="L56" i="14"/>
  <c r="O55" i="14"/>
  <c r="M55" i="14" s="1"/>
  <c r="N55" i="14"/>
  <c r="Y55" i="17" s="1"/>
  <c r="L55" i="14"/>
  <c r="O54" i="14"/>
  <c r="M54" i="14" s="1"/>
  <c r="N54" i="14"/>
  <c r="L54" i="14"/>
  <c r="O53" i="14"/>
  <c r="M53" i="14" s="1"/>
  <c r="L53" i="14"/>
  <c r="N53" i="14" s="1"/>
  <c r="Y53" i="17" s="1"/>
  <c r="O52" i="14"/>
  <c r="N52" i="14"/>
  <c r="Y52" i="17" s="1"/>
  <c r="M52" i="14"/>
  <c r="L52" i="14"/>
  <c r="O51" i="14"/>
  <c r="M51" i="14" s="1"/>
  <c r="N51" i="14"/>
  <c r="Y51" i="17" s="1"/>
  <c r="L51" i="14"/>
  <c r="O50" i="14"/>
  <c r="M50" i="14" s="1"/>
  <c r="N50" i="14"/>
  <c r="Y50" i="17" s="1"/>
  <c r="L50" i="14"/>
  <c r="O49" i="14"/>
  <c r="M49" i="14" s="1"/>
  <c r="N49" i="14"/>
  <c r="L49" i="14"/>
  <c r="O48" i="14"/>
  <c r="L48" i="14"/>
  <c r="O47" i="14"/>
  <c r="N47" i="14"/>
  <c r="Y47" i="17" s="1"/>
  <c r="L47" i="14"/>
  <c r="O46" i="14"/>
  <c r="M46" i="14" s="1"/>
  <c r="N46" i="14"/>
  <c r="Y46" i="17" s="1"/>
  <c r="L46" i="14"/>
  <c r="O45" i="14"/>
  <c r="M45" i="14" s="1"/>
  <c r="N45" i="14"/>
  <c r="L45" i="14"/>
  <c r="O44" i="14"/>
  <c r="L44" i="14"/>
  <c r="O43" i="14"/>
  <c r="L43" i="14"/>
  <c r="N43" i="14" s="1"/>
  <c r="Y43" i="17" s="1"/>
  <c r="O42" i="14"/>
  <c r="L42" i="14"/>
  <c r="N42" i="14" s="1"/>
  <c r="Y42" i="17" s="1"/>
  <c r="O41" i="14"/>
  <c r="M41" i="14" s="1"/>
  <c r="N41" i="14"/>
  <c r="L41" i="14"/>
  <c r="O40" i="14"/>
  <c r="N40" i="14"/>
  <c r="Y40" i="17" s="1"/>
  <c r="L40" i="14"/>
  <c r="M40" i="14" s="1"/>
  <c r="O39" i="14"/>
  <c r="L39" i="14"/>
  <c r="N39" i="14" s="1"/>
  <c r="Y39" i="17" s="1"/>
  <c r="O38" i="14"/>
  <c r="L38" i="14"/>
  <c r="N38" i="14" s="1"/>
  <c r="Y38" i="17" s="1"/>
  <c r="O37" i="14"/>
  <c r="N37" i="14"/>
  <c r="Y37" i="17" s="1"/>
  <c r="L37" i="14"/>
  <c r="O36" i="14"/>
  <c r="L36" i="14"/>
  <c r="O35" i="14"/>
  <c r="M35" i="14" s="1"/>
  <c r="L35" i="14"/>
  <c r="N35" i="14" s="1"/>
  <c r="Y35" i="17" s="1"/>
  <c r="O34" i="14"/>
  <c r="L34" i="14"/>
  <c r="N34" i="14" s="1"/>
  <c r="Y34" i="17" s="1"/>
  <c r="O33" i="14"/>
  <c r="L33" i="14"/>
  <c r="N33" i="14" s="1"/>
  <c r="O32" i="14"/>
  <c r="N32" i="14"/>
  <c r="Y32" i="17" s="1"/>
  <c r="M32" i="14"/>
  <c r="L32" i="14"/>
  <c r="O31" i="14"/>
  <c r="L31" i="14"/>
  <c r="N31" i="14" s="1"/>
  <c r="Y31" i="17" s="1"/>
  <c r="O30" i="14"/>
  <c r="M30" i="14" s="1"/>
  <c r="L30" i="14"/>
  <c r="N30" i="14" s="1"/>
  <c r="Y30" i="17" s="1"/>
  <c r="O29" i="14"/>
  <c r="L29" i="14"/>
  <c r="N29" i="14" s="1"/>
  <c r="Y29" i="17" s="1"/>
  <c r="O28" i="14"/>
  <c r="L28" i="14"/>
  <c r="N28" i="14" s="1"/>
  <c r="Y28" i="17" s="1"/>
  <c r="O27" i="14"/>
  <c r="M27" i="14" s="1"/>
  <c r="N27" i="14"/>
  <c r="Y27" i="17" s="1"/>
  <c r="L27" i="14"/>
  <c r="O26" i="14"/>
  <c r="L26" i="14"/>
  <c r="N26" i="14" s="1"/>
  <c r="Y26" i="17" s="1"/>
  <c r="O25" i="14"/>
  <c r="M25" i="14" s="1"/>
  <c r="L25" i="14"/>
  <c r="N25" i="14" s="1"/>
  <c r="Y25" i="17" s="1"/>
  <c r="O24" i="14"/>
  <c r="N24" i="14"/>
  <c r="M24" i="14"/>
  <c r="L24" i="14"/>
  <c r="O23" i="14"/>
  <c r="L23" i="14"/>
  <c r="N23" i="14" s="1"/>
  <c r="Y23" i="17" s="1"/>
  <c r="O22" i="14"/>
  <c r="M22" i="14" s="1"/>
  <c r="N22" i="14"/>
  <c r="Y22" i="17" s="1"/>
  <c r="L22" i="14"/>
  <c r="O21" i="14"/>
  <c r="L21" i="14"/>
  <c r="O20" i="14"/>
  <c r="M20" i="14"/>
  <c r="N20" i="14" s="1"/>
  <c r="Y20" i="17" s="1"/>
  <c r="L20" i="14"/>
  <c r="O19" i="14"/>
  <c r="M19" i="14" s="1"/>
  <c r="N19" i="14"/>
  <c r="Y19" i="17" s="1"/>
  <c r="L19" i="14"/>
  <c r="O18" i="14"/>
  <c r="L18" i="14"/>
  <c r="O17" i="14"/>
  <c r="M17" i="14" s="1"/>
  <c r="N17" i="14"/>
  <c r="Y17" i="17" s="1"/>
  <c r="L17" i="14"/>
  <c r="O16" i="14"/>
  <c r="M16" i="14"/>
  <c r="L16" i="14"/>
  <c r="N16" i="14" s="1"/>
  <c r="Y16" i="17" s="1"/>
  <c r="O15" i="14"/>
  <c r="M15" i="14" s="1"/>
  <c r="N15" i="14"/>
  <c r="Y15" i="17" s="1"/>
  <c r="L15" i="14"/>
  <c r="O14" i="14"/>
  <c r="M14" i="14" s="1"/>
  <c r="N14" i="14"/>
  <c r="Y14" i="17" s="1"/>
  <c r="L14" i="14"/>
  <c r="O13" i="14"/>
  <c r="L13" i="14"/>
  <c r="O12" i="14"/>
  <c r="L12" i="14"/>
  <c r="M12" i="14" s="1"/>
  <c r="N12" i="14" s="1"/>
  <c r="Y12" i="17" s="1"/>
  <c r="O11" i="14"/>
  <c r="L11" i="14"/>
  <c r="O10" i="14"/>
  <c r="M10" i="14" s="1"/>
  <c r="N10" i="14"/>
  <c r="Y10" i="17" s="1"/>
  <c r="L10" i="14"/>
  <c r="O9" i="14"/>
  <c r="M9" i="14" s="1"/>
  <c r="N9" i="14"/>
  <c r="Y9" i="17" s="1"/>
  <c r="L9" i="14"/>
  <c r="O8" i="14"/>
  <c r="M8" i="14"/>
  <c r="L8" i="14"/>
  <c r="N8" i="14" s="1"/>
  <c r="Y8" i="17" s="1"/>
  <c r="O7" i="14"/>
  <c r="M7" i="14" s="1"/>
  <c r="L7" i="14"/>
  <c r="N7" i="14" s="1"/>
  <c r="Y7" i="17" s="1"/>
  <c r="O6" i="14"/>
  <c r="L6" i="14"/>
  <c r="O5" i="14"/>
  <c r="M5" i="14" s="1"/>
  <c r="N5" i="14"/>
  <c r="Y5" i="17" s="1"/>
  <c r="L5" i="14"/>
  <c r="O4" i="14"/>
  <c r="N4" i="14"/>
  <c r="L4" i="14"/>
  <c r="M4" i="14" s="1"/>
  <c r="O3" i="14"/>
  <c r="M3" i="14" s="1"/>
  <c r="N3" i="14" s="1"/>
  <c r="Y3" i="17" s="1"/>
  <c r="L3" i="14"/>
  <c r="O2" i="14"/>
  <c r="M2" i="14" s="1"/>
  <c r="L2" i="14"/>
  <c r="M31" i="13"/>
  <c r="M30" i="13"/>
  <c r="M29" i="13"/>
  <c r="M28" i="13"/>
  <c r="M27" i="13"/>
  <c r="M26" i="13"/>
  <c r="M25" i="13"/>
  <c r="M24" i="13"/>
  <c r="M23" i="13"/>
  <c r="M22" i="13"/>
  <c r="M21" i="13"/>
  <c r="M20" i="13"/>
  <c r="H19" i="13"/>
  <c r="H19" i="6" s="1"/>
  <c r="M18" i="13"/>
  <c r="M17" i="13"/>
  <c r="M16" i="13"/>
  <c r="M15" i="13"/>
  <c r="M14" i="13"/>
  <c r="M13" i="13"/>
  <c r="M12" i="13"/>
  <c r="G11" i="13"/>
  <c r="F11" i="13"/>
  <c r="M10" i="13"/>
  <c r="M9" i="13"/>
  <c r="M8" i="13"/>
  <c r="G6" i="13"/>
  <c r="M2" i="13"/>
  <c r="Z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Z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W6" i="8"/>
  <c r="S6" i="8"/>
  <c r="Q6" i="8"/>
  <c r="O6" i="8"/>
  <c r="N6" i="8"/>
  <c r="M6" i="8"/>
  <c r="K6" i="8"/>
  <c r="I6" i="8"/>
  <c r="G6" i="8"/>
  <c r="C6" i="8"/>
  <c r="X5" i="8"/>
  <c r="X6" i="8" s="1"/>
  <c r="W5" i="8"/>
  <c r="V5" i="8"/>
  <c r="V6" i="8" s="1"/>
  <c r="U5" i="8"/>
  <c r="U6" i="8" s="1"/>
  <c r="T5" i="8"/>
  <c r="T6" i="8" s="1"/>
  <c r="S5" i="8"/>
  <c r="R5" i="8"/>
  <c r="R6" i="8" s="1"/>
  <c r="Q5" i="8"/>
  <c r="P5" i="8"/>
  <c r="P6" i="8" s="1"/>
  <c r="O5" i="8"/>
  <c r="N5" i="8"/>
  <c r="M5" i="8"/>
  <c r="L5" i="8"/>
  <c r="L6" i="8" s="1"/>
  <c r="K5" i="8"/>
  <c r="J5" i="8"/>
  <c r="J6" i="8" s="1"/>
  <c r="I5" i="8"/>
  <c r="H5" i="8"/>
  <c r="H6" i="8" s="1"/>
  <c r="G5" i="8"/>
  <c r="F5" i="8"/>
  <c r="F6" i="8" s="1"/>
  <c r="E5" i="8"/>
  <c r="E6" i="8" s="1"/>
  <c r="D5" i="8"/>
  <c r="D6" i="8" s="1"/>
  <c r="C5" i="8"/>
  <c r="B5" i="8"/>
  <c r="B6" i="8" s="1"/>
  <c r="B60" i="7"/>
  <c r="B59" i="7"/>
  <c r="J1" i="6" s="1"/>
  <c r="N29" i="7"/>
  <c r="K39" i="6" s="1"/>
  <c r="B29" i="7"/>
  <c r="Q28" i="7"/>
  <c r="J42" i="6" s="1"/>
  <c r="B26" i="7"/>
  <c r="N25" i="7"/>
  <c r="G39" i="6" s="1"/>
  <c r="E25" i="7"/>
  <c r="B25" i="7"/>
  <c r="Q24" i="7"/>
  <c r="F42" i="6" s="1"/>
  <c r="N24" i="7"/>
  <c r="Q22" i="7"/>
  <c r="E22" i="7"/>
  <c r="C22" i="7"/>
  <c r="B22" i="7"/>
  <c r="C4" i="31" s="1"/>
  <c r="N21" i="7"/>
  <c r="C39" i="6" s="1"/>
  <c r="N20" i="7"/>
  <c r="B39" i="6" s="1"/>
  <c r="B20" i="7"/>
  <c r="Q19" i="7"/>
  <c r="A42" i="6" s="1"/>
  <c r="S18" i="7"/>
  <c r="C18" i="7"/>
  <c r="C17" i="7"/>
  <c r="F13" i="7"/>
  <c r="R10" i="7"/>
  <c r="P10" i="7"/>
  <c r="B10" i="7"/>
  <c r="M9" i="7"/>
  <c r="M8" i="7"/>
  <c r="B8" i="7"/>
  <c r="B7" i="7"/>
  <c r="B6" i="7"/>
  <c r="C11" i="31" s="1"/>
  <c r="F5" i="7"/>
  <c r="D5" i="7"/>
  <c r="C5" i="7" s="1"/>
  <c r="B5" i="7"/>
  <c r="B4" i="7"/>
  <c r="B3" i="7"/>
  <c r="J63" i="6"/>
  <c r="E63" i="6"/>
  <c r="A63" i="6"/>
  <c r="A62" i="6"/>
  <c r="A61" i="6"/>
  <c r="A60" i="6"/>
  <c r="F58" i="6"/>
  <c r="E58" i="6"/>
  <c r="A58" i="6" s="1"/>
  <c r="D58" i="6"/>
  <c r="F57" i="6"/>
  <c r="E57" i="6"/>
  <c r="D56" i="6"/>
  <c r="F55" i="6"/>
  <c r="E55" i="6"/>
  <c r="C55" i="6" s="1"/>
  <c r="D55" i="6"/>
  <c r="E54" i="6"/>
  <c r="A54" i="6" s="1"/>
  <c r="D54" i="6"/>
  <c r="F53" i="6"/>
  <c r="E53" i="6"/>
  <c r="C53" i="6"/>
  <c r="A53" i="6"/>
  <c r="F52" i="6"/>
  <c r="D52" i="6"/>
  <c r="F51" i="6"/>
  <c r="E50" i="6"/>
  <c r="D50" i="6"/>
  <c r="F49" i="6"/>
  <c r="E49" i="6"/>
  <c r="A49" i="6" s="1"/>
  <c r="D49" i="6"/>
  <c r="F48" i="6"/>
  <c r="D48" i="6"/>
  <c r="F47" i="6"/>
  <c r="D47" i="6"/>
  <c r="D42" i="6"/>
  <c r="L41" i="6"/>
  <c r="K41" i="6"/>
  <c r="J41" i="6"/>
  <c r="I41" i="6"/>
  <c r="H41" i="6"/>
  <c r="G41" i="6"/>
  <c r="F41" i="6"/>
  <c r="E41" i="6"/>
  <c r="D41" i="6"/>
  <c r="C41" i="6"/>
  <c r="B41" i="6"/>
  <c r="A41" i="6"/>
  <c r="A40" i="6"/>
  <c r="F39" i="6"/>
  <c r="L38" i="6"/>
  <c r="K38" i="6"/>
  <c r="J38" i="6"/>
  <c r="I38" i="6"/>
  <c r="H38" i="6"/>
  <c r="G38" i="6"/>
  <c r="F38" i="6"/>
  <c r="E38" i="6"/>
  <c r="D38" i="6"/>
  <c r="C38" i="6"/>
  <c r="B38" i="6"/>
  <c r="A38" i="6"/>
  <c r="A37" i="6"/>
  <c r="A35" i="6"/>
  <c r="K33" i="6"/>
  <c r="G33" i="6"/>
  <c r="K30" i="6"/>
  <c r="J30" i="6"/>
  <c r="I30" i="6"/>
  <c r="H30" i="6"/>
  <c r="G30" i="6"/>
  <c r="F30" i="6"/>
  <c r="E30" i="6"/>
  <c r="D30" i="6"/>
  <c r="C30" i="6"/>
  <c r="A30" i="6"/>
  <c r="F29" i="6"/>
  <c r="F26" i="28" s="1"/>
  <c r="E29" i="6"/>
  <c r="D26" i="28" s="1"/>
  <c r="D29" i="6"/>
  <c r="C29" i="6"/>
  <c r="C26" i="28" s="1"/>
  <c r="A29" i="6"/>
  <c r="B26" i="28" s="1"/>
  <c r="K28" i="6"/>
  <c r="J28" i="6"/>
  <c r="I28" i="6"/>
  <c r="H28" i="6"/>
  <c r="G28" i="6"/>
  <c r="F28" i="6"/>
  <c r="F25" i="28" s="1"/>
  <c r="E28" i="6"/>
  <c r="D25" i="28" s="1"/>
  <c r="D28" i="6"/>
  <c r="C28" i="6"/>
  <c r="C25" i="28" s="1"/>
  <c r="A28" i="6"/>
  <c r="B25" i="28" s="1"/>
  <c r="K27" i="6"/>
  <c r="J27" i="6"/>
  <c r="I27" i="4" s="1"/>
  <c r="I27" i="6"/>
  <c r="H27" i="6"/>
  <c r="G27" i="6"/>
  <c r="F27" i="6"/>
  <c r="F24" i="28" s="1"/>
  <c r="E27" i="6"/>
  <c r="D24" i="28" s="1"/>
  <c r="D27" i="6"/>
  <c r="C27" i="6"/>
  <c r="C24" i="28" s="1"/>
  <c r="A27" i="6"/>
  <c r="B24" i="28" s="1"/>
  <c r="K26" i="6"/>
  <c r="L26" i="4" s="1"/>
  <c r="J26" i="6"/>
  <c r="I26" i="6"/>
  <c r="H26" i="6"/>
  <c r="G26" i="6"/>
  <c r="F26" i="6"/>
  <c r="F23" i="28" s="1"/>
  <c r="E26" i="6"/>
  <c r="D23" i="28" s="1"/>
  <c r="D26" i="6"/>
  <c r="C26" i="6"/>
  <c r="C23" i="28" s="1"/>
  <c r="A26" i="6"/>
  <c r="B23" i="28" s="1"/>
  <c r="K25" i="6"/>
  <c r="J25" i="6"/>
  <c r="I25" i="6"/>
  <c r="H25" i="6"/>
  <c r="G25" i="6"/>
  <c r="F25" i="6"/>
  <c r="F22" i="28" s="1"/>
  <c r="E25" i="6"/>
  <c r="D22" i="28" s="1"/>
  <c r="D25" i="6"/>
  <c r="C25" i="6"/>
  <c r="C22" i="28" s="1"/>
  <c r="A25" i="6"/>
  <c r="B22" i="28" s="1"/>
  <c r="K24" i="6"/>
  <c r="J24" i="6"/>
  <c r="I24" i="4" s="1"/>
  <c r="I24" i="6"/>
  <c r="H24" i="6"/>
  <c r="G24" i="6"/>
  <c r="F24" i="6"/>
  <c r="F21" i="28" s="1"/>
  <c r="E24" i="6"/>
  <c r="D21" i="28" s="1"/>
  <c r="D24" i="6"/>
  <c r="C24" i="6"/>
  <c r="C21" i="28" s="1"/>
  <c r="A24" i="6"/>
  <c r="B21" i="28" s="1"/>
  <c r="K23" i="6"/>
  <c r="L23" i="4" s="1"/>
  <c r="J23" i="6"/>
  <c r="I23" i="4" s="1"/>
  <c r="I23" i="6"/>
  <c r="H23" i="6"/>
  <c r="G23" i="6"/>
  <c r="F23" i="6"/>
  <c r="F20" i="28" s="1"/>
  <c r="E23" i="6"/>
  <c r="D20" i="28" s="1"/>
  <c r="D23" i="6"/>
  <c r="C23" i="6"/>
  <c r="C20" i="28" s="1"/>
  <c r="A23" i="6"/>
  <c r="B20" i="28" s="1"/>
  <c r="K22" i="6"/>
  <c r="J22" i="6"/>
  <c r="I22" i="6"/>
  <c r="H22" i="6"/>
  <c r="G22" i="6"/>
  <c r="F22" i="6"/>
  <c r="F19" i="28" s="1"/>
  <c r="E22" i="6"/>
  <c r="D19" i="28" s="1"/>
  <c r="D22" i="6"/>
  <c r="C22" i="6"/>
  <c r="C19" i="28" s="1"/>
  <c r="A22" i="6"/>
  <c r="B19" i="28" s="1"/>
  <c r="K21" i="6"/>
  <c r="L21" i="4" s="1"/>
  <c r="J21" i="6"/>
  <c r="I21" i="6"/>
  <c r="H21" i="6"/>
  <c r="G21" i="6"/>
  <c r="F21" i="6"/>
  <c r="F18" i="28" s="1"/>
  <c r="E21" i="6"/>
  <c r="D18" i="28" s="1"/>
  <c r="D21" i="6"/>
  <c r="C21" i="6"/>
  <c r="C18" i="28" s="1"/>
  <c r="A21" i="6"/>
  <c r="B18" i="28" s="1"/>
  <c r="K20" i="6"/>
  <c r="J20" i="6"/>
  <c r="I20" i="6"/>
  <c r="H20" i="6"/>
  <c r="G20" i="6"/>
  <c r="F20" i="6"/>
  <c r="F17" i="28" s="1"/>
  <c r="E20" i="6"/>
  <c r="D17" i="28" s="1"/>
  <c r="D20" i="6"/>
  <c r="C20" i="6"/>
  <c r="C17" i="28" s="1"/>
  <c r="A20" i="6"/>
  <c r="B17" i="28" s="1"/>
  <c r="E19" i="6"/>
  <c r="D16" i="28" s="1"/>
  <c r="D19" i="6"/>
  <c r="C19" i="6"/>
  <c r="C16" i="28" s="1"/>
  <c r="A19" i="6"/>
  <c r="B16" i="28" s="1"/>
  <c r="D18" i="6"/>
  <c r="A18" i="6"/>
  <c r="B15" i="28" s="1"/>
  <c r="K17" i="6"/>
  <c r="L17" i="4" s="1"/>
  <c r="J17" i="6"/>
  <c r="I17" i="6"/>
  <c r="H17" i="6"/>
  <c r="G17" i="6"/>
  <c r="F17" i="6"/>
  <c r="F14" i="28" s="1"/>
  <c r="E17" i="6"/>
  <c r="D14" i="28" s="1"/>
  <c r="D17" i="6"/>
  <c r="C17" i="6"/>
  <c r="C14" i="28" s="1"/>
  <c r="A17" i="6"/>
  <c r="B14" i="28" s="1"/>
  <c r="K16" i="6"/>
  <c r="J16" i="6"/>
  <c r="I16" i="4" s="1"/>
  <c r="I16" i="6"/>
  <c r="H16" i="6"/>
  <c r="G16" i="6"/>
  <c r="F16" i="6"/>
  <c r="F13" i="28" s="1"/>
  <c r="E16" i="6"/>
  <c r="D13" i="28" s="1"/>
  <c r="D16" i="6"/>
  <c r="C16" i="6"/>
  <c r="C13" i="28" s="1"/>
  <c r="A16" i="6"/>
  <c r="B13" i="28" s="1"/>
  <c r="K15" i="6"/>
  <c r="J15" i="6"/>
  <c r="I15" i="6"/>
  <c r="H15" i="6"/>
  <c r="G15" i="6"/>
  <c r="F15" i="6"/>
  <c r="F12" i="28" s="1"/>
  <c r="E15" i="6"/>
  <c r="D12" i="28" s="1"/>
  <c r="D15" i="6"/>
  <c r="C15" i="6"/>
  <c r="C12" i="28" s="1"/>
  <c r="A15" i="6"/>
  <c r="B12" i="28" s="1"/>
  <c r="K14" i="6"/>
  <c r="J14" i="6"/>
  <c r="I14" i="6"/>
  <c r="H14" i="6"/>
  <c r="G14" i="6"/>
  <c r="F14" i="6"/>
  <c r="F11" i="28" s="1"/>
  <c r="E14" i="6"/>
  <c r="D11" i="28" s="1"/>
  <c r="D14" i="6"/>
  <c r="C14" i="6"/>
  <c r="C11" i="28" s="1"/>
  <c r="A14" i="6"/>
  <c r="B11" i="28" s="1"/>
  <c r="E13" i="6"/>
  <c r="D10" i="28" s="1"/>
  <c r="D13" i="6"/>
  <c r="C13" i="6"/>
  <c r="C10" i="28" s="1"/>
  <c r="A13" i="6"/>
  <c r="B10" i="28" s="1"/>
  <c r="G12" i="6"/>
  <c r="F12" i="6"/>
  <c r="F9" i="28" s="1"/>
  <c r="E12" i="6"/>
  <c r="D9" i="28" s="1"/>
  <c r="D12" i="6"/>
  <c r="C12" i="6"/>
  <c r="C9" i="28" s="1"/>
  <c r="A12" i="6"/>
  <c r="B9" i="28" s="1"/>
  <c r="E11" i="6"/>
  <c r="D8" i="28" s="1"/>
  <c r="D11" i="6"/>
  <c r="C11" i="6"/>
  <c r="C8" i="28" s="1"/>
  <c r="A11" i="6"/>
  <c r="B8" i="28" s="1"/>
  <c r="E10" i="6"/>
  <c r="D7" i="28" s="1"/>
  <c r="D10" i="6"/>
  <c r="C10" i="6"/>
  <c r="C7" i="28" s="1"/>
  <c r="A10" i="6"/>
  <c r="B7" i="28" s="1"/>
  <c r="A6" i="6"/>
  <c r="H4" i="6"/>
  <c r="C4" i="6"/>
  <c r="K3" i="6"/>
  <c r="H3" i="6"/>
  <c r="C3" i="6"/>
  <c r="C1" i="6"/>
  <c r="A34" i="4"/>
  <c r="G29" i="4"/>
  <c r="F29" i="4"/>
  <c r="E29" i="4"/>
  <c r="D29" i="4"/>
  <c r="C29" i="4"/>
  <c r="A29" i="4"/>
  <c r="L28" i="4"/>
  <c r="K28" i="4"/>
  <c r="J28" i="4"/>
  <c r="I28" i="4"/>
  <c r="H28" i="4"/>
  <c r="G28" i="4"/>
  <c r="F28" i="4"/>
  <c r="E28" i="4"/>
  <c r="D28" i="4"/>
  <c r="C28" i="4"/>
  <c r="A28" i="4"/>
  <c r="L27" i="4"/>
  <c r="J27" i="4"/>
  <c r="K27" i="4" s="1"/>
  <c r="H27" i="4"/>
  <c r="G27" i="4"/>
  <c r="F27" i="4"/>
  <c r="E27" i="4"/>
  <c r="D27" i="4"/>
  <c r="C27" i="4"/>
  <c r="A27" i="4"/>
  <c r="J26" i="4"/>
  <c r="K26" i="4" s="1"/>
  <c r="I26" i="4"/>
  <c r="H26" i="4"/>
  <c r="G26" i="4"/>
  <c r="F26" i="4"/>
  <c r="E26" i="4"/>
  <c r="D26" i="4"/>
  <c r="C26" i="4"/>
  <c r="A26" i="4"/>
  <c r="L25" i="4"/>
  <c r="K25" i="4"/>
  <c r="J25" i="4"/>
  <c r="I25" i="4"/>
  <c r="H25" i="4"/>
  <c r="G25" i="4"/>
  <c r="F25" i="4"/>
  <c r="E25" i="4"/>
  <c r="D25" i="4"/>
  <c r="C25" i="4"/>
  <c r="A25" i="4"/>
  <c r="L24" i="4"/>
  <c r="J24" i="4"/>
  <c r="K24" i="4" s="1"/>
  <c r="H24" i="4"/>
  <c r="G24" i="4"/>
  <c r="F24" i="4"/>
  <c r="E24" i="4"/>
  <c r="D24" i="4"/>
  <c r="C24" i="4"/>
  <c r="A24" i="4"/>
  <c r="K23" i="4"/>
  <c r="J23" i="4"/>
  <c r="H23" i="4"/>
  <c r="G23" i="4"/>
  <c r="F23" i="4"/>
  <c r="E23" i="4"/>
  <c r="D23" i="4"/>
  <c r="C23" i="4"/>
  <c r="A23" i="4"/>
  <c r="L22" i="4"/>
  <c r="J22" i="4"/>
  <c r="K22" i="4" s="1"/>
  <c r="I22" i="4"/>
  <c r="H22" i="4"/>
  <c r="G22" i="4"/>
  <c r="F22" i="4"/>
  <c r="E22" i="4"/>
  <c r="D22" i="4"/>
  <c r="C22" i="4"/>
  <c r="A22" i="4"/>
  <c r="J21" i="4"/>
  <c r="K21" i="4" s="1"/>
  <c r="I21" i="4"/>
  <c r="H21" i="4"/>
  <c r="G21" i="4"/>
  <c r="F21" i="4"/>
  <c r="E21" i="4"/>
  <c r="D21" i="4"/>
  <c r="C21" i="4"/>
  <c r="A21" i="4"/>
  <c r="L20" i="4"/>
  <c r="J20" i="4"/>
  <c r="K20" i="4" s="1"/>
  <c r="I20" i="4"/>
  <c r="H20" i="4"/>
  <c r="G20" i="4"/>
  <c r="F20" i="4"/>
  <c r="E20" i="4"/>
  <c r="D20" i="4"/>
  <c r="C20" i="4"/>
  <c r="A20" i="4"/>
  <c r="H19" i="4"/>
  <c r="E19" i="4"/>
  <c r="D19" i="4"/>
  <c r="C19" i="4"/>
  <c r="A19" i="4"/>
  <c r="D18" i="4"/>
  <c r="A18" i="4"/>
  <c r="J17" i="4"/>
  <c r="K17" i="4" s="1"/>
  <c r="I17" i="4"/>
  <c r="H17" i="4"/>
  <c r="G17" i="4"/>
  <c r="F17" i="4"/>
  <c r="E17" i="4"/>
  <c r="D17" i="4"/>
  <c r="C17" i="4"/>
  <c r="A17" i="4"/>
  <c r="L16" i="4"/>
  <c r="J16" i="4"/>
  <c r="K16" i="4" s="1"/>
  <c r="H16" i="4"/>
  <c r="G16" i="4"/>
  <c r="F16" i="4"/>
  <c r="E16" i="4"/>
  <c r="D16" i="4"/>
  <c r="C16" i="4"/>
  <c r="A16" i="4"/>
  <c r="L15" i="4"/>
  <c r="K15" i="4"/>
  <c r="J15" i="4"/>
  <c r="I15" i="4"/>
  <c r="H15" i="4"/>
  <c r="G15" i="4"/>
  <c r="F15" i="4"/>
  <c r="E15" i="4"/>
  <c r="D15" i="4"/>
  <c r="C15" i="4"/>
  <c r="A15" i="4"/>
  <c r="L14" i="4"/>
  <c r="K14" i="4"/>
  <c r="J14" i="4"/>
  <c r="I14" i="4"/>
  <c r="H14" i="4"/>
  <c r="G14" i="4"/>
  <c r="F14" i="4"/>
  <c r="E14" i="4"/>
  <c r="D14" i="4"/>
  <c r="C14" i="4"/>
  <c r="A14" i="4"/>
  <c r="E13" i="4"/>
  <c r="D13" i="4"/>
  <c r="C13" i="4"/>
  <c r="A13" i="4"/>
  <c r="G12" i="4"/>
  <c r="F12" i="4"/>
  <c r="E12" i="4"/>
  <c r="D12" i="4"/>
  <c r="C12" i="4"/>
  <c r="A12" i="4"/>
  <c r="E11" i="4"/>
  <c r="D11" i="4"/>
  <c r="C11" i="4"/>
  <c r="A11" i="4"/>
  <c r="E10" i="4"/>
  <c r="D10" i="4"/>
  <c r="C10" i="4"/>
  <c r="A10" i="4"/>
  <c r="P7" i="4"/>
  <c r="P6" i="4"/>
  <c r="H4" i="4"/>
  <c r="C4" i="4"/>
  <c r="H3" i="4"/>
  <c r="C3" i="4"/>
  <c r="A2" i="4"/>
  <c r="K232" i="3"/>
  <c r="L232" i="3" s="1"/>
  <c r="J232" i="3"/>
  <c r="I232" i="3"/>
  <c r="E232" i="3"/>
  <c r="C232" i="3"/>
  <c r="B232" i="3"/>
  <c r="L231" i="3"/>
  <c r="K231" i="3"/>
  <c r="J231" i="3"/>
  <c r="I231" i="3"/>
  <c r="E231" i="3"/>
  <c r="C231" i="3"/>
  <c r="B231" i="3"/>
  <c r="K230" i="3"/>
  <c r="L230" i="3" s="1"/>
  <c r="J230" i="3"/>
  <c r="I230" i="3"/>
  <c r="E230" i="3"/>
  <c r="C230" i="3"/>
  <c r="B230" i="3"/>
  <c r="L229" i="3"/>
  <c r="K229" i="3"/>
  <c r="J229" i="3"/>
  <c r="I229" i="3"/>
  <c r="E229" i="3"/>
  <c r="C229" i="3"/>
  <c r="B229" i="3"/>
  <c r="K228" i="3"/>
  <c r="L228" i="3" s="1"/>
  <c r="J228" i="3"/>
  <c r="I228" i="3"/>
  <c r="E228" i="3"/>
  <c r="C228" i="3"/>
  <c r="B228" i="3"/>
  <c r="K227" i="3"/>
  <c r="L227" i="3" s="1"/>
  <c r="J227" i="3"/>
  <c r="I227" i="3"/>
  <c r="E227" i="3"/>
  <c r="C227" i="3"/>
  <c r="B227" i="3"/>
  <c r="L226" i="3"/>
  <c r="K226" i="3"/>
  <c r="J226" i="3"/>
  <c r="I226" i="3"/>
  <c r="E226" i="3"/>
  <c r="C226" i="3"/>
  <c r="B226" i="3"/>
  <c r="K225" i="3"/>
  <c r="L225" i="3" s="1"/>
  <c r="J225" i="3"/>
  <c r="I225" i="3"/>
  <c r="E225" i="3"/>
  <c r="C225" i="3"/>
  <c r="B225" i="3"/>
  <c r="L224" i="3"/>
  <c r="K224" i="3"/>
  <c r="J224" i="3"/>
  <c r="I224" i="3"/>
  <c r="E224" i="3"/>
  <c r="C224" i="3"/>
  <c r="B224" i="3"/>
  <c r="K223" i="3"/>
  <c r="L223" i="3" s="1"/>
  <c r="J223" i="3"/>
  <c r="I223" i="3"/>
  <c r="E223" i="3"/>
  <c r="C223" i="3"/>
  <c r="B223" i="3"/>
  <c r="L222" i="3"/>
  <c r="K222" i="3"/>
  <c r="J222" i="3"/>
  <c r="I222" i="3"/>
  <c r="E222" i="3"/>
  <c r="C222" i="3"/>
  <c r="B222" i="3"/>
  <c r="K221" i="3"/>
  <c r="L221" i="3" s="1"/>
  <c r="J221" i="3"/>
  <c r="I221" i="3"/>
  <c r="E221" i="3"/>
  <c r="C221" i="3"/>
  <c r="B221" i="3"/>
  <c r="K220" i="3"/>
  <c r="L220" i="3" s="1"/>
  <c r="J220" i="3"/>
  <c r="I220" i="3"/>
  <c r="E220" i="3"/>
  <c r="C220" i="3"/>
  <c r="B220" i="3"/>
  <c r="L219" i="3"/>
  <c r="K219" i="3"/>
  <c r="J219" i="3"/>
  <c r="I219" i="3"/>
  <c r="E219" i="3"/>
  <c r="C219" i="3"/>
  <c r="B219" i="3"/>
  <c r="L218" i="3"/>
  <c r="K218" i="3"/>
  <c r="J218" i="3"/>
  <c r="I218" i="3"/>
  <c r="E218" i="3"/>
  <c r="C218" i="3"/>
  <c r="B218" i="3"/>
  <c r="K217" i="3"/>
  <c r="L217" i="3" s="1"/>
  <c r="J217" i="3"/>
  <c r="I217" i="3"/>
  <c r="E217" i="3"/>
  <c r="C217" i="3"/>
  <c r="B217" i="3"/>
  <c r="L216" i="3"/>
  <c r="K216" i="3"/>
  <c r="J216" i="3"/>
  <c r="I216" i="3"/>
  <c r="E216" i="3"/>
  <c r="C216" i="3"/>
  <c r="B216" i="3"/>
  <c r="K215" i="3"/>
  <c r="L215" i="3" s="1"/>
  <c r="J215" i="3"/>
  <c r="I215" i="3"/>
  <c r="E215" i="3"/>
  <c r="C215" i="3"/>
  <c r="B215" i="3"/>
  <c r="K214" i="3"/>
  <c r="L214" i="3" s="1"/>
  <c r="J214" i="3"/>
  <c r="I214" i="3"/>
  <c r="E214" i="3"/>
  <c r="C214" i="3"/>
  <c r="B214" i="3"/>
  <c r="K213" i="3"/>
  <c r="L213" i="3" s="1"/>
  <c r="J213" i="3"/>
  <c r="I213" i="3"/>
  <c r="E213" i="3"/>
  <c r="C213" i="3"/>
  <c r="B213" i="3"/>
  <c r="K212" i="3"/>
  <c r="L212" i="3" s="1"/>
  <c r="J212" i="3"/>
  <c r="I212" i="3"/>
  <c r="E212" i="3"/>
  <c r="C212" i="3"/>
  <c r="B212" i="3"/>
  <c r="L211" i="3"/>
  <c r="K211" i="3"/>
  <c r="J211" i="3"/>
  <c r="I211" i="3"/>
  <c r="E211" i="3"/>
  <c r="C211" i="3"/>
  <c r="B211" i="3"/>
  <c r="K210" i="3"/>
  <c r="L210" i="3" s="1"/>
  <c r="J210" i="3"/>
  <c r="I210" i="3"/>
  <c r="E210" i="3"/>
  <c r="C210" i="3"/>
  <c r="B210" i="3"/>
  <c r="L209" i="3"/>
  <c r="K209" i="3"/>
  <c r="J209" i="3"/>
  <c r="I209" i="3"/>
  <c r="E209" i="3"/>
  <c r="C209" i="3"/>
  <c r="B209" i="3"/>
  <c r="K208" i="3"/>
  <c r="L208" i="3" s="1"/>
  <c r="J208" i="3"/>
  <c r="I208" i="3"/>
  <c r="E208" i="3"/>
  <c r="C208" i="3"/>
  <c r="B208" i="3"/>
  <c r="K207" i="3"/>
  <c r="L207" i="3" s="1"/>
  <c r="J207" i="3"/>
  <c r="I207" i="3"/>
  <c r="E207" i="3"/>
  <c r="C207" i="3"/>
  <c r="B207" i="3"/>
  <c r="K206" i="3"/>
  <c r="L206" i="3" s="1"/>
  <c r="J206" i="3"/>
  <c r="I206" i="3"/>
  <c r="E206" i="3"/>
  <c r="C206" i="3"/>
  <c r="B206" i="3"/>
  <c r="L205" i="3"/>
  <c r="K205" i="3"/>
  <c r="J205" i="3"/>
  <c r="I205" i="3"/>
  <c r="E205" i="3"/>
  <c r="C205" i="3"/>
  <c r="B205" i="3"/>
  <c r="K204" i="3"/>
  <c r="L204" i="3" s="1"/>
  <c r="J204" i="3"/>
  <c r="I204" i="3"/>
  <c r="E204" i="3"/>
  <c r="C204" i="3"/>
  <c r="B204" i="3"/>
  <c r="L203" i="3"/>
  <c r="K203" i="3"/>
  <c r="J203" i="3"/>
  <c r="I203" i="3"/>
  <c r="E203" i="3"/>
  <c r="C203" i="3"/>
  <c r="B203" i="3"/>
  <c r="K202" i="3"/>
  <c r="L202" i="3" s="1"/>
  <c r="J202" i="3"/>
  <c r="I202" i="3"/>
  <c r="E202" i="3"/>
  <c r="C202" i="3"/>
  <c r="B202" i="3"/>
  <c r="L201" i="3"/>
  <c r="K201" i="3"/>
  <c r="J201" i="3"/>
  <c r="I201" i="3"/>
  <c r="E201" i="3"/>
  <c r="C201" i="3"/>
  <c r="B201" i="3"/>
  <c r="K200" i="3"/>
  <c r="L200" i="3" s="1"/>
  <c r="J200" i="3"/>
  <c r="I200" i="3"/>
  <c r="E200" i="3"/>
  <c r="C200" i="3"/>
  <c r="B200" i="3"/>
  <c r="L199" i="3"/>
  <c r="K199" i="3"/>
  <c r="J199" i="3"/>
  <c r="I199" i="3"/>
  <c r="E199" i="3"/>
  <c r="C199" i="3"/>
  <c r="B199" i="3"/>
  <c r="K198" i="3"/>
  <c r="L198" i="3" s="1"/>
  <c r="J198" i="3"/>
  <c r="I198" i="3"/>
  <c r="E198" i="3"/>
  <c r="C198" i="3"/>
  <c r="B198" i="3"/>
  <c r="K197" i="3"/>
  <c r="L197" i="3" s="1"/>
  <c r="J197" i="3"/>
  <c r="I197" i="3"/>
  <c r="E197" i="3"/>
  <c r="C197" i="3"/>
  <c r="B197" i="3"/>
  <c r="K196" i="3"/>
  <c r="L196" i="3" s="1"/>
  <c r="J196" i="3"/>
  <c r="I196" i="3"/>
  <c r="E196" i="3"/>
  <c r="C196" i="3"/>
  <c r="B196" i="3"/>
  <c r="K195" i="3"/>
  <c r="L195" i="3" s="1"/>
  <c r="J195" i="3"/>
  <c r="I195" i="3"/>
  <c r="E195" i="3"/>
  <c r="C195" i="3"/>
  <c r="B195" i="3"/>
  <c r="L194" i="3"/>
  <c r="K194" i="3"/>
  <c r="J194" i="3"/>
  <c r="I194" i="3"/>
  <c r="E194" i="3"/>
  <c r="C194" i="3"/>
  <c r="B194" i="3"/>
  <c r="K193" i="3"/>
  <c r="L193" i="3" s="1"/>
  <c r="J193" i="3"/>
  <c r="I193" i="3"/>
  <c r="E193" i="3"/>
  <c r="C193" i="3"/>
  <c r="B193" i="3"/>
  <c r="L192" i="3"/>
  <c r="K192" i="3"/>
  <c r="J192" i="3"/>
  <c r="I192" i="3"/>
  <c r="E192" i="3"/>
  <c r="C192" i="3"/>
  <c r="B192" i="3"/>
  <c r="K191" i="3"/>
  <c r="L191" i="3" s="1"/>
  <c r="J191" i="3"/>
  <c r="I191" i="3"/>
  <c r="E191" i="3"/>
  <c r="C191" i="3"/>
  <c r="B191" i="3"/>
  <c r="K190" i="3"/>
  <c r="L190" i="3" s="1"/>
  <c r="J190" i="3"/>
  <c r="I190" i="3"/>
  <c r="E190" i="3"/>
  <c r="C190" i="3"/>
  <c r="B190" i="3"/>
  <c r="K189" i="3"/>
  <c r="L189" i="3" s="1"/>
  <c r="J189" i="3"/>
  <c r="I189" i="3"/>
  <c r="E189" i="3"/>
  <c r="C189" i="3"/>
  <c r="B189" i="3"/>
  <c r="L188" i="3"/>
  <c r="K188" i="3"/>
  <c r="J188" i="3"/>
  <c r="I188" i="3"/>
  <c r="E188" i="3"/>
  <c r="C188" i="3"/>
  <c r="B188" i="3"/>
  <c r="L187" i="3"/>
  <c r="K187" i="3"/>
  <c r="J187" i="3"/>
  <c r="I187" i="3"/>
  <c r="E187" i="3"/>
  <c r="C187" i="3"/>
  <c r="B187" i="3"/>
  <c r="L186" i="3"/>
  <c r="K186" i="3"/>
  <c r="J186" i="3"/>
  <c r="I186" i="3"/>
  <c r="E186" i="3"/>
  <c r="C186" i="3"/>
  <c r="B186" i="3"/>
  <c r="K185" i="3"/>
  <c r="L185" i="3" s="1"/>
  <c r="J185" i="3"/>
  <c r="I185" i="3"/>
  <c r="E185" i="3"/>
  <c r="C185" i="3"/>
  <c r="B185" i="3"/>
  <c r="K184" i="3"/>
  <c r="L184" i="3" s="1"/>
  <c r="J184" i="3"/>
  <c r="I184" i="3"/>
  <c r="E184" i="3"/>
  <c r="C184" i="3"/>
  <c r="B184" i="3"/>
  <c r="K183" i="3"/>
  <c r="L183" i="3" s="1"/>
  <c r="J183" i="3"/>
  <c r="I183" i="3"/>
  <c r="E183" i="3"/>
  <c r="C183" i="3"/>
  <c r="B183" i="3"/>
  <c r="L182" i="3"/>
  <c r="K182" i="3"/>
  <c r="J182" i="3"/>
  <c r="I182" i="3"/>
  <c r="E182" i="3"/>
  <c r="C182" i="3"/>
  <c r="B182" i="3"/>
  <c r="K181" i="3"/>
  <c r="L181" i="3" s="1"/>
  <c r="J181" i="3"/>
  <c r="I181" i="3"/>
  <c r="E181" i="3"/>
  <c r="C181" i="3"/>
  <c r="B181" i="3"/>
  <c r="K180" i="3"/>
  <c r="L180" i="3" s="1"/>
  <c r="J180" i="3"/>
  <c r="I180" i="3"/>
  <c r="E180" i="3"/>
  <c r="C180" i="3"/>
  <c r="B180" i="3"/>
  <c r="L179" i="3"/>
  <c r="K179" i="3"/>
  <c r="J179" i="3"/>
  <c r="I179" i="3"/>
  <c r="E179" i="3"/>
  <c r="C179" i="3"/>
  <c r="B179" i="3"/>
  <c r="K178" i="3"/>
  <c r="L178" i="3" s="1"/>
  <c r="J178" i="3"/>
  <c r="I178" i="3"/>
  <c r="E178" i="3"/>
  <c r="C178" i="3"/>
  <c r="B178" i="3"/>
  <c r="K177" i="3"/>
  <c r="L177" i="3" s="1"/>
  <c r="J177" i="3"/>
  <c r="I177" i="3"/>
  <c r="E177" i="3"/>
  <c r="C177" i="3"/>
  <c r="B177" i="3"/>
  <c r="K176" i="3"/>
  <c r="L176" i="3" s="1"/>
  <c r="J176" i="3"/>
  <c r="I176" i="3"/>
  <c r="E176" i="3"/>
  <c r="C176" i="3"/>
  <c r="B176" i="3"/>
  <c r="L175" i="3"/>
  <c r="K175" i="3"/>
  <c r="J175" i="3"/>
  <c r="I175" i="3"/>
  <c r="E175" i="3"/>
  <c r="C175" i="3"/>
  <c r="B175" i="3"/>
  <c r="K174" i="3"/>
  <c r="L174" i="3" s="1"/>
  <c r="J174" i="3"/>
  <c r="I174" i="3"/>
  <c r="E174" i="3"/>
  <c r="C174" i="3"/>
  <c r="B174" i="3"/>
  <c r="L173" i="3"/>
  <c r="K173" i="3"/>
  <c r="J173" i="3"/>
  <c r="I173" i="3"/>
  <c r="E173" i="3"/>
  <c r="C173" i="3"/>
  <c r="B173" i="3"/>
  <c r="K172" i="3"/>
  <c r="L172" i="3" s="1"/>
  <c r="J172" i="3"/>
  <c r="I172" i="3"/>
  <c r="E172" i="3"/>
  <c r="C172" i="3"/>
  <c r="B172" i="3"/>
  <c r="L171" i="3"/>
  <c r="K171" i="3"/>
  <c r="J171" i="3"/>
  <c r="I171" i="3"/>
  <c r="E171" i="3"/>
  <c r="C171" i="3"/>
  <c r="B171" i="3"/>
  <c r="K170" i="3"/>
  <c r="L170" i="3" s="1"/>
  <c r="J170" i="3"/>
  <c r="I170" i="3"/>
  <c r="E170" i="3"/>
  <c r="C170" i="3"/>
  <c r="B170" i="3"/>
  <c r="L169" i="3"/>
  <c r="K169" i="3"/>
  <c r="J169" i="3"/>
  <c r="I169" i="3"/>
  <c r="E169" i="3"/>
  <c r="C169" i="3"/>
  <c r="B169" i="3"/>
  <c r="K168" i="3"/>
  <c r="L168" i="3" s="1"/>
  <c r="J168" i="3"/>
  <c r="I168" i="3"/>
  <c r="E168" i="3"/>
  <c r="C168" i="3"/>
  <c r="B168" i="3"/>
  <c r="K167" i="3"/>
  <c r="L167" i="3" s="1"/>
  <c r="J167" i="3"/>
  <c r="I167" i="3"/>
  <c r="E167" i="3"/>
  <c r="C167" i="3"/>
  <c r="B167" i="3"/>
  <c r="K166" i="3"/>
  <c r="L166" i="3" s="1"/>
  <c r="J166" i="3"/>
  <c r="I166" i="3"/>
  <c r="E166" i="3"/>
  <c r="C166" i="3"/>
  <c r="B166" i="3"/>
  <c r="L165" i="3"/>
  <c r="K165" i="3"/>
  <c r="J165" i="3"/>
  <c r="I165" i="3"/>
  <c r="E165" i="3"/>
  <c r="C165" i="3"/>
  <c r="B165" i="3"/>
  <c r="K164" i="3"/>
  <c r="L164" i="3" s="1"/>
  <c r="J164" i="3"/>
  <c r="I164" i="3"/>
  <c r="E164" i="3"/>
  <c r="C164" i="3"/>
  <c r="B164" i="3"/>
  <c r="L163" i="3"/>
  <c r="K163" i="3"/>
  <c r="J163" i="3"/>
  <c r="I163" i="3"/>
  <c r="E163" i="3"/>
  <c r="C163" i="3"/>
  <c r="B163" i="3"/>
  <c r="K162" i="3"/>
  <c r="L162" i="3" s="1"/>
  <c r="J162" i="3"/>
  <c r="I162" i="3"/>
  <c r="E162" i="3"/>
  <c r="C162" i="3"/>
  <c r="B162" i="3"/>
  <c r="K161" i="3"/>
  <c r="L161" i="3" s="1"/>
  <c r="J161" i="3"/>
  <c r="I161" i="3"/>
  <c r="E161" i="3"/>
  <c r="C161" i="3"/>
  <c r="B161" i="3"/>
  <c r="K160" i="3"/>
  <c r="L160" i="3" s="1"/>
  <c r="J160" i="3"/>
  <c r="I160" i="3"/>
  <c r="E160" i="3"/>
  <c r="C160" i="3"/>
  <c r="B160" i="3"/>
  <c r="L159" i="3"/>
  <c r="K159" i="3"/>
  <c r="J159" i="3"/>
  <c r="I159" i="3"/>
  <c r="E159" i="3"/>
  <c r="C159" i="3"/>
  <c r="B159" i="3"/>
  <c r="K158" i="3"/>
  <c r="L158" i="3" s="1"/>
  <c r="J158" i="3"/>
  <c r="I158" i="3"/>
  <c r="E158" i="3"/>
  <c r="C158" i="3"/>
  <c r="B158" i="3"/>
  <c r="L157" i="3"/>
  <c r="K157" i="3"/>
  <c r="J157" i="3"/>
  <c r="I157" i="3"/>
  <c r="E157" i="3"/>
  <c r="C157" i="3"/>
  <c r="B157" i="3"/>
  <c r="K156" i="3"/>
  <c r="L156" i="3" s="1"/>
  <c r="J156" i="3"/>
  <c r="I156" i="3"/>
  <c r="E156" i="3"/>
  <c r="C156" i="3"/>
  <c r="B156" i="3"/>
  <c r="L155" i="3"/>
  <c r="K155" i="3"/>
  <c r="J155" i="3"/>
  <c r="I155" i="3"/>
  <c r="E155" i="3"/>
  <c r="C155" i="3"/>
  <c r="B155" i="3"/>
  <c r="K154" i="3"/>
  <c r="L154" i="3" s="1"/>
  <c r="J154" i="3"/>
  <c r="I154" i="3"/>
  <c r="E154" i="3"/>
  <c r="C154" i="3"/>
  <c r="B154" i="3"/>
  <c r="L153" i="3"/>
  <c r="K153" i="3"/>
  <c r="J153" i="3"/>
  <c r="I153" i="3"/>
  <c r="E153" i="3"/>
  <c r="C153" i="3"/>
  <c r="B153" i="3"/>
  <c r="K152" i="3"/>
  <c r="L152" i="3" s="1"/>
  <c r="J152" i="3"/>
  <c r="I152" i="3"/>
  <c r="E152" i="3"/>
  <c r="C152" i="3"/>
  <c r="B152" i="3"/>
  <c r="K151" i="3"/>
  <c r="L151" i="3" s="1"/>
  <c r="J151" i="3"/>
  <c r="I151" i="3"/>
  <c r="E151" i="3"/>
  <c r="C151" i="3"/>
  <c r="B151" i="3"/>
  <c r="K150" i="3"/>
  <c r="L150" i="3" s="1"/>
  <c r="J150" i="3"/>
  <c r="I150" i="3"/>
  <c r="E150" i="3"/>
  <c r="C150" i="3"/>
  <c r="B150" i="3"/>
  <c r="L149" i="3"/>
  <c r="K149" i="3"/>
  <c r="J149" i="3"/>
  <c r="I149" i="3"/>
  <c r="E149" i="3"/>
  <c r="C149" i="3"/>
  <c r="B149" i="3"/>
  <c r="K148" i="3"/>
  <c r="L148" i="3" s="1"/>
  <c r="J148" i="3"/>
  <c r="I148" i="3"/>
  <c r="E148" i="3"/>
  <c r="C148" i="3"/>
  <c r="B148" i="3"/>
  <c r="L147" i="3"/>
  <c r="K147" i="3"/>
  <c r="J147" i="3"/>
  <c r="I147" i="3"/>
  <c r="E147" i="3"/>
  <c r="C147" i="3"/>
  <c r="B147" i="3"/>
  <c r="K146" i="3"/>
  <c r="L146" i="3" s="1"/>
  <c r="J146" i="3"/>
  <c r="I146" i="3"/>
  <c r="E146" i="3"/>
  <c r="C146" i="3"/>
  <c r="B146" i="3"/>
  <c r="K145" i="3"/>
  <c r="L145" i="3" s="1"/>
  <c r="J145" i="3"/>
  <c r="I145" i="3"/>
  <c r="E145" i="3"/>
  <c r="C145" i="3"/>
  <c r="B145" i="3"/>
  <c r="K144" i="3"/>
  <c r="L144" i="3" s="1"/>
  <c r="J144" i="3"/>
  <c r="I144" i="3"/>
  <c r="E144" i="3"/>
  <c r="C144" i="3"/>
  <c r="B144" i="3"/>
  <c r="L143" i="3"/>
  <c r="K143" i="3"/>
  <c r="J143" i="3"/>
  <c r="I143" i="3"/>
  <c r="E143" i="3"/>
  <c r="C143" i="3"/>
  <c r="B143" i="3"/>
  <c r="K142" i="3"/>
  <c r="L142" i="3" s="1"/>
  <c r="J142" i="3"/>
  <c r="I142" i="3"/>
  <c r="E142" i="3"/>
  <c r="C142" i="3"/>
  <c r="B142" i="3"/>
  <c r="L141" i="3"/>
  <c r="K141" i="3"/>
  <c r="J141" i="3"/>
  <c r="I141" i="3"/>
  <c r="E141" i="3"/>
  <c r="C141" i="3"/>
  <c r="B141" i="3"/>
  <c r="K140" i="3"/>
  <c r="L140" i="3" s="1"/>
  <c r="J140" i="3"/>
  <c r="I140" i="3"/>
  <c r="E140" i="3"/>
  <c r="C140" i="3"/>
  <c r="B140" i="3"/>
  <c r="L139" i="3"/>
  <c r="K139" i="3"/>
  <c r="J139" i="3"/>
  <c r="I139" i="3"/>
  <c r="E139" i="3"/>
  <c r="C139" i="3"/>
  <c r="B139" i="3"/>
  <c r="K138" i="3"/>
  <c r="L138" i="3" s="1"/>
  <c r="J138" i="3"/>
  <c r="I138" i="3"/>
  <c r="E138" i="3"/>
  <c r="C138" i="3"/>
  <c r="B138" i="3"/>
  <c r="L137" i="3"/>
  <c r="K137" i="3"/>
  <c r="J137" i="3"/>
  <c r="I137" i="3"/>
  <c r="E137" i="3"/>
  <c r="C137" i="3"/>
  <c r="B137" i="3"/>
  <c r="K136" i="3"/>
  <c r="L136" i="3" s="1"/>
  <c r="J136" i="3"/>
  <c r="I136" i="3"/>
  <c r="E136" i="3"/>
  <c r="C136" i="3"/>
  <c r="B136" i="3"/>
  <c r="K135" i="3"/>
  <c r="L135" i="3" s="1"/>
  <c r="J135" i="3"/>
  <c r="I135" i="3"/>
  <c r="E135" i="3"/>
  <c r="C135" i="3"/>
  <c r="B135" i="3"/>
  <c r="K134" i="3"/>
  <c r="L134" i="3" s="1"/>
  <c r="J134" i="3"/>
  <c r="I134" i="3"/>
  <c r="E134" i="3"/>
  <c r="C134" i="3"/>
  <c r="B134" i="3"/>
  <c r="L133" i="3"/>
  <c r="K133" i="3"/>
  <c r="J133" i="3"/>
  <c r="I133" i="3"/>
  <c r="E133" i="3"/>
  <c r="C133" i="3"/>
  <c r="B133" i="3"/>
  <c r="K132" i="3"/>
  <c r="L132" i="3" s="1"/>
  <c r="J132" i="3"/>
  <c r="I132" i="3"/>
  <c r="E132" i="3"/>
  <c r="C132" i="3"/>
  <c r="B132" i="3"/>
  <c r="L131" i="3"/>
  <c r="K131" i="3"/>
  <c r="J131" i="3"/>
  <c r="I131" i="3"/>
  <c r="E131" i="3"/>
  <c r="C131" i="3"/>
  <c r="B131" i="3"/>
  <c r="K130" i="3"/>
  <c r="L130" i="3" s="1"/>
  <c r="J130" i="3"/>
  <c r="I130" i="3"/>
  <c r="E130" i="3"/>
  <c r="C130" i="3"/>
  <c r="B130" i="3"/>
  <c r="K129" i="3"/>
  <c r="L129" i="3" s="1"/>
  <c r="J129" i="3"/>
  <c r="I129" i="3"/>
  <c r="E129" i="3"/>
  <c r="C129" i="3"/>
  <c r="B129" i="3"/>
  <c r="K128" i="3"/>
  <c r="L128" i="3" s="1"/>
  <c r="J128" i="3"/>
  <c r="I128" i="3"/>
  <c r="E128" i="3"/>
  <c r="C128" i="3"/>
  <c r="B128" i="3"/>
  <c r="L127" i="3"/>
  <c r="K127" i="3"/>
  <c r="J127" i="3"/>
  <c r="I127" i="3"/>
  <c r="E127" i="3"/>
  <c r="C127" i="3"/>
  <c r="B127" i="3"/>
  <c r="K126" i="3"/>
  <c r="L126" i="3" s="1"/>
  <c r="J126" i="3"/>
  <c r="I126" i="3"/>
  <c r="E126" i="3"/>
  <c r="C126" i="3"/>
  <c r="B126" i="3"/>
  <c r="L125" i="3"/>
  <c r="K125" i="3"/>
  <c r="J125" i="3"/>
  <c r="I125" i="3"/>
  <c r="E125" i="3"/>
  <c r="C125" i="3"/>
  <c r="B125" i="3"/>
  <c r="K124" i="3"/>
  <c r="L124" i="3" s="1"/>
  <c r="J124" i="3"/>
  <c r="I124" i="3"/>
  <c r="E124" i="3"/>
  <c r="C124" i="3"/>
  <c r="B124" i="3"/>
  <c r="L123" i="3"/>
  <c r="K123" i="3"/>
  <c r="J123" i="3"/>
  <c r="I123" i="3"/>
  <c r="E123" i="3"/>
  <c r="C123" i="3"/>
  <c r="B123" i="3"/>
  <c r="K122" i="3"/>
  <c r="L122" i="3" s="1"/>
  <c r="J122" i="3"/>
  <c r="I122" i="3"/>
  <c r="E122" i="3"/>
  <c r="C122" i="3"/>
  <c r="B122" i="3"/>
  <c r="L121" i="3"/>
  <c r="K121" i="3"/>
  <c r="J121" i="3"/>
  <c r="I121" i="3"/>
  <c r="E121" i="3"/>
  <c r="C121" i="3"/>
  <c r="B121" i="3"/>
  <c r="K120" i="3"/>
  <c r="L120" i="3" s="1"/>
  <c r="J120" i="3"/>
  <c r="I120" i="3"/>
  <c r="E120" i="3"/>
  <c r="C120" i="3"/>
  <c r="B120" i="3"/>
  <c r="K119" i="3"/>
  <c r="L119" i="3" s="1"/>
  <c r="J119" i="3"/>
  <c r="I119" i="3"/>
  <c r="E119" i="3"/>
  <c r="C119" i="3"/>
  <c r="B119" i="3"/>
  <c r="K118" i="3"/>
  <c r="L118" i="3" s="1"/>
  <c r="J118" i="3"/>
  <c r="I118" i="3"/>
  <c r="E118" i="3"/>
  <c r="C118" i="3"/>
  <c r="B118" i="3"/>
  <c r="L117" i="3"/>
  <c r="K117" i="3"/>
  <c r="J117" i="3"/>
  <c r="I117" i="3"/>
  <c r="E117" i="3"/>
  <c r="C117" i="3"/>
  <c r="B117" i="3"/>
  <c r="K116" i="3"/>
  <c r="L116" i="3" s="1"/>
  <c r="J116" i="3"/>
  <c r="I116" i="3"/>
  <c r="E116" i="3"/>
  <c r="C116" i="3"/>
  <c r="B116" i="3"/>
  <c r="L115" i="3"/>
  <c r="K115" i="3"/>
  <c r="J115" i="3"/>
  <c r="I115" i="3"/>
  <c r="E115" i="3"/>
  <c r="C115" i="3"/>
  <c r="B115" i="3"/>
  <c r="K114" i="3"/>
  <c r="L114" i="3" s="1"/>
  <c r="J114" i="3"/>
  <c r="I114" i="3"/>
  <c r="E114" i="3"/>
  <c r="C114" i="3"/>
  <c r="B114" i="3"/>
  <c r="L113" i="3"/>
  <c r="K113" i="3"/>
  <c r="J113" i="3"/>
  <c r="I113" i="3"/>
  <c r="E113" i="3"/>
  <c r="C113" i="3"/>
  <c r="B113" i="3"/>
  <c r="K112" i="3"/>
  <c r="L112" i="3" s="1"/>
  <c r="J112" i="3"/>
  <c r="I112" i="3"/>
  <c r="E112" i="3"/>
  <c r="C112" i="3"/>
  <c r="B112" i="3"/>
  <c r="L111" i="3"/>
  <c r="K111" i="3"/>
  <c r="J111" i="3"/>
  <c r="I111" i="3"/>
  <c r="E111" i="3"/>
  <c r="C111" i="3"/>
  <c r="B111" i="3"/>
  <c r="K110" i="3"/>
  <c r="L110" i="3" s="1"/>
  <c r="J110" i="3"/>
  <c r="I110" i="3"/>
  <c r="E110" i="3"/>
  <c r="C110" i="3"/>
  <c r="B110" i="3"/>
  <c r="L109" i="3"/>
  <c r="K109" i="3"/>
  <c r="J109" i="3"/>
  <c r="I109" i="3"/>
  <c r="E109" i="3"/>
  <c r="C109" i="3"/>
  <c r="B109" i="3"/>
  <c r="K108" i="3"/>
  <c r="L108" i="3" s="1"/>
  <c r="J108" i="3"/>
  <c r="I108" i="3"/>
  <c r="E108" i="3"/>
  <c r="C108" i="3"/>
  <c r="B108" i="3"/>
  <c r="L107" i="3"/>
  <c r="K107" i="3"/>
  <c r="J107" i="3"/>
  <c r="I107" i="3"/>
  <c r="E107" i="3"/>
  <c r="C107" i="3"/>
  <c r="B107" i="3"/>
  <c r="K106" i="3"/>
  <c r="L106" i="3" s="1"/>
  <c r="J106" i="3"/>
  <c r="I106" i="3"/>
  <c r="E106" i="3"/>
  <c r="C106" i="3"/>
  <c r="B106" i="3"/>
  <c r="L105" i="3"/>
  <c r="K105" i="3"/>
  <c r="J105" i="3"/>
  <c r="I105" i="3"/>
  <c r="E105" i="3"/>
  <c r="C105" i="3"/>
  <c r="B105" i="3"/>
  <c r="K104" i="3"/>
  <c r="L104" i="3" s="1"/>
  <c r="J104" i="3"/>
  <c r="I104" i="3"/>
  <c r="E104" i="3"/>
  <c r="C104" i="3"/>
  <c r="B104" i="3"/>
  <c r="K103" i="3"/>
  <c r="L103" i="3" s="1"/>
  <c r="J103" i="3"/>
  <c r="I103" i="3"/>
  <c r="E103" i="3"/>
  <c r="C103" i="3"/>
  <c r="B103" i="3"/>
  <c r="K102" i="3"/>
  <c r="L102" i="3" s="1"/>
  <c r="J102" i="3"/>
  <c r="I102" i="3"/>
  <c r="E102" i="3"/>
  <c r="C102" i="3"/>
  <c r="B102" i="3"/>
  <c r="L101" i="3"/>
  <c r="K101" i="3"/>
  <c r="J101" i="3"/>
  <c r="I101" i="3"/>
  <c r="E101" i="3"/>
  <c r="C101" i="3"/>
  <c r="B101" i="3"/>
  <c r="K100" i="3"/>
  <c r="L100" i="3" s="1"/>
  <c r="J100" i="3"/>
  <c r="I100" i="3"/>
  <c r="E100" i="3"/>
  <c r="C100" i="3"/>
  <c r="B100" i="3"/>
  <c r="L99" i="3"/>
  <c r="K99" i="3"/>
  <c r="J99" i="3"/>
  <c r="I99" i="3"/>
  <c r="E99" i="3"/>
  <c r="C99" i="3"/>
  <c r="B99" i="3"/>
  <c r="K98" i="3"/>
  <c r="L98" i="3" s="1"/>
  <c r="J98" i="3"/>
  <c r="I98" i="3"/>
  <c r="E98" i="3"/>
  <c r="C98" i="3"/>
  <c r="B98" i="3"/>
  <c r="L97" i="3"/>
  <c r="K97" i="3"/>
  <c r="J97" i="3"/>
  <c r="I97" i="3"/>
  <c r="E97" i="3"/>
  <c r="C97" i="3"/>
  <c r="B97" i="3"/>
  <c r="K96" i="3"/>
  <c r="L96" i="3" s="1"/>
  <c r="J96" i="3"/>
  <c r="I96" i="3"/>
  <c r="E96" i="3"/>
  <c r="C96" i="3"/>
  <c r="B96" i="3"/>
  <c r="L95" i="3"/>
  <c r="K95" i="3"/>
  <c r="J95" i="3"/>
  <c r="I95" i="3"/>
  <c r="E95" i="3"/>
  <c r="C95" i="3"/>
  <c r="B95" i="3"/>
  <c r="K94" i="3"/>
  <c r="L94" i="3" s="1"/>
  <c r="J94" i="3"/>
  <c r="I94" i="3"/>
  <c r="E94" i="3"/>
  <c r="C94" i="3"/>
  <c r="B94" i="3"/>
  <c r="L93" i="3"/>
  <c r="K93" i="3"/>
  <c r="J93" i="3"/>
  <c r="I93" i="3"/>
  <c r="E93" i="3"/>
  <c r="C93" i="3"/>
  <c r="B93" i="3"/>
  <c r="K92" i="3"/>
  <c r="L92" i="3" s="1"/>
  <c r="J92" i="3"/>
  <c r="I92" i="3"/>
  <c r="E92" i="3"/>
  <c r="C92" i="3"/>
  <c r="B92" i="3"/>
  <c r="L91" i="3"/>
  <c r="K91" i="3"/>
  <c r="J91" i="3"/>
  <c r="I91" i="3"/>
  <c r="E91" i="3"/>
  <c r="C91" i="3"/>
  <c r="B91" i="3"/>
  <c r="K90" i="3"/>
  <c r="L90" i="3" s="1"/>
  <c r="J90" i="3"/>
  <c r="I90" i="3"/>
  <c r="E90" i="3"/>
  <c r="C90" i="3"/>
  <c r="B90" i="3"/>
  <c r="L89" i="3"/>
  <c r="K89" i="3"/>
  <c r="J89" i="3"/>
  <c r="I89" i="3"/>
  <c r="E89" i="3"/>
  <c r="C89" i="3"/>
  <c r="B89" i="3"/>
  <c r="K88" i="3"/>
  <c r="L88" i="3" s="1"/>
  <c r="J88" i="3"/>
  <c r="I88" i="3"/>
  <c r="E88" i="3"/>
  <c r="C88" i="3"/>
  <c r="B88" i="3"/>
  <c r="K87" i="3"/>
  <c r="L87" i="3" s="1"/>
  <c r="J87" i="3"/>
  <c r="I87" i="3"/>
  <c r="E87" i="3"/>
  <c r="C87" i="3"/>
  <c r="B87" i="3"/>
  <c r="K86" i="3"/>
  <c r="L86" i="3" s="1"/>
  <c r="J86" i="3"/>
  <c r="I86" i="3"/>
  <c r="E86" i="3"/>
  <c r="C86" i="3"/>
  <c r="B86" i="3"/>
  <c r="L85" i="3"/>
  <c r="K85" i="3"/>
  <c r="J85" i="3"/>
  <c r="I85" i="3"/>
  <c r="E85" i="3"/>
  <c r="C85" i="3"/>
  <c r="B85" i="3"/>
  <c r="K84" i="3"/>
  <c r="L84" i="3" s="1"/>
  <c r="J84" i="3"/>
  <c r="I84" i="3"/>
  <c r="E84" i="3"/>
  <c r="C84" i="3"/>
  <c r="B84" i="3"/>
  <c r="L83" i="3"/>
  <c r="K83" i="3"/>
  <c r="J83" i="3"/>
  <c r="I83" i="3"/>
  <c r="E83" i="3"/>
  <c r="C83" i="3"/>
  <c r="B83" i="3"/>
  <c r="K82" i="3"/>
  <c r="L82" i="3" s="1"/>
  <c r="J82" i="3"/>
  <c r="I82" i="3"/>
  <c r="E82" i="3"/>
  <c r="C82" i="3"/>
  <c r="B82" i="3"/>
  <c r="L81" i="3"/>
  <c r="K81" i="3"/>
  <c r="J81" i="3"/>
  <c r="I81" i="3"/>
  <c r="E81" i="3"/>
  <c r="C81" i="3"/>
  <c r="B81" i="3"/>
  <c r="K80" i="3"/>
  <c r="L80" i="3" s="1"/>
  <c r="J80" i="3"/>
  <c r="I80" i="3"/>
  <c r="E80" i="3"/>
  <c r="C80" i="3"/>
  <c r="B80" i="3"/>
  <c r="L79" i="3"/>
  <c r="K79" i="3"/>
  <c r="J79" i="3"/>
  <c r="I79" i="3"/>
  <c r="E79" i="3"/>
  <c r="C79" i="3"/>
  <c r="B79" i="3"/>
  <c r="K78" i="3"/>
  <c r="L78" i="3" s="1"/>
  <c r="J78" i="3"/>
  <c r="I78" i="3"/>
  <c r="E78" i="3"/>
  <c r="C78" i="3"/>
  <c r="B78" i="3"/>
  <c r="L77" i="3"/>
  <c r="K77" i="3"/>
  <c r="J77" i="3"/>
  <c r="I77" i="3"/>
  <c r="E77" i="3"/>
  <c r="C77" i="3"/>
  <c r="B77" i="3"/>
  <c r="K76" i="3"/>
  <c r="L76" i="3" s="1"/>
  <c r="J76" i="3"/>
  <c r="I76" i="3"/>
  <c r="E76" i="3"/>
  <c r="C76" i="3"/>
  <c r="B76" i="3"/>
  <c r="L75" i="3"/>
  <c r="K75" i="3"/>
  <c r="J75" i="3"/>
  <c r="I75" i="3"/>
  <c r="E75" i="3"/>
  <c r="C75" i="3"/>
  <c r="B75" i="3"/>
  <c r="K74" i="3"/>
  <c r="L74" i="3" s="1"/>
  <c r="J74" i="3"/>
  <c r="I74" i="3"/>
  <c r="E74" i="3"/>
  <c r="C74" i="3"/>
  <c r="B74" i="3"/>
  <c r="L73" i="3"/>
  <c r="K73" i="3"/>
  <c r="J73" i="3"/>
  <c r="I73" i="3"/>
  <c r="E73" i="3"/>
  <c r="C73" i="3"/>
  <c r="B73" i="3"/>
  <c r="K72" i="3"/>
  <c r="L72" i="3" s="1"/>
  <c r="J72" i="3"/>
  <c r="I72" i="3"/>
  <c r="E72" i="3"/>
  <c r="C72" i="3"/>
  <c r="B72" i="3"/>
  <c r="K71" i="3"/>
  <c r="L71" i="3" s="1"/>
  <c r="J71" i="3"/>
  <c r="I71" i="3"/>
  <c r="E71" i="3"/>
  <c r="C71" i="3"/>
  <c r="B71" i="3"/>
  <c r="K70" i="3"/>
  <c r="L70" i="3" s="1"/>
  <c r="J70" i="3"/>
  <c r="I70" i="3"/>
  <c r="E70" i="3"/>
  <c r="C70" i="3"/>
  <c r="B70" i="3"/>
  <c r="L69" i="3"/>
  <c r="K69" i="3"/>
  <c r="J69" i="3"/>
  <c r="I69" i="3"/>
  <c r="E69" i="3"/>
  <c r="C69" i="3"/>
  <c r="B69" i="3"/>
  <c r="K68" i="3"/>
  <c r="L68" i="3" s="1"/>
  <c r="J68" i="3"/>
  <c r="I68" i="3"/>
  <c r="E68" i="3"/>
  <c r="C68" i="3"/>
  <c r="B68" i="3"/>
  <c r="L67" i="3"/>
  <c r="K67" i="3"/>
  <c r="J67" i="3"/>
  <c r="I67" i="3"/>
  <c r="E67" i="3"/>
  <c r="C67" i="3"/>
  <c r="B67" i="3"/>
  <c r="K66" i="3"/>
  <c r="L66" i="3" s="1"/>
  <c r="J66" i="3"/>
  <c r="I66" i="3"/>
  <c r="E66" i="3"/>
  <c r="C66" i="3"/>
  <c r="B66" i="3"/>
  <c r="L65" i="3"/>
  <c r="K65" i="3"/>
  <c r="J65" i="3"/>
  <c r="I65" i="3"/>
  <c r="E65" i="3"/>
  <c r="C65" i="3"/>
  <c r="B65" i="3"/>
  <c r="K64" i="3"/>
  <c r="L64" i="3" s="1"/>
  <c r="J64" i="3"/>
  <c r="I64" i="3"/>
  <c r="E64" i="3"/>
  <c r="C64" i="3"/>
  <c r="B64" i="3"/>
  <c r="L63" i="3"/>
  <c r="K63" i="3"/>
  <c r="J63" i="3"/>
  <c r="I63" i="3"/>
  <c r="E63" i="3"/>
  <c r="C63" i="3"/>
  <c r="B63" i="3"/>
  <c r="K62" i="3"/>
  <c r="L62" i="3" s="1"/>
  <c r="J62" i="3"/>
  <c r="I62" i="3"/>
  <c r="E62" i="3"/>
  <c r="C62" i="3"/>
  <c r="B62" i="3"/>
  <c r="L61" i="3"/>
  <c r="K61" i="3"/>
  <c r="J61" i="3"/>
  <c r="I61" i="3"/>
  <c r="E61" i="3"/>
  <c r="C61" i="3"/>
  <c r="B61" i="3"/>
  <c r="K60" i="3"/>
  <c r="L60" i="3" s="1"/>
  <c r="J60" i="3"/>
  <c r="I60" i="3"/>
  <c r="E60" i="3"/>
  <c r="C60" i="3"/>
  <c r="B60" i="3"/>
  <c r="L59" i="3"/>
  <c r="K59" i="3"/>
  <c r="J59" i="3"/>
  <c r="I59" i="3"/>
  <c r="E59" i="3"/>
  <c r="C59" i="3"/>
  <c r="B59" i="3"/>
  <c r="K58" i="3"/>
  <c r="L58" i="3" s="1"/>
  <c r="J58" i="3"/>
  <c r="I58" i="3"/>
  <c r="E58" i="3"/>
  <c r="C58" i="3"/>
  <c r="B58" i="3"/>
  <c r="L57" i="3"/>
  <c r="K57" i="3"/>
  <c r="J57" i="3"/>
  <c r="I57" i="3"/>
  <c r="E57" i="3"/>
  <c r="C57" i="3"/>
  <c r="B57" i="3"/>
  <c r="K56" i="3"/>
  <c r="L56" i="3" s="1"/>
  <c r="J56" i="3"/>
  <c r="I56" i="3"/>
  <c r="E56" i="3"/>
  <c r="C56" i="3"/>
  <c r="B56" i="3"/>
  <c r="K55" i="3"/>
  <c r="L55" i="3" s="1"/>
  <c r="J55" i="3"/>
  <c r="I55" i="3"/>
  <c r="E55" i="3"/>
  <c r="C55" i="3"/>
  <c r="B55" i="3"/>
  <c r="K54" i="3"/>
  <c r="L54" i="3" s="1"/>
  <c r="J54" i="3"/>
  <c r="I54" i="3"/>
  <c r="E54" i="3"/>
  <c r="C54" i="3"/>
  <c r="B54" i="3"/>
  <c r="L53" i="3"/>
  <c r="K53" i="3"/>
  <c r="J53" i="3"/>
  <c r="I53" i="3"/>
  <c r="E53" i="3"/>
  <c r="C53" i="3"/>
  <c r="B53" i="3"/>
  <c r="K52" i="3"/>
  <c r="L52" i="3" s="1"/>
  <c r="J52" i="3"/>
  <c r="I52" i="3"/>
  <c r="E52" i="3"/>
  <c r="C52" i="3"/>
  <c r="B52" i="3"/>
  <c r="L51" i="3"/>
  <c r="K51" i="3"/>
  <c r="J51" i="3"/>
  <c r="I51" i="3"/>
  <c r="E51" i="3"/>
  <c r="C51" i="3"/>
  <c r="B51" i="3"/>
  <c r="K50" i="3"/>
  <c r="L50" i="3" s="1"/>
  <c r="J50" i="3"/>
  <c r="I50" i="3"/>
  <c r="E50" i="3"/>
  <c r="C50" i="3"/>
  <c r="B50" i="3"/>
  <c r="L49" i="3"/>
  <c r="K49" i="3"/>
  <c r="J49" i="3"/>
  <c r="I49" i="3"/>
  <c r="E49" i="3"/>
  <c r="C49" i="3"/>
  <c r="B49" i="3"/>
  <c r="K48" i="3"/>
  <c r="L48" i="3" s="1"/>
  <c r="J48" i="3"/>
  <c r="I48" i="3"/>
  <c r="E48" i="3"/>
  <c r="C48" i="3"/>
  <c r="B48" i="3"/>
  <c r="L47" i="3"/>
  <c r="K47" i="3"/>
  <c r="J47" i="3"/>
  <c r="I47" i="3"/>
  <c r="E47" i="3"/>
  <c r="C47" i="3"/>
  <c r="B47" i="3"/>
  <c r="K46" i="3"/>
  <c r="L46" i="3" s="1"/>
  <c r="J46" i="3"/>
  <c r="I46" i="3"/>
  <c r="E46" i="3"/>
  <c r="C46" i="3"/>
  <c r="B46" i="3"/>
  <c r="L45" i="3"/>
  <c r="K45" i="3"/>
  <c r="J45" i="3"/>
  <c r="I45" i="3"/>
  <c r="E45" i="3"/>
  <c r="C45" i="3"/>
  <c r="B45" i="3"/>
  <c r="K44" i="3"/>
  <c r="L44" i="3" s="1"/>
  <c r="J44" i="3"/>
  <c r="I44" i="3"/>
  <c r="E44" i="3"/>
  <c r="C44" i="3"/>
  <c r="B44" i="3"/>
  <c r="L43" i="3"/>
  <c r="K43" i="3"/>
  <c r="J43" i="3"/>
  <c r="I43" i="3"/>
  <c r="E43" i="3"/>
  <c r="C43" i="3"/>
  <c r="B43" i="3"/>
  <c r="K42" i="3"/>
  <c r="L42" i="3" s="1"/>
  <c r="J42" i="3"/>
  <c r="I42" i="3"/>
  <c r="E42" i="3"/>
  <c r="C42" i="3"/>
  <c r="B42" i="3"/>
  <c r="L41" i="3"/>
  <c r="K41" i="3"/>
  <c r="J41" i="3"/>
  <c r="I41" i="3"/>
  <c r="E41" i="3"/>
  <c r="C41" i="3"/>
  <c r="B41" i="3"/>
  <c r="K40" i="3"/>
  <c r="L40" i="3" s="1"/>
  <c r="J40" i="3"/>
  <c r="I40" i="3"/>
  <c r="E40" i="3"/>
  <c r="C40" i="3"/>
  <c r="B40" i="3"/>
  <c r="K39" i="3"/>
  <c r="L39" i="3" s="1"/>
  <c r="J39" i="3"/>
  <c r="I39" i="3"/>
  <c r="E39" i="3"/>
  <c r="C39" i="3"/>
  <c r="B39" i="3"/>
  <c r="K38" i="3"/>
  <c r="L38" i="3" s="1"/>
  <c r="J38" i="3"/>
  <c r="I38" i="3"/>
  <c r="E38" i="3"/>
  <c r="C38" i="3"/>
  <c r="B38" i="3"/>
  <c r="L37" i="3"/>
  <c r="K37" i="3"/>
  <c r="J37" i="3"/>
  <c r="I37" i="3"/>
  <c r="E37" i="3"/>
  <c r="C37" i="3"/>
  <c r="B37" i="3"/>
  <c r="K36" i="3"/>
  <c r="L36" i="3" s="1"/>
  <c r="J36" i="3"/>
  <c r="I36" i="3"/>
  <c r="E36" i="3"/>
  <c r="C36" i="3"/>
  <c r="B36" i="3"/>
  <c r="L35" i="3"/>
  <c r="K35" i="3"/>
  <c r="J35" i="3"/>
  <c r="I35" i="3"/>
  <c r="E35" i="3"/>
  <c r="C35" i="3"/>
  <c r="B35" i="3"/>
  <c r="K34" i="3"/>
  <c r="L34" i="3" s="1"/>
  <c r="J34" i="3"/>
  <c r="I34" i="3"/>
  <c r="E34" i="3"/>
  <c r="C34" i="3"/>
  <c r="B34" i="3"/>
  <c r="L33" i="3"/>
  <c r="K33" i="3"/>
  <c r="J33" i="3"/>
  <c r="I33" i="3"/>
  <c r="E33" i="3"/>
  <c r="C33" i="3"/>
  <c r="B33" i="3"/>
  <c r="K32" i="3"/>
  <c r="L32" i="3" s="1"/>
  <c r="J32" i="3"/>
  <c r="I32" i="3"/>
  <c r="E32" i="3"/>
  <c r="C32" i="3"/>
  <c r="B32" i="3"/>
  <c r="L31" i="3"/>
  <c r="K31" i="3"/>
  <c r="J31" i="3"/>
  <c r="I31" i="3"/>
  <c r="E31" i="3"/>
  <c r="C31" i="3"/>
  <c r="B31" i="3"/>
  <c r="K30" i="3"/>
  <c r="L30" i="3" s="1"/>
  <c r="J30" i="3"/>
  <c r="I30" i="3"/>
  <c r="E30" i="3"/>
  <c r="C30" i="3"/>
  <c r="B30" i="3"/>
  <c r="L29" i="3"/>
  <c r="K29" i="3"/>
  <c r="J29" i="3"/>
  <c r="I29" i="3"/>
  <c r="E29" i="3"/>
  <c r="C29" i="3"/>
  <c r="B29" i="3"/>
  <c r="K28" i="3"/>
  <c r="L28" i="3" s="1"/>
  <c r="J28" i="3"/>
  <c r="I28" i="3"/>
  <c r="E28" i="3"/>
  <c r="C28" i="3"/>
  <c r="B28" i="3"/>
  <c r="L27" i="3"/>
  <c r="K27" i="3"/>
  <c r="J27" i="3"/>
  <c r="I27" i="3"/>
  <c r="E27" i="3"/>
  <c r="C27" i="3"/>
  <c r="B27" i="3"/>
  <c r="K26" i="3"/>
  <c r="L26" i="3" s="1"/>
  <c r="J26" i="3"/>
  <c r="I26" i="3"/>
  <c r="E26" i="3"/>
  <c r="C26" i="3"/>
  <c r="B26" i="3"/>
  <c r="L25" i="3"/>
  <c r="K25" i="3"/>
  <c r="J25" i="3"/>
  <c r="I25" i="3"/>
  <c r="E25" i="3"/>
  <c r="C25" i="3"/>
  <c r="B25" i="3"/>
  <c r="K24" i="3"/>
  <c r="L24" i="3" s="1"/>
  <c r="J24" i="3"/>
  <c r="I24" i="3"/>
  <c r="E24" i="3"/>
  <c r="C24" i="3"/>
  <c r="B24" i="3"/>
  <c r="K23" i="3"/>
  <c r="L23" i="3" s="1"/>
  <c r="J23" i="3"/>
  <c r="I23" i="3"/>
  <c r="E23" i="3"/>
  <c r="C23" i="3"/>
  <c r="B23" i="3"/>
  <c r="K22" i="3"/>
  <c r="L22" i="3" s="1"/>
  <c r="J22" i="3"/>
  <c r="I22" i="3"/>
  <c r="E22" i="3"/>
  <c r="C22" i="3"/>
  <c r="B22" i="3"/>
  <c r="L21" i="3"/>
  <c r="K21" i="3"/>
  <c r="J21" i="3"/>
  <c r="I21" i="3"/>
  <c r="E21" i="3"/>
  <c r="C21" i="3"/>
  <c r="B21" i="3"/>
  <c r="K20" i="3"/>
  <c r="L20" i="3" s="1"/>
  <c r="J20" i="3"/>
  <c r="I20" i="3"/>
  <c r="E20" i="3"/>
  <c r="C20" i="3"/>
  <c r="B20" i="3"/>
  <c r="L19" i="3"/>
  <c r="K19" i="3"/>
  <c r="J19" i="3"/>
  <c r="I19" i="3"/>
  <c r="E19" i="3"/>
  <c r="C19" i="3"/>
  <c r="B19" i="3"/>
  <c r="K18" i="3"/>
  <c r="L18" i="3" s="1"/>
  <c r="J18" i="3"/>
  <c r="I18" i="3"/>
  <c r="E18" i="3"/>
  <c r="C18" i="3"/>
  <c r="B18" i="3"/>
  <c r="L17" i="3"/>
  <c r="K17" i="3"/>
  <c r="J17" i="3"/>
  <c r="I17" i="3"/>
  <c r="E17" i="3"/>
  <c r="C17" i="3"/>
  <c r="B17" i="3"/>
  <c r="K16" i="3"/>
  <c r="L16" i="3" s="1"/>
  <c r="J16" i="3"/>
  <c r="I16" i="3"/>
  <c r="E16" i="3"/>
  <c r="C16" i="3"/>
  <c r="B16" i="3"/>
  <c r="L15" i="3"/>
  <c r="K15" i="3"/>
  <c r="J15" i="3"/>
  <c r="I15" i="3"/>
  <c r="E15" i="3"/>
  <c r="C15" i="3"/>
  <c r="B15" i="3"/>
  <c r="K14" i="3"/>
  <c r="L14" i="3" s="1"/>
  <c r="J14" i="3"/>
  <c r="I14" i="3"/>
  <c r="E14" i="3"/>
  <c r="C14" i="3"/>
  <c r="B14" i="3"/>
  <c r="L13" i="3"/>
  <c r="K13" i="3"/>
  <c r="J13" i="3"/>
  <c r="I13" i="3"/>
  <c r="E13" i="3"/>
  <c r="C13" i="3"/>
  <c r="B13" i="3"/>
  <c r="K12" i="3"/>
  <c r="L12" i="3" s="1"/>
  <c r="J12" i="3"/>
  <c r="I12" i="3"/>
  <c r="E12" i="3"/>
  <c r="C12" i="3"/>
  <c r="B12" i="3"/>
  <c r="L11" i="3"/>
  <c r="K11" i="3"/>
  <c r="J11" i="3"/>
  <c r="I11" i="3"/>
  <c r="E11" i="3"/>
  <c r="C11" i="3"/>
  <c r="B11" i="3"/>
  <c r="K10" i="3"/>
  <c r="L10" i="3" s="1"/>
  <c r="J10" i="3"/>
  <c r="I10" i="3"/>
  <c r="E10" i="3"/>
  <c r="C10" i="3"/>
  <c r="B10" i="3"/>
  <c r="L9" i="3"/>
  <c r="K9" i="3"/>
  <c r="J9" i="3"/>
  <c r="I9" i="3"/>
  <c r="E9" i="3"/>
  <c r="C9" i="3"/>
  <c r="B9" i="3"/>
  <c r="K8" i="3"/>
  <c r="L8" i="3" s="1"/>
  <c r="J8" i="3"/>
  <c r="I8" i="3"/>
  <c r="E8" i="3"/>
  <c r="C8" i="3"/>
  <c r="B8" i="3"/>
  <c r="K7" i="3"/>
  <c r="L7" i="3" s="1"/>
  <c r="J7" i="3"/>
  <c r="I7" i="3"/>
  <c r="E7" i="3"/>
  <c r="C7" i="3"/>
  <c r="B7" i="3"/>
  <c r="K6" i="3"/>
  <c r="L6" i="3" s="1"/>
  <c r="J6" i="3"/>
  <c r="I6" i="3"/>
  <c r="E6" i="3"/>
  <c r="C6" i="3"/>
  <c r="B6" i="3"/>
  <c r="L5" i="3"/>
  <c r="K5" i="3"/>
  <c r="J5" i="3"/>
  <c r="I5" i="3"/>
  <c r="E5" i="3"/>
  <c r="C5" i="3"/>
  <c r="B5" i="3"/>
  <c r="K4" i="3"/>
  <c r="L4" i="3" s="1"/>
  <c r="J4" i="3"/>
  <c r="I4" i="3"/>
  <c r="E4" i="3"/>
  <c r="C4" i="3"/>
  <c r="B4" i="3"/>
  <c r="L3" i="3"/>
  <c r="K3" i="3"/>
  <c r="J3" i="3"/>
  <c r="I3" i="3"/>
  <c r="E3" i="3"/>
  <c r="C3" i="3"/>
  <c r="B3" i="3"/>
  <c r="K2" i="3"/>
  <c r="L2" i="3" s="1"/>
  <c r="J2" i="3"/>
  <c r="I2" i="3"/>
  <c r="E2" i="3"/>
  <c r="C2" i="3"/>
  <c r="B2" i="3"/>
  <c r="A44" i="2"/>
  <c r="A43" i="2"/>
  <c r="A42" i="2"/>
  <c r="A41" i="2"/>
  <c r="K39" i="2"/>
  <c r="I39" i="2"/>
  <c r="G39" i="2"/>
  <c r="E39" i="2"/>
  <c r="C39" i="2"/>
  <c r="A39" i="2"/>
  <c r="K38" i="2"/>
  <c r="I38" i="2"/>
  <c r="G38" i="2"/>
  <c r="E38" i="2"/>
  <c r="C38" i="2"/>
  <c r="A38" i="2"/>
  <c r="K37" i="2"/>
  <c r="I37" i="2"/>
  <c r="G37" i="2"/>
  <c r="E37" i="2"/>
  <c r="C37" i="2"/>
  <c r="A37" i="2"/>
  <c r="A36" i="2"/>
  <c r="C34" i="2"/>
  <c r="A34" i="2"/>
  <c r="L33" i="2"/>
  <c r="K33" i="2"/>
  <c r="J33" i="2"/>
  <c r="I33" i="2"/>
  <c r="H33" i="2"/>
  <c r="G33" i="2"/>
  <c r="F33" i="2"/>
  <c r="E33" i="2"/>
  <c r="D33" i="2"/>
  <c r="C33" i="2"/>
  <c r="B33" i="2"/>
  <c r="A33" i="2"/>
  <c r="L32" i="2"/>
  <c r="K32" i="2"/>
  <c r="J32" i="2"/>
  <c r="I32" i="2"/>
  <c r="H32" i="2"/>
  <c r="G32" i="2"/>
  <c r="F32" i="2"/>
  <c r="E32" i="2"/>
  <c r="D32" i="2"/>
  <c r="C32" i="2"/>
  <c r="B32" i="2"/>
  <c r="A32" i="2"/>
  <c r="A31" i="2"/>
  <c r="L30" i="2"/>
  <c r="K30" i="2"/>
  <c r="J30" i="2"/>
  <c r="I30" i="2"/>
  <c r="H30" i="2"/>
  <c r="G30" i="2"/>
  <c r="F30" i="2"/>
  <c r="E30" i="2"/>
  <c r="D30" i="2"/>
  <c r="C30" i="2"/>
  <c r="B30" i="2"/>
  <c r="A30" i="2"/>
  <c r="L29" i="2"/>
  <c r="K29" i="2"/>
  <c r="J29" i="2"/>
  <c r="I29" i="2"/>
  <c r="H29" i="2"/>
  <c r="G29" i="2"/>
  <c r="F29" i="2"/>
  <c r="E29" i="2"/>
  <c r="D29" i="2"/>
  <c r="C29" i="2"/>
  <c r="B29" i="2"/>
  <c r="A29" i="2"/>
  <c r="A28" i="2"/>
  <c r="E26" i="2"/>
  <c r="G25" i="2"/>
  <c r="K24" i="2"/>
  <c r="G24" i="2"/>
  <c r="G23" i="2"/>
  <c r="A23" i="2"/>
  <c r="K22" i="2"/>
  <c r="J22" i="2"/>
  <c r="I22" i="2"/>
  <c r="H22" i="2"/>
  <c r="G22" i="2"/>
  <c r="F22" i="2"/>
  <c r="E22" i="2"/>
  <c r="D22" i="2"/>
  <c r="C22" i="2"/>
  <c r="A22" i="2"/>
  <c r="K21" i="2"/>
  <c r="J21" i="2"/>
  <c r="H21" i="2"/>
  <c r="G21" i="2"/>
  <c r="I21" i="2" s="1"/>
  <c r="F21" i="2"/>
  <c r="E21" i="2"/>
  <c r="D21" i="2"/>
  <c r="C21" i="2"/>
  <c r="A21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A19" i="2"/>
  <c r="K18" i="2"/>
  <c r="J18" i="2"/>
  <c r="H18" i="2"/>
  <c r="D18" i="2"/>
  <c r="C18" i="2"/>
  <c r="A18" i="2"/>
  <c r="K17" i="2"/>
  <c r="J17" i="2"/>
  <c r="I17" i="2"/>
  <c r="H17" i="2"/>
  <c r="G17" i="2"/>
  <c r="F17" i="2"/>
  <c r="E17" i="2"/>
  <c r="D17" i="2"/>
  <c r="C17" i="2"/>
  <c r="A17" i="2"/>
  <c r="K16" i="2"/>
  <c r="J16" i="2"/>
  <c r="I16" i="2"/>
  <c r="H16" i="2"/>
  <c r="G16" i="2"/>
  <c r="F16" i="2"/>
  <c r="E16" i="2"/>
  <c r="D16" i="2"/>
  <c r="C16" i="2"/>
  <c r="A16" i="2"/>
  <c r="K15" i="2"/>
  <c r="J15" i="2"/>
  <c r="I15" i="2"/>
  <c r="H15" i="2"/>
  <c r="G15" i="2"/>
  <c r="F15" i="2"/>
  <c r="E15" i="2"/>
  <c r="D15" i="2"/>
  <c r="C15" i="2"/>
  <c r="A15" i="2"/>
  <c r="J14" i="2"/>
  <c r="H14" i="2"/>
  <c r="E14" i="2"/>
  <c r="D14" i="2"/>
  <c r="C14" i="2"/>
  <c r="A14" i="2"/>
  <c r="K13" i="2"/>
  <c r="J13" i="2"/>
  <c r="H13" i="2"/>
  <c r="F13" i="2"/>
  <c r="G13" i="2" s="1"/>
  <c r="I13" i="2" s="1"/>
  <c r="E13" i="2"/>
  <c r="D13" i="2"/>
  <c r="C13" i="2"/>
  <c r="A13" i="2"/>
  <c r="K12" i="2"/>
  <c r="J12" i="2"/>
  <c r="H12" i="2"/>
  <c r="F12" i="2"/>
  <c r="E12" i="2"/>
  <c r="G12" i="2" s="1"/>
  <c r="I12" i="2" s="1"/>
  <c r="D12" i="2"/>
  <c r="C12" i="2"/>
  <c r="A12" i="2"/>
  <c r="K11" i="2"/>
  <c r="K23" i="2" s="1"/>
  <c r="K25" i="2" s="1"/>
  <c r="J11" i="2"/>
  <c r="J23" i="2" s="1"/>
  <c r="H11" i="2"/>
  <c r="F11" i="2"/>
  <c r="E11" i="2"/>
  <c r="E23" i="2" s="1"/>
  <c r="D11" i="2"/>
  <c r="C11" i="2"/>
  <c r="A11" i="2"/>
  <c r="K10" i="2"/>
  <c r="J10" i="2"/>
  <c r="I10" i="2"/>
  <c r="H10" i="2"/>
  <c r="G10" i="2"/>
  <c r="F10" i="2"/>
  <c r="E10" i="2"/>
  <c r="D10" i="2"/>
  <c r="C10" i="2"/>
  <c r="A10" i="2"/>
  <c r="H9" i="2"/>
  <c r="E9" i="2"/>
  <c r="A7" i="2"/>
  <c r="K5" i="2"/>
  <c r="J5" i="2"/>
  <c r="H5" i="2"/>
  <c r="F5" i="2"/>
  <c r="C5" i="2"/>
  <c r="A5" i="2"/>
  <c r="K4" i="2"/>
  <c r="J4" i="2"/>
  <c r="H4" i="2"/>
  <c r="F4" i="2"/>
  <c r="C4" i="2"/>
  <c r="A4" i="2"/>
  <c r="A3" i="2"/>
  <c r="A1" i="2"/>
  <c r="A44" i="1"/>
  <c r="A43" i="1"/>
  <c r="A42" i="1"/>
  <c r="A41" i="1"/>
  <c r="K39" i="1"/>
  <c r="I39" i="1"/>
  <c r="G39" i="1"/>
  <c r="E39" i="1"/>
  <c r="C39" i="1"/>
  <c r="A39" i="1"/>
  <c r="K38" i="1"/>
  <c r="I38" i="1"/>
  <c r="G38" i="1"/>
  <c r="E38" i="1"/>
  <c r="C38" i="1"/>
  <c r="A38" i="1"/>
  <c r="K37" i="1"/>
  <c r="I37" i="1"/>
  <c r="G37" i="1"/>
  <c r="E37" i="1"/>
  <c r="C37" i="1"/>
  <c r="A37" i="1"/>
  <c r="A36" i="1"/>
  <c r="C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A28" i="1"/>
  <c r="E26" i="1"/>
  <c r="G25" i="1"/>
  <c r="K24" i="1"/>
  <c r="G24" i="1"/>
  <c r="I23" i="1"/>
  <c r="G23" i="1"/>
  <c r="E23" i="1"/>
  <c r="A23" i="1"/>
  <c r="K22" i="1"/>
  <c r="J22" i="1"/>
  <c r="I22" i="1"/>
  <c r="H22" i="1"/>
  <c r="G22" i="1"/>
  <c r="F22" i="1"/>
  <c r="E22" i="1"/>
  <c r="D22" i="1"/>
  <c r="C22" i="1"/>
  <c r="A22" i="1"/>
  <c r="J21" i="1"/>
  <c r="K21" i="1" s="1"/>
  <c r="I21" i="1"/>
  <c r="H21" i="1"/>
  <c r="F21" i="1"/>
  <c r="E21" i="1"/>
  <c r="G21" i="1" s="1"/>
  <c r="D21" i="1"/>
  <c r="C21" i="1"/>
  <c r="A21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A19" i="1"/>
  <c r="J18" i="1"/>
  <c r="K18" i="1" s="1"/>
  <c r="I18" i="1"/>
  <c r="H18" i="1"/>
  <c r="F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J14" i="1"/>
  <c r="H14" i="1"/>
  <c r="E14" i="1"/>
  <c r="D14" i="1"/>
  <c r="C14" i="1"/>
  <c r="A14" i="1"/>
  <c r="J13" i="1"/>
  <c r="K13" i="1" s="1"/>
  <c r="I13" i="1"/>
  <c r="H13" i="1"/>
  <c r="F13" i="1"/>
  <c r="E13" i="1"/>
  <c r="G13" i="1" s="1"/>
  <c r="D13" i="1"/>
  <c r="C13" i="1"/>
  <c r="A13" i="1"/>
  <c r="J12" i="1"/>
  <c r="K12" i="1" s="1"/>
  <c r="I12" i="1"/>
  <c r="H12" i="1"/>
  <c r="F12" i="1"/>
  <c r="G12" i="1" s="1"/>
  <c r="E12" i="1"/>
  <c r="D12" i="1"/>
  <c r="C12" i="1"/>
  <c r="A12" i="1"/>
  <c r="J11" i="1"/>
  <c r="J23" i="1" s="1"/>
  <c r="I11" i="1"/>
  <c r="H11" i="1"/>
  <c r="F11" i="1"/>
  <c r="E11" i="1"/>
  <c r="G11" i="1" s="1"/>
  <c r="D11" i="1"/>
  <c r="C11" i="1"/>
  <c r="A11" i="1"/>
  <c r="K10" i="1"/>
  <c r="J10" i="1"/>
  <c r="I10" i="1"/>
  <c r="H10" i="1"/>
  <c r="G10" i="1"/>
  <c r="F10" i="1"/>
  <c r="E10" i="1"/>
  <c r="D10" i="1"/>
  <c r="C10" i="1"/>
  <c r="A10" i="1"/>
  <c r="H9" i="1"/>
  <c r="E9" i="1"/>
  <c r="A7" i="1"/>
  <c r="K5" i="1"/>
  <c r="J5" i="1"/>
  <c r="H5" i="1"/>
  <c r="F5" i="1"/>
  <c r="C5" i="1"/>
  <c r="A5" i="1"/>
  <c r="K4" i="1"/>
  <c r="J4" i="1"/>
  <c r="H4" i="1"/>
  <c r="F4" i="1"/>
  <c r="C4" i="1"/>
  <c r="A4" i="1"/>
  <c r="A3" i="1"/>
  <c r="A1" i="1"/>
  <c r="K25" i="1" l="1"/>
  <c r="Q25" i="7"/>
  <c r="G42" i="6" s="1"/>
  <c r="Q29" i="7"/>
  <c r="K42" i="6" s="1"/>
  <c r="K26" i="15"/>
  <c r="K27" i="15"/>
  <c r="G29" i="6"/>
  <c r="N63" i="14"/>
  <c r="Y63" i="17" s="1"/>
  <c r="M63" i="14"/>
  <c r="E22" i="28"/>
  <c r="G22" i="28"/>
  <c r="H22" i="28" s="1"/>
  <c r="JQ26" i="18"/>
  <c r="G12" i="28"/>
  <c r="H12" i="28" s="1"/>
  <c r="E12" i="28"/>
  <c r="N93" i="14"/>
  <c r="Y93" i="17" s="1"/>
  <c r="M93" i="14"/>
  <c r="M99" i="14"/>
  <c r="F19" i="15"/>
  <c r="D20" i="15" s="1"/>
  <c r="H5" i="15" s="1"/>
  <c r="W5" i="15" s="1"/>
  <c r="JO16" i="18"/>
  <c r="E20" i="15"/>
  <c r="I5" i="15" s="1"/>
  <c r="U25" i="17"/>
  <c r="Q25" i="17"/>
  <c r="I116" i="23"/>
  <c r="E5" i="7"/>
  <c r="A2" i="6"/>
  <c r="M28" i="14"/>
  <c r="M47" i="14"/>
  <c r="M87" i="14"/>
  <c r="JQ30" i="18"/>
  <c r="JO68" i="18"/>
  <c r="JQ76" i="18"/>
  <c r="JO100" i="18"/>
  <c r="N36" i="14"/>
  <c r="Y36" i="17" s="1"/>
  <c r="M36" i="14"/>
  <c r="M59" i="14"/>
  <c r="G25" i="28"/>
  <c r="H25" i="28" s="1"/>
  <c r="E25" i="28"/>
  <c r="G19" i="28"/>
  <c r="H19" i="28" s="1"/>
  <c r="E19" i="28"/>
  <c r="K11" i="1"/>
  <c r="K23" i="1" s="1"/>
  <c r="G14" i="28"/>
  <c r="H14" i="28" s="1"/>
  <c r="E14" i="28"/>
  <c r="G21" i="28"/>
  <c r="H21" i="28" s="1"/>
  <c r="E21" i="28"/>
  <c r="C49" i="6"/>
  <c r="S27" i="7"/>
  <c r="AI29" i="7"/>
  <c r="M42" i="14"/>
  <c r="F43" i="15"/>
  <c r="J6" i="15" s="1"/>
  <c r="F44" i="15"/>
  <c r="K6" i="15" s="1"/>
  <c r="A57" i="6"/>
  <c r="C57" i="6"/>
  <c r="G11" i="2"/>
  <c r="I11" i="2" s="1"/>
  <c r="I23" i="2" s="1"/>
  <c r="C58" i="6"/>
  <c r="N19" i="7"/>
  <c r="AL21" i="7"/>
  <c r="N23" i="7"/>
  <c r="E39" i="6" s="1"/>
  <c r="M78" i="14"/>
  <c r="N78" i="14"/>
  <c r="Y78" i="17" s="1"/>
  <c r="M96" i="14"/>
  <c r="N96" i="14"/>
  <c r="Y96" i="17" s="1"/>
  <c r="N104" i="18"/>
  <c r="G7" i="32" s="1"/>
  <c r="HN104" i="18"/>
  <c r="JQ48" i="18"/>
  <c r="E16" i="28"/>
  <c r="G18" i="28"/>
  <c r="H18" i="28" s="1"/>
  <c r="E18" i="28"/>
  <c r="G26" i="28"/>
  <c r="E26" i="28"/>
  <c r="AA104" i="18"/>
  <c r="G8" i="32" s="1"/>
  <c r="H8" i="32" s="1"/>
  <c r="IA104" i="18"/>
  <c r="JO36" i="18"/>
  <c r="JQ86" i="18"/>
  <c r="G9" i="28"/>
  <c r="E9" i="28"/>
  <c r="M37" i="14"/>
  <c r="N44" i="14"/>
  <c r="Y44" i="17" s="1"/>
  <c r="M44" i="14"/>
  <c r="M79" i="14"/>
  <c r="N79" i="14"/>
  <c r="Y79" i="17" s="1"/>
  <c r="AN104" i="18"/>
  <c r="G9" i="32" s="1"/>
  <c r="H9" i="32" s="1"/>
  <c r="IN104" i="18"/>
  <c r="JO40" i="18"/>
  <c r="G17" i="28"/>
  <c r="H17" i="28" s="1"/>
  <c r="E17" i="28"/>
  <c r="N48" i="14"/>
  <c r="Y48" i="17" s="1"/>
  <c r="M48" i="14"/>
  <c r="AN29" i="7"/>
  <c r="N28" i="7"/>
  <c r="J39" i="6" s="1"/>
  <c r="AC25" i="7"/>
  <c r="W24" i="7"/>
  <c r="AE20" i="7"/>
  <c r="X19" i="7"/>
  <c r="AG26" i="7"/>
  <c r="N26" i="7"/>
  <c r="H39" i="6" s="1"/>
  <c r="AA25" i="7"/>
  <c r="W22" i="7"/>
  <c r="S21" i="7"/>
  <c r="AM28" i="7"/>
  <c r="AF27" i="7"/>
  <c r="AL23" i="7"/>
  <c r="AE22" i="7"/>
  <c r="AJ28" i="7"/>
  <c r="AA26" i="7"/>
  <c r="AD22" i="7"/>
  <c r="Q21" i="7"/>
  <c r="C42" i="6" s="1"/>
  <c r="AK27" i="7"/>
  <c r="Q27" i="7"/>
  <c r="I42" i="6" s="1"/>
  <c r="W26" i="7"/>
  <c r="AH21" i="7"/>
  <c r="AA19" i="7"/>
  <c r="M10" i="7"/>
  <c r="Q30" i="7"/>
  <c r="L42" i="6" s="1"/>
  <c r="N27" i="7"/>
  <c r="I39" i="6" s="1"/>
  <c r="V26" i="7"/>
  <c r="AB25" i="7"/>
  <c r="AG21" i="7"/>
  <c r="T20" i="7"/>
  <c r="N30" i="7"/>
  <c r="L39" i="6" s="1"/>
  <c r="AN26" i="7"/>
  <c r="U26" i="7"/>
  <c r="Z25" i="7"/>
  <c r="AF21" i="7"/>
  <c r="S20" i="7"/>
  <c r="T26" i="7"/>
  <c r="Y25" i="7"/>
  <c r="AF24" i="7"/>
  <c r="Q23" i="7"/>
  <c r="E42" i="6" s="1"/>
  <c r="AL20" i="7"/>
  <c r="Q20" i="7"/>
  <c r="B42" i="6" s="1"/>
  <c r="W19" i="7"/>
  <c r="AD24" i="7"/>
  <c r="AI23" i="7"/>
  <c r="AN22" i="7"/>
  <c r="AF30" i="7"/>
  <c r="S29" i="7"/>
  <c r="AL22" i="7"/>
  <c r="S22" i="7"/>
  <c r="AB21" i="7"/>
  <c r="AF20" i="7"/>
  <c r="AJ24" i="7"/>
  <c r="M72" i="14"/>
  <c r="JQ54" i="18"/>
  <c r="G13" i="28"/>
  <c r="H13" i="28" s="1"/>
  <c r="E13" i="28"/>
  <c r="N103" i="14"/>
  <c r="Y103" i="17" s="1"/>
  <c r="M103" i="14"/>
  <c r="BA104" i="18"/>
  <c r="G10" i="32" s="1"/>
  <c r="H10" i="32" s="1"/>
  <c r="JQ78" i="18"/>
  <c r="G20" i="28"/>
  <c r="H20" i="28" s="1"/>
  <c r="E20" i="28"/>
  <c r="A50" i="6"/>
  <c r="C50" i="6"/>
  <c r="A55" i="6"/>
  <c r="N22" i="7"/>
  <c r="D39" i="6" s="1"/>
  <c r="Q26" i="7"/>
  <c r="H42" i="6" s="1"/>
  <c r="AB27" i="7"/>
  <c r="AN28" i="7"/>
  <c r="CA104" i="18"/>
  <c r="G22" i="32" s="1"/>
  <c r="H22" i="32" s="1"/>
  <c r="E7" i="28"/>
  <c r="E8" i="28"/>
  <c r="Y30" i="7"/>
  <c r="JQ12" i="18"/>
  <c r="JQ18" i="18"/>
  <c r="A1" i="13"/>
  <c r="M13" i="14"/>
  <c r="N13" i="14" s="1"/>
  <c r="Y13" i="17" s="1"/>
  <c r="M18" i="14"/>
  <c r="N18" i="14" s="1"/>
  <c r="Y18" i="17" s="1"/>
  <c r="M23" i="14"/>
  <c r="O104" i="17"/>
  <c r="B21" i="7" s="1"/>
  <c r="JQ5" i="18"/>
  <c r="JO44" i="18"/>
  <c r="JQ50" i="18"/>
  <c r="JQ82" i="18"/>
  <c r="M20" i="15"/>
  <c r="M21" i="15" s="1"/>
  <c r="J40" i="15"/>
  <c r="K40" i="15" s="1"/>
  <c r="M40" i="15" s="1"/>
  <c r="R13" i="26"/>
  <c r="R21" i="26"/>
  <c r="R29" i="26"/>
  <c r="R37" i="26"/>
  <c r="R45" i="26"/>
  <c r="R53" i="26"/>
  <c r="R63" i="26"/>
  <c r="R73" i="26"/>
  <c r="R92" i="26"/>
  <c r="R122" i="26"/>
  <c r="F10" i="7"/>
  <c r="E26" i="7"/>
  <c r="B30" i="7"/>
  <c r="M33" i="14"/>
  <c r="M38" i="14"/>
  <c r="M43" i="14"/>
  <c r="F38" i="15"/>
  <c r="D39" i="15"/>
  <c r="BN104" i="18"/>
  <c r="JO3" i="18"/>
  <c r="JQ7" i="18"/>
  <c r="JO20" i="18"/>
  <c r="JO22" i="18"/>
  <c r="JQ28" i="18"/>
  <c r="JO47" i="18"/>
  <c r="JQ52" i="18"/>
  <c r="JO76" i="18"/>
  <c r="JQ84" i="18"/>
  <c r="R83" i="26"/>
  <c r="R103" i="26"/>
  <c r="R113" i="26"/>
  <c r="R132" i="26"/>
  <c r="R163" i="26"/>
  <c r="R195" i="26"/>
  <c r="R228" i="26"/>
  <c r="G11" i="28"/>
  <c r="H11" i="28" s="1"/>
  <c r="E11" i="28"/>
  <c r="G24" i="28"/>
  <c r="H24" i="28" s="1"/>
  <c r="E24" i="28"/>
  <c r="D53" i="6"/>
  <c r="F56" i="6"/>
  <c r="H10" i="7"/>
  <c r="P12" i="7"/>
  <c r="Q5" i="17"/>
  <c r="P5" i="17"/>
  <c r="P104" i="17" s="1"/>
  <c r="CN104" i="18"/>
  <c r="JO4" i="18"/>
  <c r="JO5" i="18"/>
  <c r="JO6" i="18"/>
  <c r="JQ10" i="18"/>
  <c r="JO48" i="18"/>
  <c r="JO51" i="18"/>
  <c r="JQ56" i="18"/>
  <c r="JO80" i="18"/>
  <c r="JQ88" i="18"/>
  <c r="R55" i="26"/>
  <c r="R65" i="26"/>
  <c r="R84" i="26"/>
  <c r="R114" i="26"/>
  <c r="R154" i="26"/>
  <c r="R164" i="26"/>
  <c r="R175" i="26"/>
  <c r="R186" i="26"/>
  <c r="R196" i="26"/>
  <c r="R207" i="26"/>
  <c r="B5" i="32"/>
  <c r="B5" i="28"/>
  <c r="D22" i="7"/>
  <c r="M29" i="14"/>
  <c r="M34" i="14"/>
  <c r="M39" i="14"/>
  <c r="M94" i="14"/>
  <c r="JO26" i="18"/>
  <c r="JQ58" i="18"/>
  <c r="JQ90" i="18"/>
  <c r="R7" i="26"/>
  <c r="R8" i="26" s="1"/>
  <c r="R15" i="26"/>
  <c r="R23" i="26"/>
  <c r="R31" i="26"/>
  <c r="R39" i="26"/>
  <c r="R47" i="26"/>
  <c r="R75" i="26"/>
  <c r="R95" i="26"/>
  <c r="R105" i="26"/>
  <c r="R124" i="26"/>
  <c r="R219" i="26"/>
  <c r="H20" i="29"/>
  <c r="A17" i="29"/>
  <c r="A17" i="30"/>
  <c r="H15" i="29"/>
  <c r="H15" i="30"/>
  <c r="A9" i="29"/>
  <c r="A9" i="30"/>
  <c r="F4" i="29"/>
  <c r="F4" i="30"/>
  <c r="F3" i="29"/>
  <c r="F3" i="30"/>
  <c r="H7" i="13"/>
  <c r="B23" i="7"/>
  <c r="C54" i="6"/>
  <c r="E51" i="6"/>
  <c r="N8" i="7"/>
  <c r="N9" i="7" s="1"/>
  <c r="AJ25" i="7" s="1"/>
  <c r="E56" i="6"/>
  <c r="E48" i="6"/>
  <c r="K4" i="6"/>
  <c r="B27" i="7"/>
  <c r="M12" i="7"/>
  <c r="E52" i="6"/>
  <c r="R12" i="7"/>
  <c r="C17" i="27"/>
  <c r="C15" i="27"/>
  <c r="C14" i="27"/>
  <c r="C12" i="27"/>
  <c r="C10" i="27"/>
  <c r="C3" i="27"/>
  <c r="Q13" i="17"/>
  <c r="P13" i="17"/>
  <c r="DN104" i="18"/>
  <c r="G13" i="32" s="1"/>
  <c r="H13" i="32" s="1"/>
  <c r="JO27" i="18"/>
  <c r="JO52" i="18"/>
  <c r="JO55" i="18"/>
  <c r="JQ60" i="18"/>
  <c r="JO84" i="18"/>
  <c r="JQ92" i="18"/>
  <c r="R66" i="26"/>
  <c r="R115" i="26"/>
  <c r="R135" i="26"/>
  <c r="R145" i="26"/>
  <c r="R155" i="26"/>
  <c r="R187" i="26"/>
  <c r="E47" i="6"/>
  <c r="F50" i="6"/>
  <c r="D57" i="6"/>
  <c r="C4" i="7"/>
  <c r="B24" i="7"/>
  <c r="N95" i="14"/>
  <c r="Y95" i="17" s="1"/>
  <c r="EA104" i="18"/>
  <c r="G12" i="32" s="1"/>
  <c r="H12" i="32" s="1"/>
  <c r="JO29" i="18"/>
  <c r="JQ32" i="18"/>
  <c r="JQ62" i="18"/>
  <c r="JQ94" i="18"/>
  <c r="R16" i="26"/>
  <c r="R24" i="26"/>
  <c r="R32" i="26"/>
  <c r="R40" i="26"/>
  <c r="R48" i="26"/>
  <c r="R57" i="26"/>
  <c r="R76" i="26"/>
  <c r="R106" i="26"/>
  <c r="R220" i="26"/>
  <c r="Q21" i="17"/>
  <c r="P21" i="17"/>
  <c r="EN104" i="18"/>
  <c r="G20" i="32" s="1"/>
  <c r="H20" i="32" s="1"/>
  <c r="JQ13" i="18"/>
  <c r="JQ16" i="18"/>
  <c r="JQ34" i="18"/>
  <c r="JO56" i="18"/>
  <c r="JO58" i="18"/>
  <c r="JQ64" i="18"/>
  <c r="JO88" i="18"/>
  <c r="JQ96" i="18"/>
  <c r="R97" i="26"/>
  <c r="R116" i="26"/>
  <c r="R146" i="26"/>
  <c r="R156" i="26"/>
  <c r="R167" i="26"/>
  <c r="R178" i="26"/>
  <c r="R188" i="26"/>
  <c r="R199" i="26"/>
  <c r="R210" i="26"/>
  <c r="JO11" i="18"/>
  <c r="JQ15" i="18"/>
  <c r="JQ17" i="18"/>
  <c r="JQ36" i="18"/>
  <c r="JQ66" i="18"/>
  <c r="JQ98" i="18"/>
  <c r="R17" i="26"/>
  <c r="R25" i="26"/>
  <c r="R33" i="26"/>
  <c r="R41" i="26"/>
  <c r="R49" i="26"/>
  <c r="R58" i="26"/>
  <c r="R107" i="26"/>
  <c r="R127" i="26"/>
  <c r="R137" i="26"/>
  <c r="P3" i="4"/>
  <c r="E10" i="28"/>
  <c r="G23" i="28"/>
  <c r="H23" i="28" s="1"/>
  <c r="E23" i="28"/>
  <c r="D51" i="6"/>
  <c r="F54" i="6"/>
  <c r="C44" i="7"/>
  <c r="C3" i="13" s="1"/>
  <c r="M6" i="14"/>
  <c r="N6" i="14" s="1"/>
  <c r="Y6" i="17" s="1"/>
  <c r="M11" i="14"/>
  <c r="N11" i="14" s="1"/>
  <c r="Y11" i="17" s="1"/>
  <c r="M70" i="14"/>
  <c r="Q11" i="17"/>
  <c r="P11" i="17"/>
  <c r="FN104" i="18"/>
  <c r="F19" i="13"/>
  <c r="JQ38" i="18"/>
  <c r="JO60" i="18"/>
  <c r="JQ68" i="18"/>
  <c r="JO92" i="18"/>
  <c r="JQ100" i="18"/>
  <c r="R68" i="26"/>
  <c r="R98" i="26"/>
  <c r="R147" i="26"/>
  <c r="R179" i="26"/>
  <c r="L104" i="14"/>
  <c r="M21" i="14"/>
  <c r="N21" i="14" s="1"/>
  <c r="Y21" i="17" s="1"/>
  <c r="M26" i="14"/>
  <c r="M31" i="14"/>
  <c r="GA104" i="18"/>
  <c r="JO12" i="18"/>
  <c r="JO14" i="18"/>
  <c r="JO32" i="18"/>
  <c r="JQ40" i="18"/>
  <c r="JQ70" i="18"/>
  <c r="JQ102" i="18"/>
  <c r="R234" i="26"/>
  <c r="R233" i="26"/>
  <c r="R232" i="26"/>
  <c r="R231" i="26"/>
  <c r="R230" i="26"/>
  <c r="R237" i="26"/>
  <c r="R236" i="26"/>
  <c r="R235" i="26"/>
  <c r="R225" i="26"/>
  <c r="R217" i="26"/>
  <c r="R209" i="26"/>
  <c r="R201" i="26"/>
  <c r="R193" i="26"/>
  <c r="R185" i="26"/>
  <c r="R177" i="26"/>
  <c r="R169" i="26"/>
  <c r="R161" i="26"/>
  <c r="R153" i="26"/>
  <c r="R224" i="26"/>
  <c r="R216" i="26"/>
  <c r="R208" i="26"/>
  <c r="R200" i="26"/>
  <c r="R192" i="26"/>
  <c r="R184" i="26"/>
  <c r="R176" i="26"/>
  <c r="R168" i="26"/>
  <c r="R160" i="26"/>
  <c r="R152" i="26"/>
  <c r="R144" i="26"/>
  <c r="R136" i="26"/>
  <c r="R128" i="26"/>
  <c r="R120" i="26"/>
  <c r="R112" i="26"/>
  <c r="R104" i="26"/>
  <c r="R96" i="26"/>
  <c r="R88" i="26"/>
  <c r="R80" i="26"/>
  <c r="R72" i="26"/>
  <c r="R64" i="26"/>
  <c r="R56" i="26"/>
  <c r="R223" i="26"/>
  <c r="R215" i="26"/>
  <c r="R222" i="26"/>
  <c r="R214" i="26"/>
  <c r="R206" i="26"/>
  <c r="R198" i="26"/>
  <c r="R190" i="26"/>
  <c r="R182" i="26"/>
  <c r="R174" i="26"/>
  <c r="R166" i="26"/>
  <c r="R158" i="26"/>
  <c r="R150" i="26"/>
  <c r="R142" i="26"/>
  <c r="R134" i="26"/>
  <c r="R126" i="26"/>
  <c r="R118" i="26"/>
  <c r="R110" i="26"/>
  <c r="R102" i="26"/>
  <c r="R94" i="26"/>
  <c r="R86" i="26"/>
  <c r="R78" i="26"/>
  <c r="R70" i="26"/>
  <c r="R62" i="26"/>
  <c r="R54" i="26"/>
  <c r="R229" i="26"/>
  <c r="R221" i="26"/>
  <c r="R213" i="26"/>
  <c r="R205" i="26"/>
  <c r="R197" i="26"/>
  <c r="R189" i="26"/>
  <c r="R181" i="26"/>
  <c r="R173" i="26"/>
  <c r="R165" i="26"/>
  <c r="R157" i="26"/>
  <c r="R149" i="26"/>
  <c r="R141" i="26"/>
  <c r="R133" i="26"/>
  <c r="R125" i="26"/>
  <c r="R117" i="26"/>
  <c r="R109" i="26"/>
  <c r="R101" i="26"/>
  <c r="R93" i="26"/>
  <c r="R85" i="26"/>
  <c r="R77" i="26"/>
  <c r="R69" i="26"/>
  <c r="R61" i="26"/>
  <c r="R18" i="26"/>
  <c r="R26" i="26"/>
  <c r="R34" i="26"/>
  <c r="R42" i="26"/>
  <c r="R50" i="26"/>
  <c r="R59" i="26"/>
  <c r="R79" i="26"/>
  <c r="R89" i="26"/>
  <c r="R108" i="26"/>
  <c r="R138" i="26"/>
  <c r="N2" i="14"/>
  <c r="Q19" i="17"/>
  <c r="P19" i="17"/>
  <c r="GN104" i="18"/>
  <c r="JO37" i="18"/>
  <c r="JQ42" i="18"/>
  <c r="JO64" i="18"/>
  <c r="JQ72" i="18"/>
  <c r="R99" i="26"/>
  <c r="R119" i="26"/>
  <c r="R129" i="26"/>
  <c r="R148" i="26"/>
  <c r="R159" i="26"/>
  <c r="R170" i="26"/>
  <c r="R180" i="26"/>
  <c r="R191" i="26"/>
  <c r="R202" i="26"/>
  <c r="R212" i="26"/>
  <c r="JO96" i="18"/>
  <c r="JO21" i="18"/>
  <c r="JO33" i="18"/>
  <c r="JO34" i="18"/>
  <c r="JO49" i="18"/>
  <c r="JO50" i="18"/>
  <c r="JO65" i="18"/>
  <c r="JO66" i="18"/>
  <c r="JO81" i="18"/>
  <c r="JO82" i="18"/>
  <c r="JO97" i="18"/>
  <c r="JO98" i="18"/>
  <c r="JO23" i="18"/>
  <c r="D15" i="27"/>
  <c r="D14" i="27"/>
  <c r="D12" i="27"/>
  <c r="D10" i="27"/>
  <c r="D3" i="27"/>
  <c r="D17" i="27"/>
  <c r="JO13" i="18"/>
  <c r="JO38" i="18"/>
  <c r="JO53" i="18"/>
  <c r="JO54" i="18"/>
  <c r="JO69" i="18"/>
  <c r="JO70" i="18"/>
  <c r="JO85" i="18"/>
  <c r="JO86" i="18"/>
  <c r="JO101" i="18"/>
  <c r="JO102" i="18"/>
  <c r="JO15" i="18"/>
  <c r="I104" i="22"/>
  <c r="JO74" i="18"/>
  <c r="JO89" i="18"/>
  <c r="JO90" i="18"/>
  <c r="JO7" i="18"/>
  <c r="JO30" i="18"/>
  <c r="JO46" i="18"/>
  <c r="JO61" i="18"/>
  <c r="JO62" i="18"/>
  <c r="JO77" i="18"/>
  <c r="JO78" i="18"/>
  <c r="JO93" i="18"/>
  <c r="JO94" i="18"/>
  <c r="Q2" i="17"/>
  <c r="N12" i="7"/>
  <c r="S12" i="7"/>
  <c r="Q12" i="7"/>
  <c r="P14" i="7" l="1"/>
  <c r="R14" i="7"/>
  <c r="F7" i="13"/>
  <c r="C21" i="7"/>
  <c r="F14" i="1"/>
  <c r="G14" i="1" s="1"/>
  <c r="I14" i="1" s="1"/>
  <c r="K14" i="1" s="1"/>
  <c r="F14" i="2"/>
  <c r="G14" i="2" s="1"/>
  <c r="I14" i="2" s="1"/>
  <c r="K14" i="2" s="1"/>
  <c r="T21" i="7"/>
  <c r="B58" i="6"/>
  <c r="B48" i="6"/>
  <c r="B54" i="6"/>
  <c r="B57" i="6"/>
  <c r="B55" i="6"/>
  <c r="B56" i="6"/>
  <c r="B50" i="6"/>
  <c r="B53" i="6"/>
  <c r="B49" i="6"/>
  <c r="B51" i="6"/>
  <c r="B52" i="6"/>
  <c r="B47" i="6"/>
  <c r="K32" i="15"/>
  <c r="J32" i="15"/>
  <c r="Z23" i="7"/>
  <c r="AM29" i="7"/>
  <c r="AM20" i="7"/>
  <c r="AN20" i="7"/>
  <c r="V20" i="7"/>
  <c r="AM21" i="7"/>
  <c r="V23" i="7"/>
  <c r="AI21" i="7"/>
  <c r="AN19" i="7"/>
  <c r="AC30" i="7"/>
  <c r="AA20" i="7"/>
  <c r="AA31" i="7" s="1"/>
  <c r="X28" i="7"/>
  <c r="AI19" i="7"/>
  <c r="AI28" i="7"/>
  <c r="H7" i="32"/>
  <c r="H24" i="32" s="1"/>
  <c r="C56" i="6"/>
  <c r="A56" i="6"/>
  <c r="AB19" i="7"/>
  <c r="T19" i="7"/>
  <c r="AE21" i="7"/>
  <c r="X22" i="7"/>
  <c r="Z22" i="7"/>
  <c r="AA22" i="7"/>
  <c r="Y23" i="7"/>
  <c r="AC24" i="7"/>
  <c r="AM22" i="7"/>
  <c r="U21" i="7"/>
  <c r="E39" i="15"/>
  <c r="B11" i="7"/>
  <c r="A39" i="6"/>
  <c r="Y2" i="17"/>
  <c r="N104" i="14"/>
  <c r="C18" i="6"/>
  <c r="C15" i="28" s="1"/>
  <c r="C18" i="4"/>
  <c r="H3" i="13"/>
  <c r="F3" i="13"/>
  <c r="Q10" i="7"/>
  <c r="Q14" i="7" s="1"/>
  <c r="M11" i="7"/>
  <c r="B15" i="7" s="1"/>
  <c r="AC27" i="7"/>
  <c r="X26" i="7"/>
  <c r="AC23" i="7"/>
  <c r="AG19" i="7"/>
  <c r="N10" i="7"/>
  <c r="N14" i="7" s="1"/>
  <c r="U28" i="7"/>
  <c r="X21" i="7"/>
  <c r="X31" i="7" s="1"/>
  <c r="J3" i="13" s="1"/>
  <c r="U29" i="7"/>
  <c r="Z21" i="7"/>
  <c r="AD30" i="7"/>
  <c r="V21" i="7"/>
  <c r="V30" i="7"/>
  <c r="AL28" i="7"/>
  <c r="AA27" i="7"/>
  <c r="AL24" i="7"/>
  <c r="AA23" i="7"/>
  <c r="AG20" i="7"/>
  <c r="AC19" i="7"/>
  <c r="AF25" i="7"/>
  <c r="V24" i="7"/>
  <c r="AI22" i="7"/>
  <c r="W20" i="7"/>
  <c r="W31" i="7" s="1"/>
  <c r="J7" i="13" s="1"/>
  <c r="Z30" i="7"/>
  <c r="AH19" i="7"/>
  <c r="AH26" i="7"/>
  <c r="AC26" i="7"/>
  <c r="AE23" i="7"/>
  <c r="AK29" i="7"/>
  <c r="AH28" i="7"/>
  <c r="V27" i="7"/>
  <c r="AL25" i="7"/>
  <c r="AA24" i="7"/>
  <c r="W23" i="7"/>
  <c r="AN21" i="7"/>
  <c r="AB20" i="7"/>
  <c r="AG29" i="7"/>
  <c r="AM27" i="7"/>
  <c r="T25" i="7"/>
  <c r="AC22" i="7"/>
  <c r="AJ19" i="7"/>
  <c r="Z26" i="7"/>
  <c r="AH29" i="7"/>
  <c r="V28" i="7"/>
  <c r="AL26" i="7"/>
  <c r="AH25" i="7"/>
  <c r="X24" i="7"/>
  <c r="AJ22" i="7"/>
  <c r="AD21" i="7"/>
  <c r="X20" i="7"/>
  <c r="AJ23" i="7"/>
  <c r="S10" i="7"/>
  <c r="S14" i="7" s="1"/>
  <c r="AE25" i="7"/>
  <c r="T24" i="7"/>
  <c r="AH22" i="7"/>
  <c r="Y21" i="7"/>
  <c r="AH30" i="7"/>
  <c r="AC29" i="7"/>
  <c r="S28" i="7"/>
  <c r="AE26" i="7"/>
  <c r="X25" i="7"/>
  <c r="AG22" i="7"/>
  <c r="AG27" i="7"/>
  <c r="AE30" i="7"/>
  <c r="AB29" i="7"/>
  <c r="AD26" i="7"/>
  <c r="U25" i="7"/>
  <c r="AF22" i="7"/>
  <c r="W21" i="7"/>
  <c r="AK19" i="7"/>
  <c r="U22" i="7"/>
  <c r="V26" i="17"/>
  <c r="W26" i="17" s="1"/>
  <c r="V8" i="17"/>
  <c r="W8" i="17" s="1"/>
  <c r="S19" i="7"/>
  <c r="AI20" i="7"/>
  <c r="V22" i="7"/>
  <c r="S23" i="7"/>
  <c r="T23" i="7"/>
  <c r="U23" i="7"/>
  <c r="S24" i="7"/>
  <c r="S25" i="7"/>
  <c r="AD23" i="7"/>
  <c r="AK21" i="7"/>
  <c r="Y24" i="7"/>
  <c r="R9" i="26"/>
  <c r="B28" i="7"/>
  <c r="C51" i="6"/>
  <c r="A51" i="6"/>
  <c r="AM19" i="7"/>
  <c r="AC21" i="7"/>
  <c r="AM23" i="7"/>
  <c r="AN23" i="7"/>
  <c r="AI24" i="7"/>
  <c r="AN24" i="7"/>
  <c r="AI25" i="7"/>
  <c r="U24" i="7"/>
  <c r="Y22" i="7"/>
  <c r="AK22" i="7"/>
  <c r="X30" i="7"/>
  <c r="AH20" i="7"/>
  <c r="T22" i="7"/>
  <c r="AK23" i="7"/>
  <c r="AG24" i="7"/>
  <c r="AH24" i="7"/>
  <c r="AD25" i="7"/>
  <c r="AG25" i="7"/>
  <c r="Y26" i="7"/>
  <c r="AK24" i="7"/>
  <c r="AF23" i="7"/>
  <c r="AJ21" i="7"/>
  <c r="C21" i="31"/>
  <c r="C47" i="6"/>
  <c r="A47" i="6"/>
  <c r="W27" i="7"/>
  <c r="Z20" i="7"/>
  <c r="H13" i="6"/>
  <c r="H13" i="4"/>
  <c r="U27" i="7"/>
  <c r="W28" i="7"/>
  <c r="AM24" i="7"/>
  <c r="AM25" i="7"/>
  <c r="AN30" i="7"/>
  <c r="AE24" i="7"/>
  <c r="AF29" i="7"/>
  <c r="AB30" i="7"/>
  <c r="C48" i="6"/>
  <c r="A48" i="6"/>
  <c r="AB23" i="7"/>
  <c r="AH23" i="7"/>
  <c r="W25" i="7"/>
  <c r="AM26" i="7"/>
  <c r="AI27" i="7"/>
  <c r="AJ27" i="7"/>
  <c r="AF28" i="7"/>
  <c r="AE29" i="7"/>
  <c r="AD29" i="7"/>
  <c r="X27" i="7"/>
  <c r="S26" i="7"/>
  <c r="X23" i="7"/>
  <c r="AJ29" i="7"/>
  <c r="T28" i="7"/>
  <c r="F19" i="6"/>
  <c r="F16" i="28" s="1"/>
  <c r="G16" i="28" s="1"/>
  <c r="H16" i="28" s="1"/>
  <c r="G19" i="13"/>
  <c r="F19" i="4"/>
  <c r="AB24" i="7"/>
  <c r="AK26" i="7"/>
  <c r="AH27" i="7"/>
  <c r="AC28" i="7"/>
  <c r="AD28" i="7"/>
  <c r="AA29" i="7"/>
  <c r="W30" i="7"/>
  <c r="S30" i="7"/>
  <c r="AN27" i="7"/>
  <c r="AI26" i="7"/>
  <c r="AD20" i="7"/>
  <c r="AA28" i="7"/>
  <c r="U29" i="17"/>
  <c r="V17" i="17" s="1"/>
  <c r="W17" i="17" s="1"/>
  <c r="AF26" i="7"/>
  <c r="AL27" i="7"/>
  <c r="AJ20" i="7"/>
  <c r="U30" i="7"/>
  <c r="V25" i="7"/>
  <c r="AE27" i="7"/>
  <c r="AB28" i="7"/>
  <c r="Y29" i="7"/>
  <c r="Z29" i="7"/>
  <c r="T30" i="7"/>
  <c r="AD19" i="7"/>
  <c r="AI30" i="7"/>
  <c r="AE28" i="7"/>
  <c r="Z27" i="7"/>
  <c r="U19" i="7"/>
  <c r="T27" i="7"/>
  <c r="AB26" i="7"/>
  <c r="Q104" i="17"/>
  <c r="AF19" i="7"/>
  <c r="V12" i="17"/>
  <c r="W12" i="17" s="1"/>
  <c r="AK28" i="7"/>
  <c r="AJ26" i="7"/>
  <c r="Z28" i="7"/>
  <c r="W29" i="7"/>
  <c r="AM30" i="7"/>
  <c r="U20" i="7"/>
  <c r="V19" i="7"/>
  <c r="V29" i="7"/>
  <c r="AK25" i="7"/>
  <c r="W6" i="15"/>
  <c r="V20" i="17"/>
  <c r="W20" i="17" s="1"/>
  <c r="V24" i="17"/>
  <c r="W24" i="17" s="1"/>
  <c r="A52" i="6"/>
  <c r="C52" i="6"/>
  <c r="JO104" i="18"/>
  <c r="Y27" i="7"/>
  <c r="AD27" i="7"/>
  <c r="T29" i="7"/>
  <c r="AJ30" i="7"/>
  <c r="O7" i="4" s="1"/>
  <c r="AK30" i="7"/>
  <c r="AL30" i="7"/>
  <c r="AE19" i="7"/>
  <c r="AK20" i="7"/>
  <c r="AL19" i="7"/>
  <c r="AL29" i="7"/>
  <c r="AG28" i="7"/>
  <c r="Z24" i="7"/>
  <c r="AG23" i="7"/>
  <c r="G23" i="32"/>
  <c r="H23" i="32" s="1"/>
  <c r="G14" i="32"/>
  <c r="H14" i="32" s="1"/>
  <c r="AN25" i="7"/>
  <c r="Y28" i="7"/>
  <c r="AG30" i="7"/>
  <c r="Y19" i="7"/>
  <c r="Z19" i="7"/>
  <c r="M14" i="7"/>
  <c r="M15" i="7" s="1"/>
  <c r="Y20" i="7"/>
  <c r="AA21" i="7"/>
  <c r="AC20" i="7"/>
  <c r="AA30" i="7"/>
  <c r="X29" i="7"/>
  <c r="AB22" i="7"/>
  <c r="M17" i="7"/>
  <c r="R15" i="7" l="1"/>
  <c r="P15" i="7"/>
  <c r="J18" i="6"/>
  <c r="I18" i="4" s="1"/>
  <c r="M7" i="13"/>
  <c r="J13" i="6"/>
  <c r="I13" i="4" s="1"/>
  <c r="AK31" i="7"/>
  <c r="C43" i="6"/>
  <c r="K32" i="6"/>
  <c r="G32" i="6" s="1"/>
  <c r="A43" i="6"/>
  <c r="G24" i="32"/>
  <c r="AG31" i="7"/>
  <c r="V22" i="17"/>
  <c r="W22" i="17" s="1"/>
  <c r="AM31" i="7"/>
  <c r="AF31" i="7"/>
  <c r="F4" i="13"/>
  <c r="F18" i="2"/>
  <c r="F5" i="13"/>
  <c r="AC31" i="7"/>
  <c r="V14" i="17"/>
  <c r="W14" i="17" s="1"/>
  <c r="AI31" i="7"/>
  <c r="S31" i="7"/>
  <c r="H11" i="13"/>
  <c r="D17" i="7"/>
  <c r="P25" i="4"/>
  <c r="P26" i="4"/>
  <c r="G10" i="7"/>
  <c r="P27" i="4"/>
  <c r="P22" i="4"/>
  <c r="M27" i="4"/>
  <c r="H6" i="13"/>
  <c r="G13" i="7"/>
  <c r="M20" i="4"/>
  <c r="M24" i="4"/>
  <c r="C15" i="7"/>
  <c r="N25" i="4"/>
  <c r="P24" i="4"/>
  <c r="M22" i="4"/>
  <c r="P17" i="4"/>
  <c r="P28" i="4"/>
  <c r="P23" i="4"/>
  <c r="M26" i="4"/>
  <c r="M21" i="4"/>
  <c r="I10" i="7"/>
  <c r="N27" i="4"/>
  <c r="P16" i="4"/>
  <c r="P14" i="4"/>
  <c r="M16" i="4"/>
  <c r="M17" i="4"/>
  <c r="N14" i="4"/>
  <c r="M14" i="4"/>
  <c r="N24" i="4"/>
  <c r="N28" i="4"/>
  <c r="N21" i="4"/>
  <c r="N23" i="4"/>
  <c r="N15" i="4"/>
  <c r="P15" i="4"/>
  <c r="M28" i="4"/>
  <c r="H16" i="29"/>
  <c r="M15" i="4"/>
  <c r="F17" i="7"/>
  <c r="F18" i="7" s="1"/>
  <c r="N22" i="4"/>
  <c r="N16" i="4"/>
  <c r="P21" i="4"/>
  <c r="M25" i="4"/>
  <c r="N26" i="4"/>
  <c r="N17" i="4"/>
  <c r="H16" i="30"/>
  <c r="P20" i="4"/>
  <c r="M23" i="4"/>
  <c r="N20" i="4"/>
  <c r="V21" i="17"/>
  <c r="W21" i="17" s="1"/>
  <c r="U31" i="7"/>
  <c r="J5" i="13" s="1"/>
  <c r="V6" i="17"/>
  <c r="W6" i="17" s="1"/>
  <c r="AL31" i="7"/>
  <c r="V28" i="17"/>
  <c r="W28" i="17" s="1"/>
  <c r="V2" i="17"/>
  <c r="W2" i="17" s="1"/>
  <c r="V11" i="17"/>
  <c r="W11" i="17" s="1"/>
  <c r="V5" i="17"/>
  <c r="W5" i="17" s="1"/>
  <c r="V15" i="17"/>
  <c r="W15" i="17" s="1"/>
  <c r="V9" i="17"/>
  <c r="W9" i="17" s="1"/>
  <c r="V27" i="17"/>
  <c r="W27" i="17" s="1"/>
  <c r="V3" i="17"/>
  <c r="W3" i="17" s="1"/>
  <c r="V13" i="17"/>
  <c r="W13" i="17" s="1"/>
  <c r="V25" i="17"/>
  <c r="W25" i="17" s="1"/>
  <c r="V18" i="17"/>
  <c r="W18" i="17" s="1"/>
  <c r="F18" i="4"/>
  <c r="F18" i="6"/>
  <c r="F15" i="28" s="1"/>
  <c r="G7" i="13"/>
  <c r="F13" i="6"/>
  <c r="F10" i="28" s="1"/>
  <c r="G10" i="28" s="1"/>
  <c r="H10" i="28" s="1"/>
  <c r="F13" i="4"/>
  <c r="G19" i="6"/>
  <c r="G19" i="4"/>
  <c r="V19" i="17"/>
  <c r="W19" i="17" s="1"/>
  <c r="H18" i="4"/>
  <c r="H18" i="6"/>
  <c r="AN31" i="7"/>
  <c r="Z31" i="7"/>
  <c r="AE31" i="7"/>
  <c r="Y31" i="7"/>
  <c r="J11" i="13" s="1"/>
  <c r="V31" i="7"/>
  <c r="J6" i="13" s="1"/>
  <c r="AD31" i="7"/>
  <c r="V7" i="17"/>
  <c r="W7" i="17" s="1"/>
  <c r="V16" i="17"/>
  <c r="W16" i="17" s="1"/>
  <c r="V10" i="17"/>
  <c r="W10" i="17" s="1"/>
  <c r="T31" i="7"/>
  <c r="J4" i="13" s="1"/>
  <c r="V23" i="17"/>
  <c r="W23" i="17" s="1"/>
  <c r="AB31" i="7"/>
  <c r="V4" i="17"/>
  <c r="W4" i="17" s="1"/>
  <c r="AJ31" i="7"/>
  <c r="AH31" i="7"/>
  <c r="Y104" i="17"/>
  <c r="Z2" i="17"/>
  <c r="AA2" i="17" s="1"/>
  <c r="R17" i="7"/>
  <c r="P17" i="7"/>
  <c r="F14" i="7"/>
  <c r="H11" i="7"/>
  <c r="F11" i="7"/>
  <c r="B35" i="6" l="1"/>
  <c r="J10" i="7"/>
  <c r="G11" i="7"/>
  <c r="K10" i="7" s="1"/>
  <c r="I11" i="7"/>
  <c r="G14" i="7"/>
  <c r="M5" i="13"/>
  <c r="J11" i="6"/>
  <c r="I11" i="4" s="1"/>
  <c r="G17" i="7"/>
  <c r="G18" i="7" s="1"/>
  <c r="H17" i="7" s="1"/>
  <c r="D18" i="7"/>
  <c r="E17" i="7" s="1"/>
  <c r="P4" i="4" s="1"/>
  <c r="H29" i="4"/>
  <c r="I11" i="13"/>
  <c r="K11" i="13" s="1"/>
  <c r="K29" i="6" s="1"/>
  <c r="L29" i="4" s="1"/>
  <c r="H29" i="6"/>
  <c r="H26" i="28" s="1"/>
  <c r="M4" i="13"/>
  <c r="J10" i="6"/>
  <c r="I7" i="13"/>
  <c r="G13" i="4"/>
  <c r="G13" i="6"/>
  <c r="J19" i="13"/>
  <c r="I19" i="13"/>
  <c r="M13" i="4"/>
  <c r="M11" i="13"/>
  <c r="J29" i="6"/>
  <c r="I29" i="4" s="1"/>
  <c r="F11" i="6"/>
  <c r="F8" i="28" s="1"/>
  <c r="G8" i="28" s="1"/>
  <c r="G5" i="13"/>
  <c r="F11" i="4"/>
  <c r="M3" i="13"/>
  <c r="M6" i="13"/>
  <c r="J12" i="6"/>
  <c r="I12" i="4" s="1"/>
  <c r="Z10" i="17"/>
  <c r="AA10" i="17" s="1"/>
  <c r="Z75" i="17"/>
  <c r="AA75" i="17" s="1"/>
  <c r="Z9" i="17"/>
  <c r="AA9" i="17" s="1"/>
  <c r="Z5" i="17"/>
  <c r="AA5" i="17" s="1"/>
  <c r="Z97" i="17"/>
  <c r="AA97" i="17" s="1"/>
  <c r="Z85" i="17"/>
  <c r="AA85" i="17" s="1"/>
  <c r="Z8" i="17"/>
  <c r="AA8" i="17" s="1"/>
  <c r="Z27" i="17"/>
  <c r="AA27" i="17" s="1"/>
  <c r="Z23" i="17"/>
  <c r="AA23" i="17" s="1"/>
  <c r="Z99" i="17"/>
  <c r="AA99" i="17" s="1"/>
  <c r="Z71" i="17"/>
  <c r="AA71" i="17" s="1"/>
  <c r="Z102" i="17"/>
  <c r="AA102" i="17" s="1"/>
  <c r="Z88" i="17"/>
  <c r="AA88" i="17" s="1"/>
  <c r="Z68" i="17"/>
  <c r="AA68" i="17" s="1"/>
  <c r="Z46" i="17"/>
  <c r="AA46" i="17" s="1"/>
  <c r="Z19" i="17"/>
  <c r="AA19" i="17" s="1"/>
  <c r="Z59" i="17"/>
  <c r="AA59" i="17" s="1"/>
  <c r="Z82" i="17"/>
  <c r="AA82" i="17" s="1"/>
  <c r="Z77" i="17"/>
  <c r="AA77" i="17" s="1"/>
  <c r="Z56" i="17"/>
  <c r="AA56" i="17" s="1"/>
  <c r="Z57" i="17"/>
  <c r="AA57" i="17" s="1"/>
  <c r="Z70" i="17"/>
  <c r="AA70" i="17" s="1"/>
  <c r="Z24" i="17"/>
  <c r="AA24" i="17" s="1"/>
  <c r="Z7" i="17"/>
  <c r="AA7" i="17" s="1"/>
  <c r="Z41" i="17"/>
  <c r="AA41" i="17" s="1"/>
  <c r="Z81" i="17"/>
  <c r="AA81" i="17" s="1"/>
  <c r="Z86" i="17"/>
  <c r="AA86" i="17" s="1"/>
  <c r="Z54" i="17"/>
  <c r="AA54" i="17" s="1"/>
  <c r="Z50" i="17"/>
  <c r="AA50" i="17" s="1"/>
  <c r="Z74" i="17"/>
  <c r="AA74" i="17" s="1"/>
  <c r="Z89" i="17"/>
  <c r="AA89" i="17" s="1"/>
  <c r="Z12" i="17"/>
  <c r="AA12" i="17" s="1"/>
  <c r="Z65" i="17"/>
  <c r="AA65" i="17" s="1"/>
  <c r="Z66" i="17"/>
  <c r="AA66" i="17" s="1"/>
  <c r="Z17" i="17"/>
  <c r="AA17" i="17" s="1"/>
  <c r="Z30" i="17"/>
  <c r="AA30" i="17" s="1"/>
  <c r="Z16" i="17"/>
  <c r="AA16" i="17" s="1"/>
  <c r="Z83" i="17"/>
  <c r="AA83" i="17" s="1"/>
  <c r="Z43" i="17"/>
  <c r="AA43" i="17" s="1"/>
  <c r="Z20" i="17"/>
  <c r="AA20" i="17" s="1"/>
  <c r="Z69" i="17"/>
  <c r="AA69" i="17" s="1"/>
  <c r="Z87" i="17"/>
  <c r="AA87" i="17" s="1"/>
  <c r="Z3" i="17"/>
  <c r="AA3" i="17" s="1"/>
  <c r="AA104" i="17" s="1"/>
  <c r="Z72" i="17"/>
  <c r="AA72" i="17" s="1"/>
  <c r="Z28" i="17"/>
  <c r="AA28" i="17" s="1"/>
  <c r="Z37" i="17"/>
  <c r="AA37" i="17" s="1"/>
  <c r="Z26" i="17"/>
  <c r="AA26" i="17" s="1"/>
  <c r="Z94" i="17"/>
  <c r="AA94" i="17" s="1"/>
  <c r="Z42" i="17"/>
  <c r="AA42" i="17" s="1"/>
  <c r="Z15" i="17"/>
  <c r="AA15" i="17" s="1"/>
  <c r="Z34" i="17"/>
  <c r="AA34" i="17" s="1"/>
  <c r="Z47" i="17"/>
  <c r="AA47" i="17" s="1"/>
  <c r="Z35" i="17"/>
  <c r="AA35" i="17" s="1"/>
  <c r="Z84" i="17"/>
  <c r="AA84" i="17" s="1"/>
  <c r="Z31" i="17"/>
  <c r="AA31" i="17" s="1"/>
  <c r="Z22" i="17"/>
  <c r="AA22" i="17" s="1"/>
  <c r="Z33" i="17"/>
  <c r="AA33" i="17" s="1"/>
  <c r="Z32" i="17"/>
  <c r="AA32" i="17" s="1"/>
  <c r="Z38" i="17"/>
  <c r="AA38" i="17" s="1"/>
  <c r="Z29" i="17"/>
  <c r="AA29" i="17" s="1"/>
  <c r="Z92" i="17"/>
  <c r="AA92" i="17" s="1"/>
  <c r="Z52" i="17"/>
  <c r="AA52" i="17" s="1"/>
  <c r="Z45" i="17"/>
  <c r="AA45" i="17" s="1"/>
  <c r="Z4" i="17"/>
  <c r="AA4" i="17" s="1"/>
  <c r="Z98" i="17"/>
  <c r="AA98" i="17" s="1"/>
  <c r="Z39" i="17"/>
  <c r="AA39" i="17" s="1"/>
  <c r="Z51" i="17"/>
  <c r="AA51" i="17" s="1"/>
  <c r="Z64" i="17"/>
  <c r="AA64" i="17" s="1"/>
  <c r="Z40" i="17"/>
  <c r="AA40" i="17" s="1"/>
  <c r="Z58" i="17"/>
  <c r="AA58" i="17" s="1"/>
  <c r="Z53" i="17"/>
  <c r="AA53" i="17" s="1"/>
  <c r="Z61" i="17"/>
  <c r="AA61" i="17" s="1"/>
  <c r="Z14" i="17"/>
  <c r="AA14" i="17" s="1"/>
  <c r="Z80" i="17"/>
  <c r="AA80" i="17" s="1"/>
  <c r="Z62" i="17"/>
  <c r="AA62" i="17" s="1"/>
  <c r="Z100" i="17"/>
  <c r="AA100" i="17" s="1"/>
  <c r="Z90" i="17"/>
  <c r="AA90" i="17" s="1"/>
  <c r="Z76" i="17"/>
  <c r="AA76" i="17" s="1"/>
  <c r="Z25" i="17"/>
  <c r="AA25" i="17" s="1"/>
  <c r="Z49" i="17"/>
  <c r="AA49" i="17" s="1"/>
  <c r="Z55" i="17"/>
  <c r="AA55" i="17" s="1"/>
  <c r="Z67" i="17"/>
  <c r="AA67" i="17" s="1"/>
  <c r="Z101" i="17"/>
  <c r="AA101" i="17" s="1"/>
  <c r="Z60" i="17"/>
  <c r="AA60" i="17" s="1"/>
  <c r="Z73" i="17"/>
  <c r="AA73" i="17" s="1"/>
  <c r="Z91" i="17"/>
  <c r="AA91" i="17" s="1"/>
  <c r="Z78" i="17"/>
  <c r="AA78" i="17" s="1"/>
  <c r="Z6" i="17"/>
  <c r="AA6" i="17" s="1"/>
  <c r="Z44" i="17"/>
  <c r="AA44" i="17" s="1"/>
  <c r="Z21" i="17"/>
  <c r="AA21" i="17" s="1"/>
  <c r="Z96" i="17"/>
  <c r="AA96" i="17" s="1"/>
  <c r="Z18" i="17"/>
  <c r="AA18" i="17" s="1"/>
  <c r="Z48" i="17"/>
  <c r="AA48" i="17" s="1"/>
  <c r="Z93" i="17"/>
  <c r="AA93" i="17" s="1"/>
  <c r="Z36" i="17"/>
  <c r="AA36" i="17" s="1"/>
  <c r="Z13" i="17"/>
  <c r="AA13" i="17" s="1"/>
  <c r="Z103" i="17"/>
  <c r="AA103" i="17" s="1"/>
  <c r="Z11" i="17"/>
  <c r="AA11" i="17" s="1"/>
  <c r="Z95" i="17"/>
  <c r="AA95" i="17" s="1"/>
  <c r="Z63" i="17"/>
  <c r="AA63" i="17" s="1"/>
  <c r="Z79" i="17"/>
  <c r="AA79" i="17" s="1"/>
  <c r="M18" i="4"/>
  <c r="W29" i="17"/>
  <c r="J42" i="15" s="1"/>
  <c r="I3" i="13"/>
  <c r="G4" i="13"/>
  <c r="F10" i="4"/>
  <c r="F10" i="6"/>
  <c r="F7" i="28" s="1"/>
  <c r="H4" i="13"/>
  <c r="O28" i="4"/>
  <c r="H5" i="13"/>
  <c r="O25" i="4"/>
  <c r="O20" i="4"/>
  <c r="O15" i="4"/>
  <c r="O24" i="4"/>
  <c r="O21" i="4"/>
  <c r="O27" i="4"/>
  <c r="O16" i="4"/>
  <c r="O26" i="4"/>
  <c r="O23" i="4"/>
  <c r="O22" i="4"/>
  <c r="O17" i="4"/>
  <c r="O14" i="4"/>
  <c r="H12" i="6"/>
  <c r="H9" i="28" s="1"/>
  <c r="H12" i="4"/>
  <c r="I6" i="13"/>
  <c r="K6" i="13" s="1"/>
  <c r="K12" i="6" s="1"/>
  <c r="L12" i="4" s="1"/>
  <c r="A36" i="4"/>
  <c r="CA1" i="18" l="1"/>
  <c r="AN1" i="18"/>
  <c r="N1" i="18"/>
  <c r="IN1" i="18"/>
  <c r="CN1" i="18"/>
  <c r="JA1" i="18"/>
  <c r="BN1" i="18"/>
  <c r="BA1" i="18"/>
  <c r="FN1" i="18"/>
  <c r="HA1" i="18"/>
  <c r="EN1" i="18"/>
  <c r="AA1" i="18"/>
  <c r="H10" i="4"/>
  <c r="H10" i="6"/>
  <c r="J43" i="15"/>
  <c r="E18" i="2"/>
  <c r="G18" i="2" s="1"/>
  <c r="I18" i="2" s="1"/>
  <c r="E3" i="13"/>
  <c r="M29" i="4"/>
  <c r="P29" i="4"/>
  <c r="I5" i="13"/>
  <c r="G11" i="4"/>
  <c r="G11" i="6"/>
  <c r="F27" i="28"/>
  <c r="G7" i="28"/>
  <c r="M11" i="4"/>
  <c r="I29" i="6"/>
  <c r="J29" i="4"/>
  <c r="K29" i="4" s="1"/>
  <c r="I4" i="13"/>
  <c r="J26" i="15"/>
  <c r="O26" i="15" s="1"/>
  <c r="Q4" i="15" s="1"/>
  <c r="J27" i="15"/>
  <c r="O27" i="15" s="1"/>
  <c r="P4" i="15" s="1"/>
  <c r="W4" i="15" s="1"/>
  <c r="G10" i="4"/>
  <c r="G10" i="6"/>
  <c r="I10" i="4"/>
  <c r="J31" i="6"/>
  <c r="D30" i="7" s="1"/>
  <c r="E30" i="7" s="1"/>
  <c r="J19" i="4"/>
  <c r="K19" i="4" s="1"/>
  <c r="I19" i="6"/>
  <c r="I12" i="6"/>
  <c r="J12" i="4"/>
  <c r="K12" i="4" s="1"/>
  <c r="I18" i="6"/>
  <c r="J18" i="4"/>
  <c r="K18" i="4" s="1"/>
  <c r="K3" i="13"/>
  <c r="K18" i="6" s="1"/>
  <c r="L18" i="4" s="1"/>
  <c r="P18" i="4" s="1"/>
  <c r="M19" i="13"/>
  <c r="HN1" i="18" s="1"/>
  <c r="J19" i="6"/>
  <c r="I19" i="4" s="1"/>
  <c r="K19" i="13"/>
  <c r="K19" i="6" s="1"/>
  <c r="L19" i="4" s="1"/>
  <c r="J13" i="4"/>
  <c r="K13" i="4" s="1"/>
  <c r="I13" i="6"/>
  <c r="K7" i="13"/>
  <c r="K13" i="6" s="1"/>
  <c r="L13" i="4" s="1"/>
  <c r="P13" i="4" s="1"/>
  <c r="H8" i="28"/>
  <c r="H11" i="6"/>
  <c r="H11" i="4"/>
  <c r="M12" i="4"/>
  <c r="P12" i="4"/>
  <c r="O19" i="4" l="1"/>
  <c r="N19" i="4"/>
  <c r="J44" i="15"/>
  <c r="E18" i="1"/>
  <c r="G18" i="1" s="1"/>
  <c r="O13" i="4"/>
  <c r="N13" i="4"/>
  <c r="DA1" i="18"/>
  <c r="H7" i="28"/>
  <c r="G3" i="13"/>
  <c r="E18" i="6"/>
  <c r="E18" i="4"/>
  <c r="E30" i="4" s="1"/>
  <c r="P19" i="4"/>
  <c r="M19" i="4"/>
  <c r="IA1" i="18"/>
  <c r="EA1" i="18"/>
  <c r="I11" i="6"/>
  <c r="J11" i="4"/>
  <c r="K11" i="4" s="1"/>
  <c r="K5" i="13"/>
  <c r="K11" i="6" s="1"/>
  <c r="L11" i="4" s="1"/>
  <c r="P11" i="4" s="1"/>
  <c r="O29" i="4"/>
  <c r="N29" i="4"/>
  <c r="GA1" i="18"/>
  <c r="FA1" i="18"/>
  <c r="DN1" i="18"/>
  <c r="GN1" i="18"/>
  <c r="O12" i="4"/>
  <c r="N12" i="4"/>
  <c r="M10" i="4"/>
  <c r="I30" i="4"/>
  <c r="J10" i="4"/>
  <c r="I10" i="6"/>
  <c r="I31" i="6" s="1"/>
  <c r="K4" i="13"/>
  <c r="K10" i="6" s="1"/>
  <c r="O18" i="4"/>
  <c r="N18" i="4"/>
  <c r="D15" i="28" l="1"/>
  <c r="E31" i="6"/>
  <c r="M30" i="4"/>
  <c r="M31" i="4" s="1"/>
  <c r="M37" i="4" s="1"/>
  <c r="G18" i="6"/>
  <c r="G18" i="4"/>
  <c r="K10" i="4"/>
  <c r="J30" i="4"/>
  <c r="M40" i="4" s="1"/>
  <c r="O11" i="4"/>
  <c r="N11" i="4"/>
  <c r="L10" i="4"/>
  <c r="P10" i="4" s="1"/>
  <c r="P30" i="4" s="1"/>
  <c r="P31" i="4" s="1"/>
  <c r="P32" i="4" s="1"/>
  <c r="K31" i="6"/>
  <c r="K30" i="4" l="1"/>
  <c r="N10" i="4"/>
  <c r="N30" i="4" s="1"/>
  <c r="O10" i="4"/>
  <c r="A38" i="4"/>
  <c r="K34" i="6"/>
  <c r="E15" i="28"/>
  <c r="E27" i="28" s="1"/>
  <c r="G15" i="28"/>
  <c r="D27" i="28"/>
  <c r="C8" i="31" l="1"/>
  <c r="G34" i="6"/>
  <c r="C11" i="7"/>
  <c r="H15" i="28"/>
  <c r="H27" i="28" s="1"/>
  <c r="G27" i="28"/>
  <c r="N31" i="4"/>
  <c r="M38" i="4" s="1"/>
  <c r="M39" i="4" s="1"/>
  <c r="N39" i="4" s="1"/>
  <c r="M41" i="4"/>
  <c r="M42" i="4" s="1"/>
  <c r="E35" i="6" l="1"/>
  <c r="D11" i="7"/>
  <c r="C15" i="31"/>
  <c r="C9" i="31"/>
  <c r="C16" i="31" s="1"/>
  <c r="C14" i="31" l="1"/>
  <c r="C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0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1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9" authorId="0" shapeId="0" xr:uid="{00000000-0006-0000-05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18" authorId="0" shapeId="0" xr:uid="{00000000-0006-0000-0600-000002000000}">
      <text>
        <r>
          <rPr>
            <b/>
            <sz val="9"/>
            <color rgb="FF000000"/>
            <rFont val="Tahoma"/>
          </rPr>
          <t>plochy bytových jednotek. Nejsou v tom nebytové jednotky.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Milan Kosť</author>
  </authors>
  <commentList>
    <comment ref="J1" authorId="0" shapeId="0" xr:uid="{00000000-0006-0000-0E00-000001000000}">
      <text>
        <r>
          <rPr>
            <b/>
            <sz val="9"/>
            <color rgb="FF000000"/>
            <rFont val="Tahoma"/>
          </rPr>
          <t>Milan Kosť:</t>
        </r>
        <r>
          <rPr>
            <sz val="9"/>
            <color rgb="FF000000"/>
            <rFont val="Tahoma"/>
          </rPr>
          <t xml:space="preserve">
Voda = celkové faktury za rok, spotřeba dle měřičů teplé a studené vody, udělat poměr mezi těmito čísly, dopočítat naklad za SV a SV pro TUV (pozor musí souhlasit součet těchto čísel s fakturací) na základě toho jednotková cena navýšena z důvodu zohlednění ztrát</t>
        </r>
      </text>
    </comment>
    <comment ref="N25" authorId="1" shapeId="0" xr:uid="{00000000-0006-0000-0E00-000002000000}">
      <text>
        <r>
          <rPr>
            <b/>
            <sz val="9"/>
            <color rgb="FF000000"/>
            <rFont val="Tahoma"/>
          </rPr>
          <t>vypsat součet všechn úklidů dle skutecnosti v daném roce, fakturuje se zvlast garáž a sklepy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3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4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5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6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3" authorId="0" shapeId="0" xr:uid="{00000000-0006-0000-1700-000001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  <comment ref="A99" authorId="0" shapeId="0" xr:uid="{00000000-0006-0000-1700-000002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B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B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B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B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F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F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F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F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<sst xmlns="http://schemas.openxmlformats.org/spreadsheetml/2006/main" count="1633" uniqueCount="709">
  <si>
    <t>Email</t>
  </si>
  <si>
    <t>Celé jméno</t>
  </si>
  <si>
    <t>Stav</t>
  </si>
  <si>
    <t>Mobil</t>
  </si>
  <si>
    <t>Jméno</t>
  </si>
  <si>
    <t>Příjmení</t>
  </si>
  <si>
    <t>ID</t>
  </si>
  <si>
    <t>Adresa</t>
  </si>
  <si>
    <t>Bytový dům</t>
  </si>
  <si>
    <t>Jednotka číslo</t>
  </si>
  <si>
    <t>Soubor na poslání</t>
  </si>
  <si>
    <t>Datum narození</t>
  </si>
  <si>
    <t>Oslovení</t>
  </si>
  <si>
    <t>Příloha 2</t>
  </si>
  <si>
    <t>SEZNAM</t>
  </si>
  <si>
    <t>Vážený pane Klímo,</t>
  </si>
  <si>
    <t>Vážený pane Polovko,</t>
  </si>
  <si>
    <t>Vážená paní Teplíková,</t>
  </si>
  <si>
    <t>Vážený pane inženýre,</t>
  </si>
  <si>
    <t>Vážená paní Vaňková,</t>
  </si>
  <si>
    <t>Vážený pane doktore,</t>
  </si>
  <si>
    <t>Vážený pane Holcnere,</t>
  </si>
  <si>
    <t>Vážený pane Brandtnere,</t>
  </si>
  <si>
    <t>Vážená paní Kučerňáková,</t>
  </si>
  <si>
    <t>Vážený pane Bartáku,</t>
  </si>
  <si>
    <t>Vážená paní Otáhalová,</t>
  </si>
  <si>
    <t>Vážená paní Bajerová,</t>
  </si>
  <si>
    <t>Vážený pane Dekane,</t>
  </si>
  <si>
    <t>Vážený pane magistře,</t>
  </si>
  <si>
    <t>Vážená paní Nožičková,</t>
  </si>
  <si>
    <t>Vážený pane Huboňo,</t>
  </si>
  <si>
    <t>Vážený pane Lysáku,</t>
  </si>
  <si>
    <t>Vážená paní Sedláčková,</t>
  </si>
  <si>
    <t>Vážený pane Raku,</t>
  </si>
  <si>
    <t>Vážený pane Růžičko,</t>
  </si>
  <si>
    <t>Vážený pane Křížku,</t>
  </si>
  <si>
    <t>Vážený pane Medku,</t>
  </si>
  <si>
    <t>Vážená paní Ujobágy,</t>
  </si>
  <si>
    <t>Vážená paní Eliyahu,</t>
  </si>
  <si>
    <t>Vážená paní Brodecká,</t>
  </si>
  <si>
    <t>Vážený pane profesore,</t>
  </si>
  <si>
    <t>Vážená paní Peťková,</t>
  </si>
  <si>
    <t>Vážený pane Bártku,</t>
  </si>
  <si>
    <t>Vážený pane Melichare,</t>
  </si>
  <si>
    <t>Vážená paní inženýrko,</t>
  </si>
  <si>
    <t>Vážená paní magistro,</t>
  </si>
  <si>
    <t>Vážený pane Nováku,</t>
  </si>
  <si>
    <t>Vážený pane Lukáši,</t>
  </si>
  <si>
    <t>Vážená paní Surá,</t>
  </si>
  <si>
    <t>Vážená paní Novotná,</t>
  </si>
  <si>
    <t>Vážený pane Smrži,</t>
  </si>
  <si>
    <t>Vážený pane Trefile,</t>
  </si>
  <si>
    <t>Vážený pane Lapeši,</t>
  </si>
  <si>
    <t>AdminReal s.r.o., Veveří 2581/102 , 616 00 Brno, IČO 02827476, Zapsáno KS v Brně, oddíl C, vložka   82606</t>
  </si>
  <si>
    <t>MENU</t>
  </si>
  <si>
    <t>adresa společenství:</t>
  </si>
  <si>
    <r>
      <t>bankovní spojení člena:</t>
    </r>
    <r>
      <rPr>
        <sz val="11"/>
        <color rgb="FF000000"/>
        <rFont val="Calibri"/>
      </rPr>
      <t/>
    </r>
  </si>
  <si>
    <t>č. prostoru:</t>
  </si>
  <si>
    <r>
      <t>bankovní spojení společenství:</t>
    </r>
    <r>
      <rPr>
        <sz val="11"/>
        <color rgb="FF000000"/>
        <rFont val="Calibri"/>
      </rPr>
      <t/>
    </r>
  </si>
  <si>
    <t>variabilní symbol pro platbu nedoplatku:</t>
  </si>
  <si>
    <t>zůčtovací období:</t>
  </si>
  <si>
    <t>POČET OSOB</t>
  </si>
  <si>
    <t>Navýšení předpis o částku (ručně)</t>
  </si>
  <si>
    <t>* pokud nula vypočítá si sám pokud se zadá vezme dané číslo</t>
  </si>
  <si>
    <t>Odběrné místo (dům)</t>
  </si>
  <si>
    <t>Uživatel</t>
  </si>
  <si>
    <t>Položka</t>
  </si>
  <si>
    <t>Sloupec1</t>
  </si>
  <si>
    <t>Jednotka</t>
  </si>
  <si>
    <t>Podíl</t>
  </si>
  <si>
    <t>Náklad</t>
  </si>
  <si>
    <t>Jednotek</t>
  </si>
  <si>
    <t>Kč/jedn</t>
  </si>
  <si>
    <t>Jednotek2</t>
  </si>
  <si>
    <t>Záloha (aktuální)</t>
  </si>
  <si>
    <t>Náklad za rok</t>
  </si>
  <si>
    <t>Nový náklad -+%</t>
  </si>
  <si>
    <t>Přeplatky | nedoplatky</t>
  </si>
  <si>
    <t>Záloha měsíčně                 (aktuální)</t>
  </si>
  <si>
    <t>Záloha měsíčně 
(nová do OS po navýšení o %)</t>
  </si>
  <si>
    <t>Záloha měsíčně                (dle počtu osob)</t>
  </si>
  <si>
    <t>Záloha měsíčně 
(nová do OS po navýšení o částku)</t>
  </si>
  <si>
    <t>Navýšení o kolik procent?</t>
  </si>
  <si>
    <t>Celkem náklady na odběrná místa</t>
  </si>
  <si>
    <t>Celkem vyúčtování:</t>
  </si>
  <si>
    <t>Měsíčně včetně fondu oprav</t>
  </si>
  <si>
    <t>Rozdíl měsíčně</t>
  </si>
  <si>
    <t>* mění se pouze položky této barvy zbytek systém počítá sám, navýšení % nastavujeme až do akceptovatelného preplatku</t>
  </si>
  <si>
    <t>Kontrola</t>
  </si>
  <si>
    <t>Pevné platby</t>
  </si>
  <si>
    <t>Celkem za rok</t>
  </si>
  <si>
    <t>KONTROLA</t>
  </si>
  <si>
    <t>Výsledek vyúčtování</t>
  </si>
  <si>
    <t>Zálohy před změnou</t>
  </si>
  <si>
    <t>*udělat kontrolu s OS zda sedí</t>
  </si>
  <si>
    <t>Záloha po změně</t>
  </si>
  <si>
    <t>*kontrola zda vychází stejněj jako budoucí přeplatek</t>
  </si>
  <si>
    <t>Náklad za poslední vyúčtování</t>
  </si>
  <si>
    <t>Teoretický náklad po změně</t>
  </si>
  <si>
    <t>Budoucí přeplatek/nedoplatek</t>
  </si>
  <si>
    <t>*ideálně aspon 3 tisíce přeplatek</t>
  </si>
  <si>
    <t>VÝSTUPY</t>
  </si>
  <si>
    <t>MĚŘIDLA A DATA</t>
  </si>
  <si>
    <t>EVIDENCE</t>
  </si>
  <si>
    <t>EXPORT</t>
  </si>
  <si>
    <t>Vstupní data</t>
  </si>
  <si>
    <t>Vodoměry TUV</t>
  </si>
  <si>
    <t>Evidence</t>
  </si>
  <si>
    <t>Export send mail</t>
  </si>
  <si>
    <t xml:space="preserve">Výpočet vyúčtování </t>
  </si>
  <si>
    <t>Vyúčtování</t>
  </si>
  <si>
    <t>Vodoměry SV</t>
  </si>
  <si>
    <t>Úhrady</t>
  </si>
  <si>
    <t>Bytové domy</t>
  </si>
  <si>
    <t>Příjem SVJ včetně výdajů</t>
  </si>
  <si>
    <t>Teplo</t>
  </si>
  <si>
    <t>Přeplatky a nedoplatky</t>
  </si>
  <si>
    <t>Odečty formulář</t>
  </si>
  <si>
    <t>Příjem SVJ bez výdajů</t>
  </si>
  <si>
    <t>Elektroměry</t>
  </si>
  <si>
    <t>Předpisy - výpočet</t>
  </si>
  <si>
    <t>Náklady za dům</t>
  </si>
  <si>
    <t>Výtahy</t>
  </si>
  <si>
    <t>Faktury</t>
  </si>
  <si>
    <t>Počet osob</t>
  </si>
  <si>
    <t>Rozpočet domu</t>
  </si>
  <si>
    <t>Předpisy po měsící</t>
  </si>
  <si>
    <t>Parametry</t>
  </si>
  <si>
    <t>Faktury za služby</t>
  </si>
  <si>
    <r>
      <t>Jednotek</t>
    </r>
    <r>
      <rPr>
        <sz val="11"/>
        <color rgb="FFD8D8D8"/>
        <rFont val="Calibri"/>
      </rPr>
      <t>2</t>
    </r>
  </si>
  <si>
    <r>
      <t>Náklad</t>
    </r>
    <r>
      <rPr>
        <sz val="11"/>
        <color rgb="FFD8D8D8"/>
        <rFont val="Calibri"/>
      </rPr>
      <t>2</t>
    </r>
  </si>
  <si>
    <t>Záloha</t>
  </si>
  <si>
    <t>Přeplatky|nedoplatky</t>
  </si>
  <si>
    <t>Měřené služby</t>
  </si>
  <si>
    <t>Služba</t>
  </si>
  <si>
    <t>Období</t>
  </si>
  <si>
    <t>Měřidlo</t>
  </si>
  <si>
    <t>Poč.stav</t>
  </si>
  <si>
    <t>Kon.stav</t>
  </si>
  <si>
    <t>Spotřeba</t>
  </si>
  <si>
    <t>Vysvětlivky polí(adres)</t>
  </si>
  <si>
    <t>Název - Bytový dům</t>
  </si>
  <si>
    <t>Společenství pro dům Zborovská 939/2, Brno</t>
  </si>
  <si>
    <t>Zborovská 939/2, Žabovřesky, 616 00 Brno</t>
  </si>
  <si>
    <t>vp_ - vyhledávací pole - následuje jméno listu kde je</t>
  </si>
  <si>
    <t>VD_ vstupní dat, na začátku vždy zkratka listu</t>
  </si>
  <si>
    <t>Variabilní symbol</t>
  </si>
  <si>
    <t>*vs je s devitkami na konci kvuli platbe</t>
  </si>
  <si>
    <t>bankovní spojení (účet) vlastníka bytu</t>
  </si>
  <si>
    <t>Úhrada dle delky vlastnictví</t>
  </si>
  <si>
    <t>Předpisy</t>
  </si>
  <si>
    <t>FO</t>
  </si>
  <si>
    <t>vyúčtovací období</t>
  </si>
  <si>
    <t>Platby záloh</t>
  </si>
  <si>
    <t>Předpis záloh</t>
  </si>
  <si>
    <t>Rozdíl</t>
  </si>
  <si>
    <t>Datum pro vypočet</t>
  </si>
  <si>
    <t>OD</t>
  </si>
  <si>
    <t>DO zbytek roku</t>
  </si>
  <si>
    <t>DO</t>
  </si>
  <si>
    <t>Převod na číslo sloupce</t>
  </si>
  <si>
    <t>vzorec na změnu měsíců dle vlastnictví</t>
  </si>
  <si>
    <t>Přeplatek/nedoplatek z minulého období</t>
  </si>
  <si>
    <t>Převod na písmeno sloupce</t>
  </si>
  <si>
    <t>Přeplatky/nedoplatky v aktuálním roce</t>
  </si>
  <si>
    <t>Pořet měsíců-pro kontrolu</t>
  </si>
  <si>
    <t>Za rok</t>
  </si>
  <si>
    <t>Platba FO</t>
  </si>
  <si>
    <t>Řádek vybraneho bytu</t>
  </si>
  <si>
    <t>Cena BVak</t>
  </si>
  <si>
    <t>105,53</t>
  </si>
  <si>
    <t>Zbylé měsíce</t>
  </si>
  <si>
    <t>Čas</t>
  </si>
  <si>
    <t>Adresa bunek pro součet</t>
  </si>
  <si>
    <t>Počet měsíců (užíváno majitelem)</t>
  </si>
  <si>
    <t>první část roku</t>
  </si>
  <si>
    <t>Finální adresa pro součet</t>
  </si>
  <si>
    <t>První část roku</t>
  </si>
  <si>
    <t>Druhá část roku</t>
  </si>
  <si>
    <t>Počet jednotek</t>
  </si>
  <si>
    <t>Finání součet</t>
  </si>
  <si>
    <t>Užitná plocha domu - celková</t>
  </si>
  <si>
    <t>Měsíc</t>
  </si>
  <si>
    <t>Předpisy celkem</t>
  </si>
  <si>
    <t>Užitná plocha domu - započitatelná</t>
  </si>
  <si>
    <t>Platby jednotlivě</t>
  </si>
  <si>
    <t>Počet komínů</t>
  </si>
  <si>
    <t>Počet osob (celkem/výtah)</t>
  </si>
  <si>
    <t>číslo účtu společenství</t>
  </si>
  <si>
    <t>odečet SV vody za daný rok</t>
  </si>
  <si>
    <t>odečet TUV za daný rok</t>
  </si>
  <si>
    <t>celková plocha jednotky</t>
  </si>
  <si>
    <t>Leskava sklep</t>
  </si>
  <si>
    <t>započitatelná plocha jednotky</t>
  </si>
  <si>
    <t>Leskava garáž</t>
  </si>
  <si>
    <t>spoluvlastnictví podíl</t>
  </si>
  <si>
    <t>výpočet vlastnického podílu</t>
  </si>
  <si>
    <t>externí výpočet nákladů tepla</t>
  </si>
  <si>
    <t>Kontrola předpis/vyúčtování</t>
  </si>
  <si>
    <t>Fond oprav</t>
  </si>
  <si>
    <t>Adresa nemovitosti</t>
  </si>
  <si>
    <t>Zborovská 939/2, Brno</t>
  </si>
  <si>
    <t>CELKEM</t>
  </si>
  <si>
    <t>Vyplacení vyúčtování do</t>
  </si>
  <si>
    <t>Přeplatky a nedoplatky z vyúčtování jsou splatné nejpozději do 7 (sedmi) měsíců od skončení zúčtovacího období.</t>
  </si>
  <si>
    <t>Suma v predpisech sloupec</t>
  </si>
  <si>
    <t>CN</t>
  </si>
  <si>
    <t>N</t>
  </si>
  <si>
    <t>AA</t>
  </si>
  <si>
    <t>AN</t>
  </si>
  <si>
    <t>BA</t>
  </si>
  <si>
    <t>BN</t>
  </si>
  <si>
    <t>CA</t>
  </si>
  <si>
    <t>DA</t>
  </si>
  <si>
    <t>DN</t>
  </si>
  <si>
    <t>EA</t>
  </si>
  <si>
    <t>GA</t>
  </si>
  <si>
    <t>GN</t>
  </si>
  <si>
    <t>HA</t>
  </si>
  <si>
    <t>HN</t>
  </si>
  <si>
    <t>IA</t>
  </si>
  <si>
    <t>FN</t>
  </si>
  <si>
    <t>FA</t>
  </si>
  <si>
    <t>JA</t>
  </si>
  <si>
    <t>IN</t>
  </si>
  <si>
    <t>Reklamace nejpozději do</t>
  </si>
  <si>
    <t>Případné reklamace uplatněte výhradně písemnou (elektronickou) formou na adrese správce (viz záhlaví) nejpozději do 30 dní od doručení vyúčtování včetně případné změny Vašeho osobního účtu pro vyplacení přeplatku.</t>
  </si>
  <si>
    <t>Správce nemovitosti</t>
  </si>
  <si>
    <t>AdminReal, s.r.o.</t>
  </si>
  <si>
    <t>Číslo účtu společenství</t>
  </si>
  <si>
    <t>2100704207/2010</t>
  </si>
  <si>
    <t>Předčíslí čísla účtu</t>
  </si>
  <si>
    <t>000000</t>
  </si>
  <si>
    <t>číslo účtu</t>
  </si>
  <si>
    <t>Kód banky</t>
  </si>
  <si>
    <t>Příjem SVJ</t>
  </si>
  <si>
    <t>Náklady SVJ</t>
  </si>
  <si>
    <t>Správcovské firmy</t>
  </si>
  <si>
    <t>Logo</t>
  </si>
  <si>
    <t>AdminReal</t>
  </si>
  <si>
    <t>BrnoReal</t>
  </si>
  <si>
    <t>Služby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</si>
  <si>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</si>
  <si>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</si>
  <si>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</si>
  <si>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</si>
  <si>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</si>
  <si>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</si>
  <si>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</si>
  <si>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</si>
  <si>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</si>
  <si>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</si>
  <si>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</si>
  <si>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</si>
  <si>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</si>
  <si>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</si>
  <si>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</si>
  <si>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</si>
  <si>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</si>
  <si>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</si>
  <si>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</si>
  <si>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</si>
  <si>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</si>
  <si>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</si>
  <si>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</si>
  <si>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Souhrn z vyúčtování</t>
  </si>
  <si>
    <t>Součet</t>
  </si>
  <si>
    <t>Výsledek</t>
  </si>
  <si>
    <t>Elektřina</t>
  </si>
  <si>
    <t>Úklid bytového domu</t>
  </si>
  <si>
    <t>Komíny</t>
  </si>
  <si>
    <t>Výtah</t>
  </si>
  <si>
    <t>Poštovné</t>
  </si>
  <si>
    <t>Pojištění domu</t>
  </si>
  <si>
    <t>Vodné (teplá voda)</t>
  </si>
  <si>
    <t>Vodné (studená voda)</t>
  </si>
  <si>
    <t>Ohřev teplé vody (30)</t>
  </si>
  <si>
    <t>Ohřev teplé vody (70)</t>
  </si>
  <si>
    <t>Ostatní náklady - UPC</t>
  </si>
  <si>
    <t>Poplatek za psa</t>
  </si>
  <si>
    <t>Ostatní náklady (sklepy)</t>
  </si>
  <si>
    <t>Ostatní náklady (garáže)</t>
  </si>
  <si>
    <t>Správa domu</t>
  </si>
  <si>
    <t>Vodné (společné části a ztráty)</t>
  </si>
  <si>
    <t>Odměna statutárem</t>
  </si>
  <si>
    <t>Ostatní nájemné</t>
  </si>
  <si>
    <t>Ostatní služby</t>
  </si>
  <si>
    <t>Výtah Úvoz 59c</t>
  </si>
  <si>
    <t>Elektřina Úvoz 59c</t>
  </si>
  <si>
    <t>Výpočet elekřina pro dva vchody Úvoz</t>
  </si>
  <si>
    <t>Výpočet výtah pro dva vchody Úvoz</t>
  </si>
  <si>
    <t>Column24</t>
  </si>
  <si>
    <t>Column25</t>
  </si>
  <si>
    <t>---</t>
  </si>
  <si>
    <t>Fond oprav nebytových prostor</t>
  </si>
  <si>
    <t>Ohřev teplé vody (TUV)</t>
  </si>
  <si>
    <t>Ostatní náklady (garáž a sklepy)</t>
  </si>
  <si>
    <t>0</t>
  </si>
  <si>
    <t>02</t>
  </si>
  <si>
    <t>Odměna statutárům</t>
  </si>
  <si>
    <t>Záloha měsíčně (nová do OS) Celkem</t>
  </si>
  <si>
    <t>Záloha měsíčně (aktuální)</t>
  </si>
  <si>
    <t>Fond oprav měsíčně</t>
  </si>
  <si>
    <t>Nová záloha + Fond oprav měsíčně</t>
  </si>
  <si>
    <t>Aktuální záloha + Fond oprav měsíčně</t>
  </si>
  <si>
    <t>Cesta &amp; jméno souboru</t>
  </si>
  <si>
    <t>Způsob rozúčtování</t>
  </si>
  <si>
    <r>
      <t xml:space="preserve">Jednotek </t>
    </r>
    <r>
      <rPr>
        <sz val="11"/>
        <color rgb="FF000000"/>
        <rFont val="Calibri"/>
      </rPr>
      <t>(dům)</t>
    </r>
  </si>
  <si>
    <r>
      <t xml:space="preserve">Kč/jedn </t>
    </r>
    <r>
      <rPr>
        <sz val="11"/>
        <color rgb="FF000000"/>
        <rFont val="Calibri"/>
      </rPr>
      <t>(dům)</t>
    </r>
  </si>
  <si>
    <r>
      <t xml:space="preserve">Jednotek </t>
    </r>
    <r>
      <rPr>
        <sz val="11"/>
        <color rgb="FF000000"/>
        <rFont val="Calibri"/>
      </rPr>
      <t>(uživatel)</t>
    </r>
  </si>
  <si>
    <r>
      <t xml:space="preserve">Náklad </t>
    </r>
    <r>
      <rPr>
        <sz val="11"/>
        <color rgb="FF000000"/>
        <rFont val="Calibri"/>
      </rPr>
      <t>(uživatel)</t>
    </r>
  </si>
  <si>
    <r>
      <t xml:space="preserve">Záloha </t>
    </r>
    <r>
      <rPr>
        <sz val="11"/>
        <color rgb="FF000000"/>
        <rFont val="Calibri"/>
      </rPr>
      <t>(uživatel)</t>
    </r>
  </si>
  <si>
    <t>Přeplatky/nedoplatky</t>
  </si>
  <si>
    <t>Faktura součet bez zohlednění měsíců</t>
  </si>
  <si>
    <t>Předpis sloupec</t>
  </si>
  <si>
    <t>nevyúčtovává se</t>
  </si>
  <si>
    <t>Studená voda</t>
  </si>
  <si>
    <t>Elektrická energie (společné prostory)</t>
  </si>
  <si>
    <t>počet osob</t>
  </si>
  <si>
    <t>komín</t>
  </si>
  <si>
    <t>Pravidelná údržba výtah</t>
  </si>
  <si>
    <t>Záloha na teplo</t>
  </si>
  <si>
    <t>na byt</t>
  </si>
  <si>
    <t>Mzdové náklady</t>
  </si>
  <si>
    <t>Společné náklady</t>
  </si>
  <si>
    <t>Ostatní služby 2</t>
  </si>
  <si>
    <t>Spořící účet</t>
  </si>
  <si>
    <t>Jednotky</t>
  </si>
  <si>
    <t>Jméno a příjmení</t>
  </si>
  <si>
    <t>Telefon</t>
  </si>
  <si>
    <t>Celková výměra bytu</t>
  </si>
  <si>
    <t>Započítatelná výměra bytu</t>
  </si>
  <si>
    <t>Podíl v domě</t>
  </si>
  <si>
    <t>Bankovní spojení</t>
  </si>
  <si>
    <t>Podíl v domě (za závorkou)</t>
  </si>
  <si>
    <t>Podíl v domě (před závorokou bez podílu za závorkou)</t>
  </si>
  <si>
    <t>Pomocný výpočet</t>
  </si>
  <si>
    <t>V evidenci od</t>
  </si>
  <si>
    <t>V evidenci do</t>
  </si>
  <si>
    <t>Počet měsíců užívání</t>
  </si>
  <si>
    <t>V.S. pro platbu nedoplatku</t>
  </si>
  <si>
    <t>Provazníkova garáže</t>
  </si>
  <si>
    <t>Byt č. 939/01</t>
  </si>
  <si>
    <t>Martin Klíma</t>
  </si>
  <si>
    <t>Zborovská 939/2, 616 00 Brno</t>
  </si>
  <si>
    <t>martin.k_2003@volny.cz</t>
  </si>
  <si>
    <t>10653/131476</t>
  </si>
  <si>
    <t>8308679001/5500</t>
  </si>
  <si>
    <t>1.1.2024</t>
  </si>
  <si>
    <t>31.12.2024</t>
  </si>
  <si>
    <t>1.1.2024 - 31.12.2024</t>
  </si>
  <si>
    <t>Byt č. 939/02</t>
  </si>
  <si>
    <t>Volodymyr Polovko</t>
  </si>
  <si>
    <t>Zborovská 939/2, 61600 Brno</t>
  </si>
  <si>
    <t>volodymyr_polovko@mail.ru</t>
  </si>
  <si>
    <t>5576/131476</t>
  </si>
  <si>
    <t>670100-2210867285/6210</t>
  </si>
  <si>
    <t>Byt č. 939/03</t>
  </si>
  <si>
    <t>Veronika Teplíková</t>
  </si>
  <si>
    <t>Těšice 600, 696 19  Mikulčice</t>
  </si>
  <si>
    <t>VeronikaTeplikova@seznam.cz</t>
  </si>
  <si>
    <t>7460/131476</t>
  </si>
  <si>
    <t>35-6979760207/0100</t>
  </si>
  <si>
    <t>Byt č. 939/04</t>
  </si>
  <si>
    <t>D.A.B. Property s.r.o.</t>
  </si>
  <si>
    <t>Pastviny 645/3, 624 00 Brno</t>
  </si>
  <si>
    <t>kotek.vladimir@gmail.com</t>
  </si>
  <si>
    <t>603 792 968</t>
  </si>
  <si>
    <t>7208/131476</t>
  </si>
  <si>
    <t>1204578001/2700</t>
  </si>
  <si>
    <t>Byt č. 939/05</t>
  </si>
  <si>
    <t>Jana Vaňková</t>
  </si>
  <si>
    <t>č. p. 276, 66404 Hostěnice</t>
  </si>
  <si>
    <t>jana.van@post.cz</t>
  </si>
  <si>
    <t>6350/131476</t>
  </si>
  <si>
    <t>1011006824/6100</t>
  </si>
  <si>
    <t>Byt č. 939/06</t>
  </si>
  <si>
    <t>Ing. Milan Kosť</t>
  </si>
  <si>
    <t>42, 570 01 Poříčí u Litomyšle</t>
  </si>
  <si>
    <t>milan.kost@email.cz</t>
  </si>
  <si>
    <t>6610/131476</t>
  </si>
  <si>
    <t>2600228518/2010</t>
  </si>
  <si>
    <t>Byt č. 939/07</t>
  </si>
  <si>
    <t>MUDr. Ernest Biroš</t>
  </si>
  <si>
    <t>Újezdy 590/11,614 00 Brno</t>
  </si>
  <si>
    <t>ernest.biros@fnusa.cz</t>
  </si>
  <si>
    <t>776 235 263</t>
  </si>
  <si>
    <t>6530/131476</t>
  </si>
  <si>
    <t>4086994023/0800</t>
  </si>
  <si>
    <t>Byt č. 939/08</t>
  </si>
  <si>
    <t>Ing. Miloš Vorba</t>
  </si>
  <si>
    <t>Zborovská 939/2, 616 00  Brno-Žabovřesky</t>
  </si>
  <si>
    <t>vorba@volny.cz</t>
  </si>
  <si>
    <t>2600095532/2010</t>
  </si>
  <si>
    <t>Byt č. 939/09</t>
  </si>
  <si>
    <t>Byt č. 939/10</t>
  </si>
  <si>
    <t>Jonáš Holcner</t>
  </si>
  <si>
    <t>Dobrovského 1872/88, 612 00 Brno</t>
  </si>
  <si>
    <t>jojkos@gmail.com</t>
  </si>
  <si>
    <t>1538177013/3030</t>
  </si>
  <si>
    <t>Byt č. 939/11</t>
  </si>
  <si>
    <t>Jiří Brandtner</t>
  </si>
  <si>
    <t>Nad kašnou 1157/21, 635 00  Brno-Bystrc</t>
  </si>
  <si>
    <t>jbrandtner@me.com</t>
  </si>
  <si>
    <t>178368216/0300</t>
  </si>
  <si>
    <t>Byt č. 939/12</t>
  </si>
  <si>
    <t>Patricie Kučerňáková</t>
  </si>
  <si>
    <t>Hlavní 6, 667 01  Vojkovice</t>
  </si>
  <si>
    <t>pkucernakova@seznam.cz</t>
  </si>
  <si>
    <t>1724140505/5500</t>
  </si>
  <si>
    <t>Byt č. 939/13</t>
  </si>
  <si>
    <t>Ronald Barták</t>
  </si>
  <si>
    <t>Zborovská 939/2, 616 00 Brno-Žabovřesky</t>
  </si>
  <si>
    <t>ronald.bartak@sportrontour.cz</t>
  </si>
  <si>
    <t>1120084012/3030</t>
  </si>
  <si>
    <t>Byt č. 939/14</t>
  </si>
  <si>
    <t>Ing. František Řezníček</t>
  </si>
  <si>
    <t>reznicek@abhdesign.cz</t>
  </si>
  <si>
    <t>43-4933260267/0100</t>
  </si>
  <si>
    <t>Byt č. 939/15</t>
  </si>
  <si>
    <t>Ivanka Otáhalová</t>
  </si>
  <si>
    <t>otahalova.i@email.cz</t>
  </si>
  <si>
    <t>102141891/0300</t>
  </si>
  <si>
    <t>Byt č. 939/16</t>
  </si>
  <si>
    <t>Lenka Bajerová</t>
  </si>
  <si>
    <t>Karla Guta 1646/1, Uhříněves, 10400 Praha 10</t>
  </si>
  <si>
    <t>janikoval@seznam.cz</t>
  </si>
  <si>
    <t>4833/131476</t>
  </si>
  <si>
    <t>2515037143/0800</t>
  </si>
  <si>
    <t>Byt č. 939/17</t>
  </si>
  <si>
    <t>Michal Dekan</t>
  </si>
  <si>
    <t>michal.dekan@gmail.com</t>
  </si>
  <si>
    <t>5455/131476</t>
  </si>
  <si>
    <t>01.06.2024</t>
  </si>
  <si>
    <t>01.06.2024 - 31.12.2024</t>
  </si>
  <si>
    <t>Byt č. 939/17 P</t>
  </si>
  <si>
    <t>Ing. Stanislav Ferenc</t>
  </si>
  <si>
    <t>Podjavorinskej 6, 080 05 Prešov, Slovensko</t>
  </si>
  <si>
    <t>ferenc.stanislav@gmail.com</t>
  </si>
  <si>
    <t>+41 76 777 85 45</t>
  </si>
  <si>
    <t>670100-2208716445/6210</t>
  </si>
  <si>
    <t>31.05.2024</t>
  </si>
  <si>
    <t>1.1.2024 - 31.05.2024</t>
  </si>
  <si>
    <t>Byt č. 939/18</t>
  </si>
  <si>
    <t>Ing. Petr Džiuban</t>
  </si>
  <si>
    <t>Královopolské Vážany 226, 683 01 Rousínov</t>
  </si>
  <si>
    <t>dzubik@post.cz</t>
  </si>
  <si>
    <t>3200/131476</t>
  </si>
  <si>
    <t>1188831133/0800</t>
  </si>
  <si>
    <t>Byt č. 939/19</t>
  </si>
  <si>
    <t>Ing. Richard Ficek</t>
  </si>
  <si>
    <t>ficek@overax.eu</t>
  </si>
  <si>
    <t>14205/131476</t>
  </si>
  <si>
    <t>7686934001/5500</t>
  </si>
  <si>
    <t>název</t>
  </si>
  <si>
    <t>Rok</t>
  </si>
  <si>
    <t>příjem SVJ</t>
  </si>
  <si>
    <t>výdaje SVJ</t>
  </si>
  <si>
    <t>161 906,32</t>
  </si>
  <si>
    <t>Vodoměry Vídeňská - ztráty k rozúčtování</t>
  </si>
  <si>
    <t>Voda celkem za rok - opsat z excel voda</t>
  </si>
  <si>
    <t>voda celkem</t>
  </si>
  <si>
    <t>SV</t>
  </si>
  <si>
    <t>TV</t>
  </si>
  <si>
    <t>celkem</t>
  </si>
  <si>
    <t>Místnost</t>
  </si>
  <si>
    <t>Počáteční stav</t>
  </si>
  <si>
    <t>Odečtená hodnota</t>
  </si>
  <si>
    <t>Spotřeba po odečtení</t>
  </si>
  <si>
    <t>kočárkárna</t>
  </si>
  <si>
    <t>částka k rozúčtování bez ztrát zadat do OS</t>
  </si>
  <si>
    <t>zadat celková cena za vodu za rok s DPH</t>
  </si>
  <si>
    <t>hl vodoměr</t>
  </si>
  <si>
    <t>x</t>
  </si>
  <si>
    <t>spotřeba, bere se tato je v tom i kočárkárna</t>
  </si>
  <si>
    <t>Výpočet základní a spotřební složky</t>
  </si>
  <si>
    <r>
      <t xml:space="preserve">Částka </t>
    </r>
    <r>
      <rPr>
        <b/>
        <sz val="11"/>
        <color rgb="FFFF0000"/>
        <rFont val="Calibri"/>
      </rPr>
      <t>bez DPH</t>
    </r>
  </si>
  <si>
    <t>DPH</t>
  </si>
  <si>
    <t>S DPH 10%</t>
  </si>
  <si>
    <t>základní složka 30%</t>
  </si>
  <si>
    <t>U Leskavy - výpočet nákladů garáž a sklep</t>
  </si>
  <si>
    <t>spotřební složka 70%</t>
  </si>
  <si>
    <t>osvětlení</t>
  </si>
  <si>
    <t>správa</t>
  </si>
  <si>
    <t>podíl pro pojištění</t>
  </si>
  <si>
    <t>pojištění</t>
  </si>
  <si>
    <t>úklid  a další služby (revize)</t>
  </si>
  <si>
    <t>Celkem</t>
  </si>
  <si>
    <t>vyplnit z faktury od tepláren tam je pozor uvedena částka bez DPH</t>
  </si>
  <si>
    <t>sklepy</t>
  </si>
  <si>
    <t>garáž</t>
  </si>
  <si>
    <t>Kotlářská 38</t>
  </si>
  <si>
    <t>viz samotný excel voda</t>
  </si>
  <si>
    <t>* vyplň na konci roku dle faktur pozor DPH 15</t>
  </si>
  <si>
    <t>SV voda celkem bez ALFA</t>
  </si>
  <si>
    <t>Voda Zborovská 2</t>
  </si>
  <si>
    <t>spotřeba celkem</t>
  </si>
  <si>
    <t>Spotřeba byty s vodoměry se ztrátou 5%</t>
  </si>
  <si>
    <t>Spotřeba byty bez vodoměrů</t>
  </si>
  <si>
    <t>OK|23</t>
  </si>
  <si>
    <t>byty s vodoměry</t>
  </si>
  <si>
    <t>Faktura za rok</t>
  </si>
  <si>
    <t>zadat fakturaci za rok</t>
  </si>
  <si>
    <t>bez vodoměrů</t>
  </si>
  <si>
    <t>základní složka</t>
  </si>
  <si>
    <t>s vodoměry</t>
  </si>
  <si>
    <t>spotřební složka</t>
  </si>
  <si>
    <t>kontrola</t>
  </si>
  <si>
    <t>zadat hodnotu celkem</t>
  </si>
  <si>
    <t>AlfaCOM na TUV</t>
  </si>
  <si>
    <t xml:space="preserve">Úvoz 59 b,c </t>
  </si>
  <si>
    <t>Moravany</t>
  </si>
  <si>
    <t>Částka</t>
  </si>
  <si>
    <t>Pozn</t>
  </si>
  <si>
    <t>Celková spotřeba kWh objekt</t>
  </si>
  <si>
    <t>Celkem za elektřinu [Kč]</t>
  </si>
  <si>
    <t>Cena za [kWh]</t>
  </si>
  <si>
    <t>Spotřeba garáž [kWh]</t>
  </si>
  <si>
    <t>Spotřeba dům [kWh]</t>
  </si>
  <si>
    <t>Výtah 427/59b</t>
  </si>
  <si>
    <t>náklady na výtah bez oprav jen Schindler servis</t>
  </si>
  <si>
    <t>Výtah 428/59c</t>
  </si>
  <si>
    <t>Spotřeba garáží [Kč] - faktura za el vyhřívání od Višnová 6</t>
  </si>
  <si>
    <t>Elektřina 427/59b</t>
  </si>
  <si>
    <t xml:space="preserve">spotřeba elektřiny </t>
  </si>
  <si>
    <t>Spotřeba [Kč/rok]</t>
  </si>
  <si>
    <t>Elektřina 428/59c</t>
  </si>
  <si>
    <t>Internet</t>
  </si>
  <si>
    <t>Komín - revize</t>
  </si>
  <si>
    <t>Název</t>
  </si>
  <si>
    <t>Člen</t>
  </si>
  <si>
    <t>součet</t>
  </si>
  <si>
    <t>Výtah (počet osob)</t>
  </si>
  <si>
    <t>Voda (Zborovská 2)</t>
  </si>
  <si>
    <t>Vodoměr nebo ne</t>
  </si>
  <si>
    <t>Směrné číslo [m3/osoba]</t>
  </si>
  <si>
    <t>Spotřeba dle osob</t>
  </si>
  <si>
    <t xml:space="preserve">Přepočet </t>
  </si>
  <si>
    <t>Počet měsíců užívání v roce 2019 Provazníkova</t>
  </si>
  <si>
    <t>Podíl x počet měsíců</t>
  </si>
  <si>
    <t xml:space="preserve">castka k rozuctovani </t>
  </si>
  <si>
    <t xml:space="preserve"> Martin Klíma</t>
  </si>
  <si>
    <t>1.NP</t>
  </si>
  <si>
    <t>celková částka za rok bez zohlednění měsíců</t>
  </si>
  <si>
    <t xml:space="preserve"> Oksana Polovko</t>
  </si>
  <si>
    <t xml:space="preserve"> Kristýna Teplíková</t>
  </si>
  <si>
    <t xml:space="preserve"> D.A.B. Property s.r.o. </t>
  </si>
  <si>
    <t xml:space="preserve"> Jana Vaňková</t>
  </si>
  <si>
    <t xml:space="preserve"> Jonáš Holcner</t>
  </si>
  <si>
    <t xml:space="preserve"> Eva Brandtnerová</t>
  </si>
  <si>
    <t xml:space="preserve"> Patricie Kučerňáková</t>
  </si>
  <si>
    <t xml:space="preserve"> Ronald Barták</t>
  </si>
  <si>
    <t xml:space="preserve"> Ivanka Otáhalová</t>
  </si>
  <si>
    <t xml:space="preserve"> Lenka Bajerová</t>
  </si>
  <si>
    <t xml:space="preserve"> Michal Dekan</t>
  </si>
  <si>
    <t>Předpisy po měsíci celkem</t>
  </si>
  <si>
    <t>CELKEM (kontrola)</t>
  </si>
  <si>
    <t>Ano/Ne</t>
  </si>
  <si>
    <t>Úvoz 59b (m2)</t>
  </si>
  <si>
    <t>Úvoz 59c (m2)</t>
  </si>
  <si>
    <t>Počet jízd Provazníkova</t>
  </si>
  <si>
    <t>Vlastník</t>
  </si>
  <si>
    <t>Název služby</t>
  </si>
  <si>
    <t>číslo</t>
  </si>
  <si>
    <t>počáteční</t>
  </si>
  <si>
    <t>Počet</t>
  </si>
  <si>
    <t>ne</t>
  </si>
  <si>
    <t>Parkovací místa</t>
  </si>
  <si>
    <t>ano</t>
  </si>
  <si>
    <t>Byt</t>
  </si>
  <si>
    <t>Použití</t>
  </si>
  <si>
    <t>Stoupačka</t>
  </si>
  <si>
    <t>Datum odečtu</t>
  </si>
  <si>
    <t>Počáteční hodnota</t>
  </si>
  <si>
    <t>Spotřeba za období</t>
  </si>
  <si>
    <t>Číslo radiového modulu</t>
  </si>
  <si>
    <t>TUV1</t>
  </si>
  <si>
    <t>SV1</t>
  </si>
  <si>
    <t>21 02 2025</t>
  </si>
  <si>
    <t>Přeplatek/nedoplatek</t>
  </si>
  <si>
    <t>Uhrazeno/zasláno</t>
  </si>
  <si>
    <t>Uhrazeno/zasláno dne</t>
  </si>
  <si>
    <t>01. 01. 2024</t>
  </si>
  <si>
    <t>Nezadáno</t>
  </si>
  <si>
    <t>Předpis za rok</t>
  </si>
  <si>
    <t>Zaplaceno rok mínus předpis</t>
  </si>
  <si>
    <t>SV - hlavní vodoměr:</t>
  </si>
  <si>
    <t>Odečetl:</t>
  </si>
  <si>
    <t>Název společenství:</t>
  </si>
  <si>
    <t>Byt č.</t>
  </si>
  <si>
    <t>Číslo měřidla</t>
  </si>
  <si>
    <t>Druh měřidla</t>
  </si>
  <si>
    <t xml:space="preserve">Předch. odečet </t>
  </si>
  <si>
    <t>Provedený odečet</t>
  </si>
  <si>
    <t>Podpis</t>
  </si>
  <si>
    <t>číslo účtu domu</t>
  </si>
  <si>
    <t>celková plocha domu</t>
  </si>
  <si>
    <t>započitatelná plocha domu</t>
  </si>
  <si>
    <t>Reklamace do</t>
  </si>
  <si>
    <t>Vyplaceno do</t>
  </si>
  <si>
    <t>Předčíslí</t>
  </si>
  <si>
    <t>Číslo účtu</t>
  </si>
  <si>
    <t>Společenství pro dům č.p. 629, Lidická 39</t>
  </si>
  <si>
    <t>2559968329/0800</t>
  </si>
  <si>
    <t>Lidická 629/39,Brno</t>
  </si>
  <si>
    <t>0800</t>
  </si>
  <si>
    <t>30 dní</t>
  </si>
  <si>
    <t>4 měsíců</t>
  </si>
  <si>
    <t>Společenství vlastníků domu Provazníkova č. p. 1655, obec Brno</t>
  </si>
  <si>
    <t>2101564752/2010</t>
  </si>
  <si>
    <t>Provazníkova 1655/82, Brno</t>
  </si>
  <si>
    <t>bude vlastníkoví uhrazen
do konce druhého kalendářního měsíce následujícího po měsíci, v němž mu bylo vyúčtování' doručeno.</t>
  </si>
  <si>
    <t>Společenství vlastníků domu Uzbecká 4, Brno</t>
  </si>
  <si>
    <t>2401735074/2010</t>
  </si>
  <si>
    <t>Uzbecká 555/4, 625 00 Brno</t>
  </si>
  <si>
    <t>Společenství vlastníků jednotek Brno, Stojanova 368/4</t>
  </si>
  <si>
    <t>Stojanova 368/4, Veveří, 602 00 Brno</t>
  </si>
  <si>
    <t>Společenství vlastníků jednotek domu Zborovská 32, 34, č. p. 2080, 2081, Brno</t>
  </si>
  <si>
    <t>2400891032/2010</t>
  </si>
  <si>
    <t>Zborovská 32 a 34, Brno</t>
  </si>
  <si>
    <t>Společenství vlastníků jednotek pro dům Kotlářská 23, Brno</t>
  </si>
  <si>
    <t>212701327/0300</t>
  </si>
  <si>
    <t>Kotlářská 913/23, Brno</t>
  </si>
  <si>
    <t>0300</t>
  </si>
  <si>
    <t>Společenství vlastníků jednotek Vídeňská 842/34, Brno</t>
  </si>
  <si>
    <t>2601412333/2010</t>
  </si>
  <si>
    <t>Vídeňská 842/34, Brno</t>
  </si>
  <si>
    <t>2 měsíců</t>
  </si>
  <si>
    <t>Společenství vlastníků Kotlářská 38, Brno</t>
  </si>
  <si>
    <t>3443843369/0800</t>
  </si>
  <si>
    <t>Kotlářská 670/38, Brno</t>
  </si>
  <si>
    <t>3 měsíců</t>
  </si>
  <si>
    <t>Společenství vlastníků Listnatá 4, Lišejníková 3, Brno</t>
  </si>
  <si>
    <t>2801810483/2010</t>
  </si>
  <si>
    <t>Listnatá 1059/4, Brno</t>
  </si>
  <si>
    <t>2010</t>
  </si>
  <si>
    <t>Společenství vlastníků Mikšíčkova 20, Brno - společenství vlastníků</t>
  </si>
  <si>
    <t>2001002103/2010</t>
  </si>
  <si>
    <t>Mikšíčkova 1513/20, Brno</t>
  </si>
  <si>
    <t>Společenství vlastníků pro dům Neptun</t>
  </si>
  <si>
    <t>2701656546/2010</t>
  </si>
  <si>
    <t>Kníničky č.ev. 318, Brno</t>
  </si>
  <si>
    <t>7 měsíců</t>
  </si>
  <si>
    <t>Společenství vlastníků pro dům Poříčí 615/13 v Brně</t>
  </si>
  <si>
    <t>2201735109/2010</t>
  </si>
  <si>
    <t>Poříčí 615/13, Brno</t>
  </si>
  <si>
    <t>Společenství vlastníků U Leskavy 26-E, Brno</t>
  </si>
  <si>
    <t>43-9898380257/0100</t>
  </si>
  <si>
    <t>U Leskavy 26-E, Brno</t>
  </si>
  <si>
    <t>0100</t>
  </si>
  <si>
    <t>Společenství vlastníků Višňová 4, Moravany</t>
  </si>
  <si>
    <t>2601061748/2010</t>
  </si>
  <si>
    <t>Višňová 828/4, Moravany</t>
  </si>
  <si>
    <t>Úvoz 59b,c, Brno - společenství vlastníků jednotek</t>
  </si>
  <si>
    <t>2401473895/2010</t>
  </si>
  <si>
    <t>Úvoz 428/59c, Brno</t>
  </si>
  <si>
    <t>Společenství vlastníků domu Voroněžská 1 Brno, Žabovřesky</t>
  </si>
  <si>
    <t>272581531/0300</t>
  </si>
  <si>
    <t>Voroněžská 2547/1, Brno</t>
  </si>
  <si>
    <t>Společenství vlastníků Pilcova 560, Modřice</t>
  </si>
  <si>
    <t>123-6309820207/0100</t>
  </si>
  <si>
    <t>Pilcova 560, Modřice</t>
  </si>
  <si>
    <t>Společenství vlastníků pro dům v Brně, Merhautova 1024/155</t>
  </si>
  <si>
    <t>6097414329/0800</t>
  </si>
  <si>
    <t>Merhautova 1024/155, Brno</t>
  </si>
  <si>
    <t>Společenství vlastníků Ulrychova 844/4, Brno</t>
  </si>
  <si>
    <t>184181706/0300</t>
  </si>
  <si>
    <t>Ulrychova 844/4, Brno</t>
  </si>
  <si>
    <t>Společenství vlastníků Tučkova 26</t>
  </si>
  <si>
    <t>43-6885390217/0100</t>
  </si>
  <si>
    <t>AdminReal s.r.o.                                                                                                                                                       Veveří 2581/102 , 616 00 Brno                                                                                                                              IČO 02827476                                                                                                                                                      Zapsáno KS v Brně, oddíl C, vložka   82606</t>
  </si>
  <si>
    <t>Název:</t>
  </si>
  <si>
    <t>č.</t>
  </si>
  <si>
    <t>položka</t>
  </si>
  <si>
    <t>jednotka</t>
  </si>
  <si>
    <t>Rozpočet na rok/dům</t>
  </si>
  <si>
    <t>Měsíční příspěvek/dům</t>
  </si>
  <si>
    <t>Počet jednotek/dům</t>
  </si>
  <si>
    <t>Koeficient přepočtu na byt/měsíc</t>
  </si>
  <si>
    <t>Měsíční záloha bytu</t>
  </si>
  <si>
    <t>Schváleno shromážděním dne:</t>
  </si>
  <si>
    <t>Vyhotovil: AdminReal s.r.o.</t>
  </si>
  <si>
    <t>příjem společenství z pronájmu společných částí domu za kalendářní období:</t>
  </si>
  <si>
    <t>Tento příjem u fyzické osoby podle §9 zákona o daních z příjmu (dále ZDP), anebo podle §7  ZDP (pokud máte jednotku zahrnutou v obchodním majetku), jste povinni uvést ve svém přiznání k dani z příjmu fyzických osob, neboť se jedná o příjem jednotlivého vlastníka, nikoliv společenství.</t>
  </si>
  <si>
    <t>Dle Vašeho spoluvlastnického podílu na domě, který činí</t>
  </si>
  <si>
    <t>Ovšem můžete uplatnit další, jiné výdaje podle §7 a §9 ZDP, dle Vaší situace.</t>
  </si>
  <si>
    <t>byl ponechán na fondu oprav.</t>
  </si>
  <si>
    <t>V Brně 20.01.2024</t>
  </si>
  <si>
    <t>Veveří 2581/102, 616 00 Brno</t>
  </si>
  <si>
    <t>příjem společenství z pronájmu výměníkové stanice a společných částí domu za kalendářní období:</t>
  </si>
  <si>
    <r>
      <t>Kontrola dat pro</t>
    </r>
    <r>
      <rPr>
        <b/>
        <sz val="11"/>
        <color rgb="FF000000"/>
        <rFont val="Calibri"/>
      </rPr>
      <t xml:space="preserve"> vyúčtování byt - 1.část</t>
    </r>
  </si>
  <si>
    <t>QR kód</t>
  </si>
  <si>
    <t>Data</t>
  </si>
  <si>
    <t>Částka převod pro QR</t>
  </si>
  <si>
    <t>Currency</t>
  </si>
  <si>
    <t>CZK</t>
  </si>
  <si>
    <t>V.S.</t>
  </si>
  <si>
    <t>S.S.</t>
  </si>
  <si>
    <t>K.S.</t>
  </si>
  <si>
    <t>Zpráva</t>
  </si>
  <si>
    <t>Podmínka zobrazeni</t>
  </si>
  <si>
    <t>Final QR</t>
  </si>
  <si>
    <t>QR</t>
  </si>
  <si>
    <t>Kontrola zobrazení pro měřené služby</t>
  </si>
  <si>
    <t>Pomocny pro meřené služby - součet</t>
  </si>
  <si>
    <t>Kč</t>
  </si>
  <si>
    <t>Celkem k rozúčtování</t>
  </si>
  <si>
    <t>Zaplacená záloha</t>
  </si>
  <si>
    <r>
      <t>Preplatek/</t>
    </r>
    <r>
      <rPr>
        <sz val="11"/>
        <color rgb="FFFF0000"/>
        <rFont val="Calibri"/>
      </rPr>
      <t>nedoplatek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</si>
</sst>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#,##0\ &quot;Kč&quot;;[Red]\-#,##0\ &quot;Kč&quot;"/>
    <numFmt numFmtId="7" formatCode="#,##0.00\ &quot;Kč&quot;;\-#,##0.00\ &quot;Kč&quot;"/>
    <numFmt numFmtId="164" formatCode="#,##0.00,&quot;Kč&quot;;[Red]\-#,##0.00,&quot;Kč&quot;"/>
    <numFmt numFmtId="165" formatCode="#,##0\ &quot;Kč&quot;"/>
    <numFmt numFmtId="166" formatCode="&quot;Kč&quot;#,##0.00_);[Red]\(&quot;Kč&quot;#,##0.00\)"/>
    <numFmt numFmtId="167" formatCode="&quot;Kč&quot;#,##0_);[Red]\(&quot;Kč&quot;#,##0\)"/>
    <numFmt numFmtId="168" formatCode="#,##0.00_ ;[Red]\-#,##0.00\ "/>
    <numFmt numFmtId="169" formatCode="#,##0.00\ &quot;Kč&quot;"/>
    <numFmt numFmtId="170" formatCode="0.000"/>
    <numFmt numFmtId="171" formatCode="#,##0_ ;\-#,##0\ "/>
    <numFmt numFmtId="172" formatCode="#,##0_ ;[Red]\-#,##0\ "/>
    <numFmt numFmtId="173" formatCode="#,##0\ _K_č"/>
    <numFmt numFmtId="174" formatCode="dd/mm/yy"/>
    <numFmt numFmtId="175" formatCode="_-* #,##0.00\ [$Kč-405]_-;\-* #,##0.00\ [$Kč-405]_-;_-* &quot;-&quot;??\ [$Kč-405]_-;_-@_-"/>
    <numFmt numFmtId="176" formatCode="#,##0.00\ &quot;Kč&quot;;[Red]#,##0.00\ &quot;Kč&quot;"/>
    <numFmt numFmtId="177" formatCode="#,##0.00\ _K_č"/>
    <numFmt numFmtId="178" formatCode="&quot;Kč&quot;#,##0_);\(&quot;Kč&quot;#,##0\)"/>
    <numFmt numFmtId="179" formatCode="0.0000"/>
    <numFmt numFmtId="180" formatCode="0.0000%"/>
    <numFmt numFmtId="181" formatCode="0000"/>
    <numFmt numFmtId="182" formatCode="0_ ;[Red]\-0\ "/>
    <numFmt numFmtId="183" formatCode="#,##0.000_ ;[Red]\-#,##0.000\ "/>
    <numFmt numFmtId="184" formatCode="_-* #,##0\ &quot;Kč&quot;_-;\-* #,##0\ &quot;Kč&quot;_-;_-* &quot;-&quot;??\ &quot;Kč&quot;_-;_-@_-"/>
  </numFmts>
  <fonts count="51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b/>
      <sz val="15"/>
      <color rgb="FF000000"/>
      <name val="Calibri"/>
    </font>
    <font>
      <b/>
      <sz val="9"/>
      <color rgb="FF000000"/>
      <name val="Arial"/>
    </font>
    <font>
      <b/>
      <sz val="11"/>
      <color rgb="FF000000"/>
      <name val="Calibri"/>
    </font>
    <font>
      <sz val="11"/>
      <color rgb="FF0070C0"/>
      <name val="Calibri"/>
    </font>
    <font>
      <sz val="11"/>
      <color rgb="FFFF0000"/>
      <name val="Calibri"/>
    </font>
    <font>
      <sz val="11"/>
      <color rgb="FF002060"/>
      <name val="Calibri"/>
    </font>
    <font>
      <sz val="10"/>
      <color rgb="FF000000"/>
      <name val="Arial"/>
    </font>
    <font>
      <i/>
      <sz val="11"/>
      <color rgb="FF000000"/>
      <name val="Calibri"/>
    </font>
    <font>
      <b/>
      <sz val="10"/>
      <color rgb="FF000000"/>
      <name val="Arial"/>
    </font>
    <font>
      <sz val="11"/>
      <color rgb="FFD8D8D8"/>
      <name val="Calibri"/>
    </font>
    <font>
      <b/>
      <sz val="11"/>
      <color rgb="FFFF0000"/>
      <name val="Calibri"/>
    </font>
    <font>
      <u/>
      <sz val="11"/>
      <color rgb="FF0000FF"/>
      <name val="Calibri"/>
    </font>
    <font>
      <sz val="11"/>
      <color rgb="FF000000"/>
      <name val="Calibri Light"/>
    </font>
    <font>
      <b/>
      <sz val="11"/>
      <color rgb="FFFFFFFF"/>
      <name val="Calibri Light"/>
    </font>
    <font>
      <b/>
      <sz val="12"/>
      <color rgb="FFFFFFFF"/>
      <name val="Calibri Light"/>
    </font>
    <font>
      <b/>
      <sz val="20"/>
      <color rgb="FF000000"/>
      <name val="Calibri"/>
    </font>
    <font>
      <b/>
      <u/>
      <sz val="11"/>
      <color rgb="FF0000FF"/>
      <name val="Calibri"/>
    </font>
    <font>
      <b/>
      <sz val="16"/>
      <color rgb="FF000000"/>
      <name val="Calibri"/>
    </font>
    <font>
      <sz val="18"/>
      <color rgb="FF000000"/>
      <name val="Calibri"/>
    </font>
    <font>
      <b/>
      <sz val="11"/>
      <color rgb="FFC00000"/>
      <name val="Calibri"/>
    </font>
    <font>
      <sz val="14"/>
      <color rgb="FF000000"/>
      <name val="Calibri"/>
    </font>
    <font>
      <sz val="10"/>
      <color rgb="FF000000"/>
      <name val="Calibri"/>
    </font>
    <font>
      <b/>
      <sz val="15"/>
      <color rgb="FFFF0000"/>
      <name val="Calibri"/>
    </font>
    <font>
      <b/>
      <u/>
      <sz val="16"/>
      <color rgb="FF0000FF"/>
      <name val="Calibri"/>
    </font>
    <font>
      <u/>
      <sz val="18"/>
      <color rgb="FF0000FF"/>
      <name val="Calibri"/>
    </font>
    <font>
      <b/>
      <sz val="18"/>
      <color rgb="FF000000"/>
      <name val="Calibri"/>
    </font>
    <font>
      <u/>
      <sz val="16"/>
      <color rgb="FF0000FF"/>
      <name val="Calibri"/>
    </font>
    <font>
      <u/>
      <sz val="14"/>
      <color rgb="FF0000FF"/>
      <name val="Calibri"/>
    </font>
    <font>
      <b/>
      <u/>
      <sz val="14"/>
      <color rgb="FF0000FF"/>
      <name val="Calibri"/>
    </font>
    <font>
      <sz val="11"/>
      <color rgb="FF000000"/>
      <name val="Roboto"/>
    </font>
    <font>
      <sz val="8"/>
      <color rgb="FF000000"/>
      <name val="Calibri"/>
    </font>
    <font>
      <b/>
      <i/>
      <sz val="10"/>
      <color rgb="FF000000"/>
      <name val="Roboto"/>
    </font>
    <font>
      <b/>
      <i/>
      <sz val="11"/>
      <color rgb="FF000000"/>
      <name val="Roboto"/>
    </font>
    <font>
      <sz val="11"/>
      <color rgb="FF000000"/>
      <name val="Arial"/>
    </font>
    <font>
      <i/>
      <sz val="10"/>
      <color rgb="FF000000"/>
      <name val="Roboto"/>
    </font>
    <font>
      <sz val="10"/>
      <color rgb="FF000000"/>
      <name val="Roboto"/>
    </font>
    <font>
      <b/>
      <sz val="11"/>
      <color rgb="FF000000"/>
      <name val="Roboto"/>
    </font>
    <font>
      <i/>
      <sz val="11"/>
      <color rgb="FF000000"/>
      <name val="Arial"/>
    </font>
    <font>
      <sz val="11"/>
      <color rgb="FFFF0000"/>
      <name val="Roboto"/>
    </font>
    <font>
      <i/>
      <sz val="11"/>
      <color rgb="FFFF0000"/>
      <name val="Arial"/>
    </font>
    <font>
      <i/>
      <sz val="11"/>
      <color rgb="FF000000"/>
      <name val="Roboto"/>
    </font>
    <font>
      <sz val="11"/>
      <color rgb="FFFF0000"/>
      <name val="Arial"/>
    </font>
    <font>
      <b/>
      <sz val="13"/>
      <color rgb="FF000000"/>
      <name val="Calibri"/>
    </font>
    <font>
      <b/>
      <sz val="9"/>
      <color rgb="FF000000"/>
      <name val="Tahoma"/>
    </font>
    <font>
      <sz val="9"/>
      <color rgb="FF000000"/>
      <name val="Tahoma"/>
    </font>
  </fonts>
  <fills count="4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C0C0C0"/>
      </patternFill>
    </fill>
    <fill>
      <patternFill patternType="solid">
        <fgColor rgb="FFD8D8D8"/>
        <bgColor rgb="FFFFFFFF"/>
      </patternFill>
    </fill>
    <fill>
      <patternFill patternType="mediumGray">
        <fgColor rgb="FF000000"/>
        <bgColor rgb="FFFFFFFF"/>
      </patternFill>
    </fill>
    <fill>
      <patternFill patternType="solid">
        <fgColor rgb="FFD8D8D8"/>
        <bgColor rgb="FFC0C0C0"/>
      </patternFill>
    </fill>
    <fill>
      <patternFill patternType="solid">
        <fgColor rgb="FFD8D8D8"/>
        <bgColor rgb="FFFFFFCC"/>
      </patternFill>
    </fill>
    <fill>
      <patternFill patternType="solid">
        <fgColor rgb="FFFABF8F"/>
        <bgColor rgb="FFFFFFCC"/>
      </patternFill>
    </fill>
    <fill>
      <patternFill patternType="solid">
        <fgColor rgb="FFFABF8F"/>
        <bgColor rgb="FFFFFFFF"/>
      </patternFill>
    </fill>
    <fill>
      <patternFill patternType="solid">
        <fgColor rgb="FFB6DDE8"/>
        <bgColor rgb="FFFFFFCC"/>
      </patternFill>
    </fill>
    <fill>
      <patternFill patternType="solid">
        <fgColor rgb="FFB6DDE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CC"/>
      </patternFill>
    </fill>
    <fill>
      <patternFill patternType="solid">
        <fgColor rgb="FF7F7F7F"/>
        <bgColor rgb="FFFFFFFF"/>
      </patternFill>
    </fill>
    <fill>
      <patternFill patternType="solid">
        <fgColor rgb="FF00B0F0"/>
        <bgColor rgb="FFFFFFCC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DAEEF3"/>
        <bgColor rgb="FFFFFFCC"/>
      </patternFill>
    </fill>
    <fill>
      <patternFill patternType="solid">
        <fgColor rgb="FF92D050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E5DFEC"/>
        <bgColor rgb="FFFFFFCC"/>
      </patternFill>
    </fill>
    <fill>
      <patternFill patternType="solid">
        <fgColor rgb="FFEAF1DD"/>
        <bgColor rgb="FFFFFFFF"/>
      </patternFill>
    </fill>
    <fill>
      <patternFill patternType="solid">
        <fgColor rgb="FFEAF1DD"/>
        <bgColor rgb="FFFFFFCC"/>
      </patternFill>
    </fill>
    <fill>
      <patternFill patternType="solid">
        <fgColor rgb="FFDAEEF3"/>
        <bgColor rgb="FFFFFFFF"/>
      </patternFill>
    </fill>
    <fill>
      <patternFill patternType="solid">
        <fgColor rgb="FFB2A1C7"/>
        <bgColor rgb="FFFFFFFF"/>
      </patternFill>
    </fill>
    <fill>
      <patternFill patternType="solid">
        <fgColor rgb="FFB2A1C7"/>
        <bgColor rgb="FFFFFFCC"/>
      </patternFill>
    </fill>
    <fill>
      <patternFill patternType="solid">
        <fgColor rgb="FFD9D9D9"/>
        <bgColor rgb="FFFFFFFF"/>
      </patternFill>
    </fill>
    <fill>
      <patternFill patternType="solid">
        <fgColor rgb="FFEEECE1"/>
        <bgColor rgb="FFFFFFFF"/>
      </patternFill>
    </fill>
    <fill>
      <patternFill patternType="solid">
        <fgColor rgb="FFFFFF00"/>
        <bgColor rgb="FFFFFFCC"/>
      </patternFill>
    </fill>
    <fill>
      <patternFill patternType="solid">
        <fgColor rgb="FFEEECE1"/>
        <bgColor rgb="FFC0C0C0"/>
      </patternFill>
    </fill>
    <fill>
      <patternFill patternType="solid">
        <fgColor rgb="FF95B3D7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CCECFF"/>
        <bgColor rgb="FFFFFFFF"/>
      </patternFill>
    </fill>
    <fill>
      <patternFill patternType="solid">
        <fgColor rgb="FF4D5D2C"/>
        <bgColor rgb="FFFFFFFF"/>
      </patternFill>
    </fill>
    <fill>
      <patternFill patternType="solid">
        <fgColor rgb="FFBFBFBF"/>
        <bgColor rgb="FFFFFFCC"/>
      </patternFill>
    </fill>
  </fills>
  <borders count="8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Dashed">
        <color rgb="FFC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5"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4" fontId="0" fillId="3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4" fontId="0" fillId="3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0" xfId="0" applyFill="1"/>
    <xf numFmtId="0" fontId="8" fillId="3" borderId="5" xfId="0" applyFont="1" applyFill="1" applyBorder="1"/>
    <xf numFmtId="0" fontId="0" fillId="3" borderId="5" xfId="0" applyFill="1" applyBorder="1"/>
    <xf numFmtId="0" fontId="8" fillId="3" borderId="6" xfId="0" applyFont="1" applyFill="1" applyBorder="1"/>
    <xf numFmtId="0" fontId="0" fillId="3" borderId="7" xfId="0" applyFill="1" applyBorder="1" applyAlignment="1">
      <alignment horizontal="left"/>
    </xf>
    <xf numFmtId="0" fontId="9" fillId="3" borderId="8" xfId="0" applyFont="1" applyFill="1" applyBorder="1"/>
    <xf numFmtId="0" fontId="9" fillId="3" borderId="9" xfId="0" applyFont="1" applyFill="1" applyBorder="1"/>
    <xf numFmtId="0" fontId="10" fillId="3" borderId="0" xfId="0" applyFont="1" applyFill="1"/>
    <xf numFmtId="0" fontId="8" fillId="3" borderId="0" xfId="0" applyFont="1" applyFill="1"/>
    <xf numFmtId="165" fontId="0" fillId="3" borderId="4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vertical="top" wrapText="1"/>
    </xf>
    <xf numFmtId="0" fontId="0" fillId="3" borderId="7" xfId="0" applyFill="1" applyBorder="1"/>
    <xf numFmtId="0" fontId="0" fillId="6" borderId="10" xfId="0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3" borderId="4" xfId="0" applyFill="1" applyBorder="1"/>
    <xf numFmtId="4" fontId="0" fillId="3" borderId="4" xfId="0" applyNumberFormat="1" applyFill="1" applyBorder="1"/>
    <xf numFmtId="4" fontId="0" fillId="3" borderId="4" xfId="0" applyNumberFormat="1" applyFill="1" applyBorder="1" applyAlignment="1">
      <alignment horizontal="right"/>
    </xf>
    <xf numFmtId="4" fontId="0" fillId="3" borderId="5" xfId="0" applyNumberFormat="1" applyFill="1" applyBorder="1"/>
    <xf numFmtId="4" fontId="0" fillId="3" borderId="5" xfId="0" applyNumberFormat="1" applyFill="1" applyBorder="1" applyAlignment="1">
      <alignment horizontal="right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4" fontId="0" fillId="3" borderId="10" xfId="0" applyNumberFormat="1" applyFill="1" applyBorder="1"/>
    <xf numFmtId="4" fontId="0" fillId="3" borderId="1" xfId="0" applyNumberFormat="1" applyFill="1" applyBorder="1" applyAlignment="1">
      <alignment horizontal="right"/>
    </xf>
    <xf numFmtId="4" fontId="0" fillId="3" borderId="10" xfId="0" applyNumberFormat="1" applyFill="1" applyBorder="1" applyAlignment="1">
      <alignment horizontal="right"/>
    </xf>
    <xf numFmtId="4" fontId="8" fillId="3" borderId="0" xfId="0" applyNumberFormat="1" applyFont="1" applyFill="1"/>
    <xf numFmtId="4" fontId="8" fillId="3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center"/>
    </xf>
    <xf numFmtId="167" fontId="8" fillId="3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7" fontId="0" fillId="3" borderId="0" xfId="0" applyNumberFormat="1" applyFill="1"/>
    <xf numFmtId="0" fontId="0" fillId="5" borderId="11" xfId="0" applyFill="1" applyBorder="1"/>
    <xf numFmtId="0" fontId="6" fillId="3" borderId="12" xfId="0" applyFont="1" applyFill="1" applyBorder="1" applyAlignment="1">
      <alignment horizontal="center"/>
    </xf>
    <xf numFmtId="168" fontId="8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4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8" fillId="7" borderId="5" xfId="0" applyFont="1" applyFill="1" applyBorder="1"/>
    <xf numFmtId="169" fontId="0" fillId="8" borderId="5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5" borderId="5" xfId="0" applyFont="1" applyFill="1" applyBorder="1"/>
    <xf numFmtId="2" fontId="0" fillId="3" borderId="7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3" borderId="16" xfId="0" applyFill="1" applyBorder="1" applyAlignment="1">
      <alignment horizontal="left"/>
    </xf>
    <xf numFmtId="166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4" fontId="0" fillId="3" borderId="14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170" fontId="8" fillId="9" borderId="10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vertical="top" wrapText="1" indent="2"/>
    </xf>
    <xf numFmtId="14" fontId="0" fillId="3" borderId="4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/>
    <xf numFmtId="14" fontId="0" fillId="3" borderId="5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/>
    <xf numFmtId="0" fontId="12" fillId="3" borderId="10" xfId="0" applyFont="1" applyFill="1" applyBorder="1" applyAlignment="1">
      <alignment vertical="top" wrapText="1" indent="2"/>
    </xf>
    <xf numFmtId="0" fontId="0" fillId="3" borderId="17" xfId="0" applyFill="1" applyBorder="1"/>
    <xf numFmtId="0" fontId="0" fillId="3" borderId="17" xfId="0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49" fontId="0" fillId="3" borderId="17" xfId="0" applyNumberFormat="1" applyFill="1" applyBorder="1" applyAlignment="1">
      <alignment horizontal="center"/>
    </xf>
    <xf numFmtId="170" fontId="0" fillId="3" borderId="10" xfId="0" applyNumberFormat="1" applyFill="1" applyBorder="1" applyAlignment="1">
      <alignment horizontal="center"/>
    </xf>
    <xf numFmtId="170" fontId="0" fillId="3" borderId="0" xfId="0" applyNumberFormat="1" applyFill="1"/>
    <xf numFmtId="170" fontId="8" fillId="3" borderId="4" xfId="0" applyNumberFormat="1" applyFont="1" applyFill="1" applyBorder="1"/>
    <xf numFmtId="0" fontId="12" fillId="3" borderId="9" xfId="0" applyFont="1" applyFill="1" applyBorder="1" applyAlignment="1">
      <alignment vertical="top" wrapText="1" indent="2"/>
    </xf>
    <xf numFmtId="170" fontId="0" fillId="3" borderId="18" xfId="0" applyNumberFormat="1" applyFill="1" applyBorder="1"/>
    <xf numFmtId="0" fontId="12" fillId="3" borderId="3" xfId="0" applyFont="1" applyFill="1" applyBorder="1" applyAlignment="1">
      <alignment vertical="top" wrapText="1" indent="2"/>
    </xf>
    <xf numFmtId="170" fontId="0" fillId="3" borderId="19" xfId="0" applyNumberFormat="1" applyFill="1" applyBorder="1"/>
    <xf numFmtId="0" fontId="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top"/>
    </xf>
    <xf numFmtId="0" fontId="8" fillId="7" borderId="10" xfId="0" applyFont="1" applyFill="1" applyBorder="1" applyAlignment="1">
      <alignment horizontal="center" vertical="top"/>
    </xf>
    <xf numFmtId="0" fontId="8" fillId="5" borderId="10" xfId="0" applyFont="1" applyFill="1" applyBorder="1" applyAlignment="1">
      <alignment horizontal="center" vertical="top"/>
    </xf>
    <xf numFmtId="0" fontId="8" fillId="5" borderId="17" xfId="0" applyFont="1" applyFill="1" applyBorder="1" applyAlignment="1">
      <alignment horizontal="center" vertical="top"/>
    </xf>
    <xf numFmtId="171" fontId="8" fillId="7" borderId="10" xfId="0" applyNumberFormat="1" applyFont="1" applyFill="1" applyBorder="1" applyAlignment="1">
      <alignment horizontal="center" vertical="top"/>
    </xf>
    <xf numFmtId="171" fontId="8" fillId="5" borderId="10" xfId="0" applyNumberFormat="1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 vertical="top"/>
    </xf>
    <xf numFmtId="0" fontId="8" fillId="5" borderId="0" xfId="0" applyFont="1" applyFill="1" applyAlignment="1">
      <alignment vertical="top"/>
    </xf>
    <xf numFmtId="0" fontId="0" fillId="2" borderId="20" xfId="0" applyFill="1" applyBorder="1"/>
    <xf numFmtId="172" fontId="12" fillId="10" borderId="5" xfId="0" applyNumberFormat="1" applyFont="1" applyFill="1" applyBorder="1" applyAlignment="1">
      <alignment horizontal="right" vertical="top" wrapText="1"/>
    </xf>
    <xf numFmtId="173" fontId="8" fillId="5" borderId="5" xfId="0" applyNumberFormat="1" applyFont="1" applyFill="1" applyBorder="1" applyAlignment="1">
      <alignment horizontal="center" vertical="center"/>
    </xf>
    <xf numFmtId="172" fontId="12" fillId="3" borderId="5" xfId="0" applyNumberFormat="1" applyFont="1" applyFill="1" applyBorder="1" applyAlignment="1">
      <alignment horizontal="right" vertical="top" wrapText="1"/>
    </xf>
    <xf numFmtId="0" fontId="0" fillId="7" borderId="5" xfId="0" applyFill="1" applyBorder="1" applyAlignment="1">
      <alignment horizontal="center" vertical="center"/>
    </xf>
    <xf numFmtId="173" fontId="0" fillId="5" borderId="5" xfId="0" applyNumberForma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right" vertical="top" wrapText="1"/>
    </xf>
    <xf numFmtId="0" fontId="12" fillId="3" borderId="5" xfId="0" applyFont="1" applyFill="1" applyBorder="1" applyAlignment="1">
      <alignment horizontal="right" vertical="top" wrapText="1"/>
    </xf>
    <xf numFmtId="0" fontId="0" fillId="5" borderId="0" xfId="0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0" fillId="2" borderId="21" xfId="0" applyFill="1" applyBorder="1"/>
    <xf numFmtId="172" fontId="12" fillId="10" borderId="10" xfId="0" applyNumberFormat="1" applyFont="1" applyFill="1" applyBorder="1" applyAlignment="1">
      <alignment horizontal="right" vertical="top" wrapText="1"/>
    </xf>
    <xf numFmtId="173" fontId="8" fillId="5" borderId="10" xfId="0" applyNumberFormat="1" applyFont="1" applyFill="1" applyBorder="1" applyAlignment="1">
      <alignment horizontal="center" vertical="center"/>
    </xf>
    <xf numFmtId="172" fontId="12" fillId="3" borderId="10" xfId="0" applyNumberFormat="1" applyFont="1" applyFill="1" applyBorder="1" applyAlignment="1">
      <alignment horizontal="right" vertical="top" wrapText="1"/>
    </xf>
    <xf numFmtId="0" fontId="0" fillId="7" borderId="10" xfId="0" applyFill="1" applyBorder="1" applyAlignment="1">
      <alignment horizontal="center" vertical="center"/>
    </xf>
    <xf numFmtId="173" fontId="0" fillId="5" borderId="10" xfId="0" applyNumberForma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right" vertical="top" wrapText="1"/>
    </xf>
    <xf numFmtId="0" fontId="12" fillId="3" borderId="10" xfId="0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3" fontId="0" fillId="5" borderId="0" xfId="0" applyNumberForma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3" fontId="0" fillId="5" borderId="0" xfId="0" applyNumberFormat="1" applyFill="1"/>
    <xf numFmtId="0" fontId="0" fillId="5" borderId="0" xfId="0" applyFill="1" applyAlignment="1">
      <alignment vertical="center"/>
    </xf>
    <xf numFmtId="0" fontId="8" fillId="5" borderId="5" xfId="0" applyFont="1" applyFill="1" applyBorder="1" applyAlignment="1">
      <alignment horizontal="center"/>
    </xf>
    <xf numFmtId="0" fontId="0" fillId="5" borderId="5" xfId="0" applyFill="1" applyBorder="1"/>
    <xf numFmtId="0" fontId="0" fillId="5" borderId="10" xfId="0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right"/>
    </xf>
    <xf numFmtId="0" fontId="8" fillId="5" borderId="16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left"/>
    </xf>
    <xf numFmtId="0" fontId="0" fillId="10" borderId="10" xfId="0" applyFill="1" applyBorder="1" applyAlignment="1">
      <alignment horizontal="center"/>
    </xf>
    <xf numFmtId="0" fontId="12" fillId="3" borderId="16" xfId="0" applyFont="1" applyFill="1" applyBorder="1" applyAlignment="1">
      <alignment vertical="top" wrapText="1" indent="2"/>
    </xf>
    <xf numFmtId="167" fontId="0" fillId="3" borderId="16" xfId="0" applyNumberFormat="1" applyFill="1" applyBorder="1"/>
    <xf numFmtId="167" fontId="0" fillId="3" borderId="5" xfId="0" applyNumberFormat="1" applyFill="1" applyBorder="1"/>
    <xf numFmtId="167" fontId="0" fillId="3" borderId="10" xfId="0" applyNumberFormat="1" applyFill="1" applyBorder="1"/>
    <xf numFmtId="0" fontId="8" fillId="5" borderId="0" xfId="0" applyFont="1" applyFill="1"/>
    <xf numFmtId="165" fontId="8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165" fontId="8" fillId="2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4" fontId="0" fillId="3" borderId="0" xfId="0" applyNumberFormat="1" applyFill="1" applyAlignment="1">
      <alignment horizontal="center"/>
    </xf>
    <xf numFmtId="0" fontId="8" fillId="9" borderId="7" xfId="0" applyFont="1" applyFill="1" applyBorder="1" applyAlignment="1">
      <alignment horizontal="center"/>
    </xf>
    <xf numFmtId="170" fontId="8" fillId="3" borderId="16" xfId="0" applyNumberFormat="1" applyFont="1" applyFill="1" applyBorder="1"/>
    <xf numFmtId="170" fontId="0" fillId="3" borderId="10" xfId="0" applyNumberFormat="1" applyFill="1" applyBorder="1"/>
    <xf numFmtId="3" fontId="0" fillId="3" borderId="0" xfId="0" applyNumberFormat="1" applyFill="1"/>
    <xf numFmtId="174" fontId="0" fillId="3" borderId="5" xfId="0" applyNumberFormat="1" applyFill="1" applyBorder="1" applyAlignment="1">
      <alignment horizontal="center"/>
    </xf>
    <xf numFmtId="170" fontId="0" fillId="3" borderId="6" xfId="0" applyNumberFormat="1" applyFill="1" applyBorder="1"/>
    <xf numFmtId="173" fontId="8" fillId="7" borderId="5" xfId="0" applyNumberFormat="1" applyFont="1" applyFill="1" applyBorder="1" applyAlignment="1">
      <alignment horizontal="center" vertical="center"/>
    </xf>
    <xf numFmtId="173" fontId="8" fillId="7" borderId="10" xfId="0" applyNumberFormat="1" applyFon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3" fontId="0" fillId="11" borderId="5" xfId="0" applyNumberFormat="1" applyFill="1" applyBorder="1" applyAlignment="1">
      <alignment horizontal="left"/>
    </xf>
    <xf numFmtId="0" fontId="0" fillId="10" borderId="5" xfId="0" applyFill="1" applyBorder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8" fillId="3" borderId="5" xfId="0" applyFont="1" applyFill="1" applyBorder="1" applyAlignment="1">
      <alignment horizontal="center"/>
    </xf>
    <xf numFmtId="0" fontId="0" fillId="3" borderId="0" xfId="0" applyFill="1" applyAlignment="1">
      <alignment vertical="top" wrapText="1"/>
    </xf>
    <xf numFmtId="0" fontId="8" fillId="5" borderId="23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0" xfId="0" applyFill="1" applyAlignment="1">
      <alignment horizontal="right"/>
    </xf>
    <xf numFmtId="3" fontId="0" fillId="3" borderId="7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5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12" borderId="7" xfId="0" applyFill="1" applyBorder="1"/>
    <xf numFmtId="14" fontId="4" fillId="3" borderId="0" xfId="0" applyNumberFormat="1" applyFont="1" applyFill="1" applyAlignment="1">
      <alignment horizontal="left"/>
    </xf>
    <xf numFmtId="0" fontId="0" fillId="6" borderId="7" xfId="0" applyFill="1" applyBorder="1" applyAlignment="1">
      <alignment horizontal="center" vertical="center"/>
    </xf>
    <xf numFmtId="9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175" fontId="8" fillId="2" borderId="0" xfId="0" applyNumberFormat="1" applyFont="1" applyFill="1" applyAlignment="1">
      <alignment vertical="center"/>
    </xf>
    <xf numFmtId="0" fontId="12" fillId="10" borderId="5" xfId="0" applyFont="1" applyFill="1" applyBorder="1" applyAlignment="1" applyProtection="1">
      <alignment horizontal="right" vertical="top" wrapText="1"/>
      <protection locked="0"/>
    </xf>
    <xf numFmtId="0" fontId="12" fillId="10" borderId="10" xfId="0" applyFont="1" applyFill="1" applyBorder="1" applyAlignment="1" applyProtection="1">
      <alignment horizontal="right" vertical="top" wrapText="1"/>
      <protection locked="0"/>
    </xf>
    <xf numFmtId="0" fontId="8" fillId="5" borderId="24" xfId="0" applyFont="1" applyFill="1" applyBorder="1" applyAlignment="1">
      <alignment horizontal="center"/>
    </xf>
    <xf numFmtId="0" fontId="0" fillId="2" borderId="5" xfId="0" applyFill="1" applyBorder="1"/>
    <xf numFmtId="0" fontId="8" fillId="3" borderId="28" xfId="0" applyFont="1" applyFill="1" applyBorder="1" applyAlignment="1">
      <alignment horizontal="center"/>
    </xf>
    <xf numFmtId="0" fontId="8" fillId="3" borderId="30" xfId="0" applyFont="1" applyFill="1" applyBorder="1"/>
    <xf numFmtId="0" fontId="0" fillId="3" borderId="28" xfId="0" applyFill="1" applyBorder="1" applyAlignment="1">
      <alignment horizontal="center"/>
    </xf>
    <xf numFmtId="0" fontId="13" fillId="5" borderId="0" xfId="0" applyFont="1" applyFill="1"/>
    <xf numFmtId="0" fontId="13" fillId="3" borderId="0" xfId="0" applyFont="1" applyFill="1"/>
    <xf numFmtId="0" fontId="0" fillId="13" borderId="5" xfId="0" applyFill="1" applyBorder="1" applyAlignment="1">
      <alignment horizontal="left"/>
    </xf>
    <xf numFmtId="0" fontId="0" fillId="13" borderId="6" xfId="0" applyFill="1" applyBorder="1"/>
    <xf numFmtId="169" fontId="0" fillId="13" borderId="5" xfId="0" applyNumberFormat="1" applyFill="1" applyBorder="1" applyAlignment="1">
      <alignment horizontal="left"/>
    </xf>
    <xf numFmtId="3" fontId="0" fillId="13" borderId="0" xfId="0" applyNumberFormat="1" applyFill="1" applyAlignment="1">
      <alignment horizontal="left"/>
    </xf>
    <xf numFmtId="0" fontId="0" fillId="14" borderId="5" xfId="0" applyFill="1" applyBorder="1" applyAlignment="1">
      <alignment horizontal="left"/>
    </xf>
    <xf numFmtId="169" fontId="0" fillId="14" borderId="5" xfId="0" applyNumberFormat="1" applyFill="1" applyBorder="1" applyAlignment="1">
      <alignment horizontal="left"/>
    </xf>
    <xf numFmtId="0" fontId="0" fillId="14" borderId="5" xfId="0" applyFill="1" applyBorder="1"/>
    <xf numFmtId="49" fontId="0" fillId="3" borderId="0" xfId="0" applyNumberFormat="1" applyFill="1"/>
    <xf numFmtId="0" fontId="0" fillId="2" borderId="5" xfId="0" applyFill="1" applyBorder="1" applyAlignment="1">
      <alignment horizontal="left"/>
    </xf>
    <xf numFmtId="0" fontId="8" fillId="15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14" fillId="1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9" borderId="10" xfId="0" applyNumberFormat="1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3" borderId="0" xfId="0" applyNumberFormat="1" applyFill="1"/>
    <xf numFmtId="0" fontId="0" fillId="3" borderId="31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32" xfId="0" applyFill="1" applyBorder="1" applyAlignment="1">
      <alignment horizontal="left" vertical="center"/>
    </xf>
    <xf numFmtId="0" fontId="0" fillId="4" borderId="1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0" fontId="7" fillId="4" borderId="17" xfId="0" applyFont="1" applyFill="1" applyBorder="1" applyAlignment="1">
      <alignment horizontal="center" vertical="center" wrapText="1"/>
    </xf>
    <xf numFmtId="0" fontId="15" fillId="4" borderId="17" xfId="0" applyFont="1" applyFill="1" applyBorder="1"/>
    <xf numFmtId="0" fontId="0" fillId="5" borderId="34" xfId="0" applyFill="1" applyBorder="1" applyAlignment="1">
      <alignment horizontal="left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49" fontId="0" fillId="2" borderId="0" xfId="0" applyNumberFormat="1" applyFill="1"/>
    <xf numFmtId="0" fontId="0" fillId="3" borderId="9" xfId="0" applyFill="1" applyBorder="1" applyAlignment="1">
      <alignment horizontal="left" vertical="center"/>
    </xf>
    <xf numFmtId="0" fontId="16" fillId="5" borderId="0" xfId="0" applyFont="1" applyFill="1"/>
    <xf numFmtId="0" fontId="17" fillId="2" borderId="0" xfId="0" applyFont="1" applyFill="1"/>
    <xf numFmtId="0" fontId="8" fillId="2" borderId="0" xfId="0" applyFont="1" applyFill="1"/>
    <xf numFmtId="0" fontId="17" fillId="15" borderId="0" xfId="0" applyFont="1" applyFill="1" applyAlignment="1">
      <alignment horizontal="center" vertical="center"/>
    </xf>
    <xf numFmtId="0" fontId="17" fillId="3" borderId="0" xfId="0" applyFont="1" applyFill="1"/>
    <xf numFmtId="0" fontId="17" fillId="5" borderId="0" xfId="0" applyFont="1" applyFill="1"/>
    <xf numFmtId="169" fontId="0" fillId="16" borderId="5" xfId="0" applyNumberFormat="1" applyFill="1" applyBorder="1" applyAlignment="1">
      <alignment horizontal="center"/>
    </xf>
    <xf numFmtId="169" fontId="0" fillId="5" borderId="7" xfId="0" applyNumberFormat="1" applyFill="1" applyBorder="1" applyAlignment="1">
      <alignment horizontal="center"/>
    </xf>
    <xf numFmtId="169" fontId="0" fillId="8" borderId="7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0" fontId="0" fillId="17" borderId="0" xfId="0" applyFill="1"/>
    <xf numFmtId="0" fontId="0" fillId="18" borderId="5" xfId="0" applyFill="1" applyBorder="1" applyAlignment="1">
      <alignment horizontal="left" vertical="center" wrapText="1"/>
    </xf>
    <xf numFmtId="0" fontId="0" fillId="18" borderId="5" xfId="0" applyFill="1" applyBorder="1" applyAlignment="1">
      <alignment horizontal="left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 applyAlignment="1">
      <alignment vertical="center" wrapText="1"/>
    </xf>
    <xf numFmtId="0" fontId="0" fillId="18" borderId="5" xfId="0" applyFill="1" applyBorder="1" applyAlignment="1">
      <alignment vertical="center"/>
    </xf>
    <xf numFmtId="0" fontId="0" fillId="18" borderId="5" xfId="0" applyFill="1" applyBorder="1" applyAlignment="1">
      <alignment horizontal="center"/>
    </xf>
    <xf numFmtId="0" fontId="0" fillId="18" borderId="5" xfId="0" applyFill="1" applyBorder="1" applyAlignment="1">
      <alignment horizontal="left"/>
    </xf>
    <xf numFmtId="0" fontId="0" fillId="17" borderId="5" xfId="0" applyFill="1" applyBorder="1"/>
    <xf numFmtId="0" fontId="8" fillId="10" borderId="5" xfId="0" applyFont="1" applyFill="1" applyBorder="1"/>
    <xf numFmtId="0" fontId="8" fillId="10" borderId="5" xfId="0" applyFont="1" applyFill="1" applyBorder="1" applyAlignment="1">
      <alignment horizontal="center"/>
    </xf>
    <xf numFmtId="6" fontId="0" fillId="5" borderId="0" xfId="0" applyNumberFormat="1" applyFill="1"/>
    <xf numFmtId="6" fontId="8" fillId="2" borderId="5" xfId="0" applyNumberFormat="1" applyFont="1" applyFill="1" applyBorder="1" applyAlignment="1">
      <alignment horizontal="center"/>
    </xf>
    <xf numFmtId="6" fontId="0" fillId="5" borderId="5" xfId="0" applyNumberFormat="1" applyFill="1" applyBorder="1"/>
    <xf numFmtId="6" fontId="0" fillId="2" borderId="0" xfId="0" applyNumberFormat="1" applyFill="1"/>
    <xf numFmtId="6" fontId="0" fillId="5" borderId="5" xfId="0" applyNumberFormat="1" applyFill="1" applyBorder="1" applyAlignment="1">
      <alignment horizontal="center"/>
    </xf>
    <xf numFmtId="6" fontId="0" fillId="5" borderId="0" xfId="0" applyNumberFormat="1" applyFill="1" applyAlignment="1">
      <alignment horizontal="center"/>
    </xf>
    <xf numFmtId="6" fontId="0" fillId="2" borderId="0" xfId="0" applyNumberFormat="1" applyFill="1" applyAlignment="1">
      <alignment horizontal="center"/>
    </xf>
    <xf numFmtId="176" fontId="0" fillId="3" borderId="4" xfId="0" applyNumberFormat="1" applyFill="1" applyBorder="1"/>
    <xf numFmtId="176" fontId="0" fillId="3" borderId="5" xfId="0" applyNumberFormat="1" applyFill="1" applyBorder="1"/>
    <xf numFmtId="176" fontId="0" fillId="3" borderId="10" xfId="0" applyNumberFormat="1" applyFill="1" applyBorder="1"/>
    <xf numFmtId="176" fontId="8" fillId="3" borderId="0" xfId="0" applyNumberFormat="1" applyFont="1" applyFill="1"/>
    <xf numFmtId="0" fontId="8" fillId="7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19" fillId="19" borderId="5" xfId="0" applyFont="1" applyFill="1" applyBorder="1" applyAlignment="1">
      <alignment horizontal="center" vertical="center" wrapText="1"/>
    </xf>
    <xf numFmtId="170" fontId="19" fillId="19" borderId="5" xfId="0" applyNumberFormat="1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center" vertical="top"/>
    </xf>
    <xf numFmtId="0" fontId="0" fillId="5" borderId="5" xfId="0" applyFill="1" applyBorder="1" applyAlignment="1">
      <alignment vertical="center"/>
    </xf>
    <xf numFmtId="0" fontId="20" fillId="19" borderId="5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0" fillId="4" borderId="17" xfId="0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9" fontId="0" fillId="21" borderId="5" xfId="0" applyNumberFormat="1" applyFill="1" applyBorder="1" applyAlignment="1">
      <alignment horizontal="center"/>
    </xf>
    <xf numFmtId="165" fontId="0" fillId="21" borderId="23" xfId="0" applyNumberFormat="1" applyFill="1" applyBorder="1" applyAlignment="1">
      <alignment horizontal="center"/>
    </xf>
    <xf numFmtId="2" fontId="0" fillId="21" borderId="5" xfId="0" applyNumberFormat="1" applyFill="1" applyBorder="1" applyAlignment="1">
      <alignment horizontal="center"/>
    </xf>
    <xf numFmtId="2" fontId="0" fillId="21" borderId="40" xfId="0" applyNumberFormat="1" applyFill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165" fontId="0" fillId="5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65" fontId="0" fillId="13" borderId="5" xfId="0" applyNumberFormat="1" applyFill="1" applyBorder="1" applyAlignment="1">
      <alignment horizontal="left"/>
    </xf>
    <xf numFmtId="165" fontId="8" fillId="3" borderId="5" xfId="0" applyNumberFormat="1" applyFont="1" applyFill="1" applyBorder="1" applyAlignment="1">
      <alignment horizontal="center"/>
    </xf>
    <xf numFmtId="169" fontId="8" fillId="3" borderId="0" xfId="0" applyNumberFormat="1" applyFont="1" applyFill="1" applyAlignment="1">
      <alignment horizontal="center"/>
    </xf>
    <xf numFmtId="177" fontId="0" fillId="10" borderId="10" xfId="0" applyNumberFormat="1" applyFill="1" applyBorder="1"/>
    <xf numFmtId="177" fontId="0" fillId="10" borderId="10" xfId="0" applyNumberFormat="1" applyFill="1" applyBorder="1" applyAlignment="1">
      <alignment horizontal="center"/>
    </xf>
    <xf numFmtId="177" fontId="0" fillId="3" borderId="16" xfId="0" applyNumberFormat="1" applyFill="1" applyBorder="1"/>
    <xf numFmtId="177" fontId="0" fillId="3" borderId="5" xfId="0" applyNumberFormat="1" applyFill="1" applyBorder="1"/>
    <xf numFmtId="177" fontId="0" fillId="3" borderId="10" xfId="0" applyNumberFormat="1" applyFill="1" applyBorder="1"/>
    <xf numFmtId="177" fontId="8" fillId="3" borderId="16" xfId="0" applyNumberFormat="1" applyFont="1" applyFill="1" applyBorder="1"/>
    <xf numFmtId="177" fontId="0" fillId="3" borderId="0" xfId="0" applyNumberFormat="1" applyFill="1"/>
    <xf numFmtId="165" fontId="0" fillId="10" borderId="10" xfId="0" applyNumberFormat="1" applyFill="1" applyBorder="1" applyAlignment="1">
      <alignment horizontal="center"/>
    </xf>
    <xf numFmtId="165" fontId="0" fillId="3" borderId="16" xfId="0" applyNumberFormat="1" applyFill="1" applyBorder="1"/>
    <xf numFmtId="165" fontId="8" fillId="3" borderId="16" xfId="0" applyNumberFormat="1" applyFont="1" applyFill="1" applyBorder="1"/>
    <xf numFmtId="169" fontId="0" fillId="21" borderId="7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left" vertical="center"/>
    </xf>
    <xf numFmtId="0" fontId="0" fillId="15" borderId="0" xfId="0" applyFill="1"/>
    <xf numFmtId="169" fontId="0" fillId="2" borderId="0" xfId="0" applyNumberFormat="1" applyFill="1" applyAlignment="1">
      <alignment horizontal="center"/>
    </xf>
    <xf numFmtId="0" fontId="8" fillId="15" borderId="0" xfId="0" applyFont="1" applyFill="1"/>
    <xf numFmtId="0" fontId="0" fillId="3" borderId="41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4" fontId="0" fillId="2" borderId="5" xfId="0" applyNumberFormat="1" applyFill="1" applyBorder="1"/>
    <xf numFmtId="0" fontId="0" fillId="3" borderId="2" xfId="0" applyFill="1" applyBorder="1" applyAlignment="1">
      <alignment horizontal="left"/>
    </xf>
    <xf numFmtId="0" fontId="0" fillId="5" borderId="7" xfId="0" applyFill="1" applyBorder="1"/>
    <xf numFmtId="0" fontId="14" fillId="3" borderId="42" xfId="0" applyFont="1" applyFill="1" applyBorder="1" applyAlignment="1">
      <alignment horizontal="center" vertical="top"/>
    </xf>
    <xf numFmtId="0" fontId="0" fillId="5" borderId="42" xfId="0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2" fontId="12" fillId="2" borderId="0" xfId="0" applyNumberFormat="1" applyFont="1" applyFill="1" applyAlignment="1">
      <alignment horizontal="left" vertical="top" wrapText="1"/>
    </xf>
    <xf numFmtId="0" fontId="0" fillId="2" borderId="6" xfId="0" applyFill="1" applyBorder="1" applyAlignment="1">
      <alignment horizontal="left"/>
    </xf>
    <xf numFmtId="2" fontId="12" fillId="2" borderId="9" xfId="0" applyNumberFormat="1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9" xfId="0" applyFill="1" applyBorder="1" applyAlignment="1">
      <alignment horizontal="left"/>
    </xf>
    <xf numFmtId="2" fontId="12" fillId="2" borderId="5" xfId="0" applyNumberFormat="1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2" fontId="12" fillId="3" borderId="5" xfId="0" applyNumberFormat="1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/>
    </xf>
    <xf numFmtId="0" fontId="0" fillId="3" borderId="6" xfId="0" applyFill="1" applyBorder="1" applyAlignment="1">
      <alignment horizontal="left" wrapText="1"/>
    </xf>
    <xf numFmtId="0" fontId="0" fillId="5" borderId="7" xfId="0" applyFill="1" applyBorder="1" applyAlignment="1">
      <alignment horizontal="left"/>
    </xf>
    <xf numFmtId="172" fontId="8" fillId="3" borderId="16" xfId="0" applyNumberFormat="1" applyFont="1" applyFill="1" applyBorder="1" applyAlignment="1">
      <alignment horizontal="left"/>
    </xf>
    <xf numFmtId="0" fontId="14" fillId="3" borderId="0" xfId="0" applyFont="1" applyFill="1" applyAlignment="1">
      <alignment horizontal="left" vertical="top"/>
    </xf>
    <xf numFmtId="0" fontId="0" fillId="5" borderId="18" xfId="0" applyFill="1" applyBorder="1" applyAlignment="1">
      <alignment horizontal="left"/>
    </xf>
    <xf numFmtId="49" fontId="22" fillId="3" borderId="43" xfId="0" applyNumberFormat="1" applyFont="1" applyFill="1" applyBorder="1" applyAlignment="1">
      <alignment horizontal="left"/>
    </xf>
    <xf numFmtId="49" fontId="14" fillId="2" borderId="44" xfId="0" applyNumberFormat="1" applyFont="1" applyFill="1" applyBorder="1" applyAlignment="1">
      <alignment horizontal="left" vertical="top" wrapText="1" indent="2"/>
    </xf>
    <xf numFmtId="49" fontId="14" fillId="3" borderId="44" xfId="0" applyNumberFormat="1" applyFont="1" applyFill="1" applyBorder="1" applyAlignment="1">
      <alignment horizontal="left" vertical="top" wrapText="1" indent="2"/>
    </xf>
    <xf numFmtId="49" fontId="14" fillId="3" borderId="45" xfId="0" applyNumberFormat="1" applyFont="1" applyFill="1" applyBorder="1" applyAlignment="1">
      <alignment horizontal="left" vertical="top" wrapText="1" indent="2"/>
    </xf>
    <xf numFmtId="49" fontId="8" fillId="5" borderId="0" xfId="0" applyNumberFormat="1" applyFont="1" applyFill="1" applyAlignment="1">
      <alignment horizontal="left"/>
    </xf>
    <xf numFmtId="0" fontId="8" fillId="15" borderId="0" xfId="0" applyFont="1" applyFill="1" applyAlignment="1">
      <alignment horizontal="center"/>
    </xf>
    <xf numFmtId="165" fontId="23" fillId="3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" fontId="8" fillId="2" borderId="5" xfId="0" applyNumberFormat="1" applyFon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0" fontId="17" fillId="7" borderId="5" xfId="0" applyFont="1" applyFill="1" applyBorder="1" applyAlignment="1">
      <alignment horizontal="center"/>
    </xf>
    <xf numFmtId="4" fontId="0" fillId="3" borderId="33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4" fontId="0" fillId="22" borderId="0" xfId="0" applyNumberFormat="1" applyFill="1" applyAlignment="1">
      <alignment horizontal="center"/>
    </xf>
    <xf numFmtId="4" fontId="0" fillId="5" borderId="26" xfId="0" applyNumberFormat="1" applyFill="1" applyBorder="1" applyAlignment="1">
      <alignment horizontal="center"/>
    </xf>
    <xf numFmtId="0" fontId="0" fillId="5" borderId="26" xfId="0" applyFill="1" applyBorder="1"/>
    <xf numFmtId="169" fontId="0" fillId="22" borderId="5" xfId="0" applyNumberFormat="1" applyFill="1" applyBorder="1" applyAlignment="1">
      <alignment horizontal="center"/>
    </xf>
    <xf numFmtId="169" fontId="0" fillId="22" borderId="7" xfId="0" applyNumberFormat="1" applyFill="1" applyBorder="1" applyAlignment="1">
      <alignment horizontal="center"/>
    </xf>
    <xf numFmtId="169" fontId="0" fillId="23" borderId="7" xfId="0" applyNumberFormat="1" applyFill="1" applyBorder="1" applyAlignment="1">
      <alignment horizontal="center"/>
    </xf>
    <xf numFmtId="169" fontId="0" fillId="23" borderId="5" xfId="0" applyNumberFormat="1" applyFill="1" applyBorder="1" applyAlignment="1">
      <alignment horizontal="center"/>
    </xf>
    <xf numFmtId="0" fontId="0" fillId="17" borderId="5" xfId="0" applyFill="1" applyBorder="1" applyAlignment="1">
      <alignment horizontal="left"/>
    </xf>
    <xf numFmtId="0" fontId="0" fillId="18" borderId="5" xfId="0" applyFill="1" applyBorder="1"/>
    <xf numFmtId="169" fontId="0" fillId="20" borderId="5" xfId="0" applyNumberForma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46" xfId="0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0" fillId="11" borderId="6" xfId="0" applyFill="1" applyBorder="1" applyAlignment="1">
      <alignment horizontal="left"/>
    </xf>
    <xf numFmtId="0" fontId="8" fillId="21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4" fontId="10" fillId="5" borderId="0" xfId="0" applyNumberFormat="1" applyFont="1" applyFill="1" applyAlignment="1">
      <alignment horizontal="center"/>
    </xf>
    <xf numFmtId="0" fontId="0" fillId="3" borderId="42" xfId="0" applyFill="1" applyBorder="1" applyAlignment="1">
      <alignment horizontal="center"/>
    </xf>
    <xf numFmtId="4" fontId="8" fillId="3" borderId="42" xfId="0" applyNumberFormat="1" applyFont="1" applyFill="1" applyBorder="1" applyAlignment="1">
      <alignment horizontal="center"/>
    </xf>
    <xf numFmtId="169" fontId="8" fillId="3" borderId="42" xfId="0" applyNumberFormat="1" applyFont="1" applyFill="1" applyBorder="1" applyAlignment="1">
      <alignment horizontal="center"/>
    </xf>
    <xf numFmtId="169" fontId="0" fillId="3" borderId="42" xfId="0" applyNumberFormat="1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6" xfId="0" applyFill="1" applyBorder="1" applyAlignment="1">
      <alignment horizontal="left" vertical="center"/>
    </xf>
    <xf numFmtId="0" fontId="0" fillId="3" borderId="50" xfId="0" applyFill="1" applyBorder="1" applyAlignment="1">
      <alignment horizontal="left" vertical="center"/>
    </xf>
    <xf numFmtId="0" fontId="0" fillId="3" borderId="50" xfId="0" applyFill="1" applyBorder="1" applyAlignment="1">
      <alignment horizontal="left"/>
    </xf>
    <xf numFmtId="0" fontId="0" fillId="3" borderId="41" xfId="0" applyFill="1" applyBorder="1" applyAlignment="1">
      <alignment horizontal="left"/>
    </xf>
    <xf numFmtId="4" fontId="0" fillId="21" borderId="5" xfId="0" applyNumberFormat="1" applyFill="1" applyBorder="1" applyAlignment="1">
      <alignment horizontal="center"/>
    </xf>
    <xf numFmtId="4" fontId="0" fillId="21" borderId="40" xfId="0" applyNumberFormat="1" applyFill="1" applyBorder="1" applyAlignment="1">
      <alignment horizontal="center"/>
    </xf>
    <xf numFmtId="169" fontId="8" fillId="24" borderId="42" xfId="0" applyNumberFormat="1" applyFont="1" applyFill="1" applyBorder="1" applyAlignment="1">
      <alignment horizontal="center"/>
    </xf>
    <xf numFmtId="0" fontId="24" fillId="3" borderId="0" xfId="0" applyFont="1" applyFill="1"/>
    <xf numFmtId="0" fontId="0" fillId="2" borderId="1" xfId="0" applyFill="1" applyBorder="1"/>
    <xf numFmtId="0" fontId="22" fillId="6" borderId="51" xfId="0" applyFont="1" applyFill="1" applyBorder="1" applyAlignment="1">
      <alignment horizontal="center"/>
    </xf>
    <xf numFmtId="2" fontId="0" fillId="2" borderId="0" xfId="0" applyNumberFormat="1" applyFill="1"/>
    <xf numFmtId="4" fontId="8" fillId="5" borderId="5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right"/>
    </xf>
    <xf numFmtId="4" fontId="8" fillId="5" borderId="10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23" fillId="3" borderId="0" xfId="0" applyFont="1" applyFill="1" applyAlignment="1">
      <alignment horizontal="left"/>
    </xf>
    <xf numFmtId="0" fontId="10" fillId="25" borderId="5" xfId="0" applyFont="1" applyFill="1" applyBorder="1" applyAlignment="1">
      <alignment horizontal="left"/>
    </xf>
    <xf numFmtId="0" fontId="10" fillId="25" borderId="7" xfId="0" applyFont="1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21" borderId="7" xfId="0" applyFill="1" applyBorder="1" applyAlignment="1">
      <alignment horizontal="center"/>
    </xf>
    <xf numFmtId="0" fontId="5" fillId="5" borderId="0" xfId="0" applyFont="1" applyFill="1"/>
    <xf numFmtId="0" fontId="2" fillId="5" borderId="0" xfId="0" applyFont="1" applyFill="1"/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/>
    </xf>
    <xf numFmtId="0" fontId="5" fillId="5" borderId="0" xfId="0" applyFont="1" applyFill="1" applyAlignment="1" applyProtection="1">
      <alignment vertical="top" wrapText="1"/>
      <protection locked="0"/>
    </xf>
    <xf numFmtId="49" fontId="2" fillId="5" borderId="0" xfId="0" applyNumberFormat="1" applyFont="1" applyFill="1"/>
    <xf numFmtId="165" fontId="2" fillId="5" borderId="0" xfId="0" applyNumberFormat="1" applyFont="1" applyFill="1"/>
    <xf numFmtId="0" fontId="2" fillId="5" borderId="0" xfId="0" applyFont="1" applyFill="1" applyAlignment="1">
      <alignment horizontal="right" vertical="center"/>
    </xf>
    <xf numFmtId="6" fontId="2" fillId="5" borderId="0" xfId="0" applyNumberFormat="1" applyFont="1" applyFill="1"/>
    <xf numFmtId="14" fontId="5" fillId="5" borderId="0" xfId="0" applyNumberFormat="1" applyFont="1" applyFill="1"/>
    <xf numFmtId="177" fontId="2" fillId="5" borderId="0" xfId="0" applyNumberFormat="1" applyFont="1" applyFill="1" applyAlignment="1">
      <alignment horizontal="right" vertical="center"/>
    </xf>
    <xf numFmtId="178" fontId="2" fillId="5" borderId="0" xfId="0" applyNumberFormat="1" applyFont="1" applyFill="1"/>
    <xf numFmtId="165" fontId="2" fillId="5" borderId="0" xfId="0" applyNumberFormat="1" applyFont="1" applyFill="1" applyAlignment="1">
      <alignment horizontal="left"/>
    </xf>
    <xf numFmtId="169" fontId="8" fillId="23" borderId="0" xfId="0" applyNumberFormat="1" applyFont="1" applyFill="1" applyAlignment="1">
      <alignment horizontal="center"/>
    </xf>
    <xf numFmtId="0" fontId="0" fillId="26" borderId="38" xfId="0" applyFill="1" applyBorder="1" applyAlignment="1">
      <alignment horizontal="center"/>
    </xf>
    <xf numFmtId="0" fontId="8" fillId="24" borderId="38" xfId="0" applyFont="1" applyFill="1" applyBorder="1" applyAlignment="1">
      <alignment horizontal="center"/>
    </xf>
    <xf numFmtId="177" fontId="0" fillId="26" borderId="30" xfId="0" applyNumberFormat="1" applyFill="1" applyBorder="1" applyAlignment="1">
      <alignment horizontal="center"/>
    </xf>
    <xf numFmtId="0" fontId="0" fillId="26" borderId="30" xfId="0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0" fontId="8" fillId="26" borderId="5" xfId="0" applyFont="1" applyFill="1" applyBorder="1" applyAlignment="1">
      <alignment horizontal="center"/>
    </xf>
    <xf numFmtId="169" fontId="8" fillId="26" borderId="5" xfId="0" applyNumberFormat="1" applyFont="1" applyFill="1" applyBorder="1" applyAlignment="1">
      <alignment horizontal="center"/>
    </xf>
    <xf numFmtId="0" fontId="8" fillId="26" borderId="30" xfId="0" applyFont="1" applyFill="1" applyBorder="1" applyAlignment="1">
      <alignment horizontal="center"/>
    </xf>
    <xf numFmtId="0" fontId="8" fillId="26" borderId="28" xfId="0" applyFont="1" applyFill="1" applyBorder="1" applyAlignment="1">
      <alignment horizontal="center"/>
    </xf>
    <xf numFmtId="0" fontId="8" fillId="26" borderId="29" xfId="0" applyFon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24" xfId="0" applyFill="1" applyBorder="1" applyAlignment="1">
      <alignment horizontal="center"/>
    </xf>
    <xf numFmtId="169" fontId="0" fillId="26" borderId="23" xfId="0" applyNumberFormat="1" applyFill="1" applyBorder="1" applyAlignment="1">
      <alignment horizontal="center"/>
    </xf>
    <xf numFmtId="165" fontId="0" fillId="26" borderId="23" xfId="0" applyNumberForma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10" borderId="0" xfId="0" applyFont="1" applyFill="1" applyAlignment="1">
      <alignment horizontal="center"/>
    </xf>
    <xf numFmtId="0" fontId="0" fillId="18" borderId="20" xfId="0" applyFill="1" applyBorder="1" applyAlignment="1">
      <alignment horizontal="center"/>
    </xf>
    <xf numFmtId="49" fontId="0" fillId="18" borderId="20" xfId="0" applyNumberFormat="1" applyFill="1" applyBorder="1" applyAlignment="1">
      <alignment horizontal="center"/>
    </xf>
    <xf numFmtId="0" fontId="8" fillId="18" borderId="20" xfId="0" applyFont="1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49" fontId="0" fillId="17" borderId="20" xfId="0" applyNumberFormat="1" applyFill="1" applyBorder="1" applyAlignment="1">
      <alignment horizontal="center"/>
    </xf>
    <xf numFmtId="0" fontId="0" fillId="13" borderId="6" xfId="0" applyFill="1" applyBorder="1" applyAlignment="1">
      <alignment horizontal="left"/>
    </xf>
    <xf numFmtId="0" fontId="0" fillId="27" borderId="5" xfId="0" applyFill="1" applyBorder="1"/>
    <xf numFmtId="0" fontId="0" fillId="28" borderId="5" xfId="0" applyFill="1" applyBorder="1"/>
    <xf numFmtId="179" fontId="8" fillId="2" borderId="5" xfId="0" applyNumberFormat="1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180" fontId="0" fillId="2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79" fontId="0" fillId="2" borderId="5" xfId="0" applyNumberForma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center"/>
    </xf>
    <xf numFmtId="0" fontId="25" fillId="25" borderId="0" xfId="0" applyFont="1" applyFill="1" applyAlignment="1">
      <alignment horizontal="right"/>
    </xf>
    <xf numFmtId="14" fontId="0" fillId="25" borderId="34" xfId="0" applyNumberFormat="1" applyFill="1" applyBorder="1" applyAlignment="1">
      <alignment horizontal="right"/>
    </xf>
    <xf numFmtId="0" fontId="0" fillId="25" borderId="0" xfId="0" applyFill="1"/>
    <xf numFmtId="0" fontId="0" fillId="25" borderId="34" xfId="0" applyFill="1" applyBorder="1" applyAlignment="1">
      <alignment horizontal="right"/>
    </xf>
    <xf numFmtId="0" fontId="0" fillId="29" borderId="34" xfId="0" applyFill="1" applyBorder="1"/>
    <xf numFmtId="0" fontId="0" fillId="25" borderId="0" xfId="0" applyFill="1" applyAlignment="1">
      <alignment horizontal="right"/>
    </xf>
    <xf numFmtId="0" fontId="0" fillId="30" borderId="34" xfId="0" applyFill="1" applyBorder="1" applyAlignment="1">
      <alignment horizontal="right"/>
    </xf>
    <xf numFmtId="0" fontId="25" fillId="31" borderId="0" xfId="0" applyFont="1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25" borderId="34" xfId="0" applyFill="1" applyBorder="1"/>
    <xf numFmtId="0" fontId="0" fillId="30" borderId="34" xfId="0" applyFill="1" applyBorder="1"/>
    <xf numFmtId="0" fontId="0" fillId="31" borderId="34" xfId="0" applyFill="1" applyBorder="1" applyAlignment="1">
      <alignment horizontal="center"/>
    </xf>
    <xf numFmtId="0" fontId="0" fillId="24" borderId="0" xfId="0" applyFill="1"/>
    <xf numFmtId="0" fontId="8" fillId="6" borderId="7" xfId="0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2" fontId="8" fillId="6" borderId="10" xfId="0" applyNumberFormat="1" applyFont="1" applyFill="1" applyBorder="1" applyAlignment="1">
      <alignment horizontal="center" vertical="center"/>
    </xf>
    <xf numFmtId="0" fontId="0" fillId="3" borderId="52" xfId="0" applyFill="1" applyBorder="1"/>
    <xf numFmtId="2" fontId="0" fillId="3" borderId="53" xfId="0" applyNumberForma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0" fillId="4" borderId="17" xfId="0" applyFill="1" applyBorder="1" applyAlignment="1">
      <alignment horizontal="left" vertical="center"/>
    </xf>
    <xf numFmtId="0" fontId="15" fillId="4" borderId="17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justify" vertical="center" wrapText="1"/>
    </xf>
    <xf numFmtId="181" fontId="0" fillId="28" borderId="5" xfId="0" applyNumberFormat="1" applyFill="1" applyBorder="1"/>
    <xf numFmtId="4" fontId="0" fillId="32" borderId="29" xfId="0" applyNumberFormat="1" applyFill="1" applyBorder="1" applyAlignment="1">
      <alignment horizontal="center"/>
    </xf>
    <xf numFmtId="169" fontId="0" fillId="32" borderId="40" xfId="0" applyNumberFormat="1" applyFill="1" applyBorder="1" applyAlignment="1">
      <alignment horizontal="center"/>
    </xf>
    <xf numFmtId="4" fontId="0" fillId="32" borderId="5" xfId="0" applyNumberFormat="1" applyFill="1" applyBorder="1" applyAlignment="1">
      <alignment horizontal="center"/>
    </xf>
    <xf numFmtId="169" fontId="0" fillId="5" borderId="0" xfId="0" applyNumberFormat="1" applyFill="1" applyAlignment="1">
      <alignment horizontal="center"/>
    </xf>
    <xf numFmtId="0" fontId="0" fillId="32" borderId="34" xfId="0" applyFill="1" applyBorder="1" applyAlignment="1">
      <alignment horizontal="center"/>
    </xf>
    <xf numFmtId="0" fontId="8" fillId="33" borderId="38" xfId="0" applyFont="1" applyFill="1" applyBorder="1" applyAlignment="1">
      <alignment horizontal="center"/>
    </xf>
    <xf numFmtId="0" fontId="8" fillId="32" borderId="38" xfId="0" applyFont="1" applyFill="1" applyBorder="1" applyAlignment="1">
      <alignment horizontal="center"/>
    </xf>
    <xf numFmtId="177" fontId="8" fillId="32" borderId="54" xfId="0" applyNumberFormat="1" applyFont="1" applyFill="1" applyBorder="1" applyAlignment="1">
      <alignment horizontal="center"/>
    </xf>
    <xf numFmtId="2" fontId="0" fillId="32" borderId="5" xfId="0" applyNumberFormat="1" applyFill="1" applyBorder="1" applyAlignment="1">
      <alignment horizontal="center"/>
    </xf>
    <xf numFmtId="2" fontId="0" fillId="32" borderId="40" xfId="0" applyNumberFormat="1" applyFill="1" applyBorder="1" applyAlignment="1">
      <alignment horizontal="center"/>
    </xf>
    <xf numFmtId="169" fontId="0" fillId="32" borderId="30" xfId="0" applyNumberFormat="1" applyFill="1" applyBorder="1" applyAlignment="1">
      <alignment horizontal="center"/>
    </xf>
    <xf numFmtId="169" fontId="0" fillId="32" borderId="54" xfId="0" applyNumberFormat="1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24" xfId="0" applyFill="1" applyBorder="1" applyAlignment="1">
      <alignment horizontal="center"/>
    </xf>
    <xf numFmtId="165" fontId="0" fillId="32" borderId="0" xfId="0" applyNumberFormat="1" applyFill="1" applyAlignment="1">
      <alignment horizontal="center"/>
    </xf>
    <xf numFmtId="0" fontId="8" fillId="32" borderId="0" xfId="0" applyFont="1" applyFill="1" applyAlignment="1">
      <alignment horizontal="left"/>
    </xf>
    <xf numFmtId="0" fontId="8" fillId="32" borderId="0" xfId="0" applyFont="1" applyFill="1"/>
    <xf numFmtId="169" fontId="0" fillId="32" borderId="24" xfId="0" applyNumberFormat="1" applyFill="1" applyBorder="1" applyAlignment="1">
      <alignment horizontal="center"/>
    </xf>
    <xf numFmtId="4" fontId="0" fillId="32" borderId="24" xfId="0" applyNumberFormat="1" applyFill="1" applyBorder="1" applyAlignment="1">
      <alignment horizontal="center"/>
    </xf>
    <xf numFmtId="0" fontId="0" fillId="32" borderId="40" xfId="0" applyFill="1" applyBorder="1" applyAlignment="1">
      <alignment horizontal="center"/>
    </xf>
    <xf numFmtId="172" fontId="0" fillId="5" borderId="5" xfId="0" applyNumberFormat="1" applyFill="1" applyBorder="1" applyAlignment="1">
      <alignment horizontal="center" vertical="center"/>
    </xf>
    <xf numFmtId="182" fontId="0" fillId="5" borderId="5" xfId="0" applyNumberFormat="1" applyFill="1" applyBorder="1" applyAlignment="1">
      <alignment horizontal="center" vertical="center"/>
    </xf>
    <xf numFmtId="183" fontId="0" fillId="5" borderId="5" xfId="0" applyNumberFormat="1" applyFill="1" applyBorder="1" applyAlignment="1">
      <alignment horizontal="center" vertical="center"/>
    </xf>
    <xf numFmtId="170" fontId="0" fillId="5" borderId="5" xfId="0" applyNumberFormat="1" applyFill="1" applyBorder="1" applyAlignment="1">
      <alignment horizontal="center" vertical="center"/>
    </xf>
    <xf numFmtId="0" fontId="0" fillId="18" borderId="7" xfId="0" applyFill="1" applyBorder="1" applyAlignment="1">
      <alignment horizontal="left" vertical="center"/>
    </xf>
    <xf numFmtId="0" fontId="0" fillId="18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left"/>
    </xf>
    <xf numFmtId="0" fontId="0" fillId="17" borderId="55" xfId="0" applyFill="1" applyBorder="1" applyAlignment="1">
      <alignment horizontal="center"/>
    </xf>
    <xf numFmtId="49" fontId="0" fillId="17" borderId="55" xfId="0" applyNumberFormat="1" applyFill="1" applyBorder="1" applyAlignment="1">
      <alignment horizontal="center"/>
    </xf>
    <xf numFmtId="0" fontId="0" fillId="17" borderId="20" xfId="0" applyFill="1" applyBorder="1"/>
    <xf numFmtId="0" fontId="8" fillId="34" borderId="5" xfId="0" applyFont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4" fontId="11" fillId="3" borderId="2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5" borderId="5" xfId="0" applyFill="1" applyBorder="1" applyAlignment="1">
      <alignment horizontal="center" wrapText="1"/>
    </xf>
    <xf numFmtId="169" fontId="0" fillId="3" borderId="0" xfId="0" applyNumberFormat="1" applyFill="1"/>
    <xf numFmtId="0" fontId="0" fillId="2" borderId="0" xfId="0" applyFill="1" applyAlignment="1">
      <alignment horizontal="right"/>
    </xf>
    <xf numFmtId="0" fontId="8" fillId="35" borderId="0" xfId="0" applyFont="1" applyFill="1" applyAlignment="1">
      <alignment horizontal="right"/>
    </xf>
    <xf numFmtId="0" fontId="0" fillId="35" borderId="0" xfId="0" applyFill="1" applyAlignment="1">
      <alignment horizontal="left"/>
    </xf>
    <xf numFmtId="0" fontId="0" fillId="2" borderId="56" xfId="0" applyFill="1" applyBorder="1" applyAlignment="1">
      <alignment horizontal="right"/>
    </xf>
    <xf numFmtId="0" fontId="8" fillId="2" borderId="56" xfId="0" applyFont="1" applyFill="1" applyBorder="1" applyAlignment="1">
      <alignment horizontal="right"/>
    </xf>
    <xf numFmtId="0" fontId="10" fillId="2" borderId="56" xfId="0" applyFont="1" applyFill="1" applyBorder="1" applyAlignment="1">
      <alignment horizontal="right"/>
    </xf>
    <xf numFmtId="167" fontId="10" fillId="3" borderId="0" xfId="0" applyNumberFormat="1" applyFont="1" applyFill="1" applyAlignment="1">
      <alignment horizontal="center"/>
    </xf>
    <xf numFmtId="0" fontId="8" fillId="3" borderId="20" xfId="0" applyFont="1" applyFill="1" applyBorder="1"/>
    <xf numFmtId="0" fontId="8" fillId="3" borderId="20" xfId="0" applyFont="1" applyFill="1" applyBorder="1" applyAlignment="1">
      <alignment vertical="center"/>
    </xf>
    <xf numFmtId="0" fontId="0" fillId="3" borderId="20" xfId="0" applyFill="1" applyBorder="1"/>
    <xf numFmtId="0" fontId="8" fillId="3" borderId="20" xfId="0" applyFont="1" applyFill="1" applyBorder="1" applyAlignment="1">
      <alignment horizontal="left" vertical="center"/>
    </xf>
    <xf numFmtId="0" fontId="0" fillId="17" borderId="20" xfId="0" applyFill="1" applyBorder="1" applyAlignment="1">
      <alignment horizontal="right"/>
    </xf>
    <xf numFmtId="184" fontId="0" fillId="13" borderId="5" xfId="0" applyNumberFormat="1" applyFill="1" applyBorder="1" applyAlignment="1">
      <alignment horizontal="left"/>
    </xf>
    <xf numFmtId="0" fontId="27" fillId="3" borderId="12" xfId="0" applyFont="1" applyFill="1" applyBorder="1" applyAlignment="1">
      <alignment vertical="center" wrapText="1"/>
    </xf>
    <xf numFmtId="14" fontId="27" fillId="3" borderId="12" xfId="0" applyNumberFormat="1" applyFont="1" applyFill="1" applyBorder="1" applyAlignment="1">
      <alignment vertical="center" wrapText="1"/>
    </xf>
    <xf numFmtId="0" fontId="17" fillId="3" borderId="20" xfId="0" applyFont="1" applyFill="1" applyBorder="1"/>
    <xf numFmtId="0" fontId="0" fillId="11" borderId="5" xfId="0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8" fillId="11" borderId="30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30" borderId="57" xfId="0" applyFill="1" applyBorder="1"/>
    <xf numFmtId="0" fontId="8" fillId="35" borderId="58" xfId="0" applyFont="1" applyFill="1" applyBorder="1" applyAlignment="1">
      <alignment horizontal="center"/>
    </xf>
    <xf numFmtId="0" fontId="8" fillId="35" borderId="58" xfId="0" applyFont="1" applyFill="1" applyBorder="1"/>
    <xf numFmtId="0" fontId="0" fillId="30" borderId="59" xfId="0" applyFill="1" applyBorder="1" applyAlignment="1">
      <alignment horizontal="center"/>
    </xf>
    <xf numFmtId="0" fontId="10" fillId="25" borderId="34" xfId="0" applyFont="1" applyFill="1" applyBorder="1" applyAlignment="1">
      <alignment horizontal="right"/>
    </xf>
    <xf numFmtId="0" fontId="10" fillId="25" borderId="0" xfId="0" applyFont="1" applyFill="1" applyAlignment="1">
      <alignment horizontal="left"/>
    </xf>
    <xf numFmtId="0" fontId="10" fillId="25" borderId="34" xfId="0" applyFont="1" applyFill="1" applyBorder="1"/>
    <xf numFmtId="165" fontId="0" fillId="36" borderId="5" xfId="0" applyNumberFormat="1" applyFill="1" applyBorder="1" applyAlignment="1">
      <alignment horizontal="left"/>
    </xf>
    <xf numFmtId="0" fontId="28" fillId="3" borderId="0" xfId="0" applyFont="1" applyFill="1" applyAlignment="1">
      <alignment horizontal="center"/>
    </xf>
    <xf numFmtId="0" fontId="0" fillId="15" borderId="0" xfId="0" applyFill="1" applyAlignment="1">
      <alignment horizontal="left"/>
    </xf>
    <xf numFmtId="0" fontId="8" fillId="35" borderId="5" xfId="0" applyFont="1" applyFill="1" applyBorder="1" applyAlignment="1">
      <alignment horizontal="center"/>
    </xf>
    <xf numFmtId="0" fontId="22" fillId="37" borderId="51" xfId="0" applyFont="1" applyFill="1" applyBorder="1" applyAlignment="1">
      <alignment horizontal="center"/>
    </xf>
    <xf numFmtId="0" fontId="8" fillId="37" borderId="14" xfId="0" applyFont="1" applyFill="1" applyBorder="1" applyAlignment="1">
      <alignment horizontal="center"/>
    </xf>
    <xf numFmtId="1" fontId="8" fillId="37" borderId="14" xfId="0" applyNumberFormat="1" applyFont="1" applyFill="1" applyBorder="1" applyAlignment="1">
      <alignment horizontal="center"/>
    </xf>
    <xf numFmtId="170" fontId="8" fillId="37" borderId="14" xfId="0" applyNumberFormat="1" applyFont="1" applyFill="1" applyBorder="1" applyAlignment="1">
      <alignment horizontal="center"/>
    </xf>
    <xf numFmtId="0" fontId="8" fillId="37" borderId="60" xfId="0" applyFont="1" applyFill="1" applyBorder="1" applyAlignment="1">
      <alignment horizontal="center"/>
    </xf>
    <xf numFmtId="170" fontId="8" fillId="37" borderId="10" xfId="0" applyNumberFormat="1" applyFont="1" applyFill="1" applyBorder="1" applyAlignment="1">
      <alignment horizontal="center"/>
    </xf>
    <xf numFmtId="0" fontId="8" fillId="37" borderId="10" xfId="0" applyFont="1" applyFill="1" applyBorder="1" applyAlignment="1">
      <alignment horizontal="center"/>
    </xf>
    <xf numFmtId="14" fontId="8" fillId="37" borderId="10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center"/>
    </xf>
    <xf numFmtId="0" fontId="22" fillId="9" borderId="10" xfId="0" applyFont="1" applyFill="1" applyBorder="1" applyAlignment="1">
      <alignment horizontal="center"/>
    </xf>
    <xf numFmtId="0" fontId="29" fillId="6" borderId="0" xfId="0" applyFont="1" applyFill="1" applyAlignment="1">
      <alignment horizontal="center"/>
    </xf>
    <xf numFmtId="0" fontId="8" fillId="4" borderId="17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/>
    </xf>
    <xf numFmtId="0" fontId="31" fillId="5" borderId="0" xfId="0" applyFont="1" applyFill="1"/>
    <xf numFmtId="0" fontId="24" fillId="5" borderId="0" xfId="0" applyFont="1" applyFill="1"/>
    <xf numFmtId="0" fontId="30" fillId="5" borderId="0" xfId="0" applyFont="1" applyFill="1"/>
    <xf numFmtId="0" fontId="31" fillId="11" borderId="5" xfId="0" applyFont="1" applyFill="1" applyBorder="1" applyAlignment="1">
      <alignment vertical="center"/>
    </xf>
    <xf numFmtId="0" fontId="32" fillId="3" borderId="0" xfId="0" applyFont="1" applyFill="1"/>
    <xf numFmtId="0" fontId="30" fillId="3" borderId="0" xfId="0" applyFont="1" applyFill="1"/>
    <xf numFmtId="0" fontId="33" fillId="5" borderId="0" xfId="0" applyFont="1" applyFill="1"/>
    <xf numFmtId="0" fontId="34" fillId="37" borderId="51" xfId="0" applyFont="1" applyFill="1" applyBorder="1" applyAlignment="1">
      <alignment horizontal="center"/>
    </xf>
    <xf numFmtId="0" fontId="34" fillId="10" borderId="5" xfId="0" applyFont="1" applyFill="1" applyBorder="1"/>
    <xf numFmtId="0" fontId="34" fillId="2" borderId="5" xfId="0" applyFont="1" applyFill="1" applyBorder="1" applyAlignment="1">
      <alignment horizontal="left"/>
    </xf>
    <xf numFmtId="0" fontId="34" fillId="10" borderId="10" xfId="0" applyFont="1" applyFill="1" applyBorder="1"/>
    <xf numFmtId="0" fontId="34" fillId="5" borderId="0" xfId="0" applyFont="1" applyFill="1" applyAlignment="1">
      <alignment horizontal="center" vertical="center"/>
    </xf>
    <xf numFmtId="0" fontId="22" fillId="35" borderId="5" xfId="0" applyFont="1" applyFill="1" applyBorder="1" applyAlignment="1">
      <alignment horizontal="center"/>
    </xf>
    <xf numFmtId="0" fontId="30" fillId="12" borderId="0" xfId="0" applyFont="1" applyFill="1"/>
    <xf numFmtId="0" fontId="24" fillId="12" borderId="0" xfId="0" applyFont="1" applyFill="1"/>
    <xf numFmtId="0" fontId="17" fillId="12" borderId="0" xfId="0" applyFont="1" applyFill="1"/>
    <xf numFmtId="49" fontId="24" fillId="11" borderId="16" xfId="0" applyNumberFormat="1" applyFont="1" applyFill="1" applyBorder="1"/>
    <xf numFmtId="169" fontId="8" fillId="3" borderId="0" xfId="0" applyNumberFormat="1" applyFont="1" applyFill="1"/>
    <xf numFmtId="0" fontId="0" fillId="23" borderId="0" xfId="0" applyFill="1"/>
    <xf numFmtId="169" fontId="8" fillId="23" borderId="0" xfId="0" applyNumberFormat="1" applyFont="1" applyFill="1"/>
    <xf numFmtId="0" fontId="0" fillId="3" borderId="0" xfId="0" applyFill="1" applyAlignment="1">
      <alignment horizontal="right"/>
    </xf>
    <xf numFmtId="169" fontId="0" fillId="23" borderId="0" xfId="0" applyNumberFormat="1" applyFill="1"/>
    <xf numFmtId="3" fontId="0" fillId="2" borderId="5" xfId="0" applyNumberFormat="1" applyFill="1" applyBorder="1" applyAlignment="1">
      <alignment horizontal="center"/>
    </xf>
    <xf numFmtId="169" fontId="8" fillId="2" borderId="42" xfId="0" applyNumberFormat="1" applyFont="1" applyFill="1" applyBorder="1" applyAlignment="1">
      <alignment horizontal="center"/>
    </xf>
    <xf numFmtId="3" fontId="0" fillId="2" borderId="61" xfId="0" applyNumberFormat="1" applyFill="1" applyBorder="1" applyAlignment="1">
      <alignment horizontal="center"/>
    </xf>
    <xf numFmtId="3" fontId="1" fillId="23" borderId="61" xfId="0" applyNumberFormat="1" applyFont="1" applyFill="1" applyBorder="1" applyAlignment="1">
      <alignment horizontal="center"/>
    </xf>
    <xf numFmtId="3" fontId="1" fillId="23" borderId="5" xfId="0" applyNumberFormat="1" applyFont="1" applyFill="1" applyBorder="1" applyAlignment="1">
      <alignment horizontal="center"/>
    </xf>
    <xf numFmtId="169" fontId="1" fillId="23" borderId="0" xfId="0" applyNumberFormat="1" applyFont="1" applyFill="1"/>
    <xf numFmtId="0" fontId="8" fillId="3" borderId="4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6" fontId="8" fillId="5" borderId="0" xfId="0" applyNumberFormat="1" applyFont="1" applyFill="1" applyAlignment="1">
      <alignment horizontal="center"/>
    </xf>
    <xf numFmtId="0" fontId="6" fillId="3" borderId="8" xfId="0" applyFont="1" applyFill="1" applyBorder="1"/>
    <xf numFmtId="0" fontId="6" fillId="3" borderId="0" xfId="0" applyFont="1" applyFill="1" applyAlignment="1">
      <alignment horizontal="center" wrapText="1"/>
    </xf>
    <xf numFmtId="0" fontId="6" fillId="20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169" fontId="8" fillId="24" borderId="0" xfId="0" applyNumberFormat="1" applyFont="1" applyFill="1" applyAlignment="1">
      <alignment horizontal="center"/>
    </xf>
    <xf numFmtId="169" fontId="2" fillId="24" borderId="0" xfId="0" applyNumberFormat="1" applyFont="1" applyFill="1" applyAlignment="1">
      <alignment horizontal="center"/>
    </xf>
    <xf numFmtId="169" fontId="1" fillId="11" borderId="0" xfId="0" applyNumberFormat="1" applyFont="1" applyFill="1" applyAlignment="1">
      <alignment horizontal="center"/>
    </xf>
    <xf numFmtId="0" fontId="35" fillId="27" borderId="0" xfId="0" applyFont="1" applyFill="1"/>
    <xf numFmtId="0" fontId="35" fillId="27" borderId="0" xfId="0" applyFont="1" applyFill="1" applyAlignment="1">
      <alignment horizontal="left"/>
    </xf>
    <xf numFmtId="0" fontId="36" fillId="5" borderId="0" xfId="0" applyFont="1" applyFill="1"/>
    <xf numFmtId="0" fontId="36" fillId="38" borderId="0" xfId="0" applyFont="1" applyFill="1"/>
    <xf numFmtId="0" fontId="36" fillId="5" borderId="0" xfId="0" applyFont="1" applyFill="1" applyAlignment="1">
      <alignment horizontal="left"/>
    </xf>
    <xf numFmtId="0" fontId="37" fillId="39" borderId="0" xfId="0" applyFont="1" applyFill="1" applyAlignment="1">
      <alignment horizontal="center" vertical="center" wrapText="1"/>
    </xf>
    <xf numFmtId="0" fontId="38" fillId="39" borderId="0" xfId="0" applyFont="1" applyFill="1" applyAlignment="1">
      <alignment wrapText="1"/>
    </xf>
    <xf numFmtId="0" fontId="39" fillId="39" borderId="0" xfId="0" applyFont="1" applyFill="1"/>
    <xf numFmtId="0" fontId="40" fillId="39" borderId="0" xfId="0" applyFont="1" applyFill="1" applyAlignment="1">
      <alignment horizontal="right" vertical="center" wrapText="1"/>
    </xf>
    <xf numFmtId="2" fontId="41" fillId="39" borderId="62" xfId="0" applyNumberFormat="1" applyFont="1" applyFill="1" applyBorder="1" applyAlignment="1">
      <alignment horizontal="center" vertical="center" wrapText="1"/>
    </xf>
    <xf numFmtId="0" fontId="41" fillId="39" borderId="4" xfId="0" applyFont="1" applyFill="1" applyBorder="1" applyAlignment="1">
      <alignment horizontal="center" vertical="center" wrapText="1"/>
    </xf>
    <xf numFmtId="0" fontId="41" fillId="39" borderId="49" xfId="0" applyFont="1" applyFill="1" applyBorder="1" applyAlignment="1">
      <alignment horizontal="center" vertical="center" wrapText="1"/>
    </xf>
    <xf numFmtId="0" fontId="41" fillId="39" borderId="63" xfId="0" applyFont="1" applyFill="1" applyBorder="1" applyAlignment="1">
      <alignment horizontal="center" vertical="center" wrapText="1"/>
    </xf>
    <xf numFmtId="0" fontId="35" fillId="39" borderId="0" xfId="0" applyFont="1" applyFill="1" applyAlignment="1">
      <alignment horizontal="center" vertical="center" wrapText="1"/>
    </xf>
    <xf numFmtId="0" fontId="42" fillId="31" borderId="0" xfId="0" applyFont="1" applyFill="1" applyAlignment="1">
      <alignment horizontal="right" vertical="center" wrapText="1"/>
    </xf>
    <xf numFmtId="2" fontId="43" fillId="2" borderId="64" xfId="0" applyNumberFormat="1" applyFont="1" applyFill="1" applyBorder="1" applyAlignment="1">
      <alignment horizontal="right" vertical="center" wrapText="1"/>
    </xf>
    <xf numFmtId="0" fontId="43" fillId="2" borderId="5" xfId="0" applyFont="1" applyFill="1" applyBorder="1" applyAlignment="1">
      <alignment horizontal="right" vertical="center" wrapText="1"/>
    </xf>
    <xf numFmtId="0" fontId="43" fillId="2" borderId="6" xfId="0" applyFont="1" applyFill="1" applyBorder="1" applyAlignment="1">
      <alignment horizontal="right" vertical="center" wrapText="1"/>
    </xf>
    <xf numFmtId="0" fontId="43" fillId="2" borderId="65" xfId="0" applyFont="1" applyFill="1" applyBorder="1" applyAlignment="1">
      <alignment horizontal="right" vertical="center" wrapText="1"/>
    </xf>
    <xf numFmtId="0" fontId="43" fillId="2" borderId="0" xfId="0" applyFont="1" applyFill="1" applyAlignment="1">
      <alignment horizontal="right" vertical="center" wrapText="1"/>
    </xf>
    <xf numFmtId="0" fontId="44" fillId="31" borderId="0" xfId="0" applyFont="1" applyFill="1" applyAlignment="1">
      <alignment horizontal="right" vertical="center"/>
    </xf>
    <xf numFmtId="2" fontId="45" fillId="5" borderId="64" xfId="0" applyNumberFormat="1" applyFont="1" applyFill="1" applyBorder="1" applyAlignment="1">
      <alignment horizontal="right"/>
    </xf>
    <xf numFmtId="2" fontId="45" fillId="5" borderId="5" xfId="0" applyNumberFormat="1" applyFont="1" applyFill="1" applyBorder="1" applyAlignment="1">
      <alignment horizontal="right"/>
    </xf>
    <xf numFmtId="2" fontId="45" fillId="5" borderId="65" xfId="0" applyNumberFormat="1" applyFont="1" applyFill="1" applyBorder="1" applyAlignment="1">
      <alignment horizontal="right"/>
    </xf>
    <xf numFmtId="0" fontId="45" fillId="5" borderId="0" xfId="0" applyFont="1" applyFill="1" applyAlignment="1">
      <alignment horizontal="right"/>
    </xf>
    <xf numFmtId="0" fontId="42" fillId="31" borderId="0" xfId="0" applyFont="1" applyFill="1" applyAlignment="1">
      <alignment horizontal="right" vertical="center"/>
    </xf>
    <xf numFmtId="2" fontId="35" fillId="5" borderId="66" xfId="0" applyNumberFormat="1" applyFont="1" applyFill="1" applyBorder="1" applyAlignment="1">
      <alignment horizontal="right"/>
    </xf>
    <xf numFmtId="2" fontId="35" fillId="5" borderId="10" xfId="0" applyNumberFormat="1" applyFont="1" applyFill="1" applyBorder="1" applyAlignment="1">
      <alignment horizontal="right"/>
    </xf>
    <xf numFmtId="2" fontId="35" fillId="5" borderId="67" xfId="0" applyNumberFormat="1" applyFont="1" applyFill="1" applyBorder="1" applyAlignment="1">
      <alignment horizontal="right"/>
    </xf>
    <xf numFmtId="0" fontId="35" fillId="5" borderId="0" xfId="0" applyFont="1" applyFill="1" applyAlignment="1">
      <alignment horizontal="right"/>
    </xf>
    <xf numFmtId="0" fontId="46" fillId="31" borderId="0" xfId="0" applyFont="1" applyFill="1" applyAlignment="1">
      <alignment horizontal="right" shrinkToFit="1"/>
    </xf>
    <xf numFmtId="2" fontId="39" fillId="2" borderId="0" xfId="0" applyNumberFormat="1" applyFont="1" applyFill="1"/>
    <xf numFmtId="0" fontId="39" fillId="2" borderId="0" xfId="0" applyFont="1" applyFill="1"/>
    <xf numFmtId="7" fontId="39" fillId="2" borderId="0" xfId="0" applyNumberFormat="1" applyFont="1" applyFill="1"/>
    <xf numFmtId="7" fontId="47" fillId="2" borderId="0" xfId="0" applyNumberFormat="1" applyFont="1" applyFill="1"/>
    <xf numFmtId="0" fontId="39" fillId="5" borderId="0" xfId="0" applyFont="1" applyFill="1"/>
    <xf numFmtId="2" fontId="39" fillId="5" borderId="0" xfId="0" applyNumberFormat="1" applyFont="1" applyFill="1"/>
    <xf numFmtId="7" fontId="39" fillId="5" borderId="0" xfId="0" applyNumberFormat="1" applyFont="1" applyFill="1"/>
    <xf numFmtId="7" fontId="47" fillId="5" borderId="0" xfId="0" applyNumberFormat="1" applyFont="1" applyFill="1"/>
    <xf numFmtId="0" fontId="46" fillId="31" borderId="0" xfId="0" applyFont="1" applyFill="1" applyAlignment="1">
      <alignment horizontal="right"/>
    </xf>
    <xf numFmtId="0" fontId="40" fillId="40" borderId="0" xfId="0" applyFont="1" applyFill="1" applyAlignment="1">
      <alignment horizontal="right" vertical="center" wrapText="1"/>
    </xf>
    <xf numFmtId="2" fontId="41" fillId="40" borderId="62" xfId="0" applyNumberFormat="1" applyFont="1" applyFill="1" applyBorder="1" applyAlignment="1">
      <alignment horizontal="center" vertical="center" wrapText="1"/>
    </xf>
    <xf numFmtId="0" fontId="41" fillId="40" borderId="4" xfId="0" applyFont="1" applyFill="1" applyBorder="1" applyAlignment="1">
      <alignment horizontal="center" vertical="center" wrapText="1"/>
    </xf>
    <xf numFmtId="0" fontId="41" fillId="40" borderId="49" xfId="0" applyFont="1" applyFill="1" applyBorder="1" applyAlignment="1">
      <alignment horizontal="center" vertical="center" wrapText="1"/>
    </xf>
    <xf numFmtId="0" fontId="41" fillId="40" borderId="63" xfId="0" applyFont="1" applyFill="1" applyBorder="1" applyAlignment="1">
      <alignment horizontal="center" vertical="center" wrapText="1"/>
    </xf>
    <xf numFmtId="0" fontId="35" fillId="40" borderId="0" xfId="0" applyFont="1" applyFill="1" applyAlignment="1">
      <alignment horizontal="center" vertical="center" wrapText="1"/>
    </xf>
    <xf numFmtId="2" fontId="45" fillId="5" borderId="6" xfId="0" applyNumberFormat="1" applyFont="1" applyFill="1" applyBorder="1" applyAlignment="1">
      <alignment horizontal="right"/>
    </xf>
    <xf numFmtId="0" fontId="42" fillId="31" borderId="0" xfId="0" quotePrefix="1" applyFont="1" applyFill="1" applyAlignment="1">
      <alignment horizontal="right" vertical="center"/>
    </xf>
    <xf numFmtId="2" fontId="35" fillId="5" borderId="2" xfId="0" applyNumberFormat="1" applyFont="1" applyFill="1" applyBorder="1" applyAlignment="1">
      <alignment horizontal="right"/>
    </xf>
    <xf numFmtId="0" fontId="35" fillId="41" borderId="0" xfId="0" applyFont="1" applyFill="1"/>
    <xf numFmtId="0" fontId="36" fillId="42" borderId="0" xfId="0" applyFont="1" applyFill="1"/>
    <xf numFmtId="0" fontId="35" fillId="41" borderId="0" xfId="0" applyFont="1" applyFill="1" applyAlignment="1">
      <alignment horizontal="left"/>
    </xf>
    <xf numFmtId="0" fontId="17" fillId="39" borderId="0" xfId="0" applyFont="1" applyFill="1" applyAlignment="1">
      <alignment horizontal="center" vertical="center" wrapText="1"/>
    </xf>
    <xf numFmtId="0" fontId="0" fillId="36" borderId="0" xfId="0" applyFill="1"/>
    <xf numFmtId="0" fontId="8" fillId="36" borderId="0" xfId="0" applyFont="1" applyFill="1" applyAlignment="1">
      <alignment horizontal="right"/>
    </xf>
    <xf numFmtId="0" fontId="0" fillId="36" borderId="0" xfId="0" applyFill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right"/>
    </xf>
    <xf numFmtId="0" fontId="6" fillId="3" borderId="8" xfId="0" applyFon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3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1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165" fontId="0" fillId="3" borderId="7" xfId="0" applyNumberFormat="1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0" xfId="0" applyFill="1" applyBorder="1" applyAlignment="1">
      <alignment horizontal="left"/>
    </xf>
    <xf numFmtId="0" fontId="0" fillId="3" borderId="51" xfId="0" applyFill="1" applyBorder="1" applyAlignment="1">
      <alignment horizontal="left"/>
    </xf>
    <xf numFmtId="0" fontId="0" fillId="3" borderId="0" xfId="0" applyFill="1" applyAlignment="1">
      <alignment horizontal="left"/>
    </xf>
    <xf numFmtId="2" fontId="0" fillId="3" borderId="42" xfId="0" applyNumberForma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8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172" fontId="0" fillId="5" borderId="49" xfId="0" applyNumberFormat="1" applyFill="1" applyBorder="1" applyAlignment="1">
      <alignment horizontal="center"/>
    </xf>
    <xf numFmtId="172" fontId="0" fillId="5" borderId="31" xfId="0" applyNumberFormat="1" applyFill="1" applyBorder="1" applyAlignment="1">
      <alignment horizontal="center"/>
    </xf>
    <xf numFmtId="172" fontId="0" fillId="5" borderId="68" xfId="0" applyNumberFormat="1" applyFill="1" applyBorder="1" applyAlignment="1">
      <alignment horizontal="center"/>
    </xf>
    <xf numFmtId="170" fontId="0" fillId="5" borderId="49" xfId="0" applyNumberFormat="1" applyFill="1" applyBorder="1" applyAlignment="1">
      <alignment horizontal="center"/>
    </xf>
    <xf numFmtId="170" fontId="0" fillId="5" borderId="31" xfId="0" applyNumberFormat="1" applyFill="1" applyBorder="1" applyAlignment="1">
      <alignment horizontal="center"/>
    </xf>
    <xf numFmtId="170" fontId="0" fillId="5" borderId="68" xfId="0" applyNumberFormat="1" applyFill="1" applyBorder="1" applyAlignment="1">
      <alignment horizontal="center"/>
    </xf>
    <xf numFmtId="0" fontId="27" fillId="3" borderId="8" xfId="0" applyFont="1" applyFill="1" applyBorder="1" applyAlignment="1">
      <alignment horizontal="justify" vertical="center" wrapText="1"/>
    </xf>
    <xf numFmtId="0" fontId="27" fillId="3" borderId="0" xfId="0" applyFont="1" applyFill="1" applyAlignment="1">
      <alignment horizontal="justify" vertical="center" wrapText="1"/>
    </xf>
    <xf numFmtId="0" fontId="27" fillId="3" borderId="8" xfId="0" applyFont="1" applyFill="1" applyBorder="1" applyAlignment="1">
      <alignment horizontal="justify" vertical="justify" wrapText="1"/>
    </xf>
    <xf numFmtId="172" fontId="0" fillId="5" borderId="5" xfId="0" applyNumberFormat="1" applyFill="1" applyBorder="1" applyAlignment="1">
      <alignment horizontal="center"/>
    </xf>
    <xf numFmtId="183" fontId="0" fillId="5" borderId="5" xfId="0" applyNumberFormat="1" applyFill="1" applyBorder="1" applyAlignment="1">
      <alignment horizontal="center"/>
    </xf>
    <xf numFmtId="168" fontId="0" fillId="5" borderId="5" xfId="0" applyNumberFormat="1" applyFill="1" applyBorder="1" applyAlignment="1">
      <alignment horizontal="center"/>
    </xf>
    <xf numFmtId="0" fontId="8" fillId="23" borderId="0" xfId="0" applyFont="1" applyFill="1" applyAlignment="1">
      <alignment horizontal="center"/>
    </xf>
    <xf numFmtId="0" fontId="8" fillId="21" borderId="0" xfId="0" applyFont="1" applyFill="1" applyAlignment="1">
      <alignment horizontal="left" wrapText="1"/>
    </xf>
    <xf numFmtId="0" fontId="0" fillId="3" borderId="42" xfId="0" applyFill="1" applyBorder="1" applyAlignment="1">
      <alignment horizontal="left"/>
    </xf>
    <xf numFmtId="0" fontId="8" fillId="3" borderId="0" xfId="0" applyFont="1" applyFill="1" applyAlignment="1">
      <alignment horizontal="right"/>
    </xf>
    <xf numFmtId="0" fontId="23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3" borderId="6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3" fillId="35" borderId="0" xfId="0" applyFont="1" applyFill="1" applyAlignment="1">
      <alignment horizontal="center"/>
    </xf>
    <xf numFmtId="0" fontId="27" fillId="3" borderId="8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right" vertical="center" wrapText="1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8" fillId="4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31" fillId="35" borderId="0" xfId="0" applyFont="1" applyFill="1" applyAlignment="1">
      <alignment horizontal="center"/>
    </xf>
    <xf numFmtId="0" fontId="8" fillId="25" borderId="73" xfId="0" applyFont="1" applyFill="1" applyBorder="1" applyAlignment="1">
      <alignment horizontal="center"/>
    </xf>
    <xf numFmtId="0" fontId="0" fillId="29" borderId="52" xfId="0" applyFill="1" applyBorder="1" applyAlignment="1">
      <alignment horizontal="center"/>
    </xf>
    <xf numFmtId="0" fontId="0" fillId="29" borderId="53" xfId="0" applyFill="1" applyBorder="1" applyAlignment="1">
      <alignment horizontal="center"/>
    </xf>
    <xf numFmtId="0" fontId="0" fillId="24" borderId="7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34" fillId="43" borderId="5" xfId="0" applyFont="1" applyFill="1" applyBorder="1" applyAlignment="1">
      <alignment horizontal="center"/>
    </xf>
    <xf numFmtId="3" fontId="0" fillId="10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0" fontId="8" fillId="35" borderId="70" xfId="0" applyFont="1" applyFill="1" applyBorder="1" applyAlignment="1">
      <alignment horizontal="center"/>
    </xf>
    <xf numFmtId="0" fontId="8" fillId="35" borderId="71" xfId="0" applyFont="1" applyFill="1" applyBorder="1" applyAlignment="1">
      <alignment horizontal="center"/>
    </xf>
    <xf numFmtId="0" fontId="8" fillId="35" borderId="72" xfId="0" applyFont="1" applyFill="1" applyBorder="1" applyAlignment="1">
      <alignment horizontal="center"/>
    </xf>
    <xf numFmtId="0" fontId="0" fillId="15" borderId="23" xfId="0" applyFill="1" applyBorder="1" applyAlignment="1">
      <alignment wrapText="1"/>
    </xf>
    <xf numFmtId="0" fontId="0" fillId="15" borderId="0" xfId="0" applyFill="1" applyAlignment="1">
      <alignment wrapText="1"/>
    </xf>
    <xf numFmtId="0" fontId="0" fillId="15" borderId="24" xfId="0" applyFill="1" applyBorder="1" applyAlignment="1">
      <alignment wrapText="1"/>
    </xf>
    <xf numFmtId="0" fontId="8" fillId="7" borderId="78" xfId="0" applyFont="1" applyFill="1" applyBorder="1" applyAlignment="1">
      <alignment horizontal="center"/>
    </xf>
    <xf numFmtId="0" fontId="8" fillId="7" borderId="79" xfId="0" applyFont="1" applyFill="1" applyBorder="1" applyAlignment="1">
      <alignment horizontal="center"/>
    </xf>
    <xf numFmtId="0" fontId="8" fillId="7" borderId="80" xfId="0" applyFont="1" applyFill="1" applyBorder="1" applyAlignment="1">
      <alignment horizontal="center"/>
    </xf>
    <xf numFmtId="0" fontId="8" fillId="26" borderId="23" xfId="0" applyFont="1" applyFill="1" applyBorder="1" applyAlignment="1">
      <alignment horizontal="center"/>
    </xf>
    <xf numFmtId="0" fontId="8" fillId="26" borderId="0" xfId="0" applyFont="1" applyFill="1" applyAlignment="1">
      <alignment horizontal="center"/>
    </xf>
    <xf numFmtId="0" fontId="8" fillId="26" borderId="24" xfId="0" applyFont="1" applyFill="1" applyBorder="1" applyAlignment="1">
      <alignment horizontal="center"/>
    </xf>
    <xf numFmtId="0" fontId="0" fillId="15" borderId="0" xfId="0" applyFill="1"/>
    <xf numFmtId="0" fontId="0" fillId="15" borderId="24" xfId="0" applyFill="1" applyBorder="1"/>
    <xf numFmtId="0" fontId="8" fillId="7" borderId="83" xfId="0" applyFont="1" applyFill="1" applyBorder="1" applyAlignment="1">
      <alignment horizontal="center"/>
    </xf>
    <xf numFmtId="0" fontId="8" fillId="7" borderId="84" xfId="0" applyFont="1" applyFill="1" applyBorder="1" applyAlignment="1">
      <alignment horizontal="center"/>
    </xf>
    <xf numFmtId="0" fontId="8" fillId="7" borderId="85" xfId="0" applyFont="1" applyFill="1" applyBorder="1" applyAlignment="1">
      <alignment horizontal="center"/>
    </xf>
    <xf numFmtId="0" fontId="8" fillId="32" borderId="23" xfId="0" applyFont="1" applyFill="1" applyBorder="1" applyAlignment="1">
      <alignment horizontal="center"/>
    </xf>
    <xf numFmtId="0" fontId="8" fillId="32" borderId="0" xfId="0" applyFont="1" applyFill="1" applyAlignment="1">
      <alignment horizontal="center"/>
    </xf>
    <xf numFmtId="0" fontId="8" fillId="32" borderId="24" xfId="0" applyFont="1" applyFill="1" applyBorder="1" applyAlignment="1">
      <alignment horizontal="center"/>
    </xf>
    <xf numFmtId="0" fontId="17" fillId="7" borderId="75" xfId="0" applyFont="1" applyFill="1" applyBorder="1" applyAlignment="1">
      <alignment horizontal="center"/>
    </xf>
    <xf numFmtId="0" fontId="17" fillId="7" borderId="76" xfId="0" applyFont="1" applyFill="1" applyBorder="1" applyAlignment="1">
      <alignment horizontal="center"/>
    </xf>
    <xf numFmtId="0" fontId="17" fillId="7" borderId="77" xfId="0" applyFont="1" applyFill="1" applyBorder="1" applyAlignment="1">
      <alignment horizontal="center"/>
    </xf>
    <xf numFmtId="0" fontId="8" fillId="7" borderId="75" xfId="0" applyFont="1" applyFill="1" applyBorder="1" applyAlignment="1">
      <alignment horizontal="center"/>
    </xf>
    <xf numFmtId="0" fontId="8" fillId="7" borderId="76" xfId="0" applyFont="1" applyFill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0" fillId="3" borderId="81" xfId="0" applyFill="1" applyBorder="1" applyAlignment="1">
      <alignment horizontal="right"/>
    </xf>
    <xf numFmtId="0" fontId="0" fillId="3" borderId="82" xfId="0" applyFill="1" applyBorder="1" applyAlignment="1">
      <alignment horizontal="right"/>
    </xf>
    <xf numFmtId="0" fontId="0" fillId="15" borderId="23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0" fillId="19" borderId="6" xfId="0" applyFont="1" applyFill="1" applyBorder="1" applyAlignment="1">
      <alignment horizontal="left" vertical="center" wrapText="1"/>
    </xf>
    <xf numFmtId="0" fontId="20" fillId="19" borderId="9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 applyProtection="1">
      <alignment horizontal="left" vertical="top" wrapText="1"/>
      <protection locked="0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justify" vertical="justify" wrapText="1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9"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rgb="FF000000"/>
          <bgColor rgb="FFD8D8D8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" Target="richData/rdrichvalue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20/07/relationships/rdRichValueWebImage" Target="richData/rdRichValueWebImag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0</xdr:row>
      <xdr:rowOff>38100</xdr:rowOff>
    </xdr:from>
    <xdr:ext cx="1933575" cy="342900"/>
    <xdr:pic>
      <xdr:nvPicPr>
        <xdr:cNvPr id="2" name="Obrázek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paylibo.com/paylibo/generator/czech/image?compress=true&amp;branding=false&amp;size=440&amp;accountPrefix=000000&amp;accountNumber=2100704207&amp;bankCode=2010&amp;amount=2453&amp;currency=CZK&amp;vs=1093900019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i.imgur.com/5Ij2NpI.png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i.imgur.com/zfj1KPi.png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4">
  <rv s="0">
    <v>0</v>
    <v>4</v>
    <v>0</v>
    <v>0</v>
  </rv>
  <rv s="0">
    <v>1</v>
    <v>1</v>
    <v>0</v>
    <v>0</v>
  </rv>
  <rv s="0">
    <v>0</v>
    <v>1</v>
    <v>0</v>
    <v>0</v>
  </rv>
  <rv s="0">
    <v>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s!AnnUQWVRKRY8jM8GRW-mbzUFyh1iuQ?e=KufTVZ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1drv.ms/b/s!AnnUQWVRKRY8jM8GRW-mbzUFyh1iuQ?e=KufTVZ" TargetMode="External"/><Relationship Id="rId1" Type="http://schemas.openxmlformats.org/officeDocument/2006/relationships/hyperlink" Target="https://1drv.ms/b/s!AnnUQWVRKRY8jM8GRW-mbzUFyh1iuQ?e=KufTVZ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1drv.ms/b/s!AnnUQWVRKRY8jM8GRW-mbzUFyh1iuQ?e=KufTVZ" TargetMode="External"/><Relationship Id="rId4" Type="http://schemas.openxmlformats.org/officeDocument/2006/relationships/hyperlink" Target="https://1drv.ms/b/s!AnnUQWVRKRY8jM8GRW-mbzUFyh1iuQ?e=KufTVZ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87" t="e">
        <f>#REF!</f>
        <v>#REF!</v>
      </c>
      <c r="B1" s="687"/>
      <c r="C1" s="687"/>
      <c r="E1" s="27"/>
      <c r="F1" s="27"/>
      <c r="G1" s="27"/>
      <c r="H1" s="27"/>
      <c r="I1" s="27"/>
    </row>
    <row r="2" spans="1:12" ht="9.75" customHeight="1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89" t="e">
        <f>#REF!</f>
        <v>#REF!</v>
      </c>
      <c r="G4" s="689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89" t="e">
        <f>#REF!</f>
        <v>#REF!</v>
      </c>
      <c r="G5" s="689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0" t="e">
        <f>#REF!</f>
        <v>#REF!</v>
      </c>
      <c r="B7" s="690"/>
      <c r="C7" s="690"/>
      <c r="D7" s="690"/>
      <c r="E7" s="690"/>
      <c r="F7" s="690"/>
      <c r="G7" s="690"/>
      <c r="H7" s="690"/>
      <c r="I7" s="690"/>
      <c r="J7" s="690"/>
      <c r="K7" s="690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85"/>
      <c r="B9" s="685"/>
      <c r="C9" s="685"/>
      <c r="D9" s="685"/>
      <c r="E9" s="686" t="e">
        <f>#REF!</f>
        <v>#REF!</v>
      </c>
      <c r="F9" s="686"/>
      <c r="G9" s="686"/>
      <c r="H9" s="686" t="e">
        <f>#REF!</f>
        <v>#REF!</v>
      </c>
      <c r="I9" s="686"/>
      <c r="J9" s="686"/>
      <c r="K9" s="686"/>
      <c r="L9" s="27"/>
    </row>
    <row r="10" spans="1:12" ht="15.95" customHeight="1" x14ac:dyDescent="0.25">
      <c r="A10" s="693" t="e">
        <f>#REF!</f>
        <v>#REF!</v>
      </c>
      <c r="B10" s="694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695" t="e">
        <f>#REF!</f>
        <v>#REF!</v>
      </c>
      <c r="B11" s="696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#REF!</f>
        <v>#REF!</v>
      </c>
      <c r="J11" s="36" t="e">
        <f>#REF!</f>
        <v>#REF!</v>
      </c>
      <c r="K11" s="38" t="e">
        <f>J11-I11</f>
        <v>#REF!</v>
      </c>
      <c r="L11" s="27"/>
    </row>
    <row r="12" spans="1:12" x14ac:dyDescent="0.25">
      <c r="A12" s="697" t="e">
        <f>#REF!</f>
        <v>#REF!</v>
      </c>
      <c r="B12" s="698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#REF!</f>
        <v>#REF!</v>
      </c>
      <c r="J12" s="37" t="e">
        <f>#REF!</f>
        <v>#REF!</v>
      </c>
      <c r="K12" s="39" t="e">
        <f>J12-I12</f>
        <v>#REF!</v>
      </c>
      <c r="L12" s="27"/>
    </row>
    <row r="13" spans="1:12" x14ac:dyDescent="0.25">
      <c r="A13" s="697" t="e">
        <f>#REF!</f>
        <v>#REF!</v>
      </c>
      <c r="B13" s="698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#REF!</f>
        <v>#REF!</v>
      </c>
      <c r="J13" s="37" t="e">
        <f>#REF!</f>
        <v>#REF!</v>
      </c>
      <c r="K13" s="39" t="e">
        <f>J13-I13</f>
        <v>#REF!</v>
      </c>
      <c r="L13" s="27"/>
    </row>
    <row r="14" spans="1:12" x14ac:dyDescent="0.25">
      <c r="A14" s="697" t="e">
        <f>#REF!</f>
        <v>#REF!</v>
      </c>
      <c r="B14" s="698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307</v>
      </c>
      <c r="G14" s="23" t="e">
        <f>ROUND(E14/F14,2)</f>
        <v>#REF!</v>
      </c>
      <c r="H14" s="23">
        <f>LOOKUP('vstupní data'!B4,'Počet osob'!A:A,'Počet osob'!P:P)</f>
        <v>0</v>
      </c>
      <c r="I14" s="23" t="e">
        <f>H14*G14</f>
        <v>#REF!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697" t="e">
        <f>#REF!</f>
        <v>#REF!</v>
      </c>
      <c r="B15" s="698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697" t="e">
        <f>#REF!</f>
        <v>#REF!</v>
      </c>
      <c r="B16" s="698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697" t="e">
        <f>#REF!</f>
        <v>#REF!</v>
      </c>
      <c r="B17" s="698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697" t="e">
        <f>#REF!</f>
        <v>#REF!</v>
      </c>
      <c r="B18" s="698"/>
      <c r="C18" s="21" t="e">
        <f>#REF!</f>
        <v>#REF!</v>
      </c>
      <c r="D18" s="20" t="e">
        <f>#REF!</f>
        <v>#REF!</v>
      </c>
      <c r="E18" s="22">
        <f>'faktury za služby'!J43</f>
        <v>13181.670000000013</v>
      </c>
      <c r="F18" s="85" t="e">
        <f>#REF!</f>
        <v>#REF!</v>
      </c>
      <c r="G18" s="23" t="e">
        <f>ROUND(E18/F18,2)</f>
        <v>#REF!</v>
      </c>
      <c r="H18" s="23" t="e">
        <f>#REF!</f>
        <v>#REF!</v>
      </c>
      <c r="I18" s="23" t="e">
        <f>#REF!</f>
        <v>#REF!</v>
      </c>
      <c r="J18" s="37" t="e">
        <f>#REF!</f>
        <v>#REF!</v>
      </c>
      <c r="K18" s="40" t="e">
        <f>J18-I18</f>
        <v>#REF!</v>
      </c>
      <c r="L18" s="27"/>
    </row>
    <row r="19" spans="1:17" hidden="1" x14ac:dyDescent="0.25">
      <c r="A19" s="699" t="e">
        <f>#REF!</f>
        <v>#REF!</v>
      </c>
      <c r="B19" s="700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3" t="e">
        <f>#REF!</f>
        <v>#REF!</v>
      </c>
      <c r="K19" s="691" t="e">
        <f>#REF!</f>
        <v>#REF!</v>
      </c>
      <c r="L19" s="27"/>
    </row>
    <row r="20" spans="1:17" hidden="1" x14ac:dyDescent="0.25">
      <c r="A20" s="701"/>
      <c r="B20" s="702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04"/>
      <c r="K20" s="692"/>
      <c r="L20" s="27"/>
    </row>
    <row r="21" spans="1:17" ht="15.95" customHeight="1" x14ac:dyDescent="0.25">
      <c r="A21" s="707" t="e">
        <f>#REF!</f>
        <v>#REF!</v>
      </c>
      <c r="B21" s="708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#REF!</f>
        <v>#REF!</v>
      </c>
      <c r="J21" s="78" t="e">
        <f>#REF!</f>
        <v>#REF!</v>
      </c>
      <c r="K21" s="91" t="e">
        <f>J21-I21</f>
        <v>#REF!</v>
      </c>
      <c r="L21" s="27"/>
    </row>
    <row r="22" spans="1:17" ht="15.95" hidden="1" customHeight="1" x14ac:dyDescent="0.25">
      <c r="A22" s="709" t="e">
        <f>#REF!</f>
        <v>#REF!</v>
      </c>
      <c r="B22" s="710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1" t="e">
        <f>#REF!</f>
        <v>#REF!</v>
      </c>
      <c r="B23" s="711"/>
      <c r="C23" s="711"/>
      <c r="D23" s="5"/>
      <c r="E23" s="24" t="e">
        <f>SUM(E11:E21)</f>
        <v>#REF!</v>
      </c>
      <c r="F23" s="5"/>
      <c r="G23" s="712" t="e">
        <f>#REF!</f>
        <v>#REF!</v>
      </c>
      <c r="H23" s="712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1" t="e">
        <f>#REF!</f>
        <v>#REF!</v>
      </c>
      <c r="H24" s="711"/>
      <c r="I24" s="711"/>
      <c r="J24" s="711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3" t="e">
        <f>#REF!</f>
        <v>#REF!</v>
      </c>
      <c r="H25" s="713"/>
      <c r="I25" s="713"/>
      <c r="J25" s="713"/>
      <c r="K25" s="42" t="e">
        <f>K24+K23</f>
        <v>#REF!</v>
      </c>
      <c r="L25" s="27"/>
    </row>
    <row r="26" spans="1:17" x14ac:dyDescent="0.25">
      <c r="A26" s="27"/>
      <c r="B26" s="27"/>
      <c r="C26" s="25"/>
      <c r="D26" s="5"/>
      <c r="E26" s="714" t="e">
        <f>#REF!</f>
        <v>#REF!</v>
      </c>
      <c r="F26" s="714"/>
      <c r="G26" s="714"/>
      <c r="H26" s="714"/>
      <c r="I26" s="714"/>
      <c r="J26" s="714"/>
      <c r="K26" s="714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15" t="e">
        <f>#REF!</f>
        <v>#REF!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7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18"/>
      <c r="O30" s="718"/>
      <c r="P30" s="718"/>
      <c r="Q30" s="718"/>
    </row>
    <row r="31" spans="1:17" x14ac:dyDescent="0.25">
      <c r="A31" s="715" t="e">
        <f>#REF!</f>
        <v>#REF!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7"/>
      <c r="N31" s="719"/>
      <c r="O31" s="719"/>
      <c r="P31" s="719"/>
      <c r="Q31" s="719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5" t="e">
        <f>#REF!</f>
        <v>#REF!</v>
      </c>
      <c r="B34" s="706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15" t="e">
        <f>#REF!</f>
        <v>#REF!</v>
      </c>
      <c r="B36" s="716"/>
      <c r="C36" s="716"/>
      <c r="D36" s="716"/>
      <c r="E36" s="716"/>
      <c r="F36" s="716"/>
      <c r="G36" s="716"/>
      <c r="H36" s="716"/>
      <c r="I36" s="716"/>
      <c r="J36" s="716"/>
      <c r="K36" s="716"/>
      <c r="L36" s="717"/>
    </row>
    <row r="37" spans="1:12" ht="15.95" customHeight="1" x14ac:dyDescent="0.25">
      <c r="A37" s="722" t="e">
        <f>#REF!</f>
        <v>#REF!</v>
      </c>
      <c r="B37" s="723"/>
      <c r="C37" s="723" t="e">
        <f>#REF!</f>
        <v>#REF!</v>
      </c>
      <c r="D37" s="723"/>
      <c r="E37" s="723" t="e">
        <f>#REF!</f>
        <v>#REF!</v>
      </c>
      <c r="F37" s="723"/>
      <c r="G37" s="723" t="e">
        <f>#REF!</f>
        <v>#REF!</v>
      </c>
      <c r="H37" s="723"/>
      <c r="I37" s="723" t="e">
        <f>#REF!</f>
        <v>#REF!</v>
      </c>
      <c r="J37" s="723"/>
      <c r="K37" s="723" t="e">
        <f>#REF!</f>
        <v>#REF!</v>
      </c>
      <c r="L37" s="724"/>
    </row>
    <row r="38" spans="1:12" ht="15.95" customHeight="1" x14ac:dyDescent="0.25">
      <c r="A38" s="725" t="e">
        <f>#REF!</f>
        <v>#REF!</v>
      </c>
      <c r="B38" s="726"/>
      <c r="C38" s="720" t="e">
        <f>#REF!</f>
        <v>#REF!</v>
      </c>
      <c r="D38" s="721"/>
      <c r="E38" s="727" t="e">
        <f>#REF!</f>
        <v>#REF!</v>
      </c>
      <c r="F38" s="727"/>
      <c r="G38" s="728" t="e">
        <f>#REF!</f>
        <v>#REF!</v>
      </c>
      <c r="H38" s="729"/>
      <c r="I38" s="730" t="e">
        <f>#REF!</f>
        <v>#REF!</v>
      </c>
      <c r="J38" s="730"/>
      <c r="K38" s="720" t="e">
        <f>#REF!</f>
        <v>#REF!</v>
      </c>
      <c r="L38" s="721"/>
    </row>
    <row r="39" spans="1:12" x14ac:dyDescent="0.25">
      <c r="A39" s="734" t="e">
        <f>#REF!</f>
        <v>#REF!</v>
      </c>
      <c r="B39" s="734"/>
      <c r="C39" s="734" t="e">
        <f>#REF!</f>
        <v>#REF!</v>
      </c>
      <c r="D39" s="734"/>
      <c r="E39" s="734" t="e">
        <f>#REF!</f>
        <v>#REF!</v>
      </c>
      <c r="F39" s="734"/>
      <c r="G39" s="735" t="e">
        <f>#REF!</f>
        <v>#REF!</v>
      </c>
      <c r="H39" s="735"/>
      <c r="I39" s="735" t="e">
        <f>#REF!</f>
        <v>#REF!</v>
      </c>
      <c r="J39" s="735"/>
      <c r="K39" s="736" t="e">
        <f>#REF!</f>
        <v>#REF!</v>
      </c>
      <c r="L39" s="736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1" t="e">
        <f>#REF!</f>
        <v>#REF!</v>
      </c>
      <c r="B41" s="731"/>
      <c r="C41" s="731"/>
      <c r="D41" s="731"/>
      <c r="E41" s="731"/>
      <c r="F41" s="731"/>
      <c r="G41" s="731"/>
      <c r="H41" s="731"/>
      <c r="I41" s="731"/>
      <c r="J41" s="731"/>
      <c r="K41" s="731"/>
      <c r="L41" s="731"/>
    </row>
    <row r="42" spans="1:12" ht="29.25" customHeight="1" x14ac:dyDescent="0.25">
      <c r="A42" s="732" t="e">
        <f>#REF!</f>
        <v>#REF!</v>
      </c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</row>
    <row r="43" spans="1:12" ht="29.25" customHeight="1" x14ac:dyDescent="0.25">
      <c r="A43" s="731" t="e">
        <f>#REF!</f>
        <v>#REF!</v>
      </c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</row>
    <row r="44" spans="1:12" ht="29.25" customHeight="1" x14ac:dyDescent="0.25">
      <c r="A44" s="733" t="e">
        <f>#REF!</f>
        <v>#REF!</v>
      </c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8" priority="1" operator="equal">
      <formula>0</formula>
    </cfRule>
  </conditionalFormatting>
  <conditionalFormatting sqref="A28:L33">
    <cfRule type="cellIs" dxfId="7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87" t="e">
        <f>#REF!</f>
        <v>#REF!</v>
      </c>
      <c r="B1" s="687"/>
      <c r="C1" s="687"/>
      <c r="E1" s="27"/>
      <c r="F1" s="27"/>
      <c r="G1" s="27"/>
      <c r="H1" s="27"/>
      <c r="I1" s="27"/>
    </row>
    <row r="2" spans="1:12" ht="9.75" customHeight="1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89" t="e">
        <f>#REF!</f>
        <v>#REF!</v>
      </c>
      <c r="G4" s="689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89" t="e">
        <f>#REF!</f>
        <v>#REF!</v>
      </c>
      <c r="G5" s="689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0" t="e">
        <f>#REF!</f>
        <v>#REF!</v>
      </c>
      <c r="B7" s="690"/>
      <c r="C7" s="690"/>
      <c r="D7" s="690"/>
      <c r="E7" s="690"/>
      <c r="F7" s="690"/>
      <c r="G7" s="690"/>
      <c r="H7" s="690"/>
      <c r="I7" s="690"/>
      <c r="J7" s="690"/>
      <c r="K7" s="690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85"/>
      <c r="B9" s="685"/>
      <c r="C9" s="685"/>
      <c r="D9" s="685"/>
      <c r="E9" s="686" t="e">
        <f>#REF!</f>
        <v>#REF!</v>
      </c>
      <c r="F9" s="686"/>
      <c r="G9" s="686"/>
      <c r="H9" s="686" t="e">
        <f>#REF!</f>
        <v>#REF!</v>
      </c>
      <c r="I9" s="686"/>
      <c r="J9" s="686"/>
      <c r="K9" s="686"/>
      <c r="L9" s="27"/>
    </row>
    <row r="10" spans="1:12" ht="15.95" customHeight="1" x14ac:dyDescent="0.25">
      <c r="A10" s="693" t="e">
        <f>#REF!</f>
        <v>#REF!</v>
      </c>
      <c r="B10" s="694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695" t="e">
        <f>#REF!</f>
        <v>#REF!</v>
      </c>
      <c r="B11" s="696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G11*H11</f>
        <v>#REF!</v>
      </c>
      <c r="J11" s="36" t="e">
        <f>#REF!</f>
        <v>#REF!</v>
      </c>
      <c r="K11" s="38" t="e">
        <f>#REF!</f>
        <v>#REF!</v>
      </c>
      <c r="L11" s="27"/>
    </row>
    <row r="12" spans="1:12" x14ac:dyDescent="0.25">
      <c r="A12" s="697" t="e">
        <f>#REF!</f>
        <v>#REF!</v>
      </c>
      <c r="B12" s="698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G12*H12</f>
        <v>#REF!</v>
      </c>
      <c r="J12" s="37" t="e">
        <f>#REF!</f>
        <v>#REF!</v>
      </c>
      <c r="K12" s="39" t="e">
        <f>#REF!</f>
        <v>#REF!</v>
      </c>
      <c r="L12" s="27"/>
    </row>
    <row r="13" spans="1:12" x14ac:dyDescent="0.25">
      <c r="A13" s="697" t="e">
        <f>#REF!</f>
        <v>#REF!</v>
      </c>
      <c r="B13" s="698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G13*H13</f>
        <v>#REF!</v>
      </c>
      <c r="J13" s="37" t="e">
        <f>#REF!</f>
        <v>#REF!</v>
      </c>
      <c r="K13" s="39" t="e">
        <f>#REF!</f>
        <v>#REF!</v>
      </c>
      <c r="L13" s="27"/>
    </row>
    <row r="14" spans="1:12" x14ac:dyDescent="0.25">
      <c r="A14" s="697" t="e">
        <f>#REF!</f>
        <v>#REF!</v>
      </c>
      <c r="B14" s="698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307</v>
      </c>
      <c r="G14" s="23" t="e">
        <f>ROUND(E14/F14,2)</f>
        <v>#REF!</v>
      </c>
      <c r="H14" s="23">
        <f>LOOKUP('vstupní data'!B4,'Počet osob'!A:A,'Počet osob'!P:P)</f>
        <v>0</v>
      </c>
      <c r="I14" s="23" t="e">
        <f>G14*H14</f>
        <v>#REF!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697" t="e">
        <f>#REF!</f>
        <v>#REF!</v>
      </c>
      <c r="B15" s="698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697" t="e">
        <f>#REF!</f>
        <v>#REF!</v>
      </c>
      <c r="B16" s="698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697" t="e">
        <f>#REF!</f>
        <v>#REF!</v>
      </c>
      <c r="B17" s="698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697" t="e">
        <f>#REF!</f>
        <v>#REF!</v>
      </c>
      <c r="B18" s="698"/>
      <c r="C18" s="21" t="e">
        <f>#REF!</f>
        <v>#REF!</v>
      </c>
      <c r="D18" s="20" t="e">
        <f>#REF!</f>
        <v>#REF!</v>
      </c>
      <c r="E18" s="22">
        <f>'faktury za služby'!J42</f>
        <v>75347.329999999987</v>
      </c>
      <c r="F18" s="85">
        <f>'Počet osob'!Q104</f>
        <v>439</v>
      </c>
      <c r="G18" s="23">
        <f>ROUND(E18/F18,2)</f>
        <v>171.63</v>
      </c>
      <c r="H18" s="23" t="e">
        <f>#REF!</f>
        <v>#REF!</v>
      </c>
      <c r="I18" s="23" t="e">
        <f>G18*H18</f>
        <v>#REF!</v>
      </c>
      <c r="J18" s="37" t="e">
        <f>#REF!</f>
        <v>#REF!</v>
      </c>
      <c r="K18" s="40" t="e">
        <f>#REF!</f>
        <v>#REF!</v>
      </c>
      <c r="L18" s="27"/>
    </row>
    <row r="19" spans="1:17" hidden="1" x14ac:dyDescent="0.25">
      <c r="A19" s="699" t="e">
        <f>#REF!</f>
        <v>#REF!</v>
      </c>
      <c r="B19" s="700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3" t="e">
        <f>#REF!</f>
        <v>#REF!</v>
      </c>
      <c r="K19" s="691" t="e">
        <f>#REF!</f>
        <v>#REF!</v>
      </c>
      <c r="L19" s="27"/>
    </row>
    <row r="20" spans="1:17" hidden="1" x14ac:dyDescent="0.25">
      <c r="A20" s="701"/>
      <c r="B20" s="702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04"/>
      <c r="K20" s="692"/>
      <c r="L20" s="27"/>
    </row>
    <row r="21" spans="1:17" ht="15.95" customHeight="1" x14ac:dyDescent="0.25">
      <c r="A21" s="707" t="e">
        <f>#REF!</f>
        <v>#REF!</v>
      </c>
      <c r="B21" s="708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G21*H21</f>
        <v>#REF!</v>
      </c>
      <c r="J21" s="78" t="e">
        <f>#REF!</f>
        <v>#REF!</v>
      </c>
      <c r="K21" s="91" t="e">
        <f>#REF!</f>
        <v>#REF!</v>
      </c>
      <c r="L21" s="27"/>
    </row>
    <row r="22" spans="1:17" ht="16.5" hidden="1" customHeight="1" x14ac:dyDescent="0.25">
      <c r="A22" s="709" t="e">
        <f>#REF!</f>
        <v>#REF!</v>
      </c>
      <c r="B22" s="710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1" t="e">
        <f>#REF!</f>
        <v>#REF!</v>
      </c>
      <c r="B23" s="711"/>
      <c r="C23" s="711"/>
      <c r="D23" s="5"/>
      <c r="E23" s="24" t="e">
        <f>SUM(E11:E21)</f>
        <v>#REF!</v>
      </c>
      <c r="F23" s="5"/>
      <c r="G23" s="712" t="e">
        <f>#REF!</f>
        <v>#REF!</v>
      </c>
      <c r="H23" s="712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1" t="e">
        <f>#REF!</f>
        <v>#REF!</v>
      </c>
      <c r="H24" s="711"/>
      <c r="I24" s="711"/>
      <c r="J24" s="711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3" t="e">
        <f>#REF!</f>
        <v>#REF!</v>
      </c>
      <c r="H25" s="713"/>
      <c r="I25" s="713"/>
      <c r="J25" s="713"/>
      <c r="K25" s="42" t="e">
        <f>K23+K24</f>
        <v>#REF!</v>
      </c>
      <c r="L25" s="27"/>
    </row>
    <row r="26" spans="1:17" x14ac:dyDescent="0.25">
      <c r="A26" s="27"/>
      <c r="B26" s="27"/>
      <c r="C26" s="25"/>
      <c r="D26" s="5"/>
      <c r="E26" s="714" t="e">
        <f>#REF!</f>
        <v>#REF!</v>
      </c>
      <c r="F26" s="714"/>
      <c r="G26" s="714"/>
      <c r="H26" s="714"/>
      <c r="I26" s="714"/>
      <c r="J26" s="714"/>
      <c r="K26" s="714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15" t="e">
        <f>#REF!</f>
        <v>#REF!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7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18"/>
      <c r="O30" s="718"/>
      <c r="P30" s="718"/>
      <c r="Q30" s="718"/>
    </row>
    <row r="31" spans="1:17" x14ac:dyDescent="0.25">
      <c r="A31" s="715" t="e">
        <f>#REF!</f>
        <v>#REF!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7"/>
      <c r="N31" s="719"/>
      <c r="O31" s="719"/>
      <c r="P31" s="719"/>
      <c r="Q31" s="719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5" t="e">
        <f>#REF!</f>
        <v>#REF!</v>
      </c>
      <c r="B34" s="706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15" t="e">
        <f>#REF!</f>
        <v>#REF!</v>
      </c>
      <c r="B36" s="716"/>
      <c r="C36" s="716"/>
      <c r="D36" s="716"/>
      <c r="E36" s="716"/>
      <c r="F36" s="716"/>
      <c r="G36" s="716"/>
      <c r="H36" s="716"/>
      <c r="I36" s="716"/>
      <c r="J36" s="716"/>
      <c r="K36" s="716"/>
      <c r="L36" s="717"/>
    </row>
    <row r="37" spans="1:12" ht="15.95" customHeight="1" x14ac:dyDescent="0.25">
      <c r="A37" s="722" t="e">
        <f>#REF!</f>
        <v>#REF!</v>
      </c>
      <c r="B37" s="723"/>
      <c r="C37" s="723" t="e">
        <f>#REF!</f>
        <v>#REF!</v>
      </c>
      <c r="D37" s="723"/>
      <c r="E37" s="723" t="e">
        <f>#REF!</f>
        <v>#REF!</v>
      </c>
      <c r="F37" s="723"/>
      <c r="G37" s="723" t="e">
        <f>#REF!</f>
        <v>#REF!</v>
      </c>
      <c r="H37" s="723"/>
      <c r="I37" s="723" t="e">
        <f>#REF!</f>
        <v>#REF!</v>
      </c>
      <c r="J37" s="723"/>
      <c r="K37" s="723" t="e">
        <f>#REF!</f>
        <v>#REF!</v>
      </c>
      <c r="L37" s="724"/>
    </row>
    <row r="38" spans="1:12" ht="15.95" customHeight="1" x14ac:dyDescent="0.25">
      <c r="A38" s="725" t="e">
        <f>#REF!</f>
        <v>#REF!</v>
      </c>
      <c r="B38" s="726"/>
      <c r="C38" s="720" t="e">
        <f>#REF!</f>
        <v>#REF!</v>
      </c>
      <c r="D38" s="721"/>
      <c r="E38" s="727" t="e">
        <f>#REF!</f>
        <v>#REF!</v>
      </c>
      <c r="F38" s="727"/>
      <c r="G38" s="728" t="e">
        <f>#REF!</f>
        <v>#REF!</v>
      </c>
      <c r="H38" s="729"/>
      <c r="I38" s="730" t="e">
        <f>#REF!</f>
        <v>#REF!</v>
      </c>
      <c r="J38" s="730"/>
      <c r="K38" s="720" t="e">
        <f>#REF!</f>
        <v>#REF!</v>
      </c>
      <c r="L38" s="721"/>
    </row>
    <row r="39" spans="1:12" x14ac:dyDescent="0.25">
      <c r="A39" s="734" t="e">
        <f>#REF!</f>
        <v>#REF!</v>
      </c>
      <c r="B39" s="734"/>
      <c r="C39" s="734" t="e">
        <f>#REF!</f>
        <v>#REF!</v>
      </c>
      <c r="D39" s="734"/>
      <c r="E39" s="734" t="e">
        <f>#REF!</f>
        <v>#REF!</v>
      </c>
      <c r="F39" s="734"/>
      <c r="G39" s="735" t="e">
        <f>#REF!</f>
        <v>#REF!</v>
      </c>
      <c r="H39" s="735"/>
      <c r="I39" s="735" t="e">
        <f>#REF!</f>
        <v>#REF!</v>
      </c>
      <c r="J39" s="735"/>
      <c r="K39" s="736" t="e">
        <f>#REF!</f>
        <v>#REF!</v>
      </c>
      <c r="L39" s="736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1" t="e">
        <f>#REF!</f>
        <v>#REF!</v>
      </c>
      <c r="B41" s="731"/>
      <c r="C41" s="731"/>
      <c r="D41" s="731"/>
      <c r="E41" s="731"/>
      <c r="F41" s="731"/>
      <c r="G41" s="731"/>
      <c r="H41" s="731"/>
      <c r="I41" s="731"/>
      <c r="J41" s="731"/>
      <c r="K41" s="731"/>
      <c r="L41" s="731"/>
    </row>
    <row r="42" spans="1:12" ht="29.25" customHeight="1" x14ac:dyDescent="0.25">
      <c r="A42" s="732" t="e">
        <f>#REF!</f>
        <v>#REF!</v>
      </c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</row>
    <row r="43" spans="1:12" ht="29.25" customHeight="1" x14ac:dyDescent="0.25">
      <c r="A43" s="731" t="e">
        <f>#REF!</f>
        <v>#REF!</v>
      </c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</row>
    <row r="44" spans="1:12" ht="29.25" customHeight="1" x14ac:dyDescent="0.25">
      <c r="A44" s="733" t="e">
        <f>#REF!</f>
        <v>#REF!</v>
      </c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6" priority="1" operator="equal">
      <formula>0</formula>
    </cfRule>
  </conditionalFormatting>
  <conditionalFormatting sqref="A28:L33">
    <cfRule type="cellIs" dxfId="5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2"/>
  <sheetViews>
    <sheetView workbookViewId="0"/>
  </sheetViews>
  <sheetFormatPr defaultColWidth="9.140625" defaultRowHeight="15" x14ac:dyDescent="0.25"/>
  <cols>
    <col min="1" max="1" width="9.140625" style="212"/>
    <col min="2" max="2" width="30.7109375" style="173" customWidth="1"/>
    <col min="3" max="3" width="32" style="173" customWidth="1"/>
    <col min="4" max="4" width="4.7109375" style="212" customWidth="1"/>
    <col min="5" max="5" width="12.5703125" style="173" customWidth="1"/>
    <col min="6" max="6" width="7.140625" style="212" customWidth="1"/>
    <col min="7" max="7" width="11.85546875" style="212" customWidth="1"/>
    <col min="8" max="8" width="6" style="212" customWidth="1"/>
    <col min="9" max="9" width="48" style="212" customWidth="1"/>
    <col min="10" max="10" width="39.7109375" style="212" customWidth="1"/>
    <col min="11" max="11" width="16.140625" style="212" customWidth="1"/>
    <col min="12" max="12" width="28.5703125" customWidth="1"/>
    <col min="13" max="13" width="15.140625" style="212" customWidth="1"/>
    <col min="14" max="14" width="26" style="173" customWidth="1"/>
    <col min="15" max="15" width="10.85546875" customWidth="1"/>
    <col min="16" max="16" width="9.140625" style="212"/>
  </cols>
  <sheetData>
    <row r="1" spans="1:17" s="237" customFormat="1" x14ac:dyDescent="0.25">
      <c r="A1" s="264"/>
      <c r="B1" s="234" t="s">
        <v>0</v>
      </c>
      <c r="C1" s="234" t="s">
        <v>1</v>
      </c>
      <c r="D1" s="234" t="s">
        <v>2</v>
      </c>
      <c r="E1" s="234" t="s">
        <v>3</v>
      </c>
      <c r="F1" s="236" t="s">
        <v>4</v>
      </c>
      <c r="G1" s="234" t="s">
        <v>5</v>
      </c>
      <c r="H1" s="234" t="s">
        <v>6</v>
      </c>
      <c r="I1" s="234" t="s">
        <v>7</v>
      </c>
      <c r="J1" s="234" t="s">
        <v>8</v>
      </c>
      <c r="K1" s="236" t="s">
        <v>9</v>
      </c>
      <c r="L1" s="236" t="s">
        <v>10</v>
      </c>
      <c r="M1" s="234" t="s">
        <v>11</v>
      </c>
      <c r="N1" s="234" t="s">
        <v>12</v>
      </c>
      <c r="O1" s="234" t="s">
        <v>13</v>
      </c>
      <c r="Q1" s="265" t="s">
        <v>14</v>
      </c>
    </row>
    <row r="2" spans="1:17" x14ac:dyDescent="0.25">
      <c r="B2" s="173" t="str">
        <f>Evidence!D2</f>
        <v>martin.k_2003@volny.cz</v>
      </c>
      <c r="C2" s="173" t="str">
        <f>Evidence!B2</f>
        <v>Martin Klíma</v>
      </c>
      <c r="E2" s="173">
        <f>Evidence!E2</f>
        <v>607252477</v>
      </c>
      <c r="I2" s="212" t="str">
        <f>Evidence!C2</f>
        <v>Zborovská 939/2, 616 00 Brno</v>
      </c>
      <c r="J2" s="212" t="str">
        <f t="shared" ref="J2:J65" si="0">dum_adresa</f>
        <v>Zborovská 939/2, Žabovřesky, 616 00 Brno</v>
      </c>
      <c r="K2" s="235" t="str">
        <f>Evidence!A2</f>
        <v>Byt č. 939/01</v>
      </c>
      <c r="L2" s="212" t="str">
        <f t="shared" ref="L2:L65" si="1">("C:\sprava\"&amp;SUBSTITUTE(K2,"/","")&amp;".pdf")</f>
        <v>C:\sprava\Byt č. 93901.pdf</v>
      </c>
      <c r="N2" s="173" t="s">
        <v>15</v>
      </c>
      <c r="O2" s="212"/>
    </row>
    <row r="3" spans="1:17" x14ac:dyDescent="0.25">
      <c r="B3" s="173" t="str">
        <f>Evidence!D3</f>
        <v>volodymyr_polovko@mail.ru</v>
      </c>
      <c r="C3" s="173" t="str">
        <f>Evidence!B3</f>
        <v>Volodymyr Polovko</v>
      </c>
      <c r="E3" s="173">
        <f>Evidence!E3</f>
        <v>776425566</v>
      </c>
      <c r="I3" s="212" t="str">
        <f>Evidence!C3</f>
        <v>Zborovská 939/2, 61600 Brno</v>
      </c>
      <c r="J3" s="212" t="str">
        <f t="shared" si="0"/>
        <v>Zborovská 939/2, Žabovřesky, 616 00 Brno</v>
      </c>
      <c r="K3" s="235" t="str">
        <f>Evidence!A3</f>
        <v>Byt č. 939/02</v>
      </c>
      <c r="L3" s="212" t="str">
        <f t="shared" si="1"/>
        <v>C:\sprava\Byt č. 93902.pdf</v>
      </c>
      <c r="N3" s="173" t="s">
        <v>16</v>
      </c>
      <c r="O3" s="212"/>
    </row>
    <row r="4" spans="1:17" x14ac:dyDescent="0.25">
      <c r="B4" s="173" t="str">
        <f>Evidence!D4</f>
        <v>VeronikaTeplikova@seznam.cz</v>
      </c>
      <c r="C4" s="173" t="str">
        <f>Evidence!B4</f>
        <v>Veronika Teplíková</v>
      </c>
      <c r="E4" s="173">
        <f>Evidence!E4</f>
        <v>728608587</v>
      </c>
      <c r="I4" s="212" t="str">
        <f>Evidence!C4</f>
        <v>Těšice 600, 696 19  Mikulčice</v>
      </c>
      <c r="J4" s="212" t="str">
        <f t="shared" si="0"/>
        <v>Zborovská 939/2, Žabovřesky, 616 00 Brno</v>
      </c>
      <c r="K4" s="235" t="str">
        <f>Evidence!A4</f>
        <v>Byt č. 939/03</v>
      </c>
      <c r="L4" s="212" t="str">
        <f t="shared" si="1"/>
        <v>C:\sprava\Byt č. 93903.pdf</v>
      </c>
      <c r="N4" s="173" t="s">
        <v>17</v>
      </c>
      <c r="O4" s="212"/>
    </row>
    <row r="5" spans="1:17" x14ac:dyDescent="0.25">
      <c r="B5" s="173" t="str">
        <f>Evidence!D5</f>
        <v>kotek.vladimir@gmail.com</v>
      </c>
      <c r="C5" s="173" t="str">
        <f>Evidence!B5</f>
        <v>D.A.B. Property s.r.o.</v>
      </c>
      <c r="E5" s="173" t="str">
        <f>Evidence!E5</f>
        <v>603 792 968</v>
      </c>
      <c r="I5" s="212" t="str">
        <f>Evidence!C5</f>
        <v>Pastviny 645/3, 624 00 Brno</v>
      </c>
      <c r="J5" s="212" t="str">
        <f t="shared" si="0"/>
        <v>Zborovská 939/2, Žabovřesky, 616 00 Brno</v>
      </c>
      <c r="K5" s="235" t="str">
        <f>Evidence!A5</f>
        <v>Byt č. 939/04</v>
      </c>
      <c r="L5" s="212" t="str">
        <f t="shared" si="1"/>
        <v>C:\sprava\Byt č. 93904.pdf</v>
      </c>
      <c r="N5" s="173" t="s">
        <v>18</v>
      </c>
      <c r="O5" s="212"/>
    </row>
    <row r="6" spans="1:17" x14ac:dyDescent="0.25">
      <c r="B6" s="173" t="str">
        <f>Evidence!D6</f>
        <v>jana.van@post.cz</v>
      </c>
      <c r="C6" s="173" t="str">
        <f>Evidence!B6</f>
        <v>Jana Vaňková</v>
      </c>
      <c r="E6" s="173">
        <f>Evidence!E6</f>
        <v>774229922</v>
      </c>
      <c r="I6" s="212" t="str">
        <f>Evidence!C6</f>
        <v>č. p. 276, 66404 Hostěnice</v>
      </c>
      <c r="J6" s="212" t="str">
        <f t="shared" si="0"/>
        <v>Zborovská 939/2, Žabovřesky, 616 00 Brno</v>
      </c>
      <c r="K6" s="235" t="str">
        <f>Evidence!A6</f>
        <v>Byt č. 939/05</v>
      </c>
      <c r="L6" s="212" t="str">
        <f t="shared" si="1"/>
        <v>C:\sprava\Byt č. 93905.pdf</v>
      </c>
      <c r="N6" s="173" t="s">
        <v>19</v>
      </c>
      <c r="O6" s="212"/>
    </row>
    <row r="7" spans="1:17" x14ac:dyDescent="0.25">
      <c r="B7" s="173" t="str">
        <f>Evidence!D7</f>
        <v>milan.kost@email.cz</v>
      </c>
      <c r="C7" s="173" t="str">
        <f>Evidence!B7</f>
        <v>Ing. Milan Kosť</v>
      </c>
      <c r="E7" s="173">
        <f>Evidence!E7</f>
        <v>777338203</v>
      </c>
      <c r="I7" s="212" t="str">
        <f>Evidence!C7</f>
        <v>42, 570 01 Poříčí u Litomyšle</v>
      </c>
      <c r="J7" s="212" t="str">
        <f t="shared" si="0"/>
        <v>Zborovská 939/2, Žabovřesky, 616 00 Brno</v>
      </c>
      <c r="K7" s="235" t="str">
        <f>Evidence!A7</f>
        <v>Byt č. 939/06</v>
      </c>
      <c r="L7" s="212" t="str">
        <f t="shared" si="1"/>
        <v>C:\sprava\Byt č. 93906.pdf</v>
      </c>
      <c r="N7" s="173" t="s">
        <v>18</v>
      </c>
      <c r="O7" s="212"/>
    </row>
    <row r="8" spans="1:17" x14ac:dyDescent="0.25">
      <c r="B8" s="173" t="str">
        <f>Evidence!D8</f>
        <v>ernest.biros@fnusa.cz</v>
      </c>
      <c r="C8" s="173" t="str">
        <f>Evidence!B8</f>
        <v>MUDr. Ernest Biroš</v>
      </c>
      <c r="E8" s="173" t="str">
        <f>Evidence!E8</f>
        <v>776 235 263</v>
      </c>
      <c r="I8" s="212" t="str">
        <f>Evidence!C8</f>
        <v>Újezdy 590/11,614 00 Brno</v>
      </c>
      <c r="J8" s="212" t="str">
        <f t="shared" si="0"/>
        <v>Zborovská 939/2, Žabovřesky, 616 00 Brno</v>
      </c>
      <c r="K8" s="235" t="str">
        <f>Evidence!A8</f>
        <v>Byt č. 939/07</v>
      </c>
      <c r="L8" s="212" t="str">
        <f t="shared" si="1"/>
        <v>C:\sprava\Byt č. 93907.pdf</v>
      </c>
      <c r="N8" s="173" t="s">
        <v>20</v>
      </c>
      <c r="O8" s="212"/>
    </row>
    <row r="9" spans="1:17" x14ac:dyDescent="0.25">
      <c r="B9" s="173" t="str">
        <f>Evidence!D9</f>
        <v>vorba@volny.cz</v>
      </c>
      <c r="C9" s="173" t="str">
        <f>Evidence!B9</f>
        <v>Ing. Miloš Vorba</v>
      </c>
      <c r="E9" s="173">
        <f>Evidence!E9</f>
        <v>608632338</v>
      </c>
      <c r="I9" s="212" t="str">
        <f>Evidence!C9</f>
        <v>Zborovská 939/2, 616 00  Brno-Žabovřesky</v>
      </c>
      <c r="J9" s="212" t="str">
        <f t="shared" si="0"/>
        <v>Zborovská 939/2, Žabovřesky, 616 00 Brno</v>
      </c>
      <c r="K9" s="235" t="str">
        <f>Evidence!A9</f>
        <v>Byt č. 939/08</v>
      </c>
      <c r="L9" s="212" t="str">
        <f t="shared" si="1"/>
        <v>C:\sprava\Byt č. 93908.pdf</v>
      </c>
      <c r="N9" s="173" t="s">
        <v>18</v>
      </c>
      <c r="O9" s="212"/>
    </row>
    <row r="10" spans="1:17" x14ac:dyDescent="0.25">
      <c r="B10" s="173" t="str">
        <f>Evidence!D10</f>
        <v>milan.kost@email.cz</v>
      </c>
      <c r="C10" s="173" t="str">
        <f>Evidence!B10</f>
        <v>Ing. Milan Kosť</v>
      </c>
      <c r="E10" s="173">
        <f>Evidence!E10</f>
        <v>777338203</v>
      </c>
      <c r="I10" s="212" t="str">
        <f>Evidence!C10</f>
        <v>42, 570 01 Poříčí u Litomyšle</v>
      </c>
      <c r="J10" s="212" t="str">
        <f t="shared" si="0"/>
        <v>Zborovská 939/2, Žabovřesky, 616 00 Brno</v>
      </c>
      <c r="K10" s="235" t="str">
        <f>Evidence!A10</f>
        <v>Byt č. 939/09</v>
      </c>
      <c r="L10" s="212" t="str">
        <f t="shared" si="1"/>
        <v>C:\sprava\Byt č. 93909.pdf</v>
      </c>
      <c r="N10" s="173" t="s">
        <v>18</v>
      </c>
      <c r="O10" s="212"/>
    </row>
    <row r="11" spans="1:17" x14ac:dyDescent="0.25">
      <c r="B11" s="173" t="str">
        <f>Evidence!D11</f>
        <v>jojkos@gmail.com</v>
      </c>
      <c r="C11" s="173" t="str">
        <f>Evidence!B11</f>
        <v>Jonáš Holcner</v>
      </c>
      <c r="E11" s="173">
        <f>Evidence!E11</f>
        <v>721334220</v>
      </c>
      <c r="I11" s="212" t="str">
        <f>Evidence!C11</f>
        <v>Dobrovského 1872/88, 612 00 Brno</v>
      </c>
      <c r="J11" s="212" t="str">
        <f t="shared" si="0"/>
        <v>Zborovská 939/2, Žabovřesky, 616 00 Brno</v>
      </c>
      <c r="K11" s="235" t="str">
        <f>Evidence!A11</f>
        <v>Byt č. 939/10</v>
      </c>
      <c r="L11" s="212" t="str">
        <f t="shared" si="1"/>
        <v>C:\sprava\Byt č. 93910.pdf</v>
      </c>
      <c r="N11" s="173" t="s">
        <v>21</v>
      </c>
      <c r="O11" s="212"/>
    </row>
    <row r="12" spans="1:17" x14ac:dyDescent="0.25">
      <c r="B12" s="173" t="str">
        <f>Evidence!D12</f>
        <v>jbrandtner@me.com</v>
      </c>
      <c r="C12" s="173" t="str">
        <f>Evidence!B12</f>
        <v>Jiří Brandtner</v>
      </c>
      <c r="E12" s="173">
        <f>Evidence!E12</f>
        <v>724672451</v>
      </c>
      <c r="I12" s="212" t="str">
        <f>Evidence!C12</f>
        <v>Nad kašnou 1157/21, 635 00  Brno-Bystrc</v>
      </c>
      <c r="J12" s="212" t="str">
        <f t="shared" si="0"/>
        <v>Zborovská 939/2, Žabovřesky, 616 00 Brno</v>
      </c>
      <c r="K12" s="235" t="str">
        <f>Evidence!A12</f>
        <v>Byt č. 939/11</v>
      </c>
      <c r="L12" s="212" t="str">
        <f t="shared" si="1"/>
        <v>C:\sprava\Byt č. 93911.pdf</v>
      </c>
      <c r="N12" s="173" t="s">
        <v>22</v>
      </c>
      <c r="O12" s="212"/>
    </row>
    <row r="13" spans="1:17" x14ac:dyDescent="0.25">
      <c r="B13" s="173" t="str">
        <f>Evidence!D13</f>
        <v>pkucernakova@seznam.cz</v>
      </c>
      <c r="C13" s="173" t="str">
        <f>Evidence!B13</f>
        <v>Patricie Kučerňáková</v>
      </c>
      <c r="E13" s="173">
        <f>Evidence!E13</f>
        <v>773963451</v>
      </c>
      <c r="I13" s="212" t="str">
        <f>Evidence!C13</f>
        <v>Hlavní 6, 667 01  Vojkovice</v>
      </c>
      <c r="J13" s="212" t="str">
        <f t="shared" si="0"/>
        <v>Zborovská 939/2, Žabovřesky, 616 00 Brno</v>
      </c>
      <c r="K13" s="235" t="str">
        <f>Evidence!A13</f>
        <v>Byt č. 939/12</v>
      </c>
      <c r="L13" s="212" t="str">
        <f t="shared" si="1"/>
        <v>C:\sprava\Byt č. 93912.pdf</v>
      </c>
      <c r="N13" s="173" t="s">
        <v>23</v>
      </c>
      <c r="O13" s="212"/>
    </row>
    <row r="14" spans="1:17" x14ac:dyDescent="0.25">
      <c r="B14" s="173" t="str">
        <f>Evidence!D14</f>
        <v>ronald.bartak@sportrontour.cz</v>
      </c>
      <c r="C14" s="173" t="str">
        <f>Evidence!B14</f>
        <v>Ronald Barták</v>
      </c>
      <c r="E14" s="173">
        <f>Evidence!E14</f>
        <v>776033159</v>
      </c>
      <c r="I14" s="212" t="str">
        <f>Evidence!C14</f>
        <v>Zborovská 939/2, 616 00 Brno-Žabovřesky</v>
      </c>
      <c r="J14" s="212" t="str">
        <f t="shared" si="0"/>
        <v>Zborovská 939/2, Žabovřesky, 616 00 Brno</v>
      </c>
      <c r="K14" s="235" t="str">
        <f>Evidence!A14</f>
        <v>Byt č. 939/13</v>
      </c>
      <c r="L14" s="212" t="str">
        <f t="shared" si="1"/>
        <v>C:\sprava\Byt č. 93913.pdf</v>
      </c>
      <c r="N14" s="173" t="s">
        <v>24</v>
      </c>
      <c r="O14" s="212"/>
    </row>
    <row r="15" spans="1:17" x14ac:dyDescent="0.25">
      <c r="B15" s="173" t="str">
        <f>Evidence!D15</f>
        <v>reznicek@abhdesign.cz</v>
      </c>
      <c r="C15" s="173" t="str">
        <f>Evidence!B15</f>
        <v>Ing. František Řezníček</v>
      </c>
      <c r="E15" s="173">
        <f>Evidence!E15</f>
        <v>734853708</v>
      </c>
      <c r="I15" s="212" t="str">
        <f>Evidence!C15</f>
        <v>Zborovská 939/2, 616 00 Brno</v>
      </c>
      <c r="J15" s="212" t="str">
        <f t="shared" si="0"/>
        <v>Zborovská 939/2, Žabovřesky, 616 00 Brno</v>
      </c>
      <c r="K15" s="235" t="str">
        <f>Evidence!A15</f>
        <v>Byt č. 939/14</v>
      </c>
      <c r="L15" s="212" t="str">
        <f t="shared" si="1"/>
        <v>C:\sprava\Byt č. 93914.pdf</v>
      </c>
      <c r="N15" s="173" t="s">
        <v>18</v>
      </c>
      <c r="O15" s="212"/>
    </row>
    <row r="16" spans="1:17" x14ac:dyDescent="0.25">
      <c r="B16" s="173" t="str">
        <f>Evidence!D16</f>
        <v>otahalova.i@email.cz</v>
      </c>
      <c r="C16" s="173" t="str">
        <f>Evidence!B16</f>
        <v>Ivanka Otáhalová</v>
      </c>
      <c r="E16" s="173">
        <f>Evidence!E16</f>
        <v>776842176</v>
      </c>
      <c r="I16" s="212" t="str">
        <f>Evidence!C16</f>
        <v>Zborovská 939/2, 616 00 Brno-Žabovřesky</v>
      </c>
      <c r="J16" s="212" t="str">
        <f t="shared" si="0"/>
        <v>Zborovská 939/2, Žabovřesky, 616 00 Brno</v>
      </c>
      <c r="K16" s="235" t="str">
        <f>Evidence!A16</f>
        <v>Byt č. 939/15</v>
      </c>
      <c r="L16" s="212" t="str">
        <f t="shared" si="1"/>
        <v>C:\sprava\Byt č. 93915.pdf</v>
      </c>
      <c r="N16" s="173" t="s">
        <v>25</v>
      </c>
      <c r="O16" s="212"/>
    </row>
    <row r="17" spans="2:15" x14ac:dyDescent="0.25">
      <c r="B17" s="173" t="str">
        <f>Evidence!D17</f>
        <v>janikoval@seznam.cz</v>
      </c>
      <c r="C17" s="173" t="str">
        <f>Evidence!B17</f>
        <v>Lenka Bajerová</v>
      </c>
      <c r="E17" s="173">
        <f>Evidence!E17</f>
        <v>732958743</v>
      </c>
      <c r="I17" s="212" t="str">
        <f>Evidence!C17</f>
        <v>Karla Guta 1646/1, Uhříněves, 10400 Praha 10</v>
      </c>
      <c r="J17" s="212" t="str">
        <f t="shared" si="0"/>
        <v>Zborovská 939/2, Žabovřesky, 616 00 Brno</v>
      </c>
      <c r="K17" s="235" t="str">
        <f>Evidence!A17</f>
        <v>Byt č. 939/16</v>
      </c>
      <c r="L17" s="212" t="str">
        <f t="shared" si="1"/>
        <v>C:\sprava\Byt č. 93916.pdf</v>
      </c>
      <c r="N17" s="173" t="s">
        <v>26</v>
      </c>
      <c r="O17" s="212"/>
    </row>
    <row r="18" spans="2:15" x14ac:dyDescent="0.25">
      <c r="B18" s="173" t="str">
        <f>Evidence!D18</f>
        <v>michal.dekan@gmail.com</v>
      </c>
      <c r="C18" s="173" t="str">
        <f>Evidence!B18</f>
        <v>Michal Dekan</v>
      </c>
      <c r="E18" s="173">
        <f>Evidence!E18</f>
        <v>721528606</v>
      </c>
      <c r="I18" s="212" t="str">
        <f>Evidence!C18</f>
        <v>Zborovská 939/2, 616 00 Brno</v>
      </c>
      <c r="J18" s="212" t="str">
        <f t="shared" si="0"/>
        <v>Zborovská 939/2, Žabovřesky, 616 00 Brno</v>
      </c>
      <c r="K18" s="235" t="str">
        <f>Evidence!A18</f>
        <v>Byt č. 939/17</v>
      </c>
      <c r="L18" s="212" t="str">
        <f t="shared" si="1"/>
        <v>C:\sprava\Byt č. 93917.pdf</v>
      </c>
      <c r="N18" s="173" t="s">
        <v>27</v>
      </c>
      <c r="O18" s="212"/>
    </row>
    <row r="19" spans="2:15" x14ac:dyDescent="0.25">
      <c r="B19" s="173" t="str">
        <f>Evidence!D19</f>
        <v>ferenc.stanislav@gmail.com</v>
      </c>
      <c r="C19" s="173" t="str">
        <f>Evidence!B19</f>
        <v>Ing. Stanislav Ferenc</v>
      </c>
      <c r="E19" s="173" t="str">
        <f>Evidence!E19</f>
        <v>+41 76 777 85 45</v>
      </c>
      <c r="I19" s="212" t="str">
        <f>Evidence!C19</f>
        <v>Podjavorinskej 6, 080 05 Prešov, Slovensko</v>
      </c>
      <c r="J19" s="212" t="str">
        <f t="shared" si="0"/>
        <v>Zborovská 939/2, Žabovřesky, 616 00 Brno</v>
      </c>
      <c r="K19" s="235" t="str">
        <f>Evidence!A19</f>
        <v>Byt č. 939/17 P</v>
      </c>
      <c r="L19" s="212" t="str">
        <f t="shared" si="1"/>
        <v>C:\sprava\Byt č. 93917 P.pdf</v>
      </c>
      <c r="N19" s="173" t="s">
        <v>18</v>
      </c>
      <c r="O19" s="212"/>
    </row>
    <row r="20" spans="2:15" x14ac:dyDescent="0.25">
      <c r="B20" s="173" t="str">
        <f>Evidence!D20</f>
        <v>dzubik@post.cz</v>
      </c>
      <c r="C20" s="173" t="str">
        <f>Evidence!B20</f>
        <v>Ing. Petr Džiuban</v>
      </c>
      <c r="E20" s="173">
        <f>Evidence!E20</f>
        <v>702243800</v>
      </c>
      <c r="I20" s="212" t="str">
        <f>Evidence!C20</f>
        <v>Královopolské Vážany 226, 683 01 Rousínov</v>
      </c>
      <c r="J20" s="212" t="str">
        <f t="shared" si="0"/>
        <v>Zborovská 939/2, Žabovřesky, 616 00 Brno</v>
      </c>
      <c r="K20" s="235" t="str">
        <f>Evidence!A20</f>
        <v>Byt č. 939/18</v>
      </c>
      <c r="L20" s="212" t="str">
        <f t="shared" si="1"/>
        <v>C:\sprava\Byt č. 93918.pdf</v>
      </c>
      <c r="N20" s="173" t="s">
        <v>18</v>
      </c>
      <c r="O20" s="212"/>
    </row>
    <row r="21" spans="2:15" x14ac:dyDescent="0.25">
      <c r="B21" s="173" t="str">
        <f>Evidence!D21</f>
        <v>ficek@overax.eu</v>
      </c>
      <c r="C21" s="173" t="str">
        <f>Evidence!B21</f>
        <v>Ing. Richard Ficek</v>
      </c>
      <c r="E21" s="173">
        <f>Evidence!E21</f>
        <v>605860810</v>
      </c>
      <c r="I21" s="212" t="str">
        <f>Evidence!C21</f>
        <v>Zborovská 939/2, 616 00 Brno</v>
      </c>
      <c r="J21" s="212" t="str">
        <f t="shared" si="0"/>
        <v>Zborovská 939/2, Žabovřesky, 616 00 Brno</v>
      </c>
      <c r="K21" s="235" t="str">
        <f>Evidence!A21</f>
        <v>Byt č. 939/19</v>
      </c>
      <c r="L21" s="212" t="str">
        <f t="shared" si="1"/>
        <v>C:\sprava\Byt č. 93919.pdf</v>
      </c>
      <c r="N21" s="173" t="s">
        <v>18</v>
      </c>
      <c r="O21" s="212"/>
    </row>
    <row r="22" spans="2:15" x14ac:dyDescent="0.25">
      <c r="B22" s="173">
        <f>Evidence!D22</f>
        <v>0</v>
      </c>
      <c r="C22" s="173">
        <f>Evidence!B22</f>
        <v>0</v>
      </c>
      <c r="E22" s="173">
        <f>Evidence!E22</f>
        <v>0</v>
      </c>
      <c r="I22" s="212">
        <f>Evidence!C22</f>
        <v>0</v>
      </c>
      <c r="J22" s="212" t="str">
        <f t="shared" si="0"/>
        <v>Zborovská 939/2, Žabovřesky, 616 00 Brno</v>
      </c>
      <c r="K22" s="235">
        <f>Evidence!A22</f>
        <v>0</v>
      </c>
      <c r="L22" s="212" t="str">
        <f t="shared" si="1"/>
        <v>C:\sprava\0.pdf</v>
      </c>
      <c r="N22" s="173" t="s">
        <v>18</v>
      </c>
      <c r="O22" s="212"/>
    </row>
    <row r="23" spans="2:15" x14ac:dyDescent="0.25">
      <c r="B23" s="173">
        <f>Evidence!D23</f>
        <v>0</v>
      </c>
      <c r="C23" s="173">
        <f>Evidence!B23</f>
        <v>0</v>
      </c>
      <c r="E23" s="173">
        <f>Evidence!E23</f>
        <v>0</v>
      </c>
      <c r="I23" s="212">
        <f>Evidence!C23</f>
        <v>0</v>
      </c>
      <c r="J23" s="212" t="str">
        <f t="shared" si="0"/>
        <v>Zborovská 939/2, Žabovřesky, 616 00 Brno</v>
      </c>
      <c r="K23" s="235">
        <f>Evidence!A23</f>
        <v>0</v>
      </c>
      <c r="L23" s="212" t="str">
        <f t="shared" si="1"/>
        <v>C:\sprava\0.pdf</v>
      </c>
      <c r="N23" s="173" t="s">
        <v>28</v>
      </c>
      <c r="O23" s="212"/>
    </row>
    <row r="24" spans="2:15" x14ac:dyDescent="0.25">
      <c r="B24" s="173">
        <f>Evidence!D24</f>
        <v>0</v>
      </c>
      <c r="C24" s="173">
        <f>Evidence!B24</f>
        <v>0</v>
      </c>
      <c r="E24" s="173">
        <f>Evidence!E24</f>
        <v>0</v>
      </c>
      <c r="I24" s="212">
        <f>Evidence!C24</f>
        <v>0</v>
      </c>
      <c r="J24" s="212" t="str">
        <f t="shared" si="0"/>
        <v>Zborovská 939/2, Žabovřesky, 616 00 Brno</v>
      </c>
      <c r="K24" s="235">
        <f>Evidence!A24</f>
        <v>0</v>
      </c>
      <c r="L24" s="212" t="str">
        <f t="shared" si="1"/>
        <v>C:\sprava\0.pdf</v>
      </c>
      <c r="N24" s="173" t="s">
        <v>29</v>
      </c>
      <c r="O24" s="212"/>
    </row>
    <row r="25" spans="2:15" x14ac:dyDescent="0.25">
      <c r="B25" s="173">
        <f>Evidence!D25</f>
        <v>0</v>
      </c>
      <c r="C25" s="173">
        <f>Evidence!B25</f>
        <v>0</v>
      </c>
      <c r="E25" s="173">
        <f>Evidence!E25</f>
        <v>0</v>
      </c>
      <c r="I25" s="212">
        <f>Evidence!C25</f>
        <v>0</v>
      </c>
      <c r="J25" s="212" t="str">
        <f t="shared" si="0"/>
        <v>Zborovská 939/2, Žabovřesky, 616 00 Brno</v>
      </c>
      <c r="K25" s="235">
        <f>Evidence!A25</f>
        <v>0</v>
      </c>
      <c r="L25" s="212" t="str">
        <f t="shared" si="1"/>
        <v>C:\sprava\0.pdf</v>
      </c>
      <c r="N25" s="173" t="s">
        <v>30</v>
      </c>
      <c r="O25" s="212"/>
    </row>
    <row r="26" spans="2:15" x14ac:dyDescent="0.25">
      <c r="B26" s="173">
        <f>Evidence!D26</f>
        <v>0</v>
      </c>
      <c r="C26" s="173">
        <f>Evidence!B26</f>
        <v>0</v>
      </c>
      <c r="E26" s="173">
        <f>Evidence!E26</f>
        <v>0</v>
      </c>
      <c r="I26" s="212">
        <f>Evidence!C26</f>
        <v>0</v>
      </c>
      <c r="J26" s="212" t="str">
        <f t="shared" si="0"/>
        <v>Zborovská 939/2, Žabovřesky, 616 00 Brno</v>
      </c>
      <c r="K26" s="235">
        <f>Evidence!A26</f>
        <v>0</v>
      </c>
      <c r="L26" s="212" t="str">
        <f t="shared" si="1"/>
        <v>C:\sprava\0.pdf</v>
      </c>
      <c r="N26" s="173" t="s">
        <v>31</v>
      </c>
      <c r="O26" s="212"/>
    </row>
    <row r="27" spans="2:15" x14ac:dyDescent="0.25">
      <c r="B27" s="173">
        <f>Evidence!D27</f>
        <v>0</v>
      </c>
      <c r="C27" s="173">
        <f>Evidence!B27</f>
        <v>0</v>
      </c>
      <c r="E27" s="173">
        <f>Evidence!E27</f>
        <v>0</v>
      </c>
      <c r="I27" s="212">
        <f>Evidence!C27</f>
        <v>0</v>
      </c>
      <c r="J27" s="212" t="str">
        <f t="shared" si="0"/>
        <v>Zborovská 939/2, Žabovřesky, 616 00 Brno</v>
      </c>
      <c r="K27" s="235">
        <f>Evidence!A27</f>
        <v>0</v>
      </c>
      <c r="L27" s="212" t="str">
        <f t="shared" si="1"/>
        <v>C:\sprava\0.pdf</v>
      </c>
      <c r="N27" s="173" t="s">
        <v>28</v>
      </c>
      <c r="O27" s="212"/>
    </row>
    <row r="28" spans="2:15" x14ac:dyDescent="0.25">
      <c r="B28" s="173">
        <f>Evidence!D28</f>
        <v>0</v>
      </c>
      <c r="C28" s="173">
        <f>Evidence!B28</f>
        <v>0</v>
      </c>
      <c r="E28" s="173">
        <f>Evidence!E28</f>
        <v>0</v>
      </c>
      <c r="I28" s="212">
        <f>Evidence!C28</f>
        <v>0</v>
      </c>
      <c r="J28" s="212" t="str">
        <f t="shared" si="0"/>
        <v>Zborovská 939/2, Žabovřesky, 616 00 Brno</v>
      </c>
      <c r="K28" s="235">
        <f>Evidence!A28</f>
        <v>0</v>
      </c>
      <c r="L28" s="212" t="str">
        <f t="shared" si="1"/>
        <v>C:\sprava\0.pdf</v>
      </c>
      <c r="N28" s="173" t="s">
        <v>20</v>
      </c>
      <c r="O28" s="212"/>
    </row>
    <row r="29" spans="2:15" x14ac:dyDescent="0.25">
      <c r="B29" s="173">
        <f>Evidence!D29</f>
        <v>0</v>
      </c>
      <c r="C29" s="173">
        <f>Evidence!B29</f>
        <v>0</v>
      </c>
      <c r="E29" s="173">
        <f>Evidence!E29</f>
        <v>0</v>
      </c>
      <c r="I29" s="212">
        <f>Evidence!C29</f>
        <v>0</v>
      </c>
      <c r="J29" s="212" t="str">
        <f t="shared" si="0"/>
        <v>Zborovská 939/2, Žabovřesky, 616 00 Brno</v>
      </c>
      <c r="K29" s="235">
        <f>Evidence!A29</f>
        <v>0</v>
      </c>
      <c r="L29" s="212" t="str">
        <f t="shared" si="1"/>
        <v>C:\sprava\0.pdf</v>
      </c>
      <c r="N29" s="173" t="s">
        <v>20</v>
      </c>
      <c r="O29" s="212"/>
    </row>
    <row r="30" spans="2:15" x14ac:dyDescent="0.25">
      <c r="B30" s="173">
        <f>Evidence!D30</f>
        <v>0</v>
      </c>
      <c r="C30" s="173">
        <f>Evidence!B30</f>
        <v>0</v>
      </c>
      <c r="E30" s="173">
        <f>Evidence!E30</f>
        <v>0</v>
      </c>
      <c r="I30" s="212">
        <f>Evidence!C30</f>
        <v>0</v>
      </c>
      <c r="J30" s="212" t="str">
        <f t="shared" si="0"/>
        <v>Zborovská 939/2, Žabovřesky, 616 00 Brno</v>
      </c>
      <c r="K30" s="235">
        <f>Evidence!A30</f>
        <v>0</v>
      </c>
      <c r="L30" s="212" t="str">
        <f t="shared" si="1"/>
        <v>C:\sprava\0.pdf</v>
      </c>
      <c r="N30" s="173" t="s">
        <v>32</v>
      </c>
      <c r="O30" s="212"/>
    </row>
    <row r="31" spans="2:15" x14ac:dyDescent="0.25">
      <c r="B31" s="173">
        <f>Evidence!D31</f>
        <v>0</v>
      </c>
      <c r="C31" s="173">
        <f>Evidence!B31</f>
        <v>0</v>
      </c>
      <c r="E31" s="173">
        <f>Evidence!E31</f>
        <v>0</v>
      </c>
      <c r="I31" s="212">
        <f>Evidence!C31</f>
        <v>0</v>
      </c>
      <c r="J31" s="212" t="str">
        <f t="shared" si="0"/>
        <v>Zborovská 939/2, Žabovřesky, 616 00 Brno</v>
      </c>
      <c r="K31" s="235">
        <f>Evidence!A31</f>
        <v>0</v>
      </c>
      <c r="L31" s="212" t="str">
        <f t="shared" si="1"/>
        <v>C:\sprava\0.pdf</v>
      </c>
      <c r="N31" s="173" t="s">
        <v>33</v>
      </c>
      <c r="O31" s="212"/>
    </row>
    <row r="32" spans="2:15" x14ac:dyDescent="0.25">
      <c r="B32" s="173">
        <f>Evidence!D32</f>
        <v>0</v>
      </c>
      <c r="C32" s="173">
        <f>Evidence!B32</f>
        <v>0</v>
      </c>
      <c r="E32" s="173">
        <f>Evidence!E32</f>
        <v>0</v>
      </c>
      <c r="I32" s="212">
        <f>Evidence!C32</f>
        <v>0</v>
      </c>
      <c r="J32" s="212" t="str">
        <f t="shared" si="0"/>
        <v>Zborovská 939/2, Žabovřesky, 616 00 Brno</v>
      </c>
      <c r="K32" s="235">
        <f>Evidence!A32</f>
        <v>0</v>
      </c>
      <c r="L32" s="212" t="str">
        <f t="shared" si="1"/>
        <v>C:\sprava\0.pdf</v>
      </c>
      <c r="N32" s="173" t="s">
        <v>34</v>
      </c>
      <c r="O32" s="212"/>
    </row>
    <row r="33" spans="2:15" x14ac:dyDescent="0.25">
      <c r="B33" s="173">
        <f>Evidence!D33</f>
        <v>0</v>
      </c>
      <c r="C33" s="173">
        <f>Evidence!B33</f>
        <v>0</v>
      </c>
      <c r="E33" s="173">
        <f>Evidence!E33</f>
        <v>0</v>
      </c>
      <c r="I33" s="212">
        <f>Evidence!C33</f>
        <v>0</v>
      </c>
      <c r="J33" s="212" t="str">
        <f t="shared" si="0"/>
        <v>Zborovská 939/2, Žabovřesky, 616 00 Brno</v>
      </c>
      <c r="K33" s="235">
        <f>Evidence!A33</f>
        <v>0</v>
      </c>
      <c r="L33" s="212" t="str">
        <f t="shared" si="1"/>
        <v>C:\sprava\0.pdf</v>
      </c>
      <c r="N33" s="173" t="s">
        <v>35</v>
      </c>
      <c r="O33" s="212"/>
    </row>
    <row r="34" spans="2:15" x14ac:dyDescent="0.25">
      <c r="B34" s="173">
        <f>Evidence!D34</f>
        <v>0</v>
      </c>
      <c r="C34" s="173">
        <f>Evidence!B34</f>
        <v>0</v>
      </c>
      <c r="E34" s="173">
        <f>Evidence!E34</f>
        <v>0</v>
      </c>
      <c r="I34" s="212">
        <f>Evidence!C34</f>
        <v>0</v>
      </c>
      <c r="J34" s="212" t="str">
        <f t="shared" si="0"/>
        <v>Zborovská 939/2, Žabovřesky, 616 00 Brno</v>
      </c>
      <c r="K34" s="235">
        <f>Evidence!A34</f>
        <v>0</v>
      </c>
      <c r="L34" s="212" t="str">
        <f t="shared" si="1"/>
        <v>C:\sprava\0.pdf</v>
      </c>
      <c r="N34" s="173" t="s">
        <v>36</v>
      </c>
      <c r="O34" s="212"/>
    </row>
    <row r="35" spans="2:15" x14ac:dyDescent="0.25">
      <c r="B35" s="173">
        <f>Evidence!D35</f>
        <v>0</v>
      </c>
      <c r="C35" s="173">
        <f>Evidence!B35</f>
        <v>0</v>
      </c>
      <c r="E35" s="173">
        <f>Evidence!E35</f>
        <v>0</v>
      </c>
      <c r="I35" s="212">
        <f>Evidence!C35</f>
        <v>0</v>
      </c>
      <c r="J35" s="212" t="str">
        <f t="shared" si="0"/>
        <v>Zborovská 939/2, Žabovřesky, 616 00 Brno</v>
      </c>
      <c r="K35" s="235">
        <f>Evidence!A35</f>
        <v>0</v>
      </c>
      <c r="L35" s="212" t="str">
        <f t="shared" si="1"/>
        <v>C:\sprava\0.pdf</v>
      </c>
      <c r="N35" s="173" t="s">
        <v>37</v>
      </c>
      <c r="O35" s="212"/>
    </row>
    <row r="36" spans="2:15" x14ac:dyDescent="0.25">
      <c r="B36" s="173">
        <f>Evidence!D36</f>
        <v>0</v>
      </c>
      <c r="C36" s="173">
        <f>Evidence!B36</f>
        <v>0</v>
      </c>
      <c r="E36" s="173">
        <f>Evidence!E36</f>
        <v>0</v>
      </c>
      <c r="I36" s="212">
        <f>Evidence!C36</f>
        <v>0</v>
      </c>
      <c r="J36" s="212" t="str">
        <f t="shared" si="0"/>
        <v>Zborovská 939/2, Žabovřesky, 616 00 Brno</v>
      </c>
      <c r="K36" s="235">
        <f>Evidence!A36</f>
        <v>0</v>
      </c>
      <c r="L36" s="212" t="str">
        <f t="shared" si="1"/>
        <v>C:\sprava\0.pdf</v>
      </c>
      <c r="N36" s="173" t="s">
        <v>38</v>
      </c>
      <c r="O36" s="212"/>
    </row>
    <row r="37" spans="2:15" x14ac:dyDescent="0.25">
      <c r="B37" s="173">
        <f>Evidence!D37</f>
        <v>0</v>
      </c>
      <c r="C37" s="173">
        <f>Evidence!B37</f>
        <v>0</v>
      </c>
      <c r="E37" s="173">
        <f>Evidence!E37</f>
        <v>0</v>
      </c>
      <c r="I37" s="212">
        <f>Evidence!C37</f>
        <v>0</v>
      </c>
      <c r="J37" s="212" t="str">
        <f t="shared" si="0"/>
        <v>Zborovská 939/2, Žabovřesky, 616 00 Brno</v>
      </c>
      <c r="K37" s="235">
        <f>Evidence!A37</f>
        <v>0</v>
      </c>
      <c r="L37" s="212" t="str">
        <f t="shared" si="1"/>
        <v>C:\sprava\0.pdf</v>
      </c>
      <c r="N37" s="173" t="s">
        <v>39</v>
      </c>
      <c r="O37" s="212"/>
    </row>
    <row r="38" spans="2:15" x14ac:dyDescent="0.25">
      <c r="B38" s="173">
        <f>Evidence!D38</f>
        <v>0</v>
      </c>
      <c r="C38" s="173">
        <f>Evidence!B38</f>
        <v>0</v>
      </c>
      <c r="E38" s="173">
        <f>Evidence!E38</f>
        <v>0</v>
      </c>
      <c r="I38" s="212">
        <f>Evidence!C38</f>
        <v>0</v>
      </c>
      <c r="J38" s="212" t="str">
        <f t="shared" si="0"/>
        <v>Zborovská 939/2, Žabovřesky, 616 00 Brno</v>
      </c>
      <c r="K38" s="235">
        <f>Evidence!A38</f>
        <v>0</v>
      </c>
      <c r="L38" s="212" t="str">
        <f t="shared" si="1"/>
        <v>C:\sprava\0.pdf</v>
      </c>
      <c r="N38" s="173" t="s">
        <v>40</v>
      </c>
      <c r="O38" s="212"/>
    </row>
    <row r="39" spans="2:15" x14ac:dyDescent="0.25">
      <c r="B39" s="173">
        <f>Evidence!D39</f>
        <v>0</v>
      </c>
      <c r="C39" s="173">
        <f>Evidence!B39</f>
        <v>0</v>
      </c>
      <c r="E39" s="173">
        <f>Evidence!E39</f>
        <v>0</v>
      </c>
      <c r="I39" s="212">
        <f>Evidence!C39</f>
        <v>0</v>
      </c>
      <c r="J39" s="212" t="str">
        <f t="shared" si="0"/>
        <v>Zborovská 939/2, Žabovřesky, 616 00 Brno</v>
      </c>
      <c r="K39" s="235">
        <f>Evidence!A39</f>
        <v>0</v>
      </c>
      <c r="L39" s="212" t="str">
        <f t="shared" si="1"/>
        <v>C:\sprava\0.pdf</v>
      </c>
      <c r="N39" s="173" t="s">
        <v>41</v>
      </c>
      <c r="O39" s="212"/>
    </row>
    <row r="40" spans="2:15" x14ac:dyDescent="0.25">
      <c r="B40" s="173">
        <f>Evidence!D40</f>
        <v>0</v>
      </c>
      <c r="C40" s="173">
        <f>Evidence!B40</f>
        <v>0</v>
      </c>
      <c r="E40" s="173">
        <f>Evidence!E40</f>
        <v>0</v>
      </c>
      <c r="I40" s="212">
        <f>Evidence!C40</f>
        <v>0</v>
      </c>
      <c r="J40" s="212" t="str">
        <f t="shared" si="0"/>
        <v>Zborovská 939/2, Žabovřesky, 616 00 Brno</v>
      </c>
      <c r="K40" s="235">
        <f>Evidence!A40</f>
        <v>0</v>
      </c>
      <c r="L40" s="212" t="str">
        <f t="shared" si="1"/>
        <v>C:\sprava\0.pdf</v>
      </c>
      <c r="N40" s="173" t="s">
        <v>42</v>
      </c>
      <c r="O40" s="212"/>
    </row>
    <row r="41" spans="2:15" x14ac:dyDescent="0.25">
      <c r="B41" s="173">
        <f>Evidence!D41</f>
        <v>0</v>
      </c>
      <c r="C41" s="173">
        <f>Evidence!B41</f>
        <v>0</v>
      </c>
      <c r="E41" s="173">
        <f>Evidence!E41</f>
        <v>0</v>
      </c>
      <c r="I41" s="212">
        <f>Evidence!C41</f>
        <v>0</v>
      </c>
      <c r="J41" s="212" t="str">
        <f t="shared" si="0"/>
        <v>Zborovská 939/2, Žabovřesky, 616 00 Brno</v>
      </c>
      <c r="K41" s="235">
        <f>Evidence!A41</f>
        <v>0</v>
      </c>
      <c r="L41" s="212" t="str">
        <f t="shared" si="1"/>
        <v>C:\sprava\0.pdf</v>
      </c>
      <c r="N41" s="173" t="s">
        <v>20</v>
      </c>
      <c r="O41" s="212"/>
    </row>
    <row r="42" spans="2:15" x14ac:dyDescent="0.25">
      <c r="B42" s="173">
        <f>Evidence!D42</f>
        <v>0</v>
      </c>
      <c r="C42" s="173">
        <f>Evidence!B42</f>
        <v>0</v>
      </c>
      <c r="E42" s="173">
        <f>Evidence!E42</f>
        <v>0</v>
      </c>
      <c r="I42" s="212">
        <f>Evidence!C42</f>
        <v>0</v>
      </c>
      <c r="J42" s="212" t="str">
        <f t="shared" si="0"/>
        <v>Zborovská 939/2, Žabovřesky, 616 00 Brno</v>
      </c>
      <c r="K42" s="235">
        <f>Evidence!A42</f>
        <v>0</v>
      </c>
      <c r="L42" s="212" t="str">
        <f t="shared" si="1"/>
        <v>C:\sprava\0.pdf</v>
      </c>
      <c r="N42" s="173" t="s">
        <v>43</v>
      </c>
      <c r="O42" s="212"/>
    </row>
    <row r="43" spans="2:15" x14ac:dyDescent="0.25">
      <c r="B43" s="173">
        <f>Evidence!D43</f>
        <v>0</v>
      </c>
      <c r="C43" s="173">
        <f>Evidence!B43</f>
        <v>0</v>
      </c>
      <c r="E43" s="173">
        <f>Evidence!E43</f>
        <v>0</v>
      </c>
      <c r="I43" s="212">
        <f>Evidence!C43</f>
        <v>0</v>
      </c>
      <c r="J43" s="212" t="str">
        <f t="shared" si="0"/>
        <v>Zborovská 939/2, Žabovřesky, 616 00 Brno</v>
      </c>
      <c r="K43" s="235">
        <f>Evidence!A43</f>
        <v>0</v>
      </c>
      <c r="L43" s="212" t="str">
        <f t="shared" si="1"/>
        <v>C:\sprava\0.pdf</v>
      </c>
      <c r="N43" s="173" t="s">
        <v>28</v>
      </c>
      <c r="O43" s="212"/>
    </row>
    <row r="44" spans="2:15" x14ac:dyDescent="0.25">
      <c r="B44" s="173">
        <f>Evidence!D44</f>
        <v>0</v>
      </c>
      <c r="C44" s="173">
        <f>Evidence!B44</f>
        <v>0</v>
      </c>
      <c r="E44" s="173">
        <f>Evidence!E44</f>
        <v>0</v>
      </c>
      <c r="I44" s="212">
        <f>Evidence!C44</f>
        <v>0</v>
      </c>
      <c r="J44" s="212" t="str">
        <f t="shared" si="0"/>
        <v>Zborovská 939/2, Žabovřesky, 616 00 Brno</v>
      </c>
      <c r="K44" s="235">
        <f>Evidence!A44</f>
        <v>0</v>
      </c>
      <c r="L44" s="212" t="str">
        <f t="shared" si="1"/>
        <v>C:\sprava\0.pdf</v>
      </c>
      <c r="N44" s="173" t="s">
        <v>18</v>
      </c>
      <c r="O44" s="212"/>
    </row>
    <row r="45" spans="2:15" x14ac:dyDescent="0.25">
      <c r="B45" s="173">
        <f>Evidence!D45</f>
        <v>0</v>
      </c>
      <c r="C45" s="173">
        <f>Evidence!B45</f>
        <v>0</v>
      </c>
      <c r="E45" s="173">
        <f>Evidence!E45</f>
        <v>0</v>
      </c>
      <c r="I45" s="212">
        <f>Evidence!C45</f>
        <v>0</v>
      </c>
      <c r="J45" s="212" t="str">
        <f t="shared" si="0"/>
        <v>Zborovská 939/2, Žabovřesky, 616 00 Brno</v>
      </c>
      <c r="K45" s="235">
        <f>Evidence!A45</f>
        <v>0</v>
      </c>
      <c r="L45" s="212" t="str">
        <f t="shared" si="1"/>
        <v>C:\sprava\0.pdf</v>
      </c>
      <c r="N45" s="173" t="s">
        <v>44</v>
      </c>
      <c r="O45" s="212"/>
    </row>
    <row r="46" spans="2:15" x14ac:dyDescent="0.25">
      <c r="B46" s="173">
        <f>Evidence!D46</f>
        <v>0</v>
      </c>
      <c r="C46" s="173">
        <f>Evidence!B46</f>
        <v>0</v>
      </c>
      <c r="E46" s="173">
        <f>Evidence!E46</f>
        <v>0</v>
      </c>
      <c r="I46" s="212">
        <f>Evidence!C46</f>
        <v>0</v>
      </c>
      <c r="J46" s="212" t="str">
        <f t="shared" si="0"/>
        <v>Zborovská 939/2, Žabovřesky, 616 00 Brno</v>
      </c>
      <c r="K46" s="235">
        <f>Evidence!A46</f>
        <v>0</v>
      </c>
      <c r="L46" s="212" t="str">
        <f t="shared" si="1"/>
        <v>C:\sprava\0.pdf</v>
      </c>
      <c r="N46" s="173" t="s">
        <v>45</v>
      </c>
      <c r="O46" s="212"/>
    </row>
    <row r="47" spans="2:15" x14ac:dyDescent="0.25">
      <c r="B47" s="173">
        <f>Evidence!D47</f>
        <v>0</v>
      </c>
      <c r="C47" s="173">
        <f>Evidence!B47</f>
        <v>0</v>
      </c>
      <c r="E47" s="173">
        <f>Evidence!E47</f>
        <v>0</v>
      </c>
      <c r="I47" s="212">
        <f>Evidence!C47</f>
        <v>0</v>
      </c>
      <c r="J47" s="212" t="str">
        <f t="shared" si="0"/>
        <v>Zborovská 939/2, Žabovřesky, 616 00 Brno</v>
      </c>
      <c r="K47" s="235">
        <f>Evidence!A47</f>
        <v>0</v>
      </c>
      <c r="L47" s="212" t="str">
        <f t="shared" si="1"/>
        <v>C:\sprava\0.pdf</v>
      </c>
      <c r="N47" s="173" t="s">
        <v>46</v>
      </c>
      <c r="O47" s="212"/>
    </row>
    <row r="48" spans="2:15" x14ac:dyDescent="0.25">
      <c r="B48" s="173">
        <f>Evidence!D48</f>
        <v>0</v>
      </c>
      <c r="C48" s="173">
        <f>Evidence!B48</f>
        <v>0</v>
      </c>
      <c r="E48" s="173">
        <f>Evidence!E48</f>
        <v>0</v>
      </c>
      <c r="I48" s="212">
        <f>Evidence!C48</f>
        <v>0</v>
      </c>
      <c r="J48" s="212" t="str">
        <f t="shared" si="0"/>
        <v>Zborovská 939/2, Žabovřesky, 616 00 Brno</v>
      </c>
      <c r="K48" s="235">
        <f>Evidence!A48</f>
        <v>0</v>
      </c>
      <c r="L48" s="212" t="str">
        <f t="shared" si="1"/>
        <v>C:\sprava\0.pdf</v>
      </c>
      <c r="N48" s="173" t="s">
        <v>47</v>
      </c>
      <c r="O48" s="212"/>
    </row>
    <row r="49" spans="2:15" x14ac:dyDescent="0.25">
      <c r="B49" s="173">
        <f>Evidence!D49</f>
        <v>0</v>
      </c>
      <c r="C49" s="173">
        <f>Evidence!B49</f>
        <v>0</v>
      </c>
      <c r="E49" s="173">
        <f>Evidence!E49</f>
        <v>0</v>
      </c>
      <c r="I49" s="212">
        <f>Evidence!C49</f>
        <v>0</v>
      </c>
      <c r="J49" s="212" t="str">
        <f t="shared" si="0"/>
        <v>Zborovská 939/2, Žabovřesky, 616 00 Brno</v>
      </c>
      <c r="K49" s="235">
        <f>Evidence!A49</f>
        <v>0</v>
      </c>
      <c r="L49" s="212" t="str">
        <f t="shared" si="1"/>
        <v>C:\sprava\0.pdf</v>
      </c>
      <c r="N49" s="173" t="s">
        <v>48</v>
      </c>
      <c r="O49" s="212"/>
    </row>
    <row r="50" spans="2:15" x14ac:dyDescent="0.25">
      <c r="B50" s="173">
        <f>Evidence!D50</f>
        <v>0</v>
      </c>
      <c r="C50" s="173">
        <f>Evidence!B50</f>
        <v>0</v>
      </c>
      <c r="E50" s="173">
        <f>Evidence!E50</f>
        <v>0</v>
      </c>
      <c r="I50" s="212">
        <f>Evidence!C50</f>
        <v>0</v>
      </c>
      <c r="J50" s="212" t="str">
        <f t="shared" si="0"/>
        <v>Zborovská 939/2, Žabovřesky, 616 00 Brno</v>
      </c>
      <c r="K50" s="235">
        <f>Evidence!A50</f>
        <v>0</v>
      </c>
      <c r="L50" s="212" t="str">
        <f t="shared" si="1"/>
        <v>C:\sprava\0.pdf</v>
      </c>
      <c r="N50" s="173" t="s">
        <v>49</v>
      </c>
      <c r="O50" s="212"/>
    </row>
    <row r="51" spans="2:15" x14ac:dyDescent="0.25">
      <c r="B51" s="173">
        <f>Evidence!D51</f>
        <v>0</v>
      </c>
      <c r="C51" s="173">
        <f>Evidence!B51</f>
        <v>0</v>
      </c>
      <c r="E51" s="173">
        <f>Evidence!E51</f>
        <v>0</v>
      </c>
      <c r="I51" s="212">
        <f>Evidence!C51</f>
        <v>0</v>
      </c>
      <c r="J51" s="212" t="str">
        <f t="shared" si="0"/>
        <v>Zborovská 939/2, Žabovřesky, 616 00 Brno</v>
      </c>
      <c r="K51" s="235">
        <f>Evidence!A51</f>
        <v>0</v>
      </c>
      <c r="L51" s="212" t="str">
        <f t="shared" si="1"/>
        <v>C:\sprava\0.pdf</v>
      </c>
      <c r="N51" s="173" t="s">
        <v>18</v>
      </c>
      <c r="O51" s="212"/>
    </row>
    <row r="52" spans="2:15" x14ac:dyDescent="0.25">
      <c r="B52" s="173">
        <f>Evidence!D52</f>
        <v>0</v>
      </c>
      <c r="C52" s="173">
        <f>Evidence!B52</f>
        <v>0</v>
      </c>
      <c r="E52" s="173">
        <f>Evidence!E52</f>
        <v>0</v>
      </c>
      <c r="I52" s="212">
        <f>Evidence!C52</f>
        <v>0</v>
      </c>
      <c r="J52" s="212" t="str">
        <f t="shared" si="0"/>
        <v>Zborovská 939/2, Žabovřesky, 616 00 Brno</v>
      </c>
      <c r="K52" s="235">
        <f>Evidence!A52</f>
        <v>0</v>
      </c>
      <c r="L52" s="212" t="str">
        <f t="shared" si="1"/>
        <v>C:\sprava\0.pdf</v>
      </c>
      <c r="N52" s="173" t="s">
        <v>44</v>
      </c>
      <c r="O52" s="212"/>
    </row>
    <row r="53" spans="2:15" x14ac:dyDescent="0.25">
      <c r="B53" s="173">
        <f>Evidence!D53</f>
        <v>0</v>
      </c>
      <c r="C53" s="173">
        <f>Evidence!B53</f>
        <v>0</v>
      </c>
      <c r="E53" s="173">
        <f>Evidence!E53</f>
        <v>0</v>
      </c>
      <c r="I53" s="212">
        <f>Evidence!C53</f>
        <v>0</v>
      </c>
      <c r="J53" s="212" t="str">
        <f t="shared" si="0"/>
        <v>Zborovská 939/2, Žabovřesky, 616 00 Brno</v>
      </c>
      <c r="K53" s="235">
        <f>Evidence!A53</f>
        <v>0</v>
      </c>
      <c r="L53" s="212" t="str">
        <f t="shared" si="1"/>
        <v>C:\sprava\0.pdf</v>
      </c>
      <c r="N53" s="173" t="s">
        <v>18</v>
      </c>
      <c r="O53" s="212"/>
    </row>
    <row r="54" spans="2:15" x14ac:dyDescent="0.25">
      <c r="B54" s="173">
        <f>Evidence!D54</f>
        <v>0</v>
      </c>
      <c r="C54" s="173">
        <f>Evidence!B54</f>
        <v>0</v>
      </c>
      <c r="E54" s="173">
        <f>Evidence!E54</f>
        <v>0</v>
      </c>
      <c r="I54" s="212">
        <f>Evidence!C54</f>
        <v>0</v>
      </c>
      <c r="J54" s="212" t="str">
        <f t="shared" si="0"/>
        <v>Zborovská 939/2, Žabovřesky, 616 00 Brno</v>
      </c>
      <c r="K54" s="235">
        <f>Evidence!A54</f>
        <v>0</v>
      </c>
      <c r="L54" s="212" t="str">
        <f t="shared" si="1"/>
        <v>C:\sprava\0.pdf</v>
      </c>
      <c r="N54" s="173" t="s">
        <v>50</v>
      </c>
      <c r="O54" s="212"/>
    </row>
    <row r="55" spans="2:15" x14ac:dyDescent="0.25">
      <c r="B55" s="173">
        <f>Evidence!D55</f>
        <v>0</v>
      </c>
      <c r="C55" s="173">
        <f>Evidence!B55</f>
        <v>0</v>
      </c>
      <c r="E55" s="173">
        <f>Evidence!E55</f>
        <v>0</v>
      </c>
      <c r="I55" s="212">
        <f>Evidence!C55</f>
        <v>0</v>
      </c>
      <c r="J55" s="212" t="str">
        <f t="shared" si="0"/>
        <v>Zborovská 939/2, Žabovřesky, 616 00 Brno</v>
      </c>
      <c r="K55" s="235">
        <f>Evidence!A55</f>
        <v>0</v>
      </c>
      <c r="L55" s="212" t="str">
        <f t="shared" si="1"/>
        <v>C:\sprava\0.pdf</v>
      </c>
      <c r="N55" s="173" t="s">
        <v>51</v>
      </c>
      <c r="O55" s="212"/>
    </row>
    <row r="56" spans="2:15" x14ac:dyDescent="0.25">
      <c r="B56" s="173">
        <f>Evidence!D56</f>
        <v>0</v>
      </c>
      <c r="C56" s="173">
        <f>Evidence!B56</f>
        <v>0</v>
      </c>
      <c r="E56" s="173">
        <f>Evidence!E56</f>
        <v>0</v>
      </c>
      <c r="I56" s="212">
        <f>Evidence!C56</f>
        <v>0</v>
      </c>
      <c r="J56" s="212" t="str">
        <f t="shared" si="0"/>
        <v>Zborovská 939/2, Žabovřesky, 616 00 Brno</v>
      </c>
      <c r="K56" s="235">
        <f>Evidence!A56</f>
        <v>0</v>
      </c>
      <c r="L56" s="212" t="str">
        <f t="shared" si="1"/>
        <v>C:\sprava\0.pdf</v>
      </c>
      <c r="N56" s="173" t="s">
        <v>28</v>
      </c>
      <c r="O56" s="212"/>
    </row>
    <row r="57" spans="2:15" x14ac:dyDescent="0.25">
      <c r="B57" s="173">
        <f>Evidence!D57</f>
        <v>0</v>
      </c>
      <c r="C57" s="173">
        <f>Evidence!B57</f>
        <v>0</v>
      </c>
      <c r="E57" s="173">
        <f>Evidence!E57</f>
        <v>0</v>
      </c>
      <c r="I57" s="212">
        <f>Evidence!C57</f>
        <v>0</v>
      </c>
      <c r="J57" s="212" t="str">
        <f t="shared" si="0"/>
        <v>Zborovská 939/2, Žabovřesky, 616 00 Brno</v>
      </c>
      <c r="K57" s="235">
        <f>Evidence!A57</f>
        <v>0</v>
      </c>
      <c r="L57" s="212" t="str">
        <f t="shared" si="1"/>
        <v>C:\sprava\0.pdf</v>
      </c>
      <c r="N57" s="173" t="s">
        <v>18</v>
      </c>
      <c r="O57" s="212"/>
    </row>
    <row r="58" spans="2:15" x14ac:dyDescent="0.25">
      <c r="B58" s="173">
        <f>Evidence!D58</f>
        <v>0</v>
      </c>
      <c r="C58" s="173">
        <f>Evidence!B58</f>
        <v>0</v>
      </c>
      <c r="E58" s="173">
        <f>Evidence!E58</f>
        <v>0</v>
      </c>
      <c r="I58" s="212">
        <f>Evidence!C58</f>
        <v>0</v>
      </c>
      <c r="J58" s="212" t="str">
        <f t="shared" si="0"/>
        <v>Zborovská 939/2, Žabovřesky, 616 00 Brno</v>
      </c>
      <c r="K58" s="235">
        <f>Evidence!A58</f>
        <v>0</v>
      </c>
      <c r="L58" s="212" t="str">
        <f t="shared" si="1"/>
        <v>C:\sprava\0.pdf</v>
      </c>
      <c r="N58" s="173" t="s">
        <v>52</v>
      </c>
      <c r="O58" s="212"/>
    </row>
    <row r="59" spans="2:15" x14ac:dyDescent="0.25">
      <c r="B59" s="173">
        <f>Evidence!D59</f>
        <v>0</v>
      </c>
      <c r="C59" s="173">
        <f>Evidence!B59</f>
        <v>0</v>
      </c>
      <c r="E59" s="173">
        <f>Evidence!E59</f>
        <v>0</v>
      </c>
      <c r="I59" s="212">
        <f>Evidence!C59</f>
        <v>0</v>
      </c>
      <c r="J59" s="212" t="str">
        <f t="shared" si="0"/>
        <v>Zborovská 939/2, Žabovřesky, 616 00 Brno</v>
      </c>
      <c r="K59" s="235">
        <f>Evidence!A59</f>
        <v>0</v>
      </c>
      <c r="L59" s="212" t="str">
        <f t="shared" si="1"/>
        <v>C:\sprava\0.pdf</v>
      </c>
      <c r="N59" s="173" t="s">
        <v>18</v>
      </c>
      <c r="O59" s="212"/>
    </row>
    <row r="60" spans="2:15" x14ac:dyDescent="0.25">
      <c r="B60" s="173">
        <f>Evidence!D60</f>
        <v>0</v>
      </c>
      <c r="C60" s="173">
        <f>Evidence!B60</f>
        <v>0</v>
      </c>
      <c r="E60" s="173">
        <f>Evidence!E60</f>
        <v>0</v>
      </c>
      <c r="I60" s="212">
        <f>Evidence!C60</f>
        <v>0</v>
      </c>
      <c r="J60" s="212" t="str">
        <f t="shared" si="0"/>
        <v>Zborovská 939/2, Žabovřesky, 616 00 Brno</v>
      </c>
      <c r="K60" s="235">
        <f>Evidence!A60</f>
        <v>0</v>
      </c>
      <c r="L60" s="212" t="str">
        <f t="shared" si="1"/>
        <v>C:\sprava\0.pdf</v>
      </c>
      <c r="O60" s="212"/>
    </row>
    <row r="61" spans="2:15" x14ac:dyDescent="0.25">
      <c r="B61" s="173">
        <f>Evidence!D61</f>
        <v>0</v>
      </c>
      <c r="C61" s="173">
        <f>Evidence!B61</f>
        <v>0</v>
      </c>
      <c r="E61" s="173">
        <f>Evidence!E61</f>
        <v>0</v>
      </c>
      <c r="I61" s="212">
        <f>Evidence!C61</f>
        <v>0</v>
      </c>
      <c r="J61" s="212" t="str">
        <f t="shared" si="0"/>
        <v>Zborovská 939/2, Žabovřesky, 616 00 Brno</v>
      </c>
      <c r="K61" s="235">
        <f>Evidence!A61</f>
        <v>0</v>
      </c>
      <c r="L61" s="212" t="str">
        <f t="shared" si="1"/>
        <v>C:\sprava\0.pdf</v>
      </c>
      <c r="O61" s="212"/>
    </row>
    <row r="62" spans="2:15" x14ac:dyDescent="0.25">
      <c r="B62" s="173">
        <f>Evidence!D62</f>
        <v>0</v>
      </c>
      <c r="C62" s="173">
        <f>Evidence!B62</f>
        <v>0</v>
      </c>
      <c r="E62" s="173">
        <f>Evidence!E62</f>
        <v>0</v>
      </c>
      <c r="I62" s="212">
        <f>Evidence!C62</f>
        <v>0</v>
      </c>
      <c r="J62" s="212" t="str">
        <f t="shared" si="0"/>
        <v>Zborovská 939/2, Žabovřesky, 616 00 Brno</v>
      </c>
      <c r="K62" s="235">
        <f>Evidence!A62</f>
        <v>0</v>
      </c>
      <c r="L62" s="212" t="str">
        <f t="shared" si="1"/>
        <v>C:\sprava\0.pdf</v>
      </c>
      <c r="O62" s="212"/>
    </row>
    <row r="63" spans="2:15" x14ac:dyDescent="0.25">
      <c r="B63" s="173">
        <f>Evidence!D63</f>
        <v>0</v>
      </c>
      <c r="C63" s="173">
        <f>Evidence!B63</f>
        <v>0</v>
      </c>
      <c r="E63" s="173">
        <f>Evidence!E63</f>
        <v>0</v>
      </c>
      <c r="I63" s="212">
        <f>Evidence!C63</f>
        <v>0</v>
      </c>
      <c r="J63" s="212" t="str">
        <f t="shared" si="0"/>
        <v>Zborovská 939/2, Žabovřesky, 616 00 Brno</v>
      </c>
      <c r="K63" s="235">
        <f>Evidence!A63</f>
        <v>0</v>
      </c>
      <c r="L63" s="212" t="str">
        <f t="shared" si="1"/>
        <v>C:\sprava\0.pdf</v>
      </c>
      <c r="O63" s="212"/>
    </row>
    <row r="64" spans="2:15" x14ac:dyDescent="0.25">
      <c r="B64" s="173">
        <f>Evidence!D64</f>
        <v>0</v>
      </c>
      <c r="C64" s="173">
        <f>Evidence!B64</f>
        <v>0</v>
      </c>
      <c r="E64" s="173">
        <f>Evidence!E64</f>
        <v>0</v>
      </c>
      <c r="I64" s="212">
        <f>Evidence!C64</f>
        <v>0</v>
      </c>
      <c r="J64" s="212" t="str">
        <f t="shared" si="0"/>
        <v>Zborovská 939/2, Žabovřesky, 616 00 Brno</v>
      </c>
      <c r="K64" s="235">
        <f>Evidence!A64</f>
        <v>0</v>
      </c>
      <c r="L64" s="212" t="str">
        <f t="shared" si="1"/>
        <v>C:\sprava\0.pdf</v>
      </c>
      <c r="O64" s="212"/>
    </row>
    <row r="65" spans="2:15" x14ac:dyDescent="0.25">
      <c r="B65" s="173">
        <f>Evidence!D65</f>
        <v>0</v>
      </c>
      <c r="C65" s="173">
        <f>Evidence!B65</f>
        <v>0</v>
      </c>
      <c r="E65" s="173">
        <f>Evidence!E65</f>
        <v>0</v>
      </c>
      <c r="I65" s="212">
        <f>Evidence!C65</f>
        <v>0</v>
      </c>
      <c r="J65" s="212" t="str">
        <f t="shared" si="0"/>
        <v>Zborovská 939/2, Žabovřesky, 616 00 Brno</v>
      </c>
      <c r="K65" s="235">
        <f>Evidence!A65</f>
        <v>0</v>
      </c>
      <c r="L65" s="212" t="str">
        <f t="shared" si="1"/>
        <v>C:\sprava\0.pdf</v>
      </c>
      <c r="O65" s="212"/>
    </row>
    <row r="66" spans="2:15" x14ac:dyDescent="0.25">
      <c r="B66" s="173">
        <f>Evidence!D66</f>
        <v>0</v>
      </c>
      <c r="C66" s="173">
        <f>Evidence!B66</f>
        <v>0</v>
      </c>
      <c r="E66" s="173">
        <f>Evidence!E66</f>
        <v>0</v>
      </c>
      <c r="I66" s="212">
        <f>Evidence!C66</f>
        <v>0</v>
      </c>
      <c r="J66" s="212" t="str">
        <f t="shared" ref="J66:J129" si="2">dum_adresa</f>
        <v>Zborovská 939/2, Žabovřesky, 616 00 Brno</v>
      </c>
      <c r="K66" s="235">
        <f>Evidence!A66</f>
        <v>0</v>
      </c>
      <c r="L66" s="212" t="str">
        <f t="shared" ref="L66:L129" si="3">("C:\sprava\"&amp;SUBSTITUTE(K66,"/","")&amp;".pdf")</f>
        <v>C:\sprava\0.pdf</v>
      </c>
      <c r="O66" s="212"/>
    </row>
    <row r="67" spans="2:15" x14ac:dyDescent="0.25">
      <c r="B67" s="173">
        <f>Evidence!D67</f>
        <v>0</v>
      </c>
      <c r="C67" s="173">
        <f>Evidence!B67</f>
        <v>0</v>
      </c>
      <c r="E67" s="173">
        <f>Evidence!E67</f>
        <v>0</v>
      </c>
      <c r="I67" s="212">
        <f>Evidence!C67</f>
        <v>0</v>
      </c>
      <c r="J67" s="212" t="str">
        <f t="shared" si="2"/>
        <v>Zborovská 939/2, Žabovřesky, 616 00 Brno</v>
      </c>
      <c r="K67" s="235">
        <f>Evidence!A67</f>
        <v>0</v>
      </c>
      <c r="L67" s="212" t="str">
        <f t="shared" si="3"/>
        <v>C:\sprava\0.pdf</v>
      </c>
      <c r="O67" s="212"/>
    </row>
    <row r="68" spans="2:15" x14ac:dyDescent="0.25">
      <c r="B68" s="173">
        <f>Evidence!D68</f>
        <v>0</v>
      </c>
      <c r="C68" s="173">
        <f>Evidence!B68</f>
        <v>0</v>
      </c>
      <c r="E68" s="173">
        <f>Evidence!E68</f>
        <v>0</v>
      </c>
      <c r="I68" s="212">
        <f>Evidence!C68</f>
        <v>0</v>
      </c>
      <c r="J68" s="212" t="str">
        <f t="shared" si="2"/>
        <v>Zborovská 939/2, Žabovřesky, 616 00 Brno</v>
      </c>
      <c r="K68" s="235">
        <f>Evidence!A68</f>
        <v>0</v>
      </c>
      <c r="L68" s="212" t="str">
        <f t="shared" si="3"/>
        <v>C:\sprava\0.pdf</v>
      </c>
      <c r="O68" s="212"/>
    </row>
    <row r="69" spans="2:15" x14ac:dyDescent="0.25">
      <c r="B69" s="173">
        <f>Evidence!D69</f>
        <v>0</v>
      </c>
      <c r="C69" s="173">
        <f>Evidence!B69</f>
        <v>0</v>
      </c>
      <c r="E69" s="173">
        <f>Evidence!E69</f>
        <v>0</v>
      </c>
      <c r="I69" s="212">
        <f>Evidence!C69</f>
        <v>0</v>
      </c>
      <c r="J69" s="212" t="str">
        <f t="shared" si="2"/>
        <v>Zborovská 939/2, Žabovřesky, 616 00 Brno</v>
      </c>
      <c r="K69" s="235">
        <f>Evidence!A69</f>
        <v>0</v>
      </c>
      <c r="L69" s="212" t="str">
        <f t="shared" si="3"/>
        <v>C:\sprava\0.pdf</v>
      </c>
      <c r="O69" s="212"/>
    </row>
    <row r="70" spans="2:15" x14ac:dyDescent="0.25">
      <c r="B70" s="173">
        <f>Evidence!D70</f>
        <v>0</v>
      </c>
      <c r="C70" s="173">
        <f>Evidence!B70</f>
        <v>0</v>
      </c>
      <c r="E70" s="173">
        <f>Evidence!E70</f>
        <v>0</v>
      </c>
      <c r="I70" s="212">
        <f>Evidence!C70</f>
        <v>0</v>
      </c>
      <c r="J70" s="212" t="str">
        <f t="shared" si="2"/>
        <v>Zborovská 939/2, Žabovřesky, 616 00 Brno</v>
      </c>
      <c r="K70" s="235">
        <f>Evidence!A70</f>
        <v>0</v>
      </c>
      <c r="L70" s="212" t="str">
        <f t="shared" si="3"/>
        <v>C:\sprava\0.pdf</v>
      </c>
      <c r="O70" s="212"/>
    </row>
    <row r="71" spans="2:15" x14ac:dyDescent="0.25">
      <c r="B71" s="173">
        <f>Evidence!D71</f>
        <v>0</v>
      </c>
      <c r="C71" s="173">
        <f>Evidence!B71</f>
        <v>0</v>
      </c>
      <c r="E71" s="173">
        <f>Evidence!E71</f>
        <v>0</v>
      </c>
      <c r="I71" s="212">
        <f>Evidence!C71</f>
        <v>0</v>
      </c>
      <c r="J71" s="212" t="str">
        <f t="shared" si="2"/>
        <v>Zborovská 939/2, Žabovřesky, 616 00 Brno</v>
      </c>
      <c r="K71" s="235">
        <f>Evidence!A71</f>
        <v>0</v>
      </c>
      <c r="L71" s="212" t="str">
        <f t="shared" si="3"/>
        <v>C:\sprava\0.pdf</v>
      </c>
      <c r="O71" s="212"/>
    </row>
    <row r="72" spans="2:15" x14ac:dyDescent="0.25">
      <c r="B72" s="173">
        <f>Evidence!D72</f>
        <v>0</v>
      </c>
      <c r="C72" s="173">
        <f>Evidence!B72</f>
        <v>0</v>
      </c>
      <c r="E72" s="173">
        <f>Evidence!E72</f>
        <v>0</v>
      </c>
      <c r="I72" s="212">
        <f>Evidence!C72</f>
        <v>0</v>
      </c>
      <c r="J72" s="212" t="str">
        <f t="shared" si="2"/>
        <v>Zborovská 939/2, Žabovřesky, 616 00 Brno</v>
      </c>
      <c r="K72" s="235">
        <f>Evidence!A72</f>
        <v>0</v>
      </c>
      <c r="L72" s="212" t="str">
        <f t="shared" si="3"/>
        <v>C:\sprava\0.pdf</v>
      </c>
      <c r="O72" s="212"/>
    </row>
    <row r="73" spans="2:15" x14ac:dyDescent="0.25">
      <c r="B73" s="173">
        <f>Evidence!D73</f>
        <v>0</v>
      </c>
      <c r="C73" s="173">
        <f>Evidence!B73</f>
        <v>0</v>
      </c>
      <c r="E73" s="173">
        <f>Evidence!E73</f>
        <v>0</v>
      </c>
      <c r="I73" s="212">
        <f>Evidence!C73</f>
        <v>0</v>
      </c>
      <c r="J73" s="212" t="str">
        <f t="shared" si="2"/>
        <v>Zborovská 939/2, Žabovřesky, 616 00 Brno</v>
      </c>
      <c r="K73" s="235">
        <f>Evidence!A73</f>
        <v>0</v>
      </c>
      <c r="L73" s="212" t="str">
        <f t="shared" si="3"/>
        <v>C:\sprava\0.pdf</v>
      </c>
      <c r="O73" s="212"/>
    </row>
    <row r="74" spans="2:15" x14ac:dyDescent="0.25">
      <c r="B74" s="173">
        <f>Evidence!D74</f>
        <v>0</v>
      </c>
      <c r="C74" s="173">
        <f>Evidence!B74</f>
        <v>0</v>
      </c>
      <c r="E74" s="173">
        <f>Evidence!E74</f>
        <v>0</v>
      </c>
      <c r="I74" s="212">
        <f>Evidence!C74</f>
        <v>0</v>
      </c>
      <c r="J74" s="212" t="str">
        <f t="shared" si="2"/>
        <v>Zborovská 939/2, Žabovřesky, 616 00 Brno</v>
      </c>
      <c r="K74" s="235">
        <f>Evidence!A74</f>
        <v>0</v>
      </c>
      <c r="L74" s="212" t="str">
        <f t="shared" si="3"/>
        <v>C:\sprava\0.pdf</v>
      </c>
      <c r="O74" s="212"/>
    </row>
    <row r="75" spans="2:15" x14ac:dyDescent="0.25">
      <c r="B75" s="173">
        <f>Evidence!D75</f>
        <v>0</v>
      </c>
      <c r="C75" s="173">
        <f>Evidence!B75</f>
        <v>0</v>
      </c>
      <c r="E75" s="173">
        <f>Evidence!E75</f>
        <v>0</v>
      </c>
      <c r="I75" s="212">
        <f>Evidence!C75</f>
        <v>0</v>
      </c>
      <c r="J75" s="212" t="str">
        <f t="shared" si="2"/>
        <v>Zborovská 939/2, Žabovřesky, 616 00 Brno</v>
      </c>
      <c r="K75" s="235">
        <f>Evidence!A75</f>
        <v>0</v>
      </c>
      <c r="L75" s="212" t="str">
        <f t="shared" si="3"/>
        <v>C:\sprava\0.pdf</v>
      </c>
      <c r="O75" s="212"/>
    </row>
    <row r="76" spans="2:15" x14ac:dyDescent="0.25">
      <c r="B76" s="173">
        <f>Evidence!D76</f>
        <v>0</v>
      </c>
      <c r="C76" s="173">
        <f>Evidence!B76</f>
        <v>0</v>
      </c>
      <c r="E76" s="173">
        <f>Evidence!E76</f>
        <v>0</v>
      </c>
      <c r="I76" s="212">
        <f>Evidence!C76</f>
        <v>0</v>
      </c>
      <c r="J76" s="212" t="str">
        <f t="shared" si="2"/>
        <v>Zborovská 939/2, Žabovřesky, 616 00 Brno</v>
      </c>
      <c r="K76" s="235">
        <f>Evidence!A76</f>
        <v>0</v>
      </c>
      <c r="L76" s="212" t="str">
        <f t="shared" si="3"/>
        <v>C:\sprava\0.pdf</v>
      </c>
      <c r="O76" s="212"/>
    </row>
    <row r="77" spans="2:15" x14ac:dyDescent="0.25">
      <c r="B77" s="173">
        <f>Evidence!D77</f>
        <v>0</v>
      </c>
      <c r="C77" s="173">
        <f>Evidence!B77</f>
        <v>0</v>
      </c>
      <c r="E77" s="173">
        <f>Evidence!E77</f>
        <v>0</v>
      </c>
      <c r="I77" s="212">
        <f>Evidence!C77</f>
        <v>0</v>
      </c>
      <c r="J77" s="212" t="str">
        <f t="shared" si="2"/>
        <v>Zborovská 939/2, Žabovřesky, 616 00 Brno</v>
      </c>
      <c r="K77" s="235">
        <f>Evidence!A77</f>
        <v>0</v>
      </c>
      <c r="L77" s="212" t="str">
        <f t="shared" si="3"/>
        <v>C:\sprava\0.pdf</v>
      </c>
      <c r="O77" s="212"/>
    </row>
    <row r="78" spans="2:15" x14ac:dyDescent="0.25">
      <c r="B78" s="173">
        <f>Evidence!D78</f>
        <v>0</v>
      </c>
      <c r="C78" s="173">
        <f>Evidence!B78</f>
        <v>0</v>
      </c>
      <c r="E78" s="173">
        <f>Evidence!E78</f>
        <v>0</v>
      </c>
      <c r="I78" s="212">
        <f>Evidence!C78</f>
        <v>0</v>
      </c>
      <c r="J78" s="212" t="str">
        <f t="shared" si="2"/>
        <v>Zborovská 939/2, Žabovřesky, 616 00 Brno</v>
      </c>
      <c r="K78" s="235">
        <f>Evidence!A78</f>
        <v>0</v>
      </c>
      <c r="L78" s="212" t="str">
        <f t="shared" si="3"/>
        <v>C:\sprava\0.pdf</v>
      </c>
      <c r="O78" s="212"/>
    </row>
    <row r="79" spans="2:15" x14ac:dyDescent="0.25">
      <c r="B79" s="173">
        <f>Evidence!D79</f>
        <v>0</v>
      </c>
      <c r="C79" s="173">
        <f>Evidence!B79</f>
        <v>0</v>
      </c>
      <c r="E79" s="173">
        <f>Evidence!E79</f>
        <v>0</v>
      </c>
      <c r="I79" s="212">
        <f>Evidence!C79</f>
        <v>0</v>
      </c>
      <c r="J79" s="212" t="str">
        <f t="shared" si="2"/>
        <v>Zborovská 939/2, Žabovřesky, 616 00 Brno</v>
      </c>
      <c r="K79" s="235">
        <f>Evidence!A79</f>
        <v>0</v>
      </c>
      <c r="L79" s="212" t="str">
        <f t="shared" si="3"/>
        <v>C:\sprava\0.pdf</v>
      </c>
      <c r="O79" s="212"/>
    </row>
    <row r="80" spans="2:15" x14ac:dyDescent="0.25">
      <c r="B80" s="173">
        <f>Evidence!D80</f>
        <v>0</v>
      </c>
      <c r="C80" s="173">
        <f>Evidence!B80</f>
        <v>0</v>
      </c>
      <c r="E80" s="173">
        <f>Evidence!E80</f>
        <v>0</v>
      </c>
      <c r="I80" s="212">
        <f>Evidence!C80</f>
        <v>0</v>
      </c>
      <c r="J80" s="212" t="str">
        <f t="shared" si="2"/>
        <v>Zborovská 939/2, Žabovřesky, 616 00 Brno</v>
      </c>
      <c r="K80" s="235">
        <f>Evidence!A80</f>
        <v>0</v>
      </c>
      <c r="L80" s="212" t="str">
        <f t="shared" si="3"/>
        <v>C:\sprava\0.pdf</v>
      </c>
      <c r="O80" s="212"/>
    </row>
    <row r="81" spans="2:15" x14ac:dyDescent="0.25">
      <c r="B81" s="173">
        <f>Evidence!D81</f>
        <v>0</v>
      </c>
      <c r="C81" s="173">
        <f>Evidence!B81</f>
        <v>0</v>
      </c>
      <c r="E81" s="173">
        <f>Evidence!E81</f>
        <v>0</v>
      </c>
      <c r="I81" s="212">
        <f>Evidence!C81</f>
        <v>0</v>
      </c>
      <c r="J81" s="212" t="str">
        <f t="shared" si="2"/>
        <v>Zborovská 939/2, Žabovřesky, 616 00 Brno</v>
      </c>
      <c r="K81" s="235">
        <f>Evidence!A81</f>
        <v>0</v>
      </c>
      <c r="L81" s="212" t="str">
        <f t="shared" si="3"/>
        <v>C:\sprava\0.pdf</v>
      </c>
      <c r="O81" s="212"/>
    </row>
    <row r="82" spans="2:15" x14ac:dyDescent="0.25">
      <c r="B82" s="173">
        <f>Evidence!D82</f>
        <v>0</v>
      </c>
      <c r="C82" s="173">
        <f>Evidence!B82</f>
        <v>0</v>
      </c>
      <c r="E82" s="173">
        <f>Evidence!E82</f>
        <v>0</v>
      </c>
      <c r="I82" s="212">
        <f>Evidence!C82</f>
        <v>0</v>
      </c>
      <c r="J82" s="212" t="str">
        <f t="shared" si="2"/>
        <v>Zborovská 939/2, Žabovřesky, 616 00 Brno</v>
      </c>
      <c r="K82" s="235">
        <f>Evidence!A82</f>
        <v>0</v>
      </c>
      <c r="L82" s="212" t="str">
        <f t="shared" si="3"/>
        <v>C:\sprava\0.pdf</v>
      </c>
      <c r="O82" s="212"/>
    </row>
    <row r="83" spans="2:15" x14ac:dyDescent="0.25">
      <c r="B83" s="173">
        <f>Evidence!D83</f>
        <v>0</v>
      </c>
      <c r="C83" s="173">
        <f>Evidence!B83</f>
        <v>0</v>
      </c>
      <c r="E83" s="173">
        <f>Evidence!E83</f>
        <v>0</v>
      </c>
      <c r="I83" s="212">
        <f>Evidence!C83</f>
        <v>0</v>
      </c>
      <c r="J83" s="212" t="str">
        <f t="shared" si="2"/>
        <v>Zborovská 939/2, Žabovřesky, 616 00 Brno</v>
      </c>
      <c r="K83" s="235">
        <f>Evidence!A83</f>
        <v>0</v>
      </c>
      <c r="L83" s="212" t="str">
        <f t="shared" si="3"/>
        <v>C:\sprava\0.pdf</v>
      </c>
      <c r="O83" s="212"/>
    </row>
    <row r="84" spans="2:15" x14ac:dyDescent="0.25">
      <c r="B84" s="173">
        <f>Evidence!D84</f>
        <v>0</v>
      </c>
      <c r="C84" s="173">
        <f>Evidence!B84</f>
        <v>0</v>
      </c>
      <c r="E84" s="173">
        <f>Evidence!E84</f>
        <v>0</v>
      </c>
      <c r="I84" s="212">
        <f>Evidence!C84</f>
        <v>0</v>
      </c>
      <c r="J84" s="212" t="str">
        <f t="shared" si="2"/>
        <v>Zborovská 939/2, Žabovřesky, 616 00 Brno</v>
      </c>
      <c r="K84" s="235">
        <f>Evidence!A84</f>
        <v>0</v>
      </c>
      <c r="L84" s="212" t="str">
        <f t="shared" si="3"/>
        <v>C:\sprava\0.pdf</v>
      </c>
      <c r="O84" s="212"/>
    </row>
    <row r="85" spans="2:15" x14ac:dyDescent="0.25">
      <c r="B85" s="173">
        <f>Evidence!D85</f>
        <v>0</v>
      </c>
      <c r="C85" s="173">
        <f>Evidence!B85</f>
        <v>0</v>
      </c>
      <c r="E85" s="173">
        <f>Evidence!E85</f>
        <v>0</v>
      </c>
      <c r="I85" s="212">
        <f>Evidence!C85</f>
        <v>0</v>
      </c>
      <c r="J85" s="212" t="str">
        <f t="shared" si="2"/>
        <v>Zborovská 939/2, Žabovřesky, 616 00 Brno</v>
      </c>
      <c r="K85" s="235">
        <f>Evidence!A85</f>
        <v>0</v>
      </c>
      <c r="L85" s="212" t="str">
        <f t="shared" si="3"/>
        <v>C:\sprava\0.pdf</v>
      </c>
      <c r="O85" s="212"/>
    </row>
    <row r="86" spans="2:15" x14ac:dyDescent="0.25">
      <c r="B86" s="173">
        <f>Evidence!D86</f>
        <v>0</v>
      </c>
      <c r="C86" s="173">
        <f>Evidence!B86</f>
        <v>0</v>
      </c>
      <c r="E86" s="173">
        <f>Evidence!E86</f>
        <v>0</v>
      </c>
      <c r="I86" s="212">
        <f>Evidence!C86</f>
        <v>0</v>
      </c>
      <c r="J86" s="212" t="str">
        <f t="shared" si="2"/>
        <v>Zborovská 939/2, Žabovřesky, 616 00 Brno</v>
      </c>
      <c r="K86" s="235">
        <f>Evidence!A86</f>
        <v>0</v>
      </c>
      <c r="L86" s="212" t="str">
        <f t="shared" si="3"/>
        <v>C:\sprava\0.pdf</v>
      </c>
      <c r="O86" s="212"/>
    </row>
    <row r="87" spans="2:15" x14ac:dyDescent="0.25">
      <c r="B87" s="173">
        <f>Evidence!D87</f>
        <v>0</v>
      </c>
      <c r="C87" s="173">
        <f>Evidence!B87</f>
        <v>0</v>
      </c>
      <c r="E87" s="173">
        <f>Evidence!E87</f>
        <v>0</v>
      </c>
      <c r="I87" s="212">
        <f>Evidence!C87</f>
        <v>0</v>
      </c>
      <c r="J87" s="212" t="str">
        <f t="shared" si="2"/>
        <v>Zborovská 939/2, Žabovřesky, 616 00 Brno</v>
      </c>
      <c r="K87" s="235">
        <f>Evidence!A87</f>
        <v>0</v>
      </c>
      <c r="L87" s="212" t="str">
        <f t="shared" si="3"/>
        <v>C:\sprava\0.pdf</v>
      </c>
      <c r="O87" s="212"/>
    </row>
    <row r="88" spans="2:15" x14ac:dyDescent="0.25">
      <c r="B88" s="173">
        <f>Evidence!D88</f>
        <v>0</v>
      </c>
      <c r="C88" s="173">
        <f>Evidence!B88</f>
        <v>0</v>
      </c>
      <c r="E88" s="173">
        <f>Evidence!E88</f>
        <v>0</v>
      </c>
      <c r="I88" s="212">
        <f>Evidence!C88</f>
        <v>0</v>
      </c>
      <c r="J88" s="212" t="str">
        <f t="shared" si="2"/>
        <v>Zborovská 939/2, Žabovřesky, 616 00 Brno</v>
      </c>
      <c r="K88" s="235">
        <f>Evidence!A88</f>
        <v>0</v>
      </c>
      <c r="L88" s="212" t="str">
        <f t="shared" si="3"/>
        <v>C:\sprava\0.pdf</v>
      </c>
      <c r="O88" s="212"/>
    </row>
    <row r="89" spans="2:15" x14ac:dyDescent="0.25">
      <c r="B89" s="173">
        <f>Evidence!D89</f>
        <v>0</v>
      </c>
      <c r="C89" s="173">
        <f>Evidence!B89</f>
        <v>0</v>
      </c>
      <c r="E89" s="173">
        <f>Evidence!E89</f>
        <v>0</v>
      </c>
      <c r="I89" s="212">
        <f>Evidence!C89</f>
        <v>0</v>
      </c>
      <c r="J89" s="212" t="str">
        <f t="shared" si="2"/>
        <v>Zborovská 939/2, Žabovřesky, 616 00 Brno</v>
      </c>
      <c r="K89" s="235">
        <f>Evidence!A89</f>
        <v>0</v>
      </c>
      <c r="L89" s="212" t="str">
        <f t="shared" si="3"/>
        <v>C:\sprava\0.pdf</v>
      </c>
      <c r="O89" s="212"/>
    </row>
    <row r="90" spans="2:15" x14ac:dyDescent="0.25">
      <c r="B90" s="173">
        <f>Evidence!D90</f>
        <v>0</v>
      </c>
      <c r="C90" s="173">
        <f>Evidence!B90</f>
        <v>0</v>
      </c>
      <c r="E90" s="173">
        <f>Evidence!E90</f>
        <v>0</v>
      </c>
      <c r="I90" s="212">
        <f>Evidence!C90</f>
        <v>0</v>
      </c>
      <c r="J90" s="212" t="str">
        <f t="shared" si="2"/>
        <v>Zborovská 939/2, Žabovřesky, 616 00 Brno</v>
      </c>
      <c r="K90" s="235">
        <f>Evidence!A90</f>
        <v>0</v>
      </c>
      <c r="L90" s="212" t="str">
        <f t="shared" si="3"/>
        <v>C:\sprava\0.pdf</v>
      </c>
      <c r="O90" s="212"/>
    </row>
    <row r="91" spans="2:15" x14ac:dyDescent="0.25">
      <c r="B91" s="173">
        <f>Evidence!D91</f>
        <v>0</v>
      </c>
      <c r="C91" s="173">
        <f>Evidence!B91</f>
        <v>0</v>
      </c>
      <c r="E91" s="173">
        <f>Evidence!E91</f>
        <v>0</v>
      </c>
      <c r="I91" s="212">
        <f>Evidence!C91</f>
        <v>0</v>
      </c>
      <c r="J91" s="212" t="str">
        <f t="shared" si="2"/>
        <v>Zborovská 939/2, Žabovřesky, 616 00 Brno</v>
      </c>
      <c r="K91" s="235">
        <f>Evidence!A91</f>
        <v>0</v>
      </c>
      <c r="L91" s="212" t="str">
        <f t="shared" si="3"/>
        <v>C:\sprava\0.pdf</v>
      </c>
      <c r="O91" s="212"/>
    </row>
    <row r="92" spans="2:15" x14ac:dyDescent="0.25">
      <c r="B92" s="173">
        <f>Evidence!D92</f>
        <v>0</v>
      </c>
      <c r="C92" s="173">
        <f>Evidence!B92</f>
        <v>0</v>
      </c>
      <c r="E92" s="173">
        <f>Evidence!E92</f>
        <v>0</v>
      </c>
      <c r="I92" s="212">
        <f>Evidence!C92</f>
        <v>0</v>
      </c>
      <c r="J92" s="212" t="str">
        <f t="shared" si="2"/>
        <v>Zborovská 939/2, Žabovřesky, 616 00 Brno</v>
      </c>
      <c r="K92" s="235">
        <f>Evidence!A92</f>
        <v>0</v>
      </c>
      <c r="L92" s="212" t="str">
        <f t="shared" si="3"/>
        <v>C:\sprava\0.pdf</v>
      </c>
      <c r="O92" s="212"/>
    </row>
    <row r="93" spans="2:15" x14ac:dyDescent="0.25">
      <c r="B93" s="173">
        <f>Evidence!D93</f>
        <v>0</v>
      </c>
      <c r="C93" s="173">
        <f>Evidence!B93</f>
        <v>0</v>
      </c>
      <c r="E93" s="173">
        <f>Evidence!E93</f>
        <v>0</v>
      </c>
      <c r="I93" s="212">
        <f>Evidence!C93</f>
        <v>0</v>
      </c>
      <c r="J93" s="212" t="str">
        <f t="shared" si="2"/>
        <v>Zborovská 939/2, Žabovřesky, 616 00 Brno</v>
      </c>
      <c r="K93" s="235">
        <f>Evidence!A93</f>
        <v>0</v>
      </c>
      <c r="L93" s="212" t="str">
        <f t="shared" si="3"/>
        <v>C:\sprava\0.pdf</v>
      </c>
      <c r="O93" s="212"/>
    </row>
    <row r="94" spans="2:15" x14ac:dyDescent="0.25">
      <c r="B94" s="173">
        <f>Evidence!D94</f>
        <v>0</v>
      </c>
      <c r="C94" s="173">
        <f>Evidence!B94</f>
        <v>0</v>
      </c>
      <c r="E94" s="173">
        <f>Evidence!E94</f>
        <v>0</v>
      </c>
      <c r="I94" s="212">
        <f>Evidence!C94</f>
        <v>0</v>
      </c>
      <c r="J94" s="212" t="str">
        <f t="shared" si="2"/>
        <v>Zborovská 939/2, Žabovřesky, 616 00 Brno</v>
      </c>
      <c r="K94" s="235">
        <f>Evidence!A94</f>
        <v>0</v>
      </c>
      <c r="L94" s="212" t="str">
        <f t="shared" si="3"/>
        <v>C:\sprava\0.pdf</v>
      </c>
      <c r="O94" s="212"/>
    </row>
    <row r="95" spans="2:15" x14ac:dyDescent="0.25">
      <c r="B95" s="173">
        <f>Evidence!D95</f>
        <v>0</v>
      </c>
      <c r="C95" s="173">
        <f>Evidence!B95</f>
        <v>0</v>
      </c>
      <c r="E95" s="173">
        <f>Evidence!E95</f>
        <v>0</v>
      </c>
      <c r="I95" s="212">
        <f>Evidence!C95</f>
        <v>0</v>
      </c>
      <c r="J95" s="212" t="str">
        <f t="shared" si="2"/>
        <v>Zborovská 939/2, Žabovřesky, 616 00 Brno</v>
      </c>
      <c r="K95" s="235">
        <f>Evidence!A95</f>
        <v>0</v>
      </c>
      <c r="L95" s="212" t="str">
        <f t="shared" si="3"/>
        <v>C:\sprava\0.pdf</v>
      </c>
      <c r="O95" s="212"/>
    </row>
    <row r="96" spans="2:15" x14ac:dyDescent="0.25">
      <c r="B96" s="173">
        <f>Evidence!D96</f>
        <v>0</v>
      </c>
      <c r="C96" s="173">
        <f>Evidence!B96</f>
        <v>0</v>
      </c>
      <c r="E96" s="173">
        <f>Evidence!E96</f>
        <v>0</v>
      </c>
      <c r="I96" s="212">
        <f>Evidence!C96</f>
        <v>0</v>
      </c>
      <c r="J96" s="212" t="str">
        <f t="shared" si="2"/>
        <v>Zborovská 939/2, Žabovřesky, 616 00 Brno</v>
      </c>
      <c r="K96" s="235">
        <f>Evidence!A96</f>
        <v>0</v>
      </c>
      <c r="L96" s="212" t="str">
        <f t="shared" si="3"/>
        <v>C:\sprava\0.pdf</v>
      </c>
      <c r="O96" s="212"/>
    </row>
    <row r="97" spans="2:15" x14ac:dyDescent="0.25">
      <c r="B97" s="173">
        <f>Evidence!D97</f>
        <v>0</v>
      </c>
      <c r="C97" s="173">
        <f>Evidence!B97</f>
        <v>0</v>
      </c>
      <c r="E97" s="173">
        <f>Evidence!E97</f>
        <v>0</v>
      </c>
      <c r="I97" s="212">
        <f>Evidence!C97</f>
        <v>0</v>
      </c>
      <c r="J97" s="212" t="str">
        <f t="shared" si="2"/>
        <v>Zborovská 939/2, Žabovřesky, 616 00 Brno</v>
      </c>
      <c r="K97" s="235">
        <f>Evidence!A97</f>
        <v>0</v>
      </c>
      <c r="L97" s="212" t="str">
        <f t="shared" si="3"/>
        <v>C:\sprava\0.pdf</v>
      </c>
      <c r="O97" s="212"/>
    </row>
    <row r="98" spans="2:15" x14ac:dyDescent="0.25">
      <c r="B98" s="173">
        <f>Evidence!D98</f>
        <v>0</v>
      </c>
      <c r="C98" s="173">
        <f>Evidence!B98</f>
        <v>0</v>
      </c>
      <c r="E98" s="173">
        <f>Evidence!E98</f>
        <v>0</v>
      </c>
      <c r="I98" s="212">
        <f>Evidence!C98</f>
        <v>0</v>
      </c>
      <c r="J98" s="212" t="str">
        <f t="shared" si="2"/>
        <v>Zborovská 939/2, Žabovřesky, 616 00 Brno</v>
      </c>
      <c r="K98" s="235">
        <f>Evidence!A98</f>
        <v>0</v>
      </c>
      <c r="L98" s="212" t="str">
        <f t="shared" si="3"/>
        <v>C:\sprava\0.pdf</v>
      </c>
      <c r="O98" s="212"/>
    </row>
    <row r="99" spans="2:15" x14ac:dyDescent="0.25">
      <c r="B99" s="173">
        <f>Evidence!D99</f>
        <v>0</v>
      </c>
      <c r="C99" s="173">
        <f>Evidence!B99</f>
        <v>0</v>
      </c>
      <c r="E99" s="173">
        <f>Evidence!E99</f>
        <v>0</v>
      </c>
      <c r="I99" s="212">
        <f>Evidence!C99</f>
        <v>0</v>
      </c>
      <c r="J99" s="212" t="str">
        <f t="shared" si="2"/>
        <v>Zborovská 939/2, Žabovřesky, 616 00 Brno</v>
      </c>
      <c r="K99" s="235">
        <f>Evidence!A99</f>
        <v>0</v>
      </c>
      <c r="L99" s="212" t="str">
        <f t="shared" si="3"/>
        <v>C:\sprava\0.pdf</v>
      </c>
      <c r="O99" s="212"/>
    </row>
    <row r="100" spans="2:15" x14ac:dyDescent="0.25">
      <c r="B100" s="173">
        <f>Evidence!D100</f>
        <v>0</v>
      </c>
      <c r="C100" s="173">
        <f>Evidence!B100</f>
        <v>0</v>
      </c>
      <c r="E100" s="173">
        <f>Evidence!E100</f>
        <v>0</v>
      </c>
      <c r="I100" s="212">
        <f>Evidence!C100</f>
        <v>0</v>
      </c>
      <c r="J100" s="212" t="str">
        <f t="shared" si="2"/>
        <v>Zborovská 939/2, Žabovřesky, 616 00 Brno</v>
      </c>
      <c r="K100" s="235">
        <f>Evidence!A100</f>
        <v>0</v>
      </c>
      <c r="L100" s="212" t="str">
        <f t="shared" si="3"/>
        <v>C:\sprava\0.pdf</v>
      </c>
      <c r="O100" s="212"/>
    </row>
    <row r="101" spans="2:15" x14ac:dyDescent="0.25">
      <c r="B101" s="173">
        <f>Evidence!D101</f>
        <v>0</v>
      </c>
      <c r="C101" s="173">
        <f>Evidence!B101</f>
        <v>0</v>
      </c>
      <c r="E101" s="173">
        <f>Evidence!E101</f>
        <v>0</v>
      </c>
      <c r="I101" s="212">
        <f>Evidence!C101</f>
        <v>0</v>
      </c>
      <c r="J101" s="212" t="str">
        <f t="shared" si="2"/>
        <v>Zborovská 939/2, Žabovřesky, 616 00 Brno</v>
      </c>
      <c r="K101" s="235">
        <f>Evidence!A101</f>
        <v>0</v>
      </c>
      <c r="L101" s="212" t="str">
        <f t="shared" si="3"/>
        <v>C:\sprava\0.pdf</v>
      </c>
      <c r="O101" s="212"/>
    </row>
    <row r="102" spans="2:15" x14ac:dyDescent="0.25">
      <c r="B102" s="173">
        <f>Evidence!D102</f>
        <v>0</v>
      </c>
      <c r="C102" s="173">
        <f>Evidence!B102</f>
        <v>0</v>
      </c>
      <c r="E102" s="173">
        <f>Evidence!E102</f>
        <v>0</v>
      </c>
      <c r="I102" s="212">
        <f>Evidence!C102</f>
        <v>0</v>
      </c>
      <c r="J102" s="212" t="str">
        <f t="shared" si="2"/>
        <v>Zborovská 939/2, Žabovřesky, 616 00 Brno</v>
      </c>
      <c r="K102" s="235">
        <f>Evidence!A102</f>
        <v>0</v>
      </c>
      <c r="L102" s="212" t="str">
        <f t="shared" si="3"/>
        <v>C:\sprava\0.pdf</v>
      </c>
      <c r="O102" s="212"/>
    </row>
    <row r="103" spans="2:15" x14ac:dyDescent="0.25">
      <c r="B103" s="173">
        <f>Evidence!D103</f>
        <v>0</v>
      </c>
      <c r="C103" s="173">
        <f>Evidence!B103</f>
        <v>0</v>
      </c>
      <c r="E103" s="173">
        <f>Evidence!E103</f>
        <v>0</v>
      </c>
      <c r="I103" s="212">
        <f>Evidence!C103</f>
        <v>0</v>
      </c>
      <c r="J103" s="212" t="str">
        <f t="shared" si="2"/>
        <v>Zborovská 939/2, Žabovřesky, 616 00 Brno</v>
      </c>
      <c r="K103" s="235">
        <f>Evidence!A103</f>
        <v>0</v>
      </c>
      <c r="L103" s="212" t="str">
        <f t="shared" si="3"/>
        <v>C:\sprava\0.pdf</v>
      </c>
      <c r="O103" s="212"/>
    </row>
    <row r="104" spans="2:15" x14ac:dyDescent="0.25">
      <c r="B104" s="173">
        <f>Evidence!D104</f>
        <v>0</v>
      </c>
      <c r="C104" s="173">
        <f>Evidence!B104</f>
        <v>0</v>
      </c>
      <c r="E104" s="173">
        <f>Evidence!E104</f>
        <v>0</v>
      </c>
      <c r="I104" s="212">
        <f>Evidence!C104</f>
        <v>0</v>
      </c>
      <c r="J104" s="212" t="str">
        <f t="shared" si="2"/>
        <v>Zborovská 939/2, Žabovřesky, 616 00 Brno</v>
      </c>
      <c r="K104" s="235">
        <f>Evidence!A104</f>
        <v>20</v>
      </c>
      <c r="L104" s="212" t="str">
        <f t="shared" si="3"/>
        <v>C:\sprava\20.pdf</v>
      </c>
      <c r="O104" s="212"/>
    </row>
    <row r="105" spans="2:15" x14ac:dyDescent="0.25">
      <c r="B105" s="173">
        <f>Evidence!D105</f>
        <v>0</v>
      </c>
      <c r="C105" s="173">
        <f>Evidence!B105</f>
        <v>0</v>
      </c>
      <c r="E105" s="173">
        <f>Evidence!E105</f>
        <v>0</v>
      </c>
      <c r="I105" s="212">
        <f>Evidence!C105</f>
        <v>0</v>
      </c>
      <c r="J105" s="212" t="str">
        <f t="shared" si="2"/>
        <v>Zborovská 939/2, Žabovřesky, 616 00 Brno</v>
      </c>
      <c r="K105" s="235">
        <f>Evidence!A105</f>
        <v>0</v>
      </c>
      <c r="L105" s="212" t="str">
        <f t="shared" si="3"/>
        <v>C:\sprava\0.pdf</v>
      </c>
      <c r="O105" s="212"/>
    </row>
    <row r="106" spans="2:15" x14ac:dyDescent="0.25">
      <c r="B106" s="173">
        <f>Evidence!D106</f>
        <v>0</v>
      </c>
      <c r="C106" s="173">
        <f>Evidence!B106</f>
        <v>0</v>
      </c>
      <c r="E106" s="173">
        <f>Evidence!E106</f>
        <v>0</v>
      </c>
      <c r="I106" s="212">
        <f>Evidence!C106</f>
        <v>0</v>
      </c>
      <c r="J106" s="212" t="str">
        <f t="shared" si="2"/>
        <v>Zborovská 939/2, Žabovřesky, 616 00 Brno</v>
      </c>
      <c r="K106" s="235">
        <f>Evidence!A106</f>
        <v>0</v>
      </c>
      <c r="L106" s="212" t="str">
        <f t="shared" si="3"/>
        <v>C:\sprava\0.pdf</v>
      </c>
      <c r="O106" s="212"/>
    </row>
    <row r="107" spans="2:15" x14ac:dyDescent="0.25">
      <c r="B107" s="173">
        <f>Evidence!D107</f>
        <v>0</v>
      </c>
      <c r="C107" s="173">
        <f>Evidence!B107</f>
        <v>0</v>
      </c>
      <c r="E107" s="173">
        <f>Evidence!E107</f>
        <v>0</v>
      </c>
      <c r="I107" s="212">
        <f>Evidence!C107</f>
        <v>0</v>
      </c>
      <c r="J107" s="212" t="str">
        <f t="shared" si="2"/>
        <v>Zborovská 939/2, Žabovřesky, 616 00 Brno</v>
      </c>
      <c r="K107" s="235">
        <f>Evidence!A107</f>
        <v>0</v>
      </c>
      <c r="L107" s="212" t="str">
        <f t="shared" si="3"/>
        <v>C:\sprava\0.pdf</v>
      </c>
      <c r="O107" s="212"/>
    </row>
    <row r="108" spans="2:15" x14ac:dyDescent="0.25">
      <c r="B108" s="173">
        <f>Evidence!D108</f>
        <v>0</v>
      </c>
      <c r="C108" s="173">
        <f>Evidence!B108</f>
        <v>0</v>
      </c>
      <c r="E108" s="173">
        <f>Evidence!E108</f>
        <v>0</v>
      </c>
      <c r="I108" s="212">
        <f>Evidence!C108</f>
        <v>0</v>
      </c>
      <c r="J108" s="212" t="str">
        <f t="shared" si="2"/>
        <v>Zborovská 939/2, Žabovřesky, 616 00 Brno</v>
      </c>
      <c r="K108" s="235">
        <f>Evidence!A108</f>
        <v>0</v>
      </c>
      <c r="L108" s="212" t="str">
        <f t="shared" si="3"/>
        <v>C:\sprava\0.pdf</v>
      </c>
      <c r="O108" s="212"/>
    </row>
    <row r="109" spans="2:15" x14ac:dyDescent="0.25">
      <c r="B109" s="173">
        <f>Evidence!D109</f>
        <v>0</v>
      </c>
      <c r="C109" s="173">
        <f>Evidence!B109</f>
        <v>0</v>
      </c>
      <c r="E109" s="173">
        <f>Evidence!E109</f>
        <v>0</v>
      </c>
      <c r="I109" s="212">
        <f>Evidence!C109</f>
        <v>0</v>
      </c>
      <c r="J109" s="212" t="str">
        <f t="shared" si="2"/>
        <v>Zborovská 939/2, Žabovřesky, 616 00 Brno</v>
      </c>
      <c r="K109" s="235">
        <f>Evidence!A109</f>
        <v>0</v>
      </c>
      <c r="L109" s="212" t="str">
        <f t="shared" si="3"/>
        <v>C:\sprava\0.pdf</v>
      </c>
      <c r="O109" s="212"/>
    </row>
    <row r="110" spans="2:15" x14ac:dyDescent="0.25">
      <c r="B110" s="173">
        <f>Evidence!D110</f>
        <v>0</v>
      </c>
      <c r="C110" s="173">
        <f>Evidence!B110</f>
        <v>0</v>
      </c>
      <c r="E110" s="173">
        <f>Evidence!E110</f>
        <v>0</v>
      </c>
      <c r="I110" s="212">
        <f>Evidence!C110</f>
        <v>0</v>
      </c>
      <c r="J110" s="212" t="str">
        <f t="shared" si="2"/>
        <v>Zborovská 939/2, Žabovřesky, 616 00 Brno</v>
      </c>
      <c r="K110" s="235">
        <f>Evidence!A110</f>
        <v>0</v>
      </c>
      <c r="L110" s="212" t="str">
        <f t="shared" si="3"/>
        <v>C:\sprava\0.pdf</v>
      </c>
      <c r="O110" s="212"/>
    </row>
    <row r="111" spans="2:15" x14ac:dyDescent="0.25">
      <c r="B111" s="173">
        <f>Evidence!D111</f>
        <v>0</v>
      </c>
      <c r="C111" s="173">
        <f>Evidence!B111</f>
        <v>0</v>
      </c>
      <c r="E111" s="173">
        <f>Evidence!E111</f>
        <v>0</v>
      </c>
      <c r="I111" s="212">
        <f>Evidence!C111</f>
        <v>0</v>
      </c>
      <c r="J111" s="212" t="str">
        <f t="shared" si="2"/>
        <v>Zborovská 939/2, Žabovřesky, 616 00 Brno</v>
      </c>
      <c r="K111" s="235">
        <f>Evidence!A111</f>
        <v>0</v>
      </c>
      <c r="L111" s="212" t="str">
        <f t="shared" si="3"/>
        <v>C:\sprava\0.pdf</v>
      </c>
      <c r="O111" s="212"/>
    </row>
    <row r="112" spans="2:15" x14ac:dyDescent="0.25">
      <c r="B112" s="173">
        <f>Evidence!D112</f>
        <v>0</v>
      </c>
      <c r="C112" s="173">
        <f>Evidence!B112</f>
        <v>0</v>
      </c>
      <c r="E112" s="173">
        <f>Evidence!E112</f>
        <v>0</v>
      </c>
      <c r="I112" s="212">
        <f>Evidence!C112</f>
        <v>0</v>
      </c>
      <c r="J112" s="212" t="str">
        <f t="shared" si="2"/>
        <v>Zborovská 939/2, Žabovřesky, 616 00 Brno</v>
      </c>
      <c r="K112" s="235">
        <f>Evidence!A112</f>
        <v>0</v>
      </c>
      <c r="L112" s="212" t="str">
        <f t="shared" si="3"/>
        <v>C:\sprava\0.pdf</v>
      </c>
      <c r="O112" s="212"/>
    </row>
    <row r="113" spans="2:15" x14ac:dyDescent="0.25">
      <c r="B113" s="173">
        <f>Evidence!D113</f>
        <v>0</v>
      </c>
      <c r="C113" s="173">
        <f>Evidence!B113</f>
        <v>0</v>
      </c>
      <c r="E113" s="173">
        <f>Evidence!E113</f>
        <v>0</v>
      </c>
      <c r="I113" s="212">
        <f>Evidence!C113</f>
        <v>0</v>
      </c>
      <c r="J113" s="212" t="str">
        <f t="shared" si="2"/>
        <v>Zborovská 939/2, Žabovřesky, 616 00 Brno</v>
      </c>
      <c r="K113" s="235">
        <f>Evidence!A113</f>
        <v>0</v>
      </c>
      <c r="L113" s="212" t="str">
        <f t="shared" si="3"/>
        <v>C:\sprava\0.pdf</v>
      </c>
      <c r="O113" s="212"/>
    </row>
    <row r="114" spans="2:15" x14ac:dyDescent="0.25">
      <c r="B114" s="173">
        <f>Evidence!D114</f>
        <v>0</v>
      </c>
      <c r="C114" s="173">
        <f>Evidence!B114</f>
        <v>0</v>
      </c>
      <c r="E114" s="173">
        <f>Evidence!E114</f>
        <v>0</v>
      </c>
      <c r="I114" s="212">
        <f>Evidence!C114</f>
        <v>0</v>
      </c>
      <c r="J114" s="212" t="str">
        <f t="shared" si="2"/>
        <v>Zborovská 939/2, Žabovřesky, 616 00 Brno</v>
      </c>
      <c r="K114" s="235">
        <f>Evidence!A114</f>
        <v>0</v>
      </c>
      <c r="L114" s="212" t="str">
        <f t="shared" si="3"/>
        <v>C:\sprava\0.pdf</v>
      </c>
      <c r="O114" s="212"/>
    </row>
    <row r="115" spans="2:15" x14ac:dyDescent="0.25">
      <c r="B115" s="173">
        <f>Evidence!D115</f>
        <v>0</v>
      </c>
      <c r="C115" s="173">
        <f>Evidence!B115</f>
        <v>0</v>
      </c>
      <c r="E115" s="173">
        <f>Evidence!E115</f>
        <v>0</v>
      </c>
      <c r="I115" s="212">
        <f>Evidence!C115</f>
        <v>0</v>
      </c>
      <c r="J115" s="212" t="str">
        <f t="shared" si="2"/>
        <v>Zborovská 939/2, Žabovřesky, 616 00 Brno</v>
      </c>
      <c r="K115" s="235">
        <f>Evidence!A115</f>
        <v>0</v>
      </c>
      <c r="L115" s="212" t="str">
        <f t="shared" si="3"/>
        <v>C:\sprava\0.pdf</v>
      </c>
      <c r="O115" s="212"/>
    </row>
    <row r="116" spans="2:15" x14ac:dyDescent="0.25">
      <c r="B116" s="173">
        <f>Evidence!D116</f>
        <v>0</v>
      </c>
      <c r="C116" s="173">
        <f>Evidence!B116</f>
        <v>0</v>
      </c>
      <c r="E116" s="173">
        <f>Evidence!E116</f>
        <v>0</v>
      </c>
      <c r="I116" s="212">
        <f>Evidence!C116</f>
        <v>0</v>
      </c>
      <c r="J116" s="212" t="str">
        <f t="shared" si="2"/>
        <v>Zborovská 939/2, Žabovřesky, 616 00 Brno</v>
      </c>
      <c r="K116" s="235">
        <f>Evidence!A116</f>
        <v>0</v>
      </c>
      <c r="L116" s="212" t="str">
        <f t="shared" si="3"/>
        <v>C:\sprava\0.pdf</v>
      </c>
      <c r="O116" s="212"/>
    </row>
    <row r="117" spans="2:15" x14ac:dyDescent="0.25">
      <c r="B117" s="173">
        <f>Evidence!D117</f>
        <v>0</v>
      </c>
      <c r="C117" s="173">
        <f>Evidence!B117</f>
        <v>0</v>
      </c>
      <c r="E117" s="173">
        <f>Evidence!E117</f>
        <v>0</v>
      </c>
      <c r="I117" s="212">
        <f>Evidence!C117</f>
        <v>0</v>
      </c>
      <c r="J117" s="212" t="str">
        <f t="shared" si="2"/>
        <v>Zborovská 939/2, Žabovřesky, 616 00 Brno</v>
      </c>
      <c r="K117" s="235">
        <f>Evidence!A117</f>
        <v>0</v>
      </c>
      <c r="L117" s="212" t="str">
        <f t="shared" si="3"/>
        <v>C:\sprava\0.pdf</v>
      </c>
      <c r="O117" s="212"/>
    </row>
    <row r="118" spans="2:15" x14ac:dyDescent="0.25">
      <c r="B118" s="173">
        <f>Evidence!D118</f>
        <v>0</v>
      </c>
      <c r="C118" s="173">
        <f>Evidence!B118</f>
        <v>0</v>
      </c>
      <c r="E118" s="173">
        <f>Evidence!E118</f>
        <v>0</v>
      </c>
      <c r="I118" s="212">
        <f>Evidence!C118</f>
        <v>0</v>
      </c>
      <c r="J118" s="212" t="str">
        <f t="shared" si="2"/>
        <v>Zborovská 939/2, Žabovřesky, 616 00 Brno</v>
      </c>
      <c r="K118" s="235">
        <f>Evidence!A118</f>
        <v>0</v>
      </c>
      <c r="L118" s="212" t="str">
        <f t="shared" si="3"/>
        <v>C:\sprava\0.pdf</v>
      </c>
      <c r="O118" s="212"/>
    </row>
    <row r="119" spans="2:15" x14ac:dyDescent="0.25">
      <c r="B119" s="173">
        <f>Evidence!D119</f>
        <v>0</v>
      </c>
      <c r="C119" s="173">
        <f>Evidence!B119</f>
        <v>0</v>
      </c>
      <c r="E119" s="173">
        <f>Evidence!E119</f>
        <v>0</v>
      </c>
      <c r="I119" s="212">
        <f>Evidence!C119</f>
        <v>0</v>
      </c>
      <c r="J119" s="212" t="str">
        <f t="shared" si="2"/>
        <v>Zborovská 939/2, Žabovřesky, 616 00 Brno</v>
      </c>
      <c r="K119" s="235">
        <f>Evidence!A119</f>
        <v>0</v>
      </c>
      <c r="L119" s="212" t="str">
        <f t="shared" si="3"/>
        <v>C:\sprava\0.pdf</v>
      </c>
      <c r="O119" s="212"/>
    </row>
    <row r="120" spans="2:15" x14ac:dyDescent="0.25">
      <c r="B120" s="173">
        <f>Evidence!D120</f>
        <v>0</v>
      </c>
      <c r="C120" s="173">
        <f>Evidence!B120</f>
        <v>0</v>
      </c>
      <c r="E120" s="173">
        <f>Evidence!E120</f>
        <v>0</v>
      </c>
      <c r="I120" s="212">
        <f>Evidence!C120</f>
        <v>0</v>
      </c>
      <c r="J120" s="212" t="str">
        <f t="shared" si="2"/>
        <v>Zborovská 939/2, Žabovřesky, 616 00 Brno</v>
      </c>
      <c r="K120" s="235">
        <f>Evidence!A120</f>
        <v>0</v>
      </c>
      <c r="L120" s="212" t="str">
        <f t="shared" si="3"/>
        <v>C:\sprava\0.pdf</v>
      </c>
      <c r="O120" s="212"/>
    </row>
    <row r="121" spans="2:15" x14ac:dyDescent="0.25">
      <c r="B121" s="173">
        <f>Evidence!D121</f>
        <v>0</v>
      </c>
      <c r="C121" s="173">
        <f>Evidence!B121</f>
        <v>0</v>
      </c>
      <c r="E121" s="173">
        <f>Evidence!E121</f>
        <v>0</v>
      </c>
      <c r="I121" s="212">
        <f>Evidence!C121</f>
        <v>0</v>
      </c>
      <c r="J121" s="212" t="str">
        <f t="shared" si="2"/>
        <v>Zborovská 939/2, Žabovřesky, 616 00 Brno</v>
      </c>
      <c r="K121" s="235">
        <f>Evidence!A121</f>
        <v>0</v>
      </c>
      <c r="L121" s="212" t="str">
        <f t="shared" si="3"/>
        <v>C:\sprava\0.pdf</v>
      </c>
      <c r="O121" s="212"/>
    </row>
    <row r="122" spans="2:15" x14ac:dyDescent="0.25">
      <c r="B122" s="173">
        <f>Evidence!D122</f>
        <v>0</v>
      </c>
      <c r="C122" s="173">
        <f>Evidence!B122</f>
        <v>0</v>
      </c>
      <c r="E122" s="173">
        <f>Evidence!E122</f>
        <v>0</v>
      </c>
      <c r="I122" s="212">
        <f>Evidence!C122</f>
        <v>0</v>
      </c>
      <c r="J122" s="212" t="str">
        <f t="shared" si="2"/>
        <v>Zborovská 939/2, Žabovřesky, 616 00 Brno</v>
      </c>
      <c r="K122" s="235">
        <f>Evidence!A122</f>
        <v>0</v>
      </c>
      <c r="L122" s="212" t="str">
        <f t="shared" si="3"/>
        <v>C:\sprava\0.pdf</v>
      </c>
      <c r="O122" s="212"/>
    </row>
    <row r="123" spans="2:15" x14ac:dyDescent="0.25">
      <c r="B123" s="173">
        <f>Evidence!D123</f>
        <v>0</v>
      </c>
      <c r="C123" s="173">
        <f>Evidence!B123</f>
        <v>0</v>
      </c>
      <c r="E123" s="173">
        <f>Evidence!E123</f>
        <v>0</v>
      </c>
      <c r="I123" s="212">
        <f>Evidence!C123</f>
        <v>0</v>
      </c>
      <c r="J123" s="212" t="str">
        <f t="shared" si="2"/>
        <v>Zborovská 939/2, Žabovřesky, 616 00 Brno</v>
      </c>
      <c r="K123" s="235">
        <f>Evidence!A123</f>
        <v>0</v>
      </c>
      <c r="L123" s="212" t="str">
        <f t="shared" si="3"/>
        <v>C:\sprava\0.pdf</v>
      </c>
      <c r="O123" s="212"/>
    </row>
    <row r="124" spans="2:15" x14ac:dyDescent="0.25">
      <c r="B124" s="173">
        <f>Evidence!D124</f>
        <v>0</v>
      </c>
      <c r="C124" s="173">
        <f>Evidence!B124</f>
        <v>0</v>
      </c>
      <c r="E124" s="173">
        <f>Evidence!E124</f>
        <v>0</v>
      </c>
      <c r="I124" s="212">
        <f>Evidence!C124</f>
        <v>0</v>
      </c>
      <c r="J124" s="212" t="str">
        <f t="shared" si="2"/>
        <v>Zborovská 939/2, Žabovřesky, 616 00 Brno</v>
      </c>
      <c r="K124" s="235">
        <f>Evidence!A124</f>
        <v>0</v>
      </c>
      <c r="L124" s="212" t="str">
        <f t="shared" si="3"/>
        <v>C:\sprava\0.pdf</v>
      </c>
      <c r="O124" s="212"/>
    </row>
    <row r="125" spans="2:15" x14ac:dyDescent="0.25">
      <c r="B125" s="173">
        <f>Evidence!D125</f>
        <v>0</v>
      </c>
      <c r="C125" s="173">
        <f>Evidence!B125</f>
        <v>0</v>
      </c>
      <c r="E125" s="173">
        <f>Evidence!E125</f>
        <v>0</v>
      </c>
      <c r="I125" s="212">
        <f>Evidence!C125</f>
        <v>0</v>
      </c>
      <c r="J125" s="212" t="str">
        <f t="shared" si="2"/>
        <v>Zborovská 939/2, Žabovřesky, 616 00 Brno</v>
      </c>
      <c r="K125" s="235">
        <f>Evidence!A125</f>
        <v>0</v>
      </c>
      <c r="L125" s="212" t="str">
        <f t="shared" si="3"/>
        <v>C:\sprava\0.pdf</v>
      </c>
      <c r="O125" s="212"/>
    </row>
    <row r="126" spans="2:15" x14ac:dyDescent="0.25">
      <c r="B126" s="173">
        <f>Evidence!D126</f>
        <v>0</v>
      </c>
      <c r="C126" s="173">
        <f>Evidence!B126</f>
        <v>0</v>
      </c>
      <c r="E126" s="173">
        <f>Evidence!E126</f>
        <v>0</v>
      </c>
      <c r="I126" s="212">
        <f>Evidence!C126</f>
        <v>0</v>
      </c>
      <c r="J126" s="212" t="str">
        <f t="shared" si="2"/>
        <v>Zborovská 939/2, Žabovřesky, 616 00 Brno</v>
      </c>
      <c r="K126" s="235">
        <f>Evidence!A126</f>
        <v>0</v>
      </c>
      <c r="L126" s="212" t="str">
        <f t="shared" si="3"/>
        <v>C:\sprava\0.pdf</v>
      </c>
      <c r="O126" s="212"/>
    </row>
    <row r="127" spans="2:15" x14ac:dyDescent="0.25">
      <c r="B127" s="173">
        <f>Evidence!D127</f>
        <v>0</v>
      </c>
      <c r="C127" s="173">
        <f>Evidence!B127</f>
        <v>0</v>
      </c>
      <c r="E127" s="173">
        <f>Evidence!E127</f>
        <v>0</v>
      </c>
      <c r="I127" s="212">
        <f>Evidence!C127</f>
        <v>0</v>
      </c>
      <c r="J127" s="212" t="str">
        <f t="shared" si="2"/>
        <v>Zborovská 939/2, Žabovřesky, 616 00 Brno</v>
      </c>
      <c r="K127" s="235">
        <f>Evidence!A127</f>
        <v>0</v>
      </c>
      <c r="L127" s="212" t="str">
        <f t="shared" si="3"/>
        <v>C:\sprava\0.pdf</v>
      </c>
      <c r="O127" s="212"/>
    </row>
    <row r="128" spans="2:15" x14ac:dyDescent="0.25">
      <c r="B128" s="173">
        <f>Evidence!D128</f>
        <v>0</v>
      </c>
      <c r="C128" s="173">
        <f>Evidence!B128</f>
        <v>0</v>
      </c>
      <c r="E128" s="173">
        <f>Evidence!E128</f>
        <v>0</v>
      </c>
      <c r="I128" s="212">
        <f>Evidence!C128</f>
        <v>0</v>
      </c>
      <c r="J128" s="212" t="str">
        <f t="shared" si="2"/>
        <v>Zborovská 939/2, Žabovřesky, 616 00 Brno</v>
      </c>
      <c r="K128" s="235">
        <f>Evidence!A128</f>
        <v>0</v>
      </c>
      <c r="L128" s="212" t="str">
        <f t="shared" si="3"/>
        <v>C:\sprava\0.pdf</v>
      </c>
      <c r="O128" s="212"/>
    </row>
    <row r="129" spans="2:15" x14ac:dyDescent="0.25">
      <c r="B129" s="173">
        <f>Evidence!D129</f>
        <v>0</v>
      </c>
      <c r="C129" s="173">
        <f>Evidence!B129</f>
        <v>0</v>
      </c>
      <c r="E129" s="173">
        <f>Evidence!E129</f>
        <v>0</v>
      </c>
      <c r="I129" s="212">
        <f>Evidence!C129</f>
        <v>0</v>
      </c>
      <c r="J129" s="212" t="str">
        <f t="shared" si="2"/>
        <v>Zborovská 939/2, Žabovřesky, 616 00 Brno</v>
      </c>
      <c r="K129" s="235">
        <f>Evidence!A129</f>
        <v>0</v>
      </c>
      <c r="L129" s="212" t="str">
        <f t="shared" si="3"/>
        <v>C:\sprava\0.pdf</v>
      </c>
      <c r="O129" s="212"/>
    </row>
    <row r="130" spans="2:15" x14ac:dyDescent="0.25">
      <c r="B130" s="173">
        <f>Evidence!D130</f>
        <v>0</v>
      </c>
      <c r="C130" s="173">
        <f>Evidence!B130</f>
        <v>0</v>
      </c>
      <c r="E130" s="173">
        <f>Evidence!E130</f>
        <v>0</v>
      </c>
      <c r="I130" s="212">
        <f>Evidence!C130</f>
        <v>0</v>
      </c>
      <c r="J130" s="212" t="str">
        <f t="shared" ref="J130:J193" si="4">dum_adresa</f>
        <v>Zborovská 939/2, Žabovřesky, 616 00 Brno</v>
      </c>
      <c r="K130" s="235">
        <f>Evidence!A130</f>
        <v>0</v>
      </c>
      <c r="L130" s="212" t="str">
        <f t="shared" ref="L130:L193" si="5">("C:\sprava\"&amp;SUBSTITUTE(K130,"/","")&amp;".pdf")</f>
        <v>C:\sprava\0.pdf</v>
      </c>
      <c r="O130" s="212"/>
    </row>
    <row r="131" spans="2:15" x14ac:dyDescent="0.25">
      <c r="B131" s="173">
        <f>Evidence!D131</f>
        <v>0</v>
      </c>
      <c r="C131" s="173">
        <f>Evidence!B131</f>
        <v>0</v>
      </c>
      <c r="E131" s="173">
        <f>Evidence!E131</f>
        <v>0</v>
      </c>
      <c r="I131" s="212">
        <f>Evidence!C131</f>
        <v>0</v>
      </c>
      <c r="J131" s="212" t="str">
        <f t="shared" si="4"/>
        <v>Zborovská 939/2, Žabovřesky, 616 00 Brno</v>
      </c>
      <c r="K131" s="235">
        <f>Evidence!A131</f>
        <v>0</v>
      </c>
      <c r="L131" s="212" t="str">
        <f t="shared" si="5"/>
        <v>C:\sprava\0.pdf</v>
      </c>
      <c r="O131" s="212"/>
    </row>
    <row r="132" spans="2:15" x14ac:dyDescent="0.25">
      <c r="B132" s="173">
        <f>Evidence!D132</f>
        <v>0</v>
      </c>
      <c r="C132" s="173">
        <f>Evidence!B132</f>
        <v>0</v>
      </c>
      <c r="E132" s="173">
        <f>Evidence!E132</f>
        <v>0</v>
      </c>
      <c r="I132" s="212">
        <f>Evidence!C132</f>
        <v>0</v>
      </c>
      <c r="J132" s="212" t="str">
        <f t="shared" si="4"/>
        <v>Zborovská 939/2, Žabovřesky, 616 00 Brno</v>
      </c>
      <c r="K132" s="235">
        <f>Evidence!A132</f>
        <v>0</v>
      </c>
      <c r="L132" s="212" t="str">
        <f t="shared" si="5"/>
        <v>C:\sprava\0.pdf</v>
      </c>
      <c r="O132" s="212"/>
    </row>
    <row r="133" spans="2:15" x14ac:dyDescent="0.25">
      <c r="B133" s="173">
        <f>Evidence!D133</f>
        <v>0</v>
      </c>
      <c r="C133" s="173">
        <f>Evidence!B133</f>
        <v>0</v>
      </c>
      <c r="E133" s="173">
        <f>Evidence!E133</f>
        <v>0</v>
      </c>
      <c r="I133" s="212">
        <f>Evidence!C133</f>
        <v>0</v>
      </c>
      <c r="J133" s="212" t="str">
        <f t="shared" si="4"/>
        <v>Zborovská 939/2, Žabovřesky, 616 00 Brno</v>
      </c>
      <c r="K133" s="235">
        <f>Evidence!A133</f>
        <v>0</v>
      </c>
      <c r="L133" s="212" t="str">
        <f t="shared" si="5"/>
        <v>C:\sprava\0.pdf</v>
      </c>
      <c r="O133" s="212"/>
    </row>
    <row r="134" spans="2:15" x14ac:dyDescent="0.25">
      <c r="B134" s="173">
        <f>Evidence!D134</f>
        <v>0</v>
      </c>
      <c r="C134" s="173">
        <f>Evidence!B134</f>
        <v>0</v>
      </c>
      <c r="E134" s="173">
        <f>Evidence!E134</f>
        <v>0</v>
      </c>
      <c r="I134" s="212">
        <f>Evidence!C134</f>
        <v>0</v>
      </c>
      <c r="J134" s="212" t="str">
        <f t="shared" si="4"/>
        <v>Zborovská 939/2, Žabovřesky, 616 00 Brno</v>
      </c>
      <c r="K134" s="235">
        <f>Evidence!A134</f>
        <v>0</v>
      </c>
      <c r="L134" s="212" t="str">
        <f t="shared" si="5"/>
        <v>C:\sprava\0.pdf</v>
      </c>
      <c r="O134" s="212"/>
    </row>
    <row r="135" spans="2:15" x14ac:dyDescent="0.25">
      <c r="B135" s="173">
        <f>Evidence!D135</f>
        <v>0</v>
      </c>
      <c r="C135" s="173">
        <f>Evidence!B135</f>
        <v>0</v>
      </c>
      <c r="E135" s="173">
        <f>Evidence!E135</f>
        <v>0</v>
      </c>
      <c r="I135" s="212">
        <f>Evidence!C135</f>
        <v>0</v>
      </c>
      <c r="J135" s="212" t="str">
        <f t="shared" si="4"/>
        <v>Zborovská 939/2, Žabovřesky, 616 00 Brno</v>
      </c>
      <c r="K135" s="235">
        <f>Evidence!A135</f>
        <v>0</v>
      </c>
      <c r="L135" s="212" t="str">
        <f t="shared" si="5"/>
        <v>C:\sprava\0.pdf</v>
      </c>
      <c r="O135" s="212"/>
    </row>
    <row r="136" spans="2:15" x14ac:dyDescent="0.25">
      <c r="B136" s="173">
        <f>Evidence!D136</f>
        <v>0</v>
      </c>
      <c r="C136" s="173">
        <f>Evidence!B136</f>
        <v>0</v>
      </c>
      <c r="E136" s="173">
        <f>Evidence!E136</f>
        <v>0</v>
      </c>
      <c r="I136" s="212">
        <f>Evidence!C136</f>
        <v>0</v>
      </c>
      <c r="J136" s="212" t="str">
        <f t="shared" si="4"/>
        <v>Zborovská 939/2, Žabovřesky, 616 00 Brno</v>
      </c>
      <c r="K136" s="235">
        <f>Evidence!A136</f>
        <v>0</v>
      </c>
      <c r="L136" s="212" t="str">
        <f t="shared" si="5"/>
        <v>C:\sprava\0.pdf</v>
      </c>
      <c r="O136" s="212"/>
    </row>
    <row r="137" spans="2:15" x14ac:dyDescent="0.25">
      <c r="B137" s="173">
        <f>Evidence!D137</f>
        <v>0</v>
      </c>
      <c r="C137" s="173">
        <f>Evidence!B137</f>
        <v>0</v>
      </c>
      <c r="E137" s="173">
        <f>Evidence!E137</f>
        <v>0</v>
      </c>
      <c r="I137" s="212">
        <f>Evidence!C137</f>
        <v>0</v>
      </c>
      <c r="J137" s="212" t="str">
        <f t="shared" si="4"/>
        <v>Zborovská 939/2, Žabovřesky, 616 00 Brno</v>
      </c>
      <c r="K137" s="235">
        <f>Evidence!A137</f>
        <v>0</v>
      </c>
      <c r="L137" s="212" t="str">
        <f t="shared" si="5"/>
        <v>C:\sprava\0.pdf</v>
      </c>
      <c r="O137" s="212"/>
    </row>
    <row r="138" spans="2:15" x14ac:dyDescent="0.25">
      <c r="B138" s="173">
        <f>Evidence!D138</f>
        <v>0</v>
      </c>
      <c r="C138" s="173">
        <f>Evidence!B138</f>
        <v>0</v>
      </c>
      <c r="E138" s="173">
        <f>Evidence!E138</f>
        <v>0</v>
      </c>
      <c r="I138" s="212">
        <f>Evidence!C138</f>
        <v>0</v>
      </c>
      <c r="J138" s="212" t="str">
        <f t="shared" si="4"/>
        <v>Zborovská 939/2, Žabovřesky, 616 00 Brno</v>
      </c>
      <c r="K138" s="235">
        <f>Evidence!A138</f>
        <v>0</v>
      </c>
      <c r="L138" s="212" t="str">
        <f t="shared" si="5"/>
        <v>C:\sprava\0.pdf</v>
      </c>
      <c r="O138" s="212"/>
    </row>
    <row r="139" spans="2:15" x14ac:dyDescent="0.25">
      <c r="B139" s="173">
        <f>Evidence!D139</f>
        <v>0</v>
      </c>
      <c r="C139" s="173">
        <f>Evidence!B139</f>
        <v>0</v>
      </c>
      <c r="E139" s="173">
        <f>Evidence!E139</f>
        <v>0</v>
      </c>
      <c r="I139" s="212">
        <f>Evidence!C139</f>
        <v>0</v>
      </c>
      <c r="J139" s="212" t="str">
        <f t="shared" si="4"/>
        <v>Zborovská 939/2, Žabovřesky, 616 00 Brno</v>
      </c>
      <c r="K139" s="235">
        <f>Evidence!A139</f>
        <v>0</v>
      </c>
      <c r="L139" s="212" t="str">
        <f t="shared" si="5"/>
        <v>C:\sprava\0.pdf</v>
      </c>
      <c r="O139" s="212"/>
    </row>
    <row r="140" spans="2:15" x14ac:dyDescent="0.25">
      <c r="B140" s="173">
        <f>Evidence!D140</f>
        <v>0</v>
      </c>
      <c r="C140" s="173">
        <f>Evidence!B140</f>
        <v>0</v>
      </c>
      <c r="E140" s="173">
        <f>Evidence!E140</f>
        <v>0</v>
      </c>
      <c r="I140" s="212">
        <f>Evidence!C140</f>
        <v>0</v>
      </c>
      <c r="J140" s="212" t="str">
        <f t="shared" si="4"/>
        <v>Zborovská 939/2, Žabovřesky, 616 00 Brno</v>
      </c>
      <c r="K140" s="235">
        <f>Evidence!A140</f>
        <v>0</v>
      </c>
      <c r="L140" s="212" t="str">
        <f t="shared" si="5"/>
        <v>C:\sprava\0.pdf</v>
      </c>
      <c r="O140" s="212"/>
    </row>
    <row r="141" spans="2:15" x14ac:dyDescent="0.25">
      <c r="B141" s="173">
        <f>Evidence!D141</f>
        <v>0</v>
      </c>
      <c r="C141" s="173">
        <f>Evidence!B141</f>
        <v>0</v>
      </c>
      <c r="E141" s="173">
        <f>Evidence!E141</f>
        <v>0</v>
      </c>
      <c r="I141" s="212">
        <f>Evidence!C141</f>
        <v>0</v>
      </c>
      <c r="J141" s="212" t="str">
        <f t="shared" si="4"/>
        <v>Zborovská 939/2, Žabovřesky, 616 00 Brno</v>
      </c>
      <c r="K141" s="235">
        <f>Evidence!A141</f>
        <v>0</v>
      </c>
      <c r="L141" s="212" t="str">
        <f t="shared" si="5"/>
        <v>C:\sprava\0.pdf</v>
      </c>
      <c r="O141" s="212"/>
    </row>
    <row r="142" spans="2:15" x14ac:dyDescent="0.25">
      <c r="B142" s="173">
        <f>Evidence!D142</f>
        <v>0</v>
      </c>
      <c r="C142" s="173">
        <f>Evidence!B142</f>
        <v>0</v>
      </c>
      <c r="E142" s="173">
        <f>Evidence!E142</f>
        <v>0</v>
      </c>
      <c r="I142" s="212">
        <f>Evidence!C142</f>
        <v>0</v>
      </c>
      <c r="J142" s="212" t="str">
        <f t="shared" si="4"/>
        <v>Zborovská 939/2, Žabovřesky, 616 00 Brno</v>
      </c>
      <c r="K142" s="235">
        <f>Evidence!A142</f>
        <v>0</v>
      </c>
      <c r="L142" s="212" t="str">
        <f t="shared" si="5"/>
        <v>C:\sprava\0.pdf</v>
      </c>
      <c r="O142" s="212"/>
    </row>
    <row r="143" spans="2:15" x14ac:dyDescent="0.25">
      <c r="B143" s="173">
        <f>Evidence!D143</f>
        <v>0</v>
      </c>
      <c r="C143" s="173">
        <f>Evidence!B143</f>
        <v>0</v>
      </c>
      <c r="E143" s="173">
        <f>Evidence!E143</f>
        <v>0</v>
      </c>
      <c r="I143" s="212">
        <f>Evidence!C143</f>
        <v>0</v>
      </c>
      <c r="J143" s="212" t="str">
        <f t="shared" si="4"/>
        <v>Zborovská 939/2, Žabovřesky, 616 00 Brno</v>
      </c>
      <c r="K143" s="235">
        <f>Evidence!A143</f>
        <v>0</v>
      </c>
      <c r="L143" s="212" t="str">
        <f t="shared" si="5"/>
        <v>C:\sprava\0.pdf</v>
      </c>
      <c r="O143" s="212"/>
    </row>
    <row r="144" spans="2:15" x14ac:dyDescent="0.25">
      <c r="B144" s="173">
        <f>Evidence!D144</f>
        <v>0</v>
      </c>
      <c r="C144" s="173">
        <f>Evidence!B144</f>
        <v>0</v>
      </c>
      <c r="E144" s="173">
        <f>Evidence!E144</f>
        <v>0</v>
      </c>
      <c r="I144" s="212">
        <f>Evidence!C144</f>
        <v>0</v>
      </c>
      <c r="J144" s="212" t="str">
        <f t="shared" si="4"/>
        <v>Zborovská 939/2, Žabovřesky, 616 00 Brno</v>
      </c>
      <c r="K144" s="235">
        <f>Evidence!A144</f>
        <v>0</v>
      </c>
      <c r="L144" s="212" t="str">
        <f t="shared" si="5"/>
        <v>C:\sprava\0.pdf</v>
      </c>
      <c r="O144" s="212"/>
    </row>
    <row r="145" spans="2:15" x14ac:dyDescent="0.25">
      <c r="B145" s="173">
        <f>Evidence!D145</f>
        <v>0</v>
      </c>
      <c r="C145" s="173">
        <f>Evidence!B145</f>
        <v>0</v>
      </c>
      <c r="E145" s="173">
        <f>Evidence!E145</f>
        <v>0</v>
      </c>
      <c r="I145" s="212">
        <f>Evidence!C145</f>
        <v>0</v>
      </c>
      <c r="J145" s="212" t="str">
        <f t="shared" si="4"/>
        <v>Zborovská 939/2, Žabovřesky, 616 00 Brno</v>
      </c>
      <c r="K145" s="235">
        <f>Evidence!A145</f>
        <v>0</v>
      </c>
      <c r="L145" s="212" t="str">
        <f t="shared" si="5"/>
        <v>C:\sprava\0.pdf</v>
      </c>
      <c r="O145" s="212"/>
    </row>
    <row r="146" spans="2:15" x14ac:dyDescent="0.25">
      <c r="B146" s="173">
        <f>Evidence!D146</f>
        <v>0</v>
      </c>
      <c r="C146" s="173">
        <f>Evidence!B146</f>
        <v>0</v>
      </c>
      <c r="E146" s="173">
        <f>Evidence!E146</f>
        <v>0</v>
      </c>
      <c r="I146" s="212">
        <f>Evidence!C146</f>
        <v>0</v>
      </c>
      <c r="J146" s="212" t="str">
        <f t="shared" si="4"/>
        <v>Zborovská 939/2, Žabovřesky, 616 00 Brno</v>
      </c>
      <c r="K146" s="235">
        <f>Evidence!A146</f>
        <v>0</v>
      </c>
      <c r="L146" s="212" t="str">
        <f t="shared" si="5"/>
        <v>C:\sprava\0.pdf</v>
      </c>
      <c r="O146" s="212"/>
    </row>
    <row r="147" spans="2:15" x14ac:dyDescent="0.25">
      <c r="B147" s="173">
        <f>Evidence!D147</f>
        <v>0</v>
      </c>
      <c r="C147" s="173">
        <f>Evidence!B147</f>
        <v>0</v>
      </c>
      <c r="E147" s="173">
        <f>Evidence!E147</f>
        <v>0</v>
      </c>
      <c r="I147" s="212">
        <f>Evidence!C147</f>
        <v>0</v>
      </c>
      <c r="J147" s="212" t="str">
        <f t="shared" si="4"/>
        <v>Zborovská 939/2, Žabovřesky, 616 00 Brno</v>
      </c>
      <c r="K147" s="235">
        <f>Evidence!A147</f>
        <v>0</v>
      </c>
      <c r="L147" s="212" t="str">
        <f t="shared" si="5"/>
        <v>C:\sprava\0.pdf</v>
      </c>
      <c r="O147" s="212"/>
    </row>
    <row r="148" spans="2:15" x14ac:dyDescent="0.25">
      <c r="B148" s="173">
        <f>Evidence!D148</f>
        <v>0</v>
      </c>
      <c r="C148" s="173">
        <f>Evidence!B148</f>
        <v>0</v>
      </c>
      <c r="E148" s="173">
        <f>Evidence!E148</f>
        <v>0</v>
      </c>
      <c r="I148" s="212">
        <f>Evidence!C148</f>
        <v>0</v>
      </c>
      <c r="J148" s="212" t="str">
        <f t="shared" si="4"/>
        <v>Zborovská 939/2, Žabovřesky, 616 00 Brno</v>
      </c>
      <c r="K148" s="235">
        <f>Evidence!A148</f>
        <v>0</v>
      </c>
      <c r="L148" s="212" t="str">
        <f t="shared" si="5"/>
        <v>C:\sprava\0.pdf</v>
      </c>
      <c r="O148" s="212"/>
    </row>
    <row r="149" spans="2:15" x14ac:dyDescent="0.25">
      <c r="B149" s="173">
        <f>Evidence!D149</f>
        <v>0</v>
      </c>
      <c r="C149" s="173">
        <f>Evidence!B149</f>
        <v>0</v>
      </c>
      <c r="E149" s="173">
        <f>Evidence!E149</f>
        <v>0</v>
      </c>
      <c r="I149" s="212">
        <f>Evidence!C149</f>
        <v>0</v>
      </c>
      <c r="J149" s="212" t="str">
        <f t="shared" si="4"/>
        <v>Zborovská 939/2, Žabovřesky, 616 00 Brno</v>
      </c>
      <c r="K149" s="235">
        <f>Evidence!A149</f>
        <v>0</v>
      </c>
      <c r="L149" s="212" t="str">
        <f t="shared" si="5"/>
        <v>C:\sprava\0.pdf</v>
      </c>
      <c r="O149" s="212"/>
    </row>
    <row r="150" spans="2:15" x14ac:dyDescent="0.25">
      <c r="B150" s="173">
        <f>Evidence!D150</f>
        <v>0</v>
      </c>
      <c r="C150" s="173">
        <f>Evidence!B150</f>
        <v>0</v>
      </c>
      <c r="E150" s="173">
        <f>Evidence!E150</f>
        <v>0</v>
      </c>
      <c r="I150" s="212">
        <f>Evidence!C150</f>
        <v>0</v>
      </c>
      <c r="J150" s="212" t="str">
        <f t="shared" si="4"/>
        <v>Zborovská 939/2, Žabovřesky, 616 00 Brno</v>
      </c>
      <c r="K150" s="235">
        <f>Evidence!A150</f>
        <v>0</v>
      </c>
      <c r="L150" s="212" t="str">
        <f t="shared" si="5"/>
        <v>C:\sprava\0.pdf</v>
      </c>
      <c r="O150" s="212"/>
    </row>
    <row r="151" spans="2:15" x14ac:dyDescent="0.25">
      <c r="B151" s="173">
        <f>Evidence!D151</f>
        <v>0</v>
      </c>
      <c r="C151" s="173">
        <f>Evidence!B151</f>
        <v>0</v>
      </c>
      <c r="E151" s="173">
        <f>Evidence!E151</f>
        <v>0</v>
      </c>
      <c r="I151" s="212">
        <f>Evidence!C151</f>
        <v>0</v>
      </c>
      <c r="J151" s="212" t="str">
        <f t="shared" si="4"/>
        <v>Zborovská 939/2, Žabovřesky, 616 00 Brno</v>
      </c>
      <c r="K151" s="235">
        <f>Evidence!A151</f>
        <v>0</v>
      </c>
      <c r="L151" s="212" t="str">
        <f t="shared" si="5"/>
        <v>C:\sprava\0.pdf</v>
      </c>
      <c r="O151" s="212"/>
    </row>
    <row r="152" spans="2:15" x14ac:dyDescent="0.25">
      <c r="B152" s="173">
        <f>Evidence!D152</f>
        <v>0</v>
      </c>
      <c r="C152" s="173">
        <f>Evidence!B152</f>
        <v>0</v>
      </c>
      <c r="E152" s="173">
        <f>Evidence!E152</f>
        <v>0</v>
      </c>
      <c r="I152" s="212">
        <f>Evidence!C152</f>
        <v>0</v>
      </c>
      <c r="J152" s="212" t="str">
        <f t="shared" si="4"/>
        <v>Zborovská 939/2, Žabovřesky, 616 00 Brno</v>
      </c>
      <c r="K152" s="235">
        <f>Evidence!A152</f>
        <v>0</v>
      </c>
      <c r="L152" s="212" t="str">
        <f t="shared" si="5"/>
        <v>C:\sprava\0.pdf</v>
      </c>
      <c r="O152" s="212"/>
    </row>
    <row r="153" spans="2:15" x14ac:dyDescent="0.25">
      <c r="B153" s="173">
        <f>Evidence!D153</f>
        <v>0</v>
      </c>
      <c r="C153" s="173">
        <f>Evidence!B153</f>
        <v>0</v>
      </c>
      <c r="E153" s="173">
        <f>Evidence!E153</f>
        <v>0</v>
      </c>
      <c r="I153" s="212">
        <f>Evidence!C153</f>
        <v>0</v>
      </c>
      <c r="J153" s="212" t="str">
        <f t="shared" si="4"/>
        <v>Zborovská 939/2, Žabovřesky, 616 00 Brno</v>
      </c>
      <c r="K153" s="235">
        <f>Evidence!A153</f>
        <v>0</v>
      </c>
      <c r="L153" s="212" t="str">
        <f t="shared" si="5"/>
        <v>C:\sprava\0.pdf</v>
      </c>
      <c r="O153" s="212"/>
    </row>
    <row r="154" spans="2:15" x14ac:dyDescent="0.25">
      <c r="B154" s="173">
        <f>Evidence!D154</f>
        <v>0</v>
      </c>
      <c r="C154" s="173">
        <f>Evidence!B154</f>
        <v>0</v>
      </c>
      <c r="E154" s="173">
        <f>Evidence!E154</f>
        <v>0</v>
      </c>
      <c r="I154" s="212">
        <f>Evidence!C154</f>
        <v>0</v>
      </c>
      <c r="J154" s="212" t="str">
        <f t="shared" si="4"/>
        <v>Zborovská 939/2, Žabovřesky, 616 00 Brno</v>
      </c>
      <c r="K154" s="235">
        <f>Evidence!A154</f>
        <v>0</v>
      </c>
      <c r="L154" s="212" t="str">
        <f t="shared" si="5"/>
        <v>C:\sprava\0.pdf</v>
      </c>
      <c r="O154" s="212"/>
    </row>
    <row r="155" spans="2:15" x14ac:dyDescent="0.25">
      <c r="B155" s="173">
        <f>Evidence!D155</f>
        <v>0</v>
      </c>
      <c r="C155" s="173">
        <f>Evidence!B155</f>
        <v>0</v>
      </c>
      <c r="E155" s="173">
        <f>Evidence!E155</f>
        <v>0</v>
      </c>
      <c r="I155" s="212">
        <f>Evidence!C155</f>
        <v>0</v>
      </c>
      <c r="J155" s="212" t="str">
        <f t="shared" si="4"/>
        <v>Zborovská 939/2, Žabovřesky, 616 00 Brno</v>
      </c>
      <c r="K155" s="235">
        <f>Evidence!A155</f>
        <v>0</v>
      </c>
      <c r="L155" s="212" t="str">
        <f t="shared" si="5"/>
        <v>C:\sprava\0.pdf</v>
      </c>
      <c r="O155" s="212"/>
    </row>
    <row r="156" spans="2:15" x14ac:dyDescent="0.25">
      <c r="B156" s="173">
        <f>Evidence!D156</f>
        <v>0</v>
      </c>
      <c r="C156" s="173">
        <f>Evidence!B156</f>
        <v>0</v>
      </c>
      <c r="E156" s="173">
        <f>Evidence!E156</f>
        <v>0</v>
      </c>
      <c r="I156" s="212">
        <f>Evidence!C156</f>
        <v>0</v>
      </c>
      <c r="J156" s="212" t="str">
        <f t="shared" si="4"/>
        <v>Zborovská 939/2, Žabovřesky, 616 00 Brno</v>
      </c>
      <c r="K156" s="235">
        <f>Evidence!A156</f>
        <v>0</v>
      </c>
      <c r="L156" s="212" t="str">
        <f t="shared" si="5"/>
        <v>C:\sprava\0.pdf</v>
      </c>
      <c r="O156" s="212"/>
    </row>
    <row r="157" spans="2:15" x14ac:dyDescent="0.25">
      <c r="B157" s="173">
        <f>Evidence!D157</f>
        <v>0</v>
      </c>
      <c r="C157" s="173">
        <f>Evidence!B157</f>
        <v>0</v>
      </c>
      <c r="E157" s="173">
        <f>Evidence!E157</f>
        <v>0</v>
      </c>
      <c r="I157" s="212">
        <f>Evidence!C157</f>
        <v>0</v>
      </c>
      <c r="J157" s="212" t="str">
        <f t="shared" si="4"/>
        <v>Zborovská 939/2, Žabovřesky, 616 00 Brno</v>
      </c>
      <c r="K157" s="235">
        <f>Evidence!A157</f>
        <v>0</v>
      </c>
      <c r="L157" s="212" t="str">
        <f t="shared" si="5"/>
        <v>C:\sprava\0.pdf</v>
      </c>
      <c r="O157" s="212"/>
    </row>
    <row r="158" spans="2:15" x14ac:dyDescent="0.25">
      <c r="B158" s="173">
        <f>Evidence!D158</f>
        <v>0</v>
      </c>
      <c r="C158" s="173">
        <f>Evidence!B158</f>
        <v>0</v>
      </c>
      <c r="E158" s="173">
        <f>Evidence!E158</f>
        <v>0</v>
      </c>
      <c r="I158" s="212">
        <f>Evidence!C158</f>
        <v>0</v>
      </c>
      <c r="J158" s="212" t="str">
        <f t="shared" si="4"/>
        <v>Zborovská 939/2, Žabovřesky, 616 00 Brno</v>
      </c>
      <c r="K158" s="235">
        <f>Evidence!A158</f>
        <v>0</v>
      </c>
      <c r="L158" s="212" t="str">
        <f t="shared" si="5"/>
        <v>C:\sprava\0.pdf</v>
      </c>
      <c r="O158" s="212"/>
    </row>
    <row r="159" spans="2:15" x14ac:dyDescent="0.25">
      <c r="B159" s="173">
        <f>Evidence!D159</f>
        <v>0</v>
      </c>
      <c r="C159" s="173">
        <f>Evidence!B159</f>
        <v>0</v>
      </c>
      <c r="E159" s="173">
        <f>Evidence!E159</f>
        <v>0</v>
      </c>
      <c r="I159" s="212">
        <f>Evidence!C159</f>
        <v>0</v>
      </c>
      <c r="J159" s="212" t="str">
        <f t="shared" si="4"/>
        <v>Zborovská 939/2, Žabovřesky, 616 00 Brno</v>
      </c>
      <c r="K159" s="235">
        <f>Evidence!A159</f>
        <v>0</v>
      </c>
      <c r="L159" s="212" t="str">
        <f t="shared" si="5"/>
        <v>C:\sprava\0.pdf</v>
      </c>
      <c r="O159" s="212"/>
    </row>
    <row r="160" spans="2:15" x14ac:dyDescent="0.25">
      <c r="B160" s="173">
        <f>Evidence!D160</f>
        <v>0</v>
      </c>
      <c r="C160" s="173">
        <f>Evidence!B160</f>
        <v>0</v>
      </c>
      <c r="E160" s="173">
        <f>Evidence!E160</f>
        <v>0</v>
      </c>
      <c r="I160" s="212">
        <f>Evidence!C160</f>
        <v>0</v>
      </c>
      <c r="J160" s="212" t="str">
        <f t="shared" si="4"/>
        <v>Zborovská 939/2, Žabovřesky, 616 00 Brno</v>
      </c>
      <c r="K160" s="235">
        <f>Evidence!A160</f>
        <v>0</v>
      </c>
      <c r="L160" s="212" t="str">
        <f t="shared" si="5"/>
        <v>C:\sprava\0.pdf</v>
      </c>
      <c r="O160" s="212"/>
    </row>
    <row r="161" spans="2:15" x14ac:dyDescent="0.25">
      <c r="B161" s="173">
        <f>Evidence!D161</f>
        <v>0</v>
      </c>
      <c r="C161" s="173">
        <f>Evidence!B161</f>
        <v>0</v>
      </c>
      <c r="E161" s="173">
        <f>Evidence!E161</f>
        <v>0</v>
      </c>
      <c r="I161" s="212">
        <f>Evidence!C161</f>
        <v>0</v>
      </c>
      <c r="J161" s="212" t="str">
        <f t="shared" si="4"/>
        <v>Zborovská 939/2, Žabovřesky, 616 00 Brno</v>
      </c>
      <c r="K161" s="235">
        <f>Evidence!A161</f>
        <v>0</v>
      </c>
      <c r="L161" s="212" t="str">
        <f t="shared" si="5"/>
        <v>C:\sprava\0.pdf</v>
      </c>
      <c r="O161" s="212"/>
    </row>
    <row r="162" spans="2:15" x14ac:dyDescent="0.25">
      <c r="B162" s="173">
        <f>Evidence!D162</f>
        <v>0</v>
      </c>
      <c r="C162" s="173">
        <f>Evidence!B162</f>
        <v>0</v>
      </c>
      <c r="E162" s="173">
        <f>Evidence!E162</f>
        <v>0</v>
      </c>
      <c r="I162" s="212">
        <f>Evidence!C162</f>
        <v>0</v>
      </c>
      <c r="J162" s="212" t="str">
        <f t="shared" si="4"/>
        <v>Zborovská 939/2, Žabovřesky, 616 00 Brno</v>
      </c>
      <c r="K162" s="235">
        <f>Evidence!A162</f>
        <v>0</v>
      </c>
      <c r="L162" s="212" t="str">
        <f t="shared" si="5"/>
        <v>C:\sprava\0.pdf</v>
      </c>
      <c r="O162" s="212"/>
    </row>
    <row r="163" spans="2:15" x14ac:dyDescent="0.25">
      <c r="B163" s="173">
        <f>Evidence!D163</f>
        <v>0</v>
      </c>
      <c r="C163" s="173">
        <f>Evidence!B163</f>
        <v>0</v>
      </c>
      <c r="E163" s="173">
        <f>Evidence!E163</f>
        <v>0</v>
      </c>
      <c r="I163" s="212">
        <f>Evidence!C163</f>
        <v>0</v>
      </c>
      <c r="J163" s="212" t="str">
        <f t="shared" si="4"/>
        <v>Zborovská 939/2, Žabovřesky, 616 00 Brno</v>
      </c>
      <c r="K163" s="235">
        <f>Evidence!A163</f>
        <v>0</v>
      </c>
      <c r="L163" s="212" t="str">
        <f t="shared" si="5"/>
        <v>C:\sprava\0.pdf</v>
      </c>
      <c r="O163" s="212"/>
    </row>
    <row r="164" spans="2:15" x14ac:dyDescent="0.25">
      <c r="B164" s="173">
        <f>Evidence!D164</f>
        <v>0</v>
      </c>
      <c r="C164" s="173">
        <f>Evidence!B164</f>
        <v>0</v>
      </c>
      <c r="E164" s="173">
        <f>Evidence!E164</f>
        <v>0</v>
      </c>
      <c r="I164" s="212">
        <f>Evidence!C164</f>
        <v>0</v>
      </c>
      <c r="J164" s="212" t="str">
        <f t="shared" si="4"/>
        <v>Zborovská 939/2, Žabovřesky, 616 00 Brno</v>
      </c>
      <c r="K164" s="235">
        <f>Evidence!A164</f>
        <v>0</v>
      </c>
      <c r="L164" s="212" t="str">
        <f t="shared" si="5"/>
        <v>C:\sprava\0.pdf</v>
      </c>
      <c r="O164" s="212"/>
    </row>
    <row r="165" spans="2:15" x14ac:dyDescent="0.25">
      <c r="B165" s="173">
        <f>Evidence!D165</f>
        <v>0</v>
      </c>
      <c r="C165" s="173">
        <f>Evidence!B165</f>
        <v>0</v>
      </c>
      <c r="E165" s="173">
        <f>Evidence!E165</f>
        <v>0</v>
      </c>
      <c r="I165" s="212">
        <f>Evidence!C165</f>
        <v>0</v>
      </c>
      <c r="J165" s="212" t="str">
        <f t="shared" si="4"/>
        <v>Zborovská 939/2, Žabovřesky, 616 00 Brno</v>
      </c>
      <c r="K165" s="235">
        <f>Evidence!A165</f>
        <v>0</v>
      </c>
      <c r="L165" s="212" t="str">
        <f t="shared" si="5"/>
        <v>C:\sprava\0.pdf</v>
      </c>
      <c r="O165" s="212"/>
    </row>
    <row r="166" spans="2:15" x14ac:dyDescent="0.25">
      <c r="B166" s="173">
        <f>Evidence!D166</f>
        <v>0</v>
      </c>
      <c r="C166" s="173">
        <f>Evidence!B166</f>
        <v>0</v>
      </c>
      <c r="E166" s="173">
        <f>Evidence!E166</f>
        <v>0</v>
      </c>
      <c r="I166" s="212">
        <f>Evidence!C166</f>
        <v>0</v>
      </c>
      <c r="J166" s="212" t="str">
        <f t="shared" si="4"/>
        <v>Zborovská 939/2, Žabovřesky, 616 00 Brno</v>
      </c>
      <c r="K166" s="235">
        <f>Evidence!A166</f>
        <v>0</v>
      </c>
      <c r="L166" s="212" t="str">
        <f t="shared" si="5"/>
        <v>C:\sprava\0.pdf</v>
      </c>
      <c r="O166" s="212"/>
    </row>
    <row r="167" spans="2:15" x14ac:dyDescent="0.25">
      <c r="B167" s="173">
        <f>Evidence!D167</f>
        <v>0</v>
      </c>
      <c r="C167" s="173">
        <f>Evidence!B167</f>
        <v>0</v>
      </c>
      <c r="E167" s="173">
        <f>Evidence!E167</f>
        <v>0</v>
      </c>
      <c r="I167" s="212">
        <f>Evidence!C167</f>
        <v>0</v>
      </c>
      <c r="J167" s="212" t="str">
        <f t="shared" si="4"/>
        <v>Zborovská 939/2, Žabovřesky, 616 00 Brno</v>
      </c>
      <c r="K167" s="235">
        <f>Evidence!A167</f>
        <v>0</v>
      </c>
      <c r="L167" s="212" t="str">
        <f t="shared" si="5"/>
        <v>C:\sprava\0.pdf</v>
      </c>
      <c r="O167" s="212"/>
    </row>
    <row r="168" spans="2:15" x14ac:dyDescent="0.25">
      <c r="B168" s="173">
        <f>Evidence!D168</f>
        <v>0</v>
      </c>
      <c r="C168" s="173">
        <f>Evidence!B168</f>
        <v>0</v>
      </c>
      <c r="E168" s="173">
        <f>Evidence!E168</f>
        <v>0</v>
      </c>
      <c r="I168" s="212">
        <f>Evidence!C168</f>
        <v>0</v>
      </c>
      <c r="J168" s="212" t="str">
        <f t="shared" si="4"/>
        <v>Zborovská 939/2, Žabovřesky, 616 00 Brno</v>
      </c>
      <c r="K168" s="235">
        <f>Evidence!A168</f>
        <v>0</v>
      </c>
      <c r="L168" s="212" t="str">
        <f t="shared" si="5"/>
        <v>C:\sprava\0.pdf</v>
      </c>
      <c r="O168" s="212"/>
    </row>
    <row r="169" spans="2:15" x14ac:dyDescent="0.25">
      <c r="B169" s="173">
        <f>Evidence!D169</f>
        <v>0</v>
      </c>
      <c r="C169" s="173">
        <f>Evidence!B169</f>
        <v>0</v>
      </c>
      <c r="E169" s="173">
        <f>Evidence!E169</f>
        <v>0</v>
      </c>
      <c r="I169" s="212">
        <f>Evidence!C169</f>
        <v>0</v>
      </c>
      <c r="J169" s="212" t="str">
        <f t="shared" si="4"/>
        <v>Zborovská 939/2, Žabovřesky, 616 00 Brno</v>
      </c>
      <c r="K169" s="235">
        <f>Evidence!A169</f>
        <v>0</v>
      </c>
      <c r="L169" s="212" t="str">
        <f t="shared" si="5"/>
        <v>C:\sprava\0.pdf</v>
      </c>
      <c r="O169" s="212"/>
    </row>
    <row r="170" spans="2:15" x14ac:dyDescent="0.25">
      <c r="B170" s="173">
        <f>Evidence!D170</f>
        <v>0</v>
      </c>
      <c r="C170" s="173">
        <f>Evidence!B170</f>
        <v>0</v>
      </c>
      <c r="E170" s="173">
        <f>Evidence!E170</f>
        <v>0</v>
      </c>
      <c r="I170" s="212">
        <f>Evidence!C170</f>
        <v>0</v>
      </c>
      <c r="J170" s="212" t="str">
        <f t="shared" si="4"/>
        <v>Zborovská 939/2, Žabovřesky, 616 00 Brno</v>
      </c>
      <c r="K170" s="235">
        <f>Evidence!A170</f>
        <v>0</v>
      </c>
      <c r="L170" s="212" t="str">
        <f t="shared" si="5"/>
        <v>C:\sprava\0.pdf</v>
      </c>
      <c r="O170" s="212"/>
    </row>
    <row r="171" spans="2:15" x14ac:dyDescent="0.25">
      <c r="B171" s="173">
        <f>Evidence!D171</f>
        <v>0</v>
      </c>
      <c r="C171" s="173">
        <f>Evidence!B171</f>
        <v>0</v>
      </c>
      <c r="E171" s="173">
        <f>Evidence!E171</f>
        <v>0</v>
      </c>
      <c r="I171" s="212">
        <f>Evidence!C171</f>
        <v>0</v>
      </c>
      <c r="J171" s="212" t="str">
        <f t="shared" si="4"/>
        <v>Zborovská 939/2, Žabovřesky, 616 00 Brno</v>
      </c>
      <c r="K171" s="235">
        <f>Evidence!A171</f>
        <v>0</v>
      </c>
      <c r="L171" s="212" t="str">
        <f t="shared" si="5"/>
        <v>C:\sprava\0.pdf</v>
      </c>
      <c r="O171" s="212"/>
    </row>
    <row r="172" spans="2:15" x14ac:dyDescent="0.25">
      <c r="B172" s="173">
        <f>Evidence!D172</f>
        <v>0</v>
      </c>
      <c r="C172" s="173">
        <f>Evidence!B172</f>
        <v>0</v>
      </c>
      <c r="E172" s="173">
        <f>Evidence!E172</f>
        <v>0</v>
      </c>
      <c r="I172" s="212">
        <f>Evidence!C172</f>
        <v>0</v>
      </c>
      <c r="J172" s="212" t="str">
        <f t="shared" si="4"/>
        <v>Zborovská 939/2, Žabovřesky, 616 00 Brno</v>
      </c>
      <c r="K172" s="235">
        <f>Evidence!A172</f>
        <v>0</v>
      </c>
      <c r="L172" s="212" t="str">
        <f t="shared" si="5"/>
        <v>C:\sprava\0.pdf</v>
      </c>
      <c r="O172" s="212"/>
    </row>
    <row r="173" spans="2:15" x14ac:dyDescent="0.25">
      <c r="B173" s="173">
        <f>Evidence!D173</f>
        <v>0</v>
      </c>
      <c r="C173" s="173">
        <f>Evidence!B173</f>
        <v>0</v>
      </c>
      <c r="E173" s="173">
        <f>Evidence!E173</f>
        <v>0</v>
      </c>
      <c r="I173" s="212">
        <f>Evidence!C173</f>
        <v>0</v>
      </c>
      <c r="J173" s="212" t="str">
        <f t="shared" si="4"/>
        <v>Zborovská 939/2, Žabovřesky, 616 00 Brno</v>
      </c>
      <c r="K173" s="235">
        <f>Evidence!A173</f>
        <v>0</v>
      </c>
      <c r="L173" s="212" t="str">
        <f t="shared" si="5"/>
        <v>C:\sprava\0.pdf</v>
      </c>
      <c r="O173" s="212"/>
    </row>
    <row r="174" spans="2:15" x14ac:dyDescent="0.25">
      <c r="B174" s="173">
        <f>Evidence!D174</f>
        <v>0</v>
      </c>
      <c r="C174" s="173">
        <f>Evidence!B174</f>
        <v>0</v>
      </c>
      <c r="E174" s="173">
        <f>Evidence!E174</f>
        <v>0</v>
      </c>
      <c r="I174" s="212">
        <f>Evidence!C174</f>
        <v>0</v>
      </c>
      <c r="J174" s="212" t="str">
        <f t="shared" si="4"/>
        <v>Zborovská 939/2, Žabovřesky, 616 00 Brno</v>
      </c>
      <c r="K174" s="235">
        <f>Evidence!A174</f>
        <v>0</v>
      </c>
      <c r="L174" s="212" t="str">
        <f t="shared" si="5"/>
        <v>C:\sprava\0.pdf</v>
      </c>
      <c r="O174" s="212"/>
    </row>
    <row r="175" spans="2:15" x14ac:dyDescent="0.25">
      <c r="B175" s="173">
        <f>Evidence!D175</f>
        <v>0</v>
      </c>
      <c r="C175" s="173">
        <f>Evidence!B175</f>
        <v>0</v>
      </c>
      <c r="E175" s="173">
        <f>Evidence!E175</f>
        <v>0</v>
      </c>
      <c r="I175" s="212">
        <f>Evidence!C175</f>
        <v>0</v>
      </c>
      <c r="J175" s="212" t="str">
        <f t="shared" si="4"/>
        <v>Zborovská 939/2, Žabovřesky, 616 00 Brno</v>
      </c>
      <c r="K175" s="235">
        <f>Evidence!A175</f>
        <v>0</v>
      </c>
      <c r="L175" s="212" t="str">
        <f t="shared" si="5"/>
        <v>C:\sprava\0.pdf</v>
      </c>
      <c r="O175" s="212"/>
    </row>
    <row r="176" spans="2:15" x14ac:dyDescent="0.25">
      <c r="B176" s="173">
        <f>Evidence!D176</f>
        <v>0</v>
      </c>
      <c r="C176" s="173">
        <f>Evidence!B176</f>
        <v>0</v>
      </c>
      <c r="E176" s="173">
        <f>Evidence!E176</f>
        <v>0</v>
      </c>
      <c r="I176" s="212">
        <f>Evidence!C176</f>
        <v>0</v>
      </c>
      <c r="J176" s="212" t="str">
        <f t="shared" si="4"/>
        <v>Zborovská 939/2, Žabovřesky, 616 00 Brno</v>
      </c>
      <c r="K176" s="235">
        <f>Evidence!A176</f>
        <v>0</v>
      </c>
      <c r="L176" s="212" t="str">
        <f t="shared" si="5"/>
        <v>C:\sprava\0.pdf</v>
      </c>
      <c r="O176" s="212"/>
    </row>
    <row r="177" spans="2:15" x14ac:dyDescent="0.25">
      <c r="B177" s="173">
        <f>Evidence!D177</f>
        <v>0</v>
      </c>
      <c r="C177" s="173">
        <f>Evidence!B177</f>
        <v>0</v>
      </c>
      <c r="E177" s="173">
        <f>Evidence!E177</f>
        <v>0</v>
      </c>
      <c r="I177" s="212">
        <f>Evidence!C177</f>
        <v>0</v>
      </c>
      <c r="J177" s="212" t="str">
        <f t="shared" si="4"/>
        <v>Zborovská 939/2, Žabovřesky, 616 00 Brno</v>
      </c>
      <c r="K177" s="235">
        <f>Evidence!A177</f>
        <v>0</v>
      </c>
      <c r="L177" s="212" t="str">
        <f t="shared" si="5"/>
        <v>C:\sprava\0.pdf</v>
      </c>
      <c r="O177" s="212"/>
    </row>
    <row r="178" spans="2:15" x14ac:dyDescent="0.25">
      <c r="B178" s="173">
        <f>Evidence!D178</f>
        <v>0</v>
      </c>
      <c r="C178" s="173">
        <f>Evidence!B178</f>
        <v>0</v>
      </c>
      <c r="E178" s="173">
        <f>Evidence!E178</f>
        <v>0</v>
      </c>
      <c r="I178" s="212">
        <f>Evidence!C178</f>
        <v>0</v>
      </c>
      <c r="J178" s="212" t="str">
        <f t="shared" si="4"/>
        <v>Zborovská 939/2, Žabovřesky, 616 00 Brno</v>
      </c>
      <c r="K178" s="235">
        <f>Evidence!A178</f>
        <v>0</v>
      </c>
      <c r="L178" s="212" t="str">
        <f t="shared" si="5"/>
        <v>C:\sprava\0.pdf</v>
      </c>
      <c r="O178" s="212"/>
    </row>
    <row r="179" spans="2:15" x14ac:dyDescent="0.25">
      <c r="B179" s="173">
        <f>Evidence!D179</f>
        <v>0</v>
      </c>
      <c r="C179" s="173">
        <f>Evidence!B179</f>
        <v>0</v>
      </c>
      <c r="E179" s="173">
        <f>Evidence!E179</f>
        <v>0</v>
      </c>
      <c r="I179" s="212">
        <f>Evidence!C179</f>
        <v>0</v>
      </c>
      <c r="J179" s="212" t="str">
        <f t="shared" si="4"/>
        <v>Zborovská 939/2, Žabovřesky, 616 00 Brno</v>
      </c>
      <c r="K179" s="235">
        <f>Evidence!A179</f>
        <v>0</v>
      </c>
      <c r="L179" s="212" t="str">
        <f t="shared" si="5"/>
        <v>C:\sprava\0.pdf</v>
      </c>
      <c r="O179" s="212"/>
    </row>
    <row r="180" spans="2:15" x14ac:dyDescent="0.25">
      <c r="B180" s="173">
        <f>Evidence!D180</f>
        <v>0</v>
      </c>
      <c r="C180" s="173">
        <f>Evidence!B180</f>
        <v>0</v>
      </c>
      <c r="E180" s="173">
        <f>Evidence!E180</f>
        <v>0</v>
      </c>
      <c r="I180" s="212">
        <f>Evidence!C180</f>
        <v>0</v>
      </c>
      <c r="J180" s="212" t="str">
        <f t="shared" si="4"/>
        <v>Zborovská 939/2, Žabovřesky, 616 00 Brno</v>
      </c>
      <c r="K180" s="235">
        <f>Evidence!A180</f>
        <v>0</v>
      </c>
      <c r="L180" s="212" t="str">
        <f t="shared" si="5"/>
        <v>C:\sprava\0.pdf</v>
      </c>
      <c r="O180" s="212"/>
    </row>
    <row r="181" spans="2:15" x14ac:dyDescent="0.25">
      <c r="B181" s="173">
        <f>Evidence!D181</f>
        <v>0</v>
      </c>
      <c r="C181" s="173">
        <f>Evidence!B181</f>
        <v>0</v>
      </c>
      <c r="E181" s="173">
        <f>Evidence!E181</f>
        <v>0</v>
      </c>
      <c r="I181" s="212">
        <f>Evidence!C181</f>
        <v>0</v>
      </c>
      <c r="J181" s="212" t="str">
        <f t="shared" si="4"/>
        <v>Zborovská 939/2, Žabovřesky, 616 00 Brno</v>
      </c>
      <c r="K181" s="235">
        <f>Evidence!A181</f>
        <v>0</v>
      </c>
      <c r="L181" s="212" t="str">
        <f t="shared" si="5"/>
        <v>C:\sprava\0.pdf</v>
      </c>
      <c r="O181" s="212"/>
    </row>
    <row r="182" spans="2:15" x14ac:dyDescent="0.25">
      <c r="B182" s="173">
        <f>Evidence!D182</f>
        <v>0</v>
      </c>
      <c r="C182" s="173">
        <f>Evidence!B182</f>
        <v>0</v>
      </c>
      <c r="E182" s="173">
        <f>Evidence!E182</f>
        <v>0</v>
      </c>
      <c r="I182" s="212">
        <f>Evidence!C182</f>
        <v>0</v>
      </c>
      <c r="J182" s="212" t="str">
        <f t="shared" si="4"/>
        <v>Zborovská 939/2, Žabovřesky, 616 00 Brno</v>
      </c>
      <c r="K182" s="235">
        <f>Evidence!A182</f>
        <v>0</v>
      </c>
      <c r="L182" s="212" t="str">
        <f t="shared" si="5"/>
        <v>C:\sprava\0.pdf</v>
      </c>
      <c r="O182" s="212"/>
    </row>
    <row r="183" spans="2:15" x14ac:dyDescent="0.25">
      <c r="B183" s="173">
        <f>Evidence!D183</f>
        <v>0</v>
      </c>
      <c r="C183" s="173">
        <f>Evidence!B183</f>
        <v>0</v>
      </c>
      <c r="E183" s="173">
        <f>Evidence!E183</f>
        <v>0</v>
      </c>
      <c r="I183" s="212">
        <f>Evidence!C183</f>
        <v>0</v>
      </c>
      <c r="J183" s="212" t="str">
        <f t="shared" si="4"/>
        <v>Zborovská 939/2, Žabovřesky, 616 00 Brno</v>
      </c>
      <c r="K183" s="235">
        <f>Evidence!A183</f>
        <v>0</v>
      </c>
      <c r="L183" s="212" t="str">
        <f t="shared" si="5"/>
        <v>C:\sprava\0.pdf</v>
      </c>
      <c r="O183" s="212"/>
    </row>
    <row r="184" spans="2:15" x14ac:dyDescent="0.25">
      <c r="B184" s="173">
        <f>Evidence!D184</f>
        <v>0</v>
      </c>
      <c r="C184" s="173">
        <f>Evidence!B184</f>
        <v>0</v>
      </c>
      <c r="E184" s="173">
        <f>Evidence!E184</f>
        <v>0</v>
      </c>
      <c r="I184" s="212">
        <f>Evidence!C184</f>
        <v>0</v>
      </c>
      <c r="J184" s="212" t="str">
        <f t="shared" si="4"/>
        <v>Zborovská 939/2, Žabovřesky, 616 00 Brno</v>
      </c>
      <c r="K184" s="235">
        <f>Evidence!A184</f>
        <v>0</v>
      </c>
      <c r="L184" s="212" t="str">
        <f t="shared" si="5"/>
        <v>C:\sprava\0.pdf</v>
      </c>
      <c r="O184" s="212"/>
    </row>
    <row r="185" spans="2:15" x14ac:dyDescent="0.25">
      <c r="B185" s="173">
        <f>Evidence!D185</f>
        <v>0</v>
      </c>
      <c r="C185" s="173">
        <f>Evidence!B185</f>
        <v>0</v>
      </c>
      <c r="E185" s="173">
        <f>Evidence!E185</f>
        <v>0</v>
      </c>
      <c r="I185" s="212">
        <f>Evidence!C185</f>
        <v>0</v>
      </c>
      <c r="J185" s="212" t="str">
        <f t="shared" si="4"/>
        <v>Zborovská 939/2, Žabovřesky, 616 00 Brno</v>
      </c>
      <c r="K185" s="235">
        <f>Evidence!A185</f>
        <v>0</v>
      </c>
      <c r="L185" s="212" t="str">
        <f t="shared" si="5"/>
        <v>C:\sprava\0.pdf</v>
      </c>
      <c r="O185" s="212"/>
    </row>
    <row r="186" spans="2:15" x14ac:dyDescent="0.25">
      <c r="B186" s="173">
        <f>Evidence!D186</f>
        <v>0</v>
      </c>
      <c r="C186" s="173">
        <f>Evidence!B186</f>
        <v>0</v>
      </c>
      <c r="E186" s="173">
        <f>Evidence!E186</f>
        <v>0</v>
      </c>
      <c r="I186" s="212">
        <f>Evidence!C186</f>
        <v>0</v>
      </c>
      <c r="J186" s="212" t="str">
        <f t="shared" si="4"/>
        <v>Zborovská 939/2, Žabovřesky, 616 00 Brno</v>
      </c>
      <c r="K186" s="235">
        <f>Evidence!A186</f>
        <v>0</v>
      </c>
      <c r="L186" s="212" t="str">
        <f t="shared" si="5"/>
        <v>C:\sprava\0.pdf</v>
      </c>
      <c r="O186" s="212"/>
    </row>
    <row r="187" spans="2:15" x14ac:dyDescent="0.25">
      <c r="B187" s="173">
        <f>Evidence!D187</f>
        <v>0</v>
      </c>
      <c r="C187" s="173">
        <f>Evidence!B187</f>
        <v>0</v>
      </c>
      <c r="E187" s="173">
        <f>Evidence!E187</f>
        <v>0</v>
      </c>
      <c r="I187" s="212">
        <f>Evidence!C187</f>
        <v>0</v>
      </c>
      <c r="J187" s="212" t="str">
        <f t="shared" si="4"/>
        <v>Zborovská 939/2, Žabovřesky, 616 00 Brno</v>
      </c>
      <c r="K187" s="235">
        <f>Evidence!A187</f>
        <v>0</v>
      </c>
      <c r="L187" s="212" t="str">
        <f t="shared" si="5"/>
        <v>C:\sprava\0.pdf</v>
      </c>
      <c r="O187" s="212"/>
    </row>
    <row r="188" spans="2:15" x14ac:dyDescent="0.25">
      <c r="B188" s="173">
        <f>Evidence!D188</f>
        <v>0</v>
      </c>
      <c r="C188" s="173">
        <f>Evidence!B188</f>
        <v>0</v>
      </c>
      <c r="E188" s="173">
        <f>Evidence!E188</f>
        <v>0</v>
      </c>
      <c r="I188" s="212">
        <f>Evidence!C188</f>
        <v>0</v>
      </c>
      <c r="J188" s="212" t="str">
        <f t="shared" si="4"/>
        <v>Zborovská 939/2, Žabovřesky, 616 00 Brno</v>
      </c>
      <c r="K188" s="235">
        <f>Evidence!A188</f>
        <v>0</v>
      </c>
      <c r="L188" s="212" t="str">
        <f t="shared" si="5"/>
        <v>C:\sprava\0.pdf</v>
      </c>
      <c r="O188" s="212"/>
    </row>
    <row r="189" spans="2:15" x14ac:dyDescent="0.25">
      <c r="B189" s="173">
        <f>Evidence!D189</f>
        <v>0</v>
      </c>
      <c r="C189" s="173">
        <f>Evidence!B189</f>
        <v>0</v>
      </c>
      <c r="E189" s="173">
        <f>Evidence!E189</f>
        <v>0</v>
      </c>
      <c r="I189" s="212">
        <f>Evidence!C189</f>
        <v>0</v>
      </c>
      <c r="J189" s="212" t="str">
        <f t="shared" si="4"/>
        <v>Zborovská 939/2, Žabovřesky, 616 00 Brno</v>
      </c>
      <c r="K189" s="235">
        <f>Evidence!A189</f>
        <v>0</v>
      </c>
      <c r="L189" s="212" t="str">
        <f t="shared" si="5"/>
        <v>C:\sprava\0.pdf</v>
      </c>
      <c r="O189" s="212"/>
    </row>
    <row r="190" spans="2:15" x14ac:dyDescent="0.25">
      <c r="B190" s="173">
        <f>Evidence!D190</f>
        <v>0</v>
      </c>
      <c r="C190" s="173">
        <f>Evidence!B190</f>
        <v>0</v>
      </c>
      <c r="E190" s="173">
        <f>Evidence!E190</f>
        <v>0</v>
      </c>
      <c r="I190" s="212">
        <f>Evidence!C190</f>
        <v>0</v>
      </c>
      <c r="J190" s="212" t="str">
        <f t="shared" si="4"/>
        <v>Zborovská 939/2, Žabovřesky, 616 00 Brno</v>
      </c>
      <c r="K190" s="235">
        <f>Evidence!A190</f>
        <v>0</v>
      </c>
      <c r="L190" s="212" t="str">
        <f t="shared" si="5"/>
        <v>C:\sprava\0.pdf</v>
      </c>
      <c r="O190" s="212"/>
    </row>
    <row r="191" spans="2:15" x14ac:dyDescent="0.25">
      <c r="B191" s="173">
        <f>Evidence!D191</f>
        <v>0</v>
      </c>
      <c r="C191" s="173">
        <f>Evidence!B191</f>
        <v>0</v>
      </c>
      <c r="E191" s="173">
        <f>Evidence!E191</f>
        <v>0</v>
      </c>
      <c r="I191" s="212">
        <f>Evidence!C191</f>
        <v>0</v>
      </c>
      <c r="J191" s="212" t="str">
        <f t="shared" si="4"/>
        <v>Zborovská 939/2, Žabovřesky, 616 00 Brno</v>
      </c>
      <c r="K191" s="235">
        <f>Evidence!A191</f>
        <v>0</v>
      </c>
      <c r="L191" s="212" t="str">
        <f t="shared" si="5"/>
        <v>C:\sprava\0.pdf</v>
      </c>
      <c r="O191" s="212"/>
    </row>
    <row r="192" spans="2:15" x14ac:dyDescent="0.25">
      <c r="B192" s="173">
        <f>Evidence!D192</f>
        <v>0</v>
      </c>
      <c r="C192" s="173">
        <f>Evidence!B192</f>
        <v>0</v>
      </c>
      <c r="E192" s="173">
        <f>Evidence!E192</f>
        <v>0</v>
      </c>
      <c r="I192" s="212">
        <f>Evidence!C192</f>
        <v>0</v>
      </c>
      <c r="J192" s="212" t="str">
        <f t="shared" si="4"/>
        <v>Zborovská 939/2, Žabovřesky, 616 00 Brno</v>
      </c>
      <c r="K192" s="235">
        <f>Evidence!A192</f>
        <v>0</v>
      </c>
      <c r="L192" s="212" t="str">
        <f t="shared" si="5"/>
        <v>C:\sprava\0.pdf</v>
      </c>
      <c r="O192" s="212"/>
    </row>
    <row r="193" spans="2:15" x14ac:dyDescent="0.25">
      <c r="B193" s="173">
        <f>Evidence!D193</f>
        <v>0</v>
      </c>
      <c r="C193" s="173">
        <f>Evidence!B193</f>
        <v>0</v>
      </c>
      <c r="E193" s="173">
        <f>Evidence!E193</f>
        <v>0</v>
      </c>
      <c r="I193" s="212">
        <f>Evidence!C193</f>
        <v>0</v>
      </c>
      <c r="J193" s="212" t="str">
        <f t="shared" si="4"/>
        <v>Zborovská 939/2, Žabovřesky, 616 00 Brno</v>
      </c>
      <c r="K193" s="235">
        <f>Evidence!A193</f>
        <v>0</v>
      </c>
      <c r="L193" s="212" t="str">
        <f t="shared" si="5"/>
        <v>C:\sprava\0.pdf</v>
      </c>
      <c r="O193" s="212"/>
    </row>
    <row r="194" spans="2:15" x14ac:dyDescent="0.25">
      <c r="B194" s="173">
        <f>Evidence!D194</f>
        <v>0</v>
      </c>
      <c r="C194" s="173">
        <f>Evidence!B194</f>
        <v>0</v>
      </c>
      <c r="E194" s="173">
        <f>Evidence!E194</f>
        <v>0</v>
      </c>
      <c r="I194" s="212">
        <f>Evidence!C194</f>
        <v>0</v>
      </c>
      <c r="J194" s="212" t="str">
        <f t="shared" ref="J194:J232" si="6">dum_adresa</f>
        <v>Zborovská 939/2, Žabovřesky, 616 00 Brno</v>
      </c>
      <c r="K194" s="235">
        <f>Evidence!A194</f>
        <v>0</v>
      </c>
      <c r="L194" s="212" t="str">
        <f t="shared" ref="L194:L257" si="7">("C:\sprava\"&amp;SUBSTITUTE(K194,"/","")&amp;".pdf")</f>
        <v>C:\sprava\0.pdf</v>
      </c>
      <c r="O194" s="212"/>
    </row>
    <row r="195" spans="2:15" x14ac:dyDescent="0.25">
      <c r="B195" s="173">
        <f>Evidence!D195</f>
        <v>0</v>
      </c>
      <c r="C195" s="173">
        <f>Evidence!B195</f>
        <v>0</v>
      </c>
      <c r="E195" s="173">
        <f>Evidence!E195</f>
        <v>0</v>
      </c>
      <c r="I195" s="212">
        <f>Evidence!C195</f>
        <v>0</v>
      </c>
      <c r="J195" s="212" t="str">
        <f t="shared" si="6"/>
        <v>Zborovská 939/2, Žabovřesky, 616 00 Brno</v>
      </c>
      <c r="K195" s="235">
        <f>Evidence!A195</f>
        <v>0</v>
      </c>
      <c r="L195" s="212" t="str">
        <f t="shared" si="7"/>
        <v>C:\sprava\0.pdf</v>
      </c>
      <c r="O195" s="212"/>
    </row>
    <row r="196" spans="2:15" x14ac:dyDescent="0.25">
      <c r="B196" s="173">
        <f>Evidence!D196</f>
        <v>0</v>
      </c>
      <c r="C196" s="173">
        <f>Evidence!B196</f>
        <v>0</v>
      </c>
      <c r="E196" s="173">
        <f>Evidence!E196</f>
        <v>0</v>
      </c>
      <c r="I196" s="212">
        <f>Evidence!C196</f>
        <v>0</v>
      </c>
      <c r="J196" s="212" t="str">
        <f t="shared" si="6"/>
        <v>Zborovská 939/2, Žabovřesky, 616 00 Brno</v>
      </c>
      <c r="K196" s="235">
        <f>Evidence!A196</f>
        <v>0</v>
      </c>
      <c r="L196" s="212" t="str">
        <f t="shared" si="7"/>
        <v>C:\sprava\0.pdf</v>
      </c>
      <c r="O196" s="212"/>
    </row>
    <row r="197" spans="2:15" x14ac:dyDescent="0.25">
      <c r="B197" s="173">
        <f>Evidence!D197</f>
        <v>0</v>
      </c>
      <c r="C197" s="173">
        <f>Evidence!B197</f>
        <v>0</v>
      </c>
      <c r="E197" s="173">
        <f>Evidence!E197</f>
        <v>0</v>
      </c>
      <c r="I197" s="212">
        <f>Evidence!C197</f>
        <v>0</v>
      </c>
      <c r="J197" s="212" t="str">
        <f t="shared" si="6"/>
        <v>Zborovská 939/2, Žabovřesky, 616 00 Brno</v>
      </c>
      <c r="K197" s="235">
        <f>Evidence!A197</f>
        <v>0</v>
      </c>
      <c r="L197" s="212" t="str">
        <f t="shared" si="7"/>
        <v>C:\sprava\0.pdf</v>
      </c>
      <c r="O197" s="212"/>
    </row>
    <row r="198" spans="2:15" x14ac:dyDescent="0.25">
      <c r="B198" s="173">
        <f>Evidence!D198</f>
        <v>0</v>
      </c>
      <c r="C198" s="173">
        <f>Evidence!B198</f>
        <v>0</v>
      </c>
      <c r="E198" s="173">
        <f>Evidence!E198</f>
        <v>0</v>
      </c>
      <c r="I198" s="212">
        <f>Evidence!C198</f>
        <v>0</v>
      </c>
      <c r="J198" s="212" t="str">
        <f t="shared" si="6"/>
        <v>Zborovská 939/2, Žabovřesky, 616 00 Brno</v>
      </c>
      <c r="K198" s="235">
        <f>Evidence!A198</f>
        <v>0</v>
      </c>
      <c r="L198" s="212" t="str">
        <f t="shared" si="7"/>
        <v>C:\sprava\0.pdf</v>
      </c>
      <c r="O198" s="212"/>
    </row>
    <row r="199" spans="2:15" x14ac:dyDescent="0.25">
      <c r="B199" s="173">
        <f>Evidence!D199</f>
        <v>0</v>
      </c>
      <c r="C199" s="173">
        <f>Evidence!B199</f>
        <v>0</v>
      </c>
      <c r="E199" s="173">
        <f>Evidence!E199</f>
        <v>0</v>
      </c>
      <c r="I199" s="212">
        <f>Evidence!C199</f>
        <v>0</v>
      </c>
      <c r="J199" s="212" t="str">
        <f t="shared" si="6"/>
        <v>Zborovská 939/2, Žabovřesky, 616 00 Brno</v>
      </c>
      <c r="K199" s="235">
        <f>Evidence!A199</f>
        <v>0</v>
      </c>
      <c r="L199" s="212" t="str">
        <f t="shared" si="7"/>
        <v>C:\sprava\0.pdf</v>
      </c>
      <c r="O199" s="212"/>
    </row>
    <row r="200" spans="2:15" x14ac:dyDescent="0.25">
      <c r="B200" s="173">
        <f>Evidence!D200</f>
        <v>0</v>
      </c>
      <c r="C200" s="173">
        <f>Evidence!B200</f>
        <v>0</v>
      </c>
      <c r="E200" s="173">
        <f>Evidence!E200</f>
        <v>0</v>
      </c>
      <c r="I200" s="212">
        <f>Evidence!C200</f>
        <v>0</v>
      </c>
      <c r="J200" s="212" t="str">
        <f t="shared" si="6"/>
        <v>Zborovská 939/2, Žabovřesky, 616 00 Brno</v>
      </c>
      <c r="K200" s="235">
        <f>Evidence!A200</f>
        <v>0</v>
      </c>
      <c r="L200" s="212" t="str">
        <f t="shared" si="7"/>
        <v>C:\sprava\0.pdf</v>
      </c>
      <c r="O200" s="212"/>
    </row>
    <row r="201" spans="2:15" x14ac:dyDescent="0.25">
      <c r="B201" s="173">
        <f>Evidence!D201</f>
        <v>0</v>
      </c>
      <c r="C201" s="173">
        <f>Evidence!B201</f>
        <v>0</v>
      </c>
      <c r="E201" s="173">
        <f>Evidence!E201</f>
        <v>0</v>
      </c>
      <c r="I201" s="212">
        <f>Evidence!C201</f>
        <v>0</v>
      </c>
      <c r="J201" s="212" t="str">
        <f t="shared" si="6"/>
        <v>Zborovská 939/2, Žabovřesky, 616 00 Brno</v>
      </c>
      <c r="K201" s="235">
        <f>Evidence!A201</f>
        <v>0</v>
      </c>
      <c r="L201" s="212" t="str">
        <f t="shared" si="7"/>
        <v>C:\sprava\0.pdf</v>
      </c>
      <c r="O201" s="212"/>
    </row>
    <row r="202" spans="2:15" x14ac:dyDescent="0.25">
      <c r="B202" s="173">
        <f>Evidence!D202</f>
        <v>0</v>
      </c>
      <c r="C202" s="173">
        <f>Evidence!B202</f>
        <v>0</v>
      </c>
      <c r="E202" s="173">
        <f>Evidence!E202</f>
        <v>0</v>
      </c>
      <c r="I202" s="212">
        <f>Evidence!C202</f>
        <v>0</v>
      </c>
      <c r="J202" s="212" t="str">
        <f t="shared" si="6"/>
        <v>Zborovská 939/2, Žabovřesky, 616 00 Brno</v>
      </c>
      <c r="K202" s="235">
        <f>Evidence!A202</f>
        <v>0</v>
      </c>
      <c r="L202" s="212" t="str">
        <f t="shared" si="7"/>
        <v>C:\sprava\0.pdf</v>
      </c>
      <c r="O202" s="212"/>
    </row>
    <row r="203" spans="2:15" x14ac:dyDescent="0.25">
      <c r="B203" s="173">
        <f>Evidence!D203</f>
        <v>0</v>
      </c>
      <c r="C203" s="173">
        <f>Evidence!B203</f>
        <v>0</v>
      </c>
      <c r="E203" s="173">
        <f>Evidence!E203</f>
        <v>0</v>
      </c>
      <c r="I203" s="212">
        <f>Evidence!C203</f>
        <v>0</v>
      </c>
      <c r="J203" s="212" t="str">
        <f t="shared" si="6"/>
        <v>Zborovská 939/2, Žabovřesky, 616 00 Brno</v>
      </c>
      <c r="K203" s="235">
        <f>Evidence!A203</f>
        <v>0</v>
      </c>
      <c r="L203" s="212" t="str">
        <f t="shared" si="7"/>
        <v>C:\sprava\0.pdf</v>
      </c>
      <c r="O203" s="212"/>
    </row>
    <row r="204" spans="2:15" x14ac:dyDescent="0.25">
      <c r="B204" s="173">
        <f>Evidence!D204</f>
        <v>0</v>
      </c>
      <c r="C204" s="173">
        <f>Evidence!B204</f>
        <v>0</v>
      </c>
      <c r="E204" s="173">
        <f>Evidence!E204</f>
        <v>0</v>
      </c>
      <c r="I204" s="212">
        <f>Evidence!C204</f>
        <v>0</v>
      </c>
      <c r="J204" s="212" t="str">
        <f t="shared" si="6"/>
        <v>Zborovská 939/2, Žabovřesky, 616 00 Brno</v>
      </c>
      <c r="K204" s="235">
        <f>Evidence!A204</f>
        <v>0</v>
      </c>
      <c r="L204" s="212" t="str">
        <f t="shared" si="7"/>
        <v>C:\sprava\0.pdf</v>
      </c>
      <c r="O204" s="212"/>
    </row>
    <row r="205" spans="2:15" x14ac:dyDescent="0.25">
      <c r="B205" s="173">
        <f>Evidence!D205</f>
        <v>0</v>
      </c>
      <c r="C205" s="173">
        <f>Evidence!B205</f>
        <v>0</v>
      </c>
      <c r="E205" s="173">
        <f>Evidence!E205</f>
        <v>0</v>
      </c>
      <c r="I205" s="212">
        <f>Evidence!C205</f>
        <v>0</v>
      </c>
      <c r="J205" s="212" t="str">
        <f t="shared" si="6"/>
        <v>Zborovská 939/2, Žabovřesky, 616 00 Brno</v>
      </c>
      <c r="K205" s="235">
        <f>Evidence!A205</f>
        <v>0</v>
      </c>
      <c r="L205" s="212" t="str">
        <f t="shared" si="7"/>
        <v>C:\sprava\0.pdf</v>
      </c>
      <c r="O205" s="212"/>
    </row>
    <row r="206" spans="2:15" x14ac:dyDescent="0.25">
      <c r="B206" s="173">
        <f>Evidence!D206</f>
        <v>0</v>
      </c>
      <c r="C206" s="173">
        <f>Evidence!B206</f>
        <v>0</v>
      </c>
      <c r="E206" s="173">
        <f>Evidence!E206</f>
        <v>0</v>
      </c>
      <c r="I206" s="212">
        <f>Evidence!C206</f>
        <v>0</v>
      </c>
      <c r="J206" s="212" t="str">
        <f t="shared" si="6"/>
        <v>Zborovská 939/2, Žabovřesky, 616 00 Brno</v>
      </c>
      <c r="K206" s="235">
        <f>Evidence!A206</f>
        <v>0</v>
      </c>
      <c r="L206" s="212" t="str">
        <f t="shared" si="7"/>
        <v>C:\sprava\0.pdf</v>
      </c>
      <c r="O206" s="212"/>
    </row>
    <row r="207" spans="2:15" x14ac:dyDescent="0.25">
      <c r="B207" s="173">
        <f>Evidence!D207</f>
        <v>0</v>
      </c>
      <c r="C207" s="173">
        <f>Evidence!B207</f>
        <v>0</v>
      </c>
      <c r="E207" s="173">
        <f>Evidence!E207</f>
        <v>0</v>
      </c>
      <c r="I207" s="212">
        <f>Evidence!C207</f>
        <v>0</v>
      </c>
      <c r="J207" s="212" t="str">
        <f t="shared" si="6"/>
        <v>Zborovská 939/2, Žabovřesky, 616 00 Brno</v>
      </c>
      <c r="K207" s="235">
        <f>Evidence!A207</f>
        <v>0</v>
      </c>
      <c r="L207" s="212" t="str">
        <f t="shared" si="7"/>
        <v>C:\sprava\0.pdf</v>
      </c>
      <c r="O207" s="212"/>
    </row>
    <row r="208" spans="2:15" x14ac:dyDescent="0.25">
      <c r="B208" s="173">
        <f>Evidence!D208</f>
        <v>0</v>
      </c>
      <c r="C208" s="173">
        <f>Evidence!B208</f>
        <v>0</v>
      </c>
      <c r="E208" s="173">
        <f>Evidence!E208</f>
        <v>0</v>
      </c>
      <c r="I208" s="212">
        <f>Evidence!C208</f>
        <v>0</v>
      </c>
      <c r="J208" s="212" t="str">
        <f t="shared" si="6"/>
        <v>Zborovská 939/2, Žabovřesky, 616 00 Brno</v>
      </c>
      <c r="K208" s="235">
        <f>Evidence!A208</f>
        <v>0</v>
      </c>
      <c r="L208" s="212" t="str">
        <f t="shared" si="7"/>
        <v>C:\sprava\0.pdf</v>
      </c>
      <c r="O208" s="212"/>
    </row>
    <row r="209" spans="2:15" x14ac:dyDescent="0.25">
      <c r="B209" s="173">
        <f>Evidence!D209</f>
        <v>0</v>
      </c>
      <c r="C209" s="173">
        <f>Evidence!B209</f>
        <v>0</v>
      </c>
      <c r="E209" s="173">
        <f>Evidence!E209</f>
        <v>0</v>
      </c>
      <c r="I209" s="212">
        <f>Evidence!C209</f>
        <v>0</v>
      </c>
      <c r="J209" s="212" t="str">
        <f t="shared" si="6"/>
        <v>Zborovská 939/2, Žabovřesky, 616 00 Brno</v>
      </c>
      <c r="K209" s="235">
        <f>Evidence!A209</f>
        <v>0</v>
      </c>
      <c r="L209" s="212" t="str">
        <f t="shared" si="7"/>
        <v>C:\sprava\0.pdf</v>
      </c>
      <c r="O209" s="212"/>
    </row>
    <row r="210" spans="2:15" x14ac:dyDescent="0.25">
      <c r="B210" s="173">
        <f>Evidence!D210</f>
        <v>0</v>
      </c>
      <c r="C210" s="173">
        <f>Evidence!B210</f>
        <v>0</v>
      </c>
      <c r="E210" s="173">
        <f>Evidence!E210</f>
        <v>0</v>
      </c>
      <c r="I210" s="212">
        <f>Evidence!C210</f>
        <v>0</v>
      </c>
      <c r="J210" s="212" t="str">
        <f t="shared" si="6"/>
        <v>Zborovská 939/2, Žabovřesky, 616 00 Brno</v>
      </c>
      <c r="K210" s="235">
        <f>Evidence!A210</f>
        <v>0</v>
      </c>
      <c r="L210" s="212" t="str">
        <f t="shared" si="7"/>
        <v>C:\sprava\0.pdf</v>
      </c>
      <c r="O210" s="212"/>
    </row>
    <row r="211" spans="2:15" x14ac:dyDescent="0.25">
      <c r="B211" s="173">
        <f>Evidence!D211</f>
        <v>0</v>
      </c>
      <c r="C211" s="173">
        <f>Evidence!B211</f>
        <v>0</v>
      </c>
      <c r="E211" s="173">
        <f>Evidence!E211</f>
        <v>0</v>
      </c>
      <c r="I211" s="212">
        <f>Evidence!C211</f>
        <v>0</v>
      </c>
      <c r="J211" s="212" t="str">
        <f t="shared" si="6"/>
        <v>Zborovská 939/2, Žabovřesky, 616 00 Brno</v>
      </c>
      <c r="K211" s="235">
        <f>Evidence!A211</f>
        <v>0</v>
      </c>
      <c r="L211" s="212" t="str">
        <f t="shared" si="7"/>
        <v>C:\sprava\0.pdf</v>
      </c>
      <c r="O211" s="212"/>
    </row>
    <row r="212" spans="2:15" x14ac:dyDescent="0.25">
      <c r="B212" s="173">
        <f>Evidence!D212</f>
        <v>0</v>
      </c>
      <c r="C212" s="173">
        <f>Evidence!B212</f>
        <v>0</v>
      </c>
      <c r="E212" s="173">
        <f>Evidence!E212</f>
        <v>0</v>
      </c>
      <c r="I212" s="212">
        <f>Evidence!C212</f>
        <v>0</v>
      </c>
      <c r="J212" s="212" t="str">
        <f t="shared" si="6"/>
        <v>Zborovská 939/2, Žabovřesky, 616 00 Brno</v>
      </c>
      <c r="K212" s="235">
        <f>Evidence!A212</f>
        <v>0</v>
      </c>
      <c r="L212" s="212" t="str">
        <f t="shared" si="7"/>
        <v>C:\sprava\0.pdf</v>
      </c>
      <c r="O212" s="212"/>
    </row>
    <row r="213" spans="2:15" x14ac:dyDescent="0.25">
      <c r="B213" s="173">
        <f>Evidence!D213</f>
        <v>0</v>
      </c>
      <c r="C213" s="173">
        <f>Evidence!B213</f>
        <v>0</v>
      </c>
      <c r="E213" s="173">
        <f>Evidence!E213</f>
        <v>0</v>
      </c>
      <c r="I213" s="212">
        <f>Evidence!C213</f>
        <v>0</v>
      </c>
      <c r="J213" s="212" t="str">
        <f t="shared" si="6"/>
        <v>Zborovská 939/2, Žabovřesky, 616 00 Brno</v>
      </c>
      <c r="K213" s="235">
        <f>Evidence!A213</f>
        <v>0</v>
      </c>
      <c r="L213" s="212" t="str">
        <f t="shared" si="7"/>
        <v>C:\sprava\0.pdf</v>
      </c>
      <c r="O213" s="212"/>
    </row>
    <row r="214" spans="2:15" x14ac:dyDescent="0.25">
      <c r="B214" s="173">
        <f>Evidence!D214</f>
        <v>0</v>
      </c>
      <c r="C214" s="173">
        <f>Evidence!B214</f>
        <v>0</v>
      </c>
      <c r="E214" s="173">
        <f>Evidence!E214</f>
        <v>0</v>
      </c>
      <c r="I214" s="212">
        <f>Evidence!C214</f>
        <v>0</v>
      </c>
      <c r="J214" s="212" t="str">
        <f t="shared" si="6"/>
        <v>Zborovská 939/2, Žabovřesky, 616 00 Brno</v>
      </c>
      <c r="K214" s="235">
        <f>Evidence!A214</f>
        <v>0</v>
      </c>
      <c r="L214" s="212" t="str">
        <f t="shared" si="7"/>
        <v>C:\sprava\0.pdf</v>
      </c>
      <c r="O214" s="212"/>
    </row>
    <row r="215" spans="2:15" x14ac:dyDescent="0.25">
      <c r="B215" s="173">
        <f>Evidence!D215</f>
        <v>0</v>
      </c>
      <c r="C215" s="173">
        <f>Evidence!B215</f>
        <v>0</v>
      </c>
      <c r="E215" s="173">
        <f>Evidence!E215</f>
        <v>0</v>
      </c>
      <c r="I215" s="212">
        <f>Evidence!C215</f>
        <v>0</v>
      </c>
      <c r="J215" s="212" t="str">
        <f t="shared" si="6"/>
        <v>Zborovská 939/2, Žabovřesky, 616 00 Brno</v>
      </c>
      <c r="K215" s="235">
        <f>Evidence!A215</f>
        <v>0</v>
      </c>
      <c r="L215" s="212" t="str">
        <f t="shared" si="7"/>
        <v>C:\sprava\0.pdf</v>
      </c>
      <c r="O215" s="212"/>
    </row>
    <row r="216" spans="2:15" x14ac:dyDescent="0.25">
      <c r="B216" s="173">
        <f>Evidence!D216</f>
        <v>0</v>
      </c>
      <c r="C216" s="173">
        <f>Evidence!B216</f>
        <v>0</v>
      </c>
      <c r="E216" s="173">
        <f>Evidence!E216</f>
        <v>0</v>
      </c>
      <c r="I216" s="212">
        <f>Evidence!C216</f>
        <v>0</v>
      </c>
      <c r="J216" s="212" t="str">
        <f t="shared" si="6"/>
        <v>Zborovská 939/2, Žabovřesky, 616 00 Brno</v>
      </c>
      <c r="K216" s="235">
        <f>Evidence!A216</f>
        <v>0</v>
      </c>
      <c r="L216" s="212" t="str">
        <f t="shared" si="7"/>
        <v>C:\sprava\0.pdf</v>
      </c>
      <c r="O216" s="212"/>
    </row>
    <row r="217" spans="2:15" x14ac:dyDescent="0.25">
      <c r="B217" s="173">
        <f>Evidence!D217</f>
        <v>0</v>
      </c>
      <c r="C217" s="173">
        <f>Evidence!B217</f>
        <v>0</v>
      </c>
      <c r="E217" s="173">
        <f>Evidence!E217</f>
        <v>0</v>
      </c>
      <c r="I217" s="212">
        <f>Evidence!C217</f>
        <v>0</v>
      </c>
      <c r="J217" s="212" t="str">
        <f t="shared" si="6"/>
        <v>Zborovská 939/2, Žabovřesky, 616 00 Brno</v>
      </c>
      <c r="K217" s="235">
        <f>Evidence!A217</f>
        <v>0</v>
      </c>
      <c r="L217" s="212" t="str">
        <f t="shared" si="7"/>
        <v>C:\sprava\0.pdf</v>
      </c>
      <c r="O217" s="212"/>
    </row>
    <row r="218" spans="2:15" x14ac:dyDescent="0.25">
      <c r="B218" s="173">
        <f>Evidence!D218</f>
        <v>0</v>
      </c>
      <c r="C218" s="173">
        <f>Evidence!B218</f>
        <v>0</v>
      </c>
      <c r="E218" s="173">
        <f>Evidence!E218</f>
        <v>0</v>
      </c>
      <c r="I218" s="212">
        <f>Evidence!C218</f>
        <v>0</v>
      </c>
      <c r="J218" s="212" t="str">
        <f t="shared" si="6"/>
        <v>Zborovská 939/2, Žabovřesky, 616 00 Brno</v>
      </c>
      <c r="K218" s="235">
        <f>Evidence!A218</f>
        <v>0</v>
      </c>
      <c r="L218" s="212" t="str">
        <f t="shared" si="7"/>
        <v>C:\sprava\0.pdf</v>
      </c>
      <c r="O218" s="212"/>
    </row>
    <row r="219" spans="2:15" x14ac:dyDescent="0.25">
      <c r="B219" s="173">
        <f>Evidence!D219</f>
        <v>0</v>
      </c>
      <c r="C219" s="173">
        <f>Evidence!B219</f>
        <v>0</v>
      </c>
      <c r="E219" s="173">
        <f>Evidence!E219</f>
        <v>0</v>
      </c>
      <c r="I219" s="212">
        <f>Evidence!C219</f>
        <v>0</v>
      </c>
      <c r="J219" s="212" t="str">
        <f t="shared" si="6"/>
        <v>Zborovská 939/2, Žabovřesky, 616 00 Brno</v>
      </c>
      <c r="K219" s="235">
        <f>Evidence!A219</f>
        <v>0</v>
      </c>
      <c r="L219" s="212" t="str">
        <f t="shared" si="7"/>
        <v>C:\sprava\0.pdf</v>
      </c>
      <c r="O219" s="212"/>
    </row>
    <row r="220" spans="2:15" x14ac:dyDescent="0.25">
      <c r="B220" s="173">
        <f>Evidence!D220</f>
        <v>0</v>
      </c>
      <c r="C220" s="173">
        <f>Evidence!B220</f>
        <v>0</v>
      </c>
      <c r="E220" s="173">
        <f>Evidence!E220</f>
        <v>0</v>
      </c>
      <c r="I220" s="212">
        <f>Evidence!C220</f>
        <v>0</v>
      </c>
      <c r="J220" s="212" t="str">
        <f t="shared" si="6"/>
        <v>Zborovská 939/2, Žabovřesky, 616 00 Brno</v>
      </c>
      <c r="K220" s="235">
        <f>Evidence!A220</f>
        <v>0</v>
      </c>
      <c r="L220" s="212" t="str">
        <f t="shared" si="7"/>
        <v>C:\sprava\0.pdf</v>
      </c>
      <c r="O220" s="212"/>
    </row>
    <row r="221" spans="2:15" x14ac:dyDescent="0.25">
      <c r="B221" s="173">
        <f>Evidence!D221</f>
        <v>0</v>
      </c>
      <c r="C221" s="173">
        <f>Evidence!B221</f>
        <v>0</v>
      </c>
      <c r="E221" s="173">
        <f>Evidence!E221</f>
        <v>0</v>
      </c>
      <c r="I221" s="212">
        <f>Evidence!C221</f>
        <v>0</v>
      </c>
      <c r="J221" s="212" t="str">
        <f t="shared" si="6"/>
        <v>Zborovská 939/2, Žabovřesky, 616 00 Brno</v>
      </c>
      <c r="K221" s="235">
        <f>Evidence!A221</f>
        <v>0</v>
      </c>
      <c r="L221" s="212" t="str">
        <f t="shared" si="7"/>
        <v>C:\sprava\0.pdf</v>
      </c>
      <c r="O221" s="212"/>
    </row>
    <row r="222" spans="2:15" x14ac:dyDescent="0.25">
      <c r="B222" s="173">
        <f>Evidence!D222</f>
        <v>0</v>
      </c>
      <c r="C222" s="173">
        <f>Evidence!B222</f>
        <v>0</v>
      </c>
      <c r="E222" s="173">
        <f>Evidence!E222</f>
        <v>0</v>
      </c>
      <c r="I222" s="212">
        <f>Evidence!C222</f>
        <v>0</v>
      </c>
      <c r="J222" s="212" t="str">
        <f t="shared" si="6"/>
        <v>Zborovská 939/2, Žabovřesky, 616 00 Brno</v>
      </c>
      <c r="K222" s="235">
        <f>Evidence!A222</f>
        <v>0</v>
      </c>
      <c r="L222" s="212" t="str">
        <f t="shared" si="7"/>
        <v>C:\sprava\0.pdf</v>
      </c>
      <c r="O222" s="212"/>
    </row>
    <row r="223" spans="2:15" x14ac:dyDescent="0.25">
      <c r="B223" s="173">
        <f>Evidence!D223</f>
        <v>0</v>
      </c>
      <c r="C223" s="173">
        <f>Evidence!B223</f>
        <v>0</v>
      </c>
      <c r="E223" s="173">
        <f>Evidence!E223</f>
        <v>0</v>
      </c>
      <c r="I223" s="212">
        <f>Evidence!C223</f>
        <v>0</v>
      </c>
      <c r="J223" s="212" t="str">
        <f t="shared" si="6"/>
        <v>Zborovská 939/2, Žabovřesky, 616 00 Brno</v>
      </c>
      <c r="K223" s="235">
        <f>Evidence!A223</f>
        <v>0</v>
      </c>
      <c r="L223" s="212" t="str">
        <f t="shared" si="7"/>
        <v>C:\sprava\0.pdf</v>
      </c>
      <c r="O223" s="212"/>
    </row>
    <row r="224" spans="2:15" x14ac:dyDescent="0.25">
      <c r="B224" s="173">
        <f>Evidence!D224</f>
        <v>0</v>
      </c>
      <c r="C224" s="173">
        <f>Evidence!B224</f>
        <v>0</v>
      </c>
      <c r="E224" s="173">
        <f>Evidence!E224</f>
        <v>0</v>
      </c>
      <c r="I224" s="212">
        <f>Evidence!C224</f>
        <v>0</v>
      </c>
      <c r="J224" s="212" t="str">
        <f t="shared" si="6"/>
        <v>Zborovská 939/2, Žabovřesky, 616 00 Brno</v>
      </c>
      <c r="K224" s="235">
        <f>Evidence!A224</f>
        <v>0</v>
      </c>
      <c r="L224" s="212" t="str">
        <f t="shared" si="7"/>
        <v>C:\sprava\0.pdf</v>
      </c>
      <c r="O224" s="212"/>
    </row>
    <row r="225" spans="2:15" x14ac:dyDescent="0.25">
      <c r="B225" s="173">
        <f>Evidence!D225</f>
        <v>0</v>
      </c>
      <c r="C225" s="173">
        <f>Evidence!B225</f>
        <v>0</v>
      </c>
      <c r="E225" s="173">
        <f>Evidence!E225</f>
        <v>0</v>
      </c>
      <c r="I225" s="212">
        <f>Evidence!C225</f>
        <v>0</v>
      </c>
      <c r="J225" s="212" t="str">
        <f t="shared" si="6"/>
        <v>Zborovská 939/2, Žabovřesky, 616 00 Brno</v>
      </c>
      <c r="K225" s="235">
        <f>Evidence!A225</f>
        <v>0</v>
      </c>
      <c r="L225" s="212" t="str">
        <f t="shared" si="7"/>
        <v>C:\sprava\0.pdf</v>
      </c>
      <c r="O225" s="212"/>
    </row>
    <row r="226" spans="2:15" x14ac:dyDescent="0.25">
      <c r="B226" s="173">
        <f>Evidence!D226</f>
        <v>0</v>
      </c>
      <c r="C226" s="173">
        <f>Evidence!B226</f>
        <v>0</v>
      </c>
      <c r="E226" s="173">
        <f>Evidence!E226</f>
        <v>0</v>
      </c>
      <c r="I226" s="212">
        <f>Evidence!C226</f>
        <v>0</v>
      </c>
      <c r="J226" s="212" t="str">
        <f t="shared" si="6"/>
        <v>Zborovská 939/2, Žabovřesky, 616 00 Brno</v>
      </c>
      <c r="K226" s="235">
        <f>Evidence!A226</f>
        <v>0</v>
      </c>
      <c r="L226" s="212" t="str">
        <f t="shared" si="7"/>
        <v>C:\sprava\0.pdf</v>
      </c>
      <c r="O226" s="212"/>
    </row>
    <row r="227" spans="2:15" x14ac:dyDescent="0.25">
      <c r="B227" s="173">
        <f>Evidence!D227</f>
        <v>0</v>
      </c>
      <c r="C227" s="173">
        <f>Evidence!B227</f>
        <v>0</v>
      </c>
      <c r="E227" s="173">
        <f>Evidence!E227</f>
        <v>0</v>
      </c>
      <c r="I227" s="212">
        <f>Evidence!C227</f>
        <v>0</v>
      </c>
      <c r="J227" s="212" t="str">
        <f t="shared" si="6"/>
        <v>Zborovská 939/2, Žabovřesky, 616 00 Brno</v>
      </c>
      <c r="K227" s="235">
        <f>Evidence!A227</f>
        <v>0</v>
      </c>
      <c r="L227" s="212" t="str">
        <f t="shared" si="7"/>
        <v>C:\sprava\0.pdf</v>
      </c>
      <c r="O227" s="212"/>
    </row>
    <row r="228" spans="2:15" x14ac:dyDescent="0.25">
      <c r="B228" s="173">
        <f>Evidence!D228</f>
        <v>0</v>
      </c>
      <c r="C228" s="173">
        <f>Evidence!B228</f>
        <v>0</v>
      </c>
      <c r="E228" s="173">
        <f>Evidence!E228</f>
        <v>0</v>
      </c>
      <c r="I228" s="212">
        <f>Evidence!C228</f>
        <v>0</v>
      </c>
      <c r="J228" s="212" t="str">
        <f t="shared" si="6"/>
        <v>Zborovská 939/2, Žabovřesky, 616 00 Brno</v>
      </c>
      <c r="K228" s="235">
        <f>Evidence!A228</f>
        <v>0</v>
      </c>
      <c r="L228" s="212" t="str">
        <f t="shared" si="7"/>
        <v>C:\sprava\0.pdf</v>
      </c>
      <c r="O228" s="212"/>
    </row>
    <row r="229" spans="2:15" x14ac:dyDescent="0.25">
      <c r="B229" s="173">
        <f>Evidence!D229</f>
        <v>0</v>
      </c>
      <c r="C229" s="173">
        <f>Evidence!B229</f>
        <v>0</v>
      </c>
      <c r="E229" s="173">
        <f>Evidence!E229</f>
        <v>0</v>
      </c>
      <c r="I229" s="212">
        <f>Evidence!C229</f>
        <v>0</v>
      </c>
      <c r="J229" s="212" t="str">
        <f t="shared" si="6"/>
        <v>Zborovská 939/2, Žabovřesky, 616 00 Brno</v>
      </c>
      <c r="K229" s="235">
        <f>Evidence!A229</f>
        <v>0</v>
      </c>
      <c r="L229" s="212" t="str">
        <f t="shared" si="7"/>
        <v>C:\sprava\0.pdf</v>
      </c>
      <c r="O229" s="212"/>
    </row>
    <row r="230" spans="2:15" x14ac:dyDescent="0.25">
      <c r="B230" s="173">
        <f>Evidence!D230</f>
        <v>0</v>
      </c>
      <c r="C230" s="173">
        <f>Evidence!B230</f>
        <v>0</v>
      </c>
      <c r="E230" s="173">
        <f>Evidence!E230</f>
        <v>0</v>
      </c>
      <c r="I230" s="212">
        <f>Evidence!C230</f>
        <v>0</v>
      </c>
      <c r="J230" s="212" t="str">
        <f t="shared" si="6"/>
        <v>Zborovská 939/2, Žabovřesky, 616 00 Brno</v>
      </c>
      <c r="K230" s="235">
        <f>Evidence!A230</f>
        <v>0</v>
      </c>
      <c r="L230" s="212" t="str">
        <f t="shared" si="7"/>
        <v>C:\sprava\0.pdf</v>
      </c>
      <c r="O230" s="212"/>
    </row>
    <row r="231" spans="2:15" x14ac:dyDescent="0.25">
      <c r="B231" s="173">
        <f>Evidence!D231</f>
        <v>0</v>
      </c>
      <c r="C231" s="173">
        <f>Evidence!B231</f>
        <v>0</v>
      </c>
      <c r="E231" s="173">
        <f>Evidence!E231</f>
        <v>0</v>
      </c>
      <c r="I231" s="212">
        <f>Evidence!C231</f>
        <v>0</v>
      </c>
      <c r="J231" s="212" t="str">
        <f t="shared" si="6"/>
        <v>Zborovská 939/2, Žabovřesky, 616 00 Brno</v>
      </c>
      <c r="K231" s="235">
        <f>Evidence!A231</f>
        <v>0</v>
      </c>
      <c r="L231" s="212" t="str">
        <f t="shared" si="7"/>
        <v>C:\sprava\0.pdf</v>
      </c>
      <c r="O231" s="212"/>
    </row>
    <row r="232" spans="2:15" x14ac:dyDescent="0.25">
      <c r="B232" s="173">
        <f>Evidence!D232</f>
        <v>0</v>
      </c>
      <c r="C232" s="173">
        <f>Evidence!B232</f>
        <v>0</v>
      </c>
      <c r="E232" s="173">
        <f>Evidence!E232</f>
        <v>0</v>
      </c>
      <c r="I232" s="212">
        <f>Evidence!C232</f>
        <v>0</v>
      </c>
      <c r="J232" s="212" t="str">
        <f t="shared" si="6"/>
        <v>Zborovská 939/2, Žabovřesky, 616 00 Brno</v>
      </c>
      <c r="K232" s="235">
        <f>Evidence!A232</f>
        <v>0</v>
      </c>
      <c r="L232" s="212" t="str">
        <f t="shared" si="7"/>
        <v>C:\sprava\0.pdf</v>
      </c>
      <c r="O232" s="212"/>
    </row>
  </sheetData>
  <sheetProtection formatCells="0" formatColumns="0" formatRows="0" insertColumns="0" insertRows="0" insertHyperlinks="0" deleteColumns="0" deleteRows="0" sort="0" autoFilter="0" pivotTables="0"/>
  <hyperlinks>
    <hyperlink ref="Q1" location="Seznam!A1" display="SEZNAM" xr:uid="{00000000-0004-0000-0200-000000000000}"/>
  </hyperlink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P42"/>
  <sheetViews>
    <sheetView zoomScale="90" zoomScaleNormal="90" workbookViewId="0">
      <pane xSplit="3" ySplit="9" topLeftCell="D10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29.7109375" style="2" customWidth="1"/>
    <col min="2" max="2" width="20.28515625" style="2" hidden="1" customWidth="1"/>
    <col min="3" max="3" width="17.7109375" style="2" customWidth="1"/>
    <col min="4" max="4" width="12.85546875" style="2" hidden="1" customWidth="1"/>
    <col min="5" max="5" width="12.42578125" style="2" hidden="1" customWidth="1"/>
    <col min="6" max="6" width="11.85546875" style="2" hidden="1" customWidth="1"/>
    <col min="7" max="7" width="13.140625" style="1" hidden="1" customWidth="1"/>
    <col min="8" max="8" width="18.5703125" style="2" hidden="1" customWidth="1"/>
    <col min="9" max="9" width="18.5703125" style="2" customWidth="1"/>
    <col min="10" max="10" width="13.5703125" style="1" customWidth="1"/>
    <col min="11" max="12" width="14" style="2" customWidth="1"/>
    <col min="13" max="13" width="17.5703125" style="2" customWidth="1"/>
    <col min="14" max="14" width="30.28515625" style="2" customWidth="1"/>
    <col min="15" max="15" width="21" style="2" customWidth="1"/>
    <col min="16" max="16" width="24.5703125" style="2" customWidth="1"/>
    <col min="17" max="17" width="24.140625" style="5" customWidth="1"/>
    <col min="18" max="18" width="9.140625" style="2" customWidth="1"/>
    <col min="19" max="19" width="15.28515625" style="2" customWidth="1"/>
    <col min="20" max="20" width="9.140625" style="2" customWidth="1"/>
    <col min="21" max="21" width="15.7109375" style="2" customWidth="1"/>
    <col min="22" max="29" width="9.140625" style="2" customWidth="1"/>
    <col min="30" max="30" width="35.7109375" style="2" customWidth="1"/>
    <col min="31" max="1030" width="9.140625" style="2" customWidth="1"/>
    <col min="1031" max="1031" width="9.140625" customWidth="1"/>
  </cols>
  <sheetData>
    <row r="1" spans="1:30" ht="16.5" customHeight="1" x14ac:dyDescent="0.25">
      <c r="A1" s="742" t="s">
        <v>53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423"/>
      <c r="M1" s="423"/>
      <c r="N1" s="423"/>
      <c r="O1" s="423"/>
    </row>
    <row r="2" spans="1:30" ht="18.75" customHeight="1" x14ac:dyDescent="0.35">
      <c r="A2" s="3" t="str">
        <f>'vstupní data'!B5</f>
        <v>Martin Klíma</v>
      </c>
      <c r="C2" s="4"/>
      <c r="E2" s="27"/>
      <c r="F2" s="27"/>
      <c r="G2" s="27"/>
      <c r="H2" s="27"/>
      <c r="I2" s="27"/>
      <c r="J2" s="27"/>
      <c r="P2" s="5"/>
      <c r="Q2" s="80"/>
      <c r="S2" s="594" t="s">
        <v>54</v>
      </c>
      <c r="U2" s="188"/>
      <c r="V2" s="189"/>
    </row>
    <row r="3" spans="1:30" x14ac:dyDescent="0.25">
      <c r="A3" s="6" t="s">
        <v>55</v>
      </c>
      <c r="B3" s="27"/>
      <c r="C3" s="7" t="str">
        <f>dum_adresa</f>
        <v>Zborovská 939/2, Žabovřesky, 616 00 Brno</v>
      </c>
      <c r="F3" s="689" t="s">
        <v>56</v>
      </c>
      <c r="G3" s="689"/>
      <c r="H3" s="7" t="str">
        <f>'vstupní data'!B7</f>
        <v>8308679001/5500</v>
      </c>
      <c r="I3" s="7"/>
      <c r="K3" s="87" t="s">
        <v>57</v>
      </c>
      <c r="L3" s="87"/>
      <c r="M3" s="87"/>
      <c r="N3" s="87"/>
      <c r="O3" s="87"/>
      <c r="P3" s="7" t="str">
        <f>'vstupní data'!B4</f>
        <v>Byt č. 939/01</v>
      </c>
      <c r="Q3" s="80"/>
      <c r="U3" s="188"/>
      <c r="V3" s="190"/>
    </row>
    <row r="4" spans="1:30" ht="15" customHeight="1" x14ac:dyDescent="0.25">
      <c r="A4" s="6" t="s">
        <v>58</v>
      </c>
      <c r="B4" s="27"/>
      <c r="C4" s="6" t="str">
        <f>'vstupní data'!B22</f>
        <v>2100704207/2010</v>
      </c>
      <c r="D4" s="9"/>
      <c r="E4" s="689" t="s">
        <v>59</v>
      </c>
      <c r="F4" s="689"/>
      <c r="G4" s="689"/>
      <c r="H4" s="6">
        <f>'vstupní data'!B6</f>
        <v>1093900019</v>
      </c>
      <c r="I4" s="6"/>
      <c r="K4" s="87" t="s">
        <v>60</v>
      </c>
      <c r="L4" s="87"/>
      <c r="M4" s="87"/>
      <c r="N4" s="87"/>
      <c r="O4" s="87"/>
      <c r="P4" s="209" t="str">
        <f>IF('vstupní data'!D15="první část roku",'vstupní data'!E17,'vstupní data'!H17)</f>
        <v>1.1.2024 - 31.12.2024</v>
      </c>
      <c r="Q4" s="80"/>
      <c r="U4" s="188"/>
      <c r="V4" s="743"/>
      <c r="W4" s="743"/>
      <c r="X4" s="743"/>
      <c r="Y4" s="743"/>
      <c r="Z4" s="743"/>
      <c r="AA4" s="743"/>
      <c r="AB4" s="743"/>
      <c r="AC4" s="743"/>
      <c r="AD4" s="743"/>
    </row>
    <row r="5" spans="1:30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80"/>
      <c r="U5" s="189"/>
      <c r="V5" s="743"/>
      <c r="W5" s="743"/>
      <c r="X5" s="743"/>
      <c r="Y5" s="743"/>
      <c r="Z5" s="743"/>
      <c r="AA5" s="743"/>
      <c r="AB5" s="743"/>
      <c r="AC5" s="743"/>
      <c r="AD5" s="743"/>
    </row>
    <row r="6" spans="1:30" ht="60.75" customHeight="1" x14ac:dyDescent="0.35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3" t="s">
        <v>61</v>
      </c>
      <c r="P6" s="621" t="str">
        <f>IF(P7 &gt; 0, "Navýšení předpisu o částku", "Snížení předpisu o částku")</f>
        <v>Navýšení předpisu o částku</v>
      </c>
      <c r="Q6" s="624" t="s">
        <v>62</v>
      </c>
      <c r="S6" s="413"/>
      <c r="V6" s="743"/>
      <c r="W6" s="743"/>
      <c r="X6" s="743"/>
      <c r="Y6" s="743"/>
      <c r="Z6" s="743"/>
      <c r="AA6" s="743"/>
      <c r="AB6" s="743"/>
      <c r="AC6" s="743"/>
      <c r="AD6" s="743"/>
    </row>
    <row r="7" spans="1:30" ht="19.5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11"/>
      <c r="M7" s="11"/>
      <c r="N7" s="573"/>
      <c r="O7" s="11">
        <f>'vstupní data'!AJ30</f>
        <v>4</v>
      </c>
      <c r="P7" s="11">
        <f>IF(Q7=0, IF(A38&gt;0, -ROUND((A38*0.95)/VD_počet_měsíců_úžívání, 0), -ROUND((A38*1.05)/VD_počet_měsíců_úžívání, 0)), Q7)</f>
        <v>5</v>
      </c>
      <c r="Q7" s="622">
        <v>5</v>
      </c>
      <c r="R7" s="2" t="s">
        <v>63</v>
      </c>
      <c r="S7" s="495"/>
      <c r="V7" s="743"/>
      <c r="W7" s="743"/>
      <c r="X7" s="743"/>
      <c r="Y7" s="743"/>
      <c r="Z7" s="743"/>
      <c r="AA7" s="743"/>
      <c r="AB7" s="743"/>
      <c r="AC7" s="743"/>
      <c r="AD7" s="743"/>
    </row>
    <row r="8" spans="1:30" x14ac:dyDescent="0.25">
      <c r="A8" s="744"/>
      <c r="B8" s="744"/>
      <c r="C8" s="744"/>
      <c r="D8" s="744"/>
      <c r="E8" s="745" t="s">
        <v>64</v>
      </c>
      <c r="F8" s="745"/>
      <c r="G8" s="745"/>
      <c r="H8" s="745" t="s">
        <v>65</v>
      </c>
      <c r="I8" s="745"/>
      <c r="J8" s="745"/>
      <c r="K8" s="745"/>
      <c r="L8" s="745"/>
      <c r="M8" s="745"/>
      <c r="N8" s="745"/>
      <c r="O8" s="745"/>
      <c r="P8" s="745"/>
      <c r="Q8" s="80"/>
      <c r="V8" s="743"/>
      <c r="W8" s="743"/>
      <c r="X8" s="743"/>
      <c r="Y8" s="743"/>
      <c r="Z8" s="743"/>
      <c r="AA8" s="743"/>
      <c r="AB8" s="743"/>
      <c r="AC8" s="743"/>
      <c r="AD8" s="743"/>
    </row>
    <row r="9" spans="1:30" s="503" customFormat="1" ht="45.75" customHeight="1" x14ac:dyDescent="0.25">
      <c r="A9" s="496" t="s">
        <v>66</v>
      </c>
      <c r="B9" s="497" t="s">
        <v>67</v>
      </c>
      <c r="C9" s="498" t="s">
        <v>68</v>
      </c>
      <c r="D9" s="498" t="s">
        <v>69</v>
      </c>
      <c r="E9" s="499" t="s">
        <v>70</v>
      </c>
      <c r="F9" s="498" t="s">
        <v>71</v>
      </c>
      <c r="G9" s="500" t="s">
        <v>72</v>
      </c>
      <c r="H9" s="499" t="s">
        <v>73</v>
      </c>
      <c r="I9" s="498" t="s">
        <v>74</v>
      </c>
      <c r="J9" s="500" t="s">
        <v>75</v>
      </c>
      <c r="K9" s="504" t="s">
        <v>76</v>
      </c>
      <c r="L9" s="504" t="s">
        <v>77</v>
      </c>
      <c r="M9" s="504" t="s">
        <v>78</v>
      </c>
      <c r="N9" s="587" t="s">
        <v>79</v>
      </c>
      <c r="O9" s="587" t="s">
        <v>80</v>
      </c>
      <c r="P9" s="587" t="s">
        <v>81</v>
      </c>
      <c r="Q9" s="501" t="s">
        <v>82</v>
      </c>
      <c r="R9" s="190"/>
      <c r="S9" s="190"/>
      <c r="T9" s="190"/>
      <c r="U9" s="190"/>
      <c r="V9" s="743"/>
      <c r="W9" s="743"/>
      <c r="X9" s="743"/>
      <c r="Y9" s="743"/>
      <c r="Z9" s="743"/>
      <c r="AA9" s="743"/>
      <c r="AB9" s="743"/>
      <c r="AC9" s="743"/>
      <c r="AD9" s="743"/>
    </row>
    <row r="10" spans="1:30" ht="15.95" customHeight="1" x14ac:dyDescent="0.3">
      <c r="A10" s="405" t="str">
        <f>Faktury!A4</f>
        <v>Elektrická energie (společné prostory)</v>
      </c>
      <c r="B10" s="243"/>
      <c r="C10" s="617" t="str">
        <f>Faktury!C4</f>
        <v>počet osob</v>
      </c>
      <c r="D10" s="16">
        <f>Faktury!D4</f>
        <v>100</v>
      </c>
      <c r="E10" s="18">
        <f>Faktury!E4</f>
        <v>8663.77</v>
      </c>
      <c r="F10" s="18">
        <f>Faktury!F4</f>
        <v>439</v>
      </c>
      <c r="G10" s="18">
        <f>Faktury!G4</f>
        <v>19.739999999999998</v>
      </c>
      <c r="H10" s="18">
        <f>Faktury!H4</f>
        <v>48</v>
      </c>
      <c r="I10" s="18">
        <f>'Vyúčtování byt - 1.část'!J10</f>
        <v>540</v>
      </c>
      <c r="J10" s="18">
        <f>Faktury!I4</f>
        <v>947.52</v>
      </c>
      <c r="K10" s="613">
        <f t="shared" ref="K10:K29" si="0">IF(J10=0,0,J10*(100+Q10)/100)</f>
        <v>947.52</v>
      </c>
      <c r="L10" s="611">
        <f>'Vyúčtování byt - 1.část'!K10</f>
        <v>-407.52</v>
      </c>
      <c r="M10" s="613">
        <f t="shared" ref="M10:M29" si="1">ROUND(I10/VD_počet_měsíců_úžívání,2)</f>
        <v>45</v>
      </c>
      <c r="N10" s="614">
        <f>IF(C10="počet osob", CEILING(K10/'vstupní data'!$AJ$31/VD_počet_měsíců_úžívání*($O$7*12), 10), ROUNDUP(K10/VD_počet_měsíců_úžívání, -1))</f>
        <v>80</v>
      </c>
      <c r="O10" s="611">
        <f>CEILING(K10/'vstupní data'!$AJ$31/VD_počet_měsíců_úžívání*($O$7*12),10)</f>
        <v>80</v>
      </c>
      <c r="P10" s="615">
        <f t="shared" ref="P10:P29" si="2">ROUND(MAX(0,I10/VD_počet_měsíců_úžívání-IF($P$7&gt;0,L10/VD_počet_měsíců_úžívání*1.05,L10/VD_počet_měsíců_úžívání*0.95)),0)</f>
        <v>81</v>
      </c>
      <c r="Q10" s="398">
        <v>0</v>
      </c>
      <c r="V10" s="743"/>
      <c r="W10" s="743"/>
      <c r="X10" s="743"/>
      <c r="Y10" s="743"/>
      <c r="Z10" s="743"/>
      <c r="AA10" s="743"/>
      <c r="AB10" s="743"/>
      <c r="AC10" s="743"/>
      <c r="AD10" s="743"/>
    </row>
    <row r="11" spans="1:30" ht="18.75" customHeight="1" x14ac:dyDescent="0.3">
      <c r="A11" s="199" t="str">
        <f>Faktury!A5</f>
        <v>Úklid bytového domu</v>
      </c>
      <c r="B11" s="244"/>
      <c r="C11" s="191" t="str">
        <f>Faktury!C5</f>
        <v>počet osob</v>
      </c>
      <c r="D11" s="20">
        <f>Faktury!D5</f>
        <v>100</v>
      </c>
      <c r="E11" s="22">
        <f>Faktury!E5</f>
        <v>25800</v>
      </c>
      <c r="F11" s="22">
        <f>Faktury!F5</f>
        <v>439</v>
      </c>
      <c r="G11" s="22">
        <f>Faktury!G5</f>
        <v>58.77</v>
      </c>
      <c r="H11" s="22">
        <f>Faktury!H5</f>
        <v>48</v>
      </c>
      <c r="I11" s="22">
        <f>'Vyúčtování byt - 1.část'!J11</f>
        <v>3000</v>
      </c>
      <c r="J11" s="22">
        <f>Faktury!I5</f>
        <v>2820.96</v>
      </c>
      <c r="K11" s="611">
        <f t="shared" si="0"/>
        <v>2820.96</v>
      </c>
      <c r="L11" s="611">
        <f>'Vyúčtování byt - 1.část'!K11</f>
        <v>179.04</v>
      </c>
      <c r="M11" s="611">
        <f t="shared" si="1"/>
        <v>250</v>
      </c>
      <c r="N11" s="615">
        <f>IF(C11="počet osob", CEILING(K11/'vstupní data'!$AJ$31/VD_počet_měsíců_úžívání*($O$7*12), 10), ROUNDUP(K11/VD_počet_měsíců_úžívání, -1))</f>
        <v>240</v>
      </c>
      <c r="O11" s="611">
        <f>CEILING(K11/'vstupní data'!$AJ$31/VD_počet_měsíců_úžívání*($O$7*12),10)</f>
        <v>240</v>
      </c>
      <c r="P11" s="615">
        <f t="shared" si="2"/>
        <v>234</v>
      </c>
      <c r="Q11" s="398">
        <v>0</v>
      </c>
      <c r="V11" s="743"/>
      <c r="W11" s="743"/>
      <c r="X11" s="743"/>
      <c r="Y11" s="743"/>
      <c r="Z11" s="743"/>
      <c r="AA11" s="743"/>
      <c r="AB11" s="743"/>
      <c r="AC11" s="743"/>
      <c r="AD11" s="743"/>
    </row>
    <row r="12" spans="1:30" ht="18.75" customHeight="1" x14ac:dyDescent="0.3">
      <c r="A12" s="199" t="str">
        <f>Faktury!A6</f>
        <v>Komíny</v>
      </c>
      <c r="B12" s="247"/>
      <c r="C12" s="191" t="str">
        <f>Faktury!C6</f>
        <v>komín</v>
      </c>
      <c r="D12" s="20">
        <f>Faktury!D6</f>
        <v>100</v>
      </c>
      <c r="E12" s="22">
        <f>Faktury!E6</f>
        <v>7502</v>
      </c>
      <c r="F12" s="22">
        <f>Faktury!F6</f>
        <v>12</v>
      </c>
      <c r="G12" s="22">
        <f>Faktury!G6</f>
        <v>625.16999999999996</v>
      </c>
      <c r="H12" s="22">
        <f>Faktury!H6</f>
        <v>1</v>
      </c>
      <c r="I12" s="22">
        <f>'Vyúčtování byt - 1.část'!J12</f>
        <v>540</v>
      </c>
      <c r="J12" s="22">
        <f>Faktury!I6</f>
        <v>625.16999999999996</v>
      </c>
      <c r="K12" s="611">
        <f t="shared" si="0"/>
        <v>625.16999999999996</v>
      </c>
      <c r="L12" s="611">
        <f>'Vyúčtování byt - 1.část'!K12</f>
        <v>-85.17</v>
      </c>
      <c r="M12" s="611">
        <f t="shared" si="1"/>
        <v>45</v>
      </c>
      <c r="N12" s="615">
        <f>IF(C12="počet osob", CEILING(K12/'vstupní data'!$AJ$31/VD_počet_měsíců_úžívání*($O$7*12), 10), ROUNDUP(K12/VD_počet_měsíců_úžívání, -1))</f>
        <v>60</v>
      </c>
      <c r="O12" s="611">
        <f>CEILING(K12/'vstupní data'!$AJ$31/VD_počet_měsíců_úžívání*($O$7*12),10)</f>
        <v>60</v>
      </c>
      <c r="P12" s="615">
        <f t="shared" si="2"/>
        <v>52</v>
      </c>
      <c r="Q12" s="398">
        <v>0</v>
      </c>
      <c r="V12" s="192"/>
      <c r="W12" s="192"/>
      <c r="X12" s="192"/>
      <c r="Y12" s="192"/>
      <c r="Z12" s="192"/>
      <c r="AA12" s="192"/>
      <c r="AB12" s="192"/>
      <c r="AC12" s="192"/>
      <c r="AD12" s="192"/>
    </row>
    <row r="13" spans="1:30" ht="18.75" customHeight="1" x14ac:dyDescent="0.3">
      <c r="A13" s="199" t="str">
        <f>Faktury!A7</f>
        <v>Pravidelná údržba výtah</v>
      </c>
      <c r="B13" s="244"/>
      <c r="C13" s="191" t="str">
        <f>Faktury!C7</f>
        <v>počet osob</v>
      </c>
      <c r="D13" s="20">
        <f>Faktury!D7</f>
        <v>100</v>
      </c>
      <c r="E13" s="22">
        <f>Faktury!E7</f>
        <v>43616.12</v>
      </c>
      <c r="F13" s="22">
        <f>Faktury!F7</f>
        <v>307</v>
      </c>
      <c r="G13" s="22">
        <f>Faktury!G7</f>
        <v>142.07</v>
      </c>
      <c r="H13" s="22">
        <f>Faktury!H7</f>
        <v>0</v>
      </c>
      <c r="I13" s="22">
        <f>'Vyúčtování byt - 1.část'!J13</f>
        <v>0</v>
      </c>
      <c r="J13" s="22">
        <f>Faktury!I7</f>
        <v>0</v>
      </c>
      <c r="K13" s="611">
        <f t="shared" si="0"/>
        <v>0</v>
      </c>
      <c r="L13" s="611">
        <f>'Vyúčtování byt - 1.část'!K13</f>
        <v>0</v>
      </c>
      <c r="M13" s="611">
        <f t="shared" si="1"/>
        <v>0</v>
      </c>
      <c r="N13" s="615">
        <f>IF(C13="počet osob", CEILING(K13/'vstupní data'!$AJ$31/VD_počet_měsíců_úžívání*($O$7*12), 10), ROUNDUP(K13/VD_počet_měsíců_úžívání, -1))</f>
        <v>0</v>
      </c>
      <c r="O13" s="611">
        <f>CEILING(K13/'vstupní data'!$AJ$31/VD_počet_měsíců_úžívání*($O$7*12),10)</f>
        <v>0</v>
      </c>
      <c r="P13" s="615">
        <f t="shared" si="2"/>
        <v>0</v>
      </c>
      <c r="Q13" s="398">
        <v>0</v>
      </c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30" ht="15" customHeight="1" x14ac:dyDescent="0.3">
      <c r="A14" s="199" t="str">
        <f>Faktury!A17</f>
        <v>Fond oprav nebytových prostor</v>
      </c>
      <c r="B14" s="244"/>
      <c r="C14" s="191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2">
        <f>Faktury!H17</f>
        <v>0</v>
      </c>
      <c r="I14" s="22">
        <f>'Vyúčtování byt - 1.část'!J14</f>
        <v>0</v>
      </c>
      <c r="J14" s="22">
        <f>Faktury!I17</f>
        <v>0</v>
      </c>
      <c r="K14" s="611">
        <f t="shared" si="0"/>
        <v>0</v>
      </c>
      <c r="L14" s="611">
        <f>'Vyúčtování byt - 1.část'!K14</f>
        <v>0</v>
      </c>
      <c r="M14" s="611">
        <f t="shared" si="1"/>
        <v>0</v>
      </c>
      <c r="N14" s="615">
        <f>IF(C14="počet osob", CEILING(K14/'vstupní data'!$AJ$31/VD_počet_měsíců_úžívání*($O$7*12), 10), ROUNDUP(K14/VD_počet_měsíců_úžívání, -1))</f>
        <v>0</v>
      </c>
      <c r="O14" s="611">
        <f>CEILING(K14/'vstupní data'!$AJ$31/VD_počet_měsíců_úžívání*($O$7*12),10)</f>
        <v>0</v>
      </c>
      <c r="P14" s="615">
        <f t="shared" si="2"/>
        <v>0</v>
      </c>
      <c r="Q14" s="398">
        <v>0</v>
      </c>
      <c r="AA14" s="192"/>
      <c r="AB14" s="192"/>
      <c r="AC14" s="192"/>
      <c r="AD14" s="192"/>
    </row>
    <row r="15" spans="1:30" ht="18.75" customHeight="1" x14ac:dyDescent="0.3">
      <c r="A15" s="199" t="str">
        <f>Faktury!A12</f>
        <v>Pojištění domu</v>
      </c>
      <c r="B15" s="244"/>
      <c r="C15" s="191">
        <f>Faktury!C12</f>
        <v>0</v>
      </c>
      <c r="D15" s="20">
        <f>Faktury!D12</f>
        <v>0</v>
      </c>
      <c r="E15" s="22">
        <f>Faktury!E12</f>
        <v>0</v>
      </c>
      <c r="F15" s="22">
        <f>Faktury!F12</f>
        <v>0</v>
      </c>
      <c r="G15" s="22">
        <f>Faktury!G12</f>
        <v>0</v>
      </c>
      <c r="H15" s="22">
        <f>Faktury!H12</f>
        <v>0</v>
      </c>
      <c r="I15" s="22">
        <f>'Vyúčtování byt - 1.část'!J15</f>
        <v>0</v>
      </c>
      <c r="J15" s="22">
        <f>Faktury!I12</f>
        <v>0</v>
      </c>
      <c r="K15" s="611">
        <f t="shared" si="0"/>
        <v>0</v>
      </c>
      <c r="L15" s="611">
        <f>'Vyúčtování byt - 1.část'!K15</f>
        <v>0</v>
      </c>
      <c r="M15" s="611">
        <f t="shared" si="1"/>
        <v>0</v>
      </c>
      <c r="N15" s="615">
        <f>IF(C15="počet osob", CEILING(K15/'vstupní data'!$AJ$31/VD_počet_měsíců_úžívání*($O$7*12), 10), ROUNDUP(K15/VD_počet_měsíců_úžívání, -1))</f>
        <v>0</v>
      </c>
      <c r="O15" s="611">
        <f>CEILING(K15/'vstupní data'!$AJ$31/VD_počet_měsíců_úžívání*($O$7*12),10)</f>
        <v>0</v>
      </c>
      <c r="P15" s="615">
        <f t="shared" si="2"/>
        <v>0</v>
      </c>
      <c r="Q15" s="398">
        <v>0</v>
      </c>
      <c r="AA15" s="192"/>
      <c r="AB15" s="192"/>
      <c r="AC15" s="192"/>
      <c r="AD15" s="192"/>
    </row>
    <row r="16" spans="1:30" ht="18.75" customHeight="1" x14ac:dyDescent="0.3">
      <c r="A16" s="199" t="str">
        <f>Faktury!A9</f>
        <v>Ohřev teplé vody (TUV)</v>
      </c>
      <c r="B16" s="244"/>
      <c r="C16" s="191">
        <f>Faktury!C9</f>
        <v>0</v>
      </c>
      <c r="D16" s="20">
        <f>Faktury!D9</f>
        <v>0</v>
      </c>
      <c r="E16" s="22">
        <f>Faktury!E9</f>
        <v>0</v>
      </c>
      <c r="F16" s="22">
        <f>Faktury!F9</f>
        <v>0</v>
      </c>
      <c r="G16" s="22">
        <f>Faktury!G9</f>
        <v>0</v>
      </c>
      <c r="H16" s="22">
        <f>Faktury!H9</f>
        <v>0</v>
      </c>
      <c r="I16" s="22">
        <f>'Vyúčtování byt - 1.část'!J16</f>
        <v>0</v>
      </c>
      <c r="J16" s="22">
        <f>Faktury!I9</f>
        <v>0</v>
      </c>
      <c r="K16" s="611">
        <f t="shared" si="0"/>
        <v>0</v>
      </c>
      <c r="L16" s="611">
        <f>'Vyúčtování byt - 1.část'!K16</f>
        <v>0</v>
      </c>
      <c r="M16" s="611">
        <f t="shared" si="1"/>
        <v>0</v>
      </c>
      <c r="N16" s="615">
        <f>IF(C16="počet osob", CEILING(K16/'vstupní data'!$AJ$31/VD_počet_měsíců_úžívání*($O$7*12), 10), ROUNDUP(K16/VD_počet_měsíců_úžívání, -1))</f>
        <v>0</v>
      </c>
      <c r="O16" s="611">
        <f>CEILING(K16/'vstupní data'!$AJ$31/VD_počet_měsíců_úžívání*($O$7*12),10)</f>
        <v>0</v>
      </c>
      <c r="P16" s="615">
        <f t="shared" si="2"/>
        <v>0</v>
      </c>
      <c r="Q16" s="398">
        <v>0</v>
      </c>
      <c r="AA16" s="192"/>
      <c r="AB16" s="192"/>
      <c r="AC16" s="192"/>
      <c r="AD16" s="192"/>
    </row>
    <row r="17" spans="1:19" ht="18.75" customHeight="1" x14ac:dyDescent="0.3">
      <c r="A17" s="199" t="str">
        <f>Faktury!A2</f>
        <v>Fond oprav</v>
      </c>
      <c r="B17" s="247"/>
      <c r="C17" s="191" t="str">
        <f>Faktury!C2</f>
        <v>nevyúčtovává se</v>
      </c>
      <c r="D17" s="20">
        <f>Faktury!D2</f>
        <v>0</v>
      </c>
      <c r="E17" s="20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'Vyúčtování byt - 1.část'!J17</f>
        <v>0</v>
      </c>
      <c r="J17" s="20">
        <f>Faktury!I2</f>
        <v>0</v>
      </c>
      <c r="K17" s="611">
        <f t="shared" si="0"/>
        <v>0</v>
      </c>
      <c r="L17" s="611">
        <f>'Vyúčtování byt - 1.část'!K17</f>
        <v>0</v>
      </c>
      <c r="M17" s="611">
        <f t="shared" si="1"/>
        <v>0</v>
      </c>
      <c r="N17" s="615">
        <f>IF(C17="počet osob", CEILING(K17/'vstupní data'!$AJ$31/VD_počet_měsíců_úžívání*($O$7*12), 10), ROUNDUP(K17/VD_počet_měsíců_úžívání, -1))</f>
        <v>0</v>
      </c>
      <c r="O17" s="611">
        <f>CEILING(K17/'vstupní data'!$AJ$31/VD_počet_měsíců_úžívání*($O$7*12),10)</f>
        <v>0</v>
      </c>
      <c r="P17" s="615">
        <f t="shared" si="2"/>
        <v>0</v>
      </c>
      <c r="Q17" s="398">
        <v>0</v>
      </c>
    </row>
    <row r="18" spans="1:19" ht="18.75" customHeight="1" x14ac:dyDescent="0.3">
      <c r="A18" s="199" t="str">
        <f>Faktury!A3</f>
        <v>Studená voda</v>
      </c>
      <c r="B18" s="244"/>
      <c r="C18" s="191" t="str">
        <f>Faktury!C3</f>
        <v>počet osob</v>
      </c>
      <c r="D18" s="20">
        <f>Faktury!D3</f>
        <v>100</v>
      </c>
      <c r="E18" s="22">
        <f>Faktury!E3</f>
        <v>75347.329999999987</v>
      </c>
      <c r="F18" s="22">
        <f>Faktury!F3</f>
        <v>868</v>
      </c>
      <c r="G18" s="22">
        <f>Faktury!G3</f>
        <v>86.81</v>
      </c>
      <c r="H18" s="22">
        <f>Faktury!H3</f>
        <v>35</v>
      </c>
      <c r="I18" s="22">
        <f>'Vyúčtování byt - 1.část'!J18</f>
        <v>8280</v>
      </c>
      <c r="J18" s="22">
        <f>Faktury!I3</f>
        <v>9618.74</v>
      </c>
      <c r="K18" s="611">
        <f t="shared" si="0"/>
        <v>9618.74</v>
      </c>
      <c r="L18" s="611">
        <f>'Vyúčtování byt - 1.část'!K18</f>
        <v>-1338.74</v>
      </c>
      <c r="M18" s="611">
        <f t="shared" si="1"/>
        <v>690</v>
      </c>
      <c r="N18" s="615">
        <f>IF(C18="počet osob", CEILING(K18/'vstupní data'!$AJ$31/VD_počet_měsíců_úžívání*($O$7*12), 10), ROUNDUP(K18/VD_počet_měsíců_úžívání, -1))</f>
        <v>810</v>
      </c>
      <c r="O18" s="611">
        <f>CEILING(K18/'vstupní data'!$AJ$31/VD_počet_měsíců_úžívání*($O$7*12),10)</f>
        <v>810</v>
      </c>
      <c r="P18" s="615">
        <f t="shared" si="2"/>
        <v>807</v>
      </c>
      <c r="Q18" s="398">
        <v>0</v>
      </c>
    </row>
    <row r="19" spans="1:19" ht="18.75" customHeight="1" x14ac:dyDescent="0.3">
      <c r="A19" s="406" t="str">
        <f>Faktury!A19</f>
        <v>Ostatní náklady - UPC</v>
      </c>
      <c r="B19" s="260"/>
      <c r="C19" s="191" t="str">
        <f>Faktury!C19</f>
        <v>na byt</v>
      </c>
      <c r="D19" s="20">
        <f>Faktury!D19</f>
        <v>100</v>
      </c>
      <c r="E19" s="22">
        <f>Faktury!E19</f>
        <v>57999</v>
      </c>
      <c r="F19" s="22">
        <f>Faktury!F19</f>
        <v>9</v>
      </c>
      <c r="G19" s="22">
        <f>Faktury!G19</f>
        <v>6444.33</v>
      </c>
      <c r="H19" s="22">
        <f>Faktury!H19</f>
        <v>0</v>
      </c>
      <c r="I19" s="22">
        <f>'Vyúčtování byt - 1.část'!J19</f>
        <v>0</v>
      </c>
      <c r="J19" s="22">
        <f>Faktury!I19</f>
        <v>0</v>
      </c>
      <c r="K19" s="611">
        <f t="shared" si="0"/>
        <v>0</v>
      </c>
      <c r="L19" s="611">
        <f>'Vyúčtování byt - 1.část'!K19</f>
        <v>0</v>
      </c>
      <c r="M19" s="611">
        <f t="shared" si="1"/>
        <v>0</v>
      </c>
      <c r="N19" s="615">
        <f>IF(C19="počet osob", CEILING(K19/'vstupní data'!$AJ$31/VD_počet_měsíců_úžívání*($O$7*12), 10), ROUNDUP(K19/VD_počet_měsíců_úžívání, -1))</f>
        <v>0</v>
      </c>
      <c r="O19" s="611">
        <f>CEILING(K19/'vstupní data'!$AJ$31/VD_počet_měsíců_úžívání*($O$7*12),10)</f>
        <v>0</v>
      </c>
      <c r="P19" s="615">
        <f t="shared" si="2"/>
        <v>0</v>
      </c>
      <c r="Q19" s="398">
        <v>0</v>
      </c>
    </row>
    <row r="20" spans="1:19" ht="18.75" customHeight="1" x14ac:dyDescent="0.3">
      <c r="A20" s="407" t="str">
        <f>Faktury!A18</f>
        <v>Ostatní náklady (garáž a sklepy)</v>
      </c>
      <c r="B20" s="245"/>
      <c r="C20" s="191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2">
        <f>Faktury!H18</f>
        <v>0</v>
      </c>
      <c r="I20" s="22">
        <f>'Vyúčtování byt - 1.část'!J20</f>
        <v>0</v>
      </c>
      <c r="J20" s="22">
        <f>Faktury!I18</f>
        <v>0</v>
      </c>
      <c r="K20" s="611">
        <f t="shared" si="0"/>
        <v>0</v>
      </c>
      <c r="L20" s="611">
        <f>'Vyúčtování byt - 1.část'!K20</f>
        <v>0</v>
      </c>
      <c r="M20" s="611">
        <f t="shared" si="1"/>
        <v>0</v>
      </c>
      <c r="N20" s="615">
        <f>IF(C20="počet osob", CEILING(K20/'vstupní data'!$AJ$31/VD_počet_měsíců_úžívání*($O$7*12), 10), ROUNDUP(K20/VD_počet_měsíců_úžívání, -1))</f>
        <v>0</v>
      </c>
      <c r="O20" s="611">
        <f>CEILING(K20/'vstupní data'!$AJ$31/VD_počet_měsíců_úžívání*($O$7*12),10)</f>
        <v>0</v>
      </c>
      <c r="P20" s="615">
        <f t="shared" si="2"/>
        <v>0</v>
      </c>
      <c r="Q20" s="398">
        <v>0</v>
      </c>
    </row>
    <row r="21" spans="1:19" ht="18.75" customHeight="1" x14ac:dyDescent="0.3">
      <c r="A21" s="199">
        <f>Faktury!A10</f>
        <v>0</v>
      </c>
      <c r="B21" s="244"/>
      <c r="C21" s="191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'Vyúčtování byt - 1.část'!J21</f>
        <v>0</v>
      </c>
      <c r="J21" s="20">
        <f>Faktury!I10</f>
        <v>0</v>
      </c>
      <c r="K21" s="611">
        <f t="shared" si="0"/>
        <v>0</v>
      </c>
      <c r="L21" s="611">
        <f>'Vyúčtování byt - 1.část'!K21</f>
        <v>0</v>
      </c>
      <c r="M21" s="611">
        <f t="shared" si="1"/>
        <v>0</v>
      </c>
      <c r="N21" s="615">
        <f>IF(C21="počet osob", CEILING(K21/'vstupní data'!$AJ$31/VD_počet_měsíců_úžívání*($O$7*12), 10), ROUNDUP(K21/VD_počet_měsíců_úžívání, -1))</f>
        <v>0</v>
      </c>
      <c r="O21" s="611">
        <f>CEILING(K21/'vstupní data'!$AJ$31/VD_počet_měsíců_úžívání*($O$7*12),10)</f>
        <v>0</v>
      </c>
      <c r="P21" s="615">
        <f t="shared" si="2"/>
        <v>0</v>
      </c>
      <c r="Q21" s="398">
        <v>0</v>
      </c>
    </row>
    <row r="22" spans="1:19" ht="18.75" customHeight="1" x14ac:dyDescent="0.3">
      <c r="A22" s="408" t="str">
        <f>Faktury!A8</f>
        <v>Záloha na teplo</v>
      </c>
      <c r="B22" s="70"/>
      <c r="C22" s="191">
        <f>Faktury!C8</f>
        <v>0</v>
      </c>
      <c r="D22" s="20">
        <f>Faktury!D8</f>
        <v>0</v>
      </c>
      <c r="E22" s="22">
        <f>Faktury!E8</f>
        <v>0</v>
      </c>
      <c r="F22" s="22">
        <f>Faktury!F8</f>
        <v>0</v>
      </c>
      <c r="G22" s="22">
        <f>Faktury!G8</f>
        <v>0</v>
      </c>
      <c r="H22" s="22">
        <f>Faktury!H8</f>
        <v>0</v>
      </c>
      <c r="I22" s="22">
        <f>'Vyúčtování byt - 1.část'!J22</f>
        <v>0</v>
      </c>
      <c r="J22" s="22">
        <f>Faktury!I8</f>
        <v>0</v>
      </c>
      <c r="K22" s="611">
        <f t="shared" si="0"/>
        <v>0</v>
      </c>
      <c r="L22" s="611">
        <f>'Vyúčtování byt - 1.část'!K22</f>
        <v>0</v>
      </c>
      <c r="M22" s="611">
        <f t="shared" si="1"/>
        <v>0</v>
      </c>
      <c r="N22" s="615">
        <f>IF(C22="počet osob", CEILING(K22/'vstupní data'!$AJ$31/VD_počet_měsíců_úžívání*($O$7*12), 10), ROUNDUP(K22/VD_počet_měsíců_úžívání, -1))</f>
        <v>0</v>
      </c>
      <c r="O22" s="611">
        <f>CEILING(K22/'vstupní data'!$AJ$31/VD_počet_měsíců_úžívání*($O$7*12),10)</f>
        <v>0</v>
      </c>
      <c r="P22" s="615">
        <f t="shared" si="2"/>
        <v>0</v>
      </c>
      <c r="Q22" s="398">
        <v>0</v>
      </c>
    </row>
    <row r="23" spans="1:19" ht="18.75" customHeight="1" x14ac:dyDescent="0.3">
      <c r="A23" s="199" t="str">
        <f>Faktury!A16</f>
        <v>Poplatek za psa</v>
      </c>
      <c r="B23" s="244"/>
      <c r="C23" s="191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2">
        <f>Faktury!H16</f>
        <v>0</v>
      </c>
      <c r="I23" s="22">
        <f>'Vyúčtování byt - 1.část'!J23</f>
        <v>0</v>
      </c>
      <c r="J23" s="22">
        <f>Faktury!I16</f>
        <v>0</v>
      </c>
      <c r="K23" s="611">
        <f t="shared" si="0"/>
        <v>0</v>
      </c>
      <c r="L23" s="611">
        <f>'Vyúčtování byt - 1.část'!K23</f>
        <v>0</v>
      </c>
      <c r="M23" s="611">
        <f t="shared" si="1"/>
        <v>0</v>
      </c>
      <c r="N23" s="615">
        <f>IF(C23="počet osob", CEILING(K23/'vstupní data'!$AJ$31/VD_počet_měsíců_úžívání*($O$7*12), 10), ROUNDUP(K23/VD_počet_měsíců_úžívání, -1))</f>
        <v>0</v>
      </c>
      <c r="O23" s="611">
        <f>CEILING(K23/'vstupní data'!$AJ$31/VD_počet_měsíců_úžívání*($O$7*12),10)</f>
        <v>0</v>
      </c>
      <c r="P23" s="615">
        <f t="shared" si="2"/>
        <v>0</v>
      </c>
      <c r="Q23" s="398">
        <v>0</v>
      </c>
    </row>
    <row r="24" spans="1:19" ht="18.75" customHeight="1" x14ac:dyDescent="0.3">
      <c r="A24" s="409" t="str">
        <f>Faktury!A22</f>
        <v>Spořící účet</v>
      </c>
      <c r="B24" s="394"/>
      <c r="C24" s="191" t="str">
        <f>Faktury!C22</f>
        <v>nevyúčtovává se</v>
      </c>
      <c r="D24" s="20">
        <f>Faktury!D22</f>
        <v>0</v>
      </c>
      <c r="E24" s="20">
        <f>Faktury!E22</f>
        <v>0</v>
      </c>
      <c r="F24" s="20">
        <f>Faktury!F22</f>
        <v>0</v>
      </c>
      <c r="G24" s="20">
        <f>Faktury!G22</f>
        <v>0</v>
      </c>
      <c r="H24" s="20">
        <f>Faktury!H22</f>
        <v>0</v>
      </c>
      <c r="I24" s="22">
        <f>'Vyúčtování byt - 1.část'!J24</f>
        <v>0</v>
      </c>
      <c r="J24" s="20">
        <f>Faktury!I22</f>
        <v>0</v>
      </c>
      <c r="K24" s="611">
        <f t="shared" si="0"/>
        <v>0</v>
      </c>
      <c r="L24" s="611">
        <f>'Vyúčtování byt - 1.část'!K24</f>
        <v>0</v>
      </c>
      <c r="M24" s="611">
        <f t="shared" si="1"/>
        <v>0</v>
      </c>
      <c r="N24" s="615">
        <f>IF(C24="počet osob", CEILING(K24/'vstupní data'!$AJ$31/VD_počet_měsíců_úžívání*($O$7*12), 10), ROUNDUP(K24/VD_počet_měsíců_úžívání, -1))</f>
        <v>0</v>
      </c>
      <c r="O24" s="611">
        <f>CEILING(K24/'vstupní data'!$AJ$31/VD_počet_měsíců_úžívání*($O$7*12),10)</f>
        <v>0</v>
      </c>
      <c r="P24" s="615">
        <f t="shared" si="2"/>
        <v>0</v>
      </c>
      <c r="Q24" s="398">
        <v>0</v>
      </c>
    </row>
    <row r="25" spans="1:19" ht="18.75" customHeight="1" x14ac:dyDescent="0.3">
      <c r="A25" s="199">
        <f>Faktury!A23</f>
        <v>0</v>
      </c>
      <c r="B25" s="395"/>
      <c r="C25" s="191">
        <f>Faktury!C23</f>
        <v>0</v>
      </c>
      <c r="D25" s="20">
        <f>Faktury!D23</f>
        <v>0</v>
      </c>
      <c r="E25" s="20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'Vyúčtování byt - 1.část'!J25</f>
        <v>0</v>
      </c>
      <c r="J25" s="20">
        <f>Faktury!I23</f>
        <v>0</v>
      </c>
      <c r="K25" s="611">
        <f t="shared" si="0"/>
        <v>0</v>
      </c>
      <c r="L25" s="611">
        <f>'Vyúčtování byt - 1.část'!K25</f>
        <v>0</v>
      </c>
      <c r="M25" s="611">
        <f t="shared" si="1"/>
        <v>0</v>
      </c>
      <c r="N25" s="615">
        <f>IF(C25="počet osob", CEILING(K25/'vstupní data'!$AJ$31/VD_počet_měsíců_úžívání*($O$7*12), 10), ROUNDUP(K25/VD_počet_měsíců_úžívání, -1))</f>
        <v>0</v>
      </c>
      <c r="O25" s="611">
        <f>CEILING(K25/'vstupní data'!$AJ$31/VD_počet_měsíců_úžívání*($O$7*12),10)</f>
        <v>0</v>
      </c>
      <c r="P25" s="615">
        <f t="shared" si="2"/>
        <v>0</v>
      </c>
      <c r="Q25" s="398">
        <v>0</v>
      </c>
    </row>
    <row r="26" spans="1:19" ht="18.75" customHeight="1" x14ac:dyDescent="0.3">
      <c r="A26" s="199" t="str">
        <f>Faktury!A15</f>
        <v>Mzdové náklady</v>
      </c>
      <c r="B26" s="244"/>
      <c r="C26" s="191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2">
        <f>Faktury!H15</f>
        <v>0</v>
      </c>
      <c r="I26" s="22">
        <f>'Vyúčtování byt - 1.část'!J26</f>
        <v>0</v>
      </c>
      <c r="J26" s="22">
        <f>Faktury!I15</f>
        <v>0</v>
      </c>
      <c r="K26" s="611">
        <f t="shared" si="0"/>
        <v>0</v>
      </c>
      <c r="L26" s="611">
        <f>'Vyúčtování byt - 1.část'!K26</f>
        <v>0</v>
      </c>
      <c r="M26" s="611">
        <f t="shared" si="1"/>
        <v>0</v>
      </c>
      <c r="N26" s="615">
        <f>IF(C26="počet osob", CEILING(K26/'vstupní data'!$AJ$31/VD_počet_měsíců_úžívání*($O$7*12), 10), ROUNDUP(K26/VD_počet_měsíců_úžívání, -1))</f>
        <v>0</v>
      </c>
      <c r="O26" s="611">
        <f>CEILING(K26/'vstupní data'!$AJ$31/VD_počet_měsíců_úžívání*($O$7*12),10)</f>
        <v>0</v>
      </c>
      <c r="P26" s="615">
        <f t="shared" si="2"/>
        <v>0</v>
      </c>
      <c r="Q26" s="398">
        <v>0</v>
      </c>
    </row>
    <row r="27" spans="1:19" ht="18.75" customHeight="1" x14ac:dyDescent="0.3">
      <c r="A27" s="199" t="str">
        <f>Faktury!A13</f>
        <v>Ostatní nájemné</v>
      </c>
      <c r="B27" s="244"/>
      <c r="C27" s="191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2">
        <f>Faktury!H13</f>
        <v>0</v>
      </c>
      <c r="I27" s="22">
        <f>'Vyúčtování byt - 1.část'!J27</f>
        <v>0</v>
      </c>
      <c r="J27" s="22">
        <f>Faktury!I13</f>
        <v>0</v>
      </c>
      <c r="K27" s="611">
        <f t="shared" si="0"/>
        <v>0</v>
      </c>
      <c r="L27" s="611">
        <f>'Vyúčtování byt - 1.část'!K27</f>
        <v>0</v>
      </c>
      <c r="M27" s="611">
        <f t="shared" si="1"/>
        <v>0</v>
      </c>
      <c r="N27" s="615">
        <f>IF(C27="počet osob", CEILING(K27/'vstupní data'!$AJ$31/VD_počet_měsíců_úžívání*($O$7*12), 10), ROUNDUP(K27/VD_počet_měsíců_úžívání, -1))</f>
        <v>0</v>
      </c>
      <c r="O27" s="611">
        <f>CEILING(K27/'vstupní data'!$AJ$31/VD_počet_měsíců_úžívání*($O$7*12),10)</f>
        <v>0</v>
      </c>
      <c r="P27" s="615">
        <f t="shared" si="2"/>
        <v>0</v>
      </c>
      <c r="Q27" s="398">
        <v>0</v>
      </c>
    </row>
    <row r="28" spans="1:19" ht="18.75" customHeight="1" x14ac:dyDescent="0.3">
      <c r="A28" s="199" t="str">
        <f>Faktury!A14</f>
        <v>Ostatní služby</v>
      </c>
      <c r="B28" s="244"/>
      <c r="C28" s="191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2">
        <f>Faktury!H14</f>
        <v>0</v>
      </c>
      <c r="I28" s="22">
        <f>'Vyúčtování byt - 1.část'!J28</f>
        <v>0</v>
      </c>
      <c r="J28" s="22">
        <f>Faktury!I14</f>
        <v>0</v>
      </c>
      <c r="K28" s="611">
        <f t="shared" si="0"/>
        <v>0</v>
      </c>
      <c r="L28" s="611">
        <f>'Vyúčtování byt - 1.část'!K28</f>
        <v>0</v>
      </c>
      <c r="M28" s="611">
        <f t="shared" si="1"/>
        <v>0</v>
      </c>
      <c r="N28" s="615">
        <f>IF(C28="počet osob", CEILING(K28/'vstupní data'!$AJ$31/VD_počet_měsíců_úžívání*($O$7*12), 10), ROUNDUP(K28/VD_počet_měsíců_úžívání, -1))</f>
        <v>0</v>
      </c>
      <c r="O28" s="611">
        <f>CEILING(K28/'vstupní data'!$AJ$31/VD_počet_měsíců_úžívání*($O$7*12),10)</f>
        <v>0</v>
      </c>
      <c r="P28" s="615">
        <f t="shared" si="2"/>
        <v>0</v>
      </c>
      <c r="Q28" s="398">
        <v>0</v>
      </c>
    </row>
    <row r="29" spans="1:19" ht="15.95" customHeight="1" x14ac:dyDescent="0.3">
      <c r="A29" s="340" t="str">
        <f>Faktury!A11</f>
        <v>Správa domu</v>
      </c>
      <c r="B29" s="248"/>
      <c r="C29" s="618" t="str">
        <f>Faktury!C11</f>
        <v>na byt</v>
      </c>
      <c r="D29" s="83">
        <f>Faktury!D11</f>
        <v>100</v>
      </c>
      <c r="E29" s="86">
        <f>Faktury!E11</f>
        <v>42566</v>
      </c>
      <c r="F29" s="86">
        <f>Faktury!F11</f>
        <v>19</v>
      </c>
      <c r="G29" s="86">
        <f>Faktury!G11</f>
        <v>2240.3200000000002</v>
      </c>
      <c r="H29" s="86">
        <f>Faktury!H11</f>
        <v>1</v>
      </c>
      <c r="I29" s="22">
        <f>'Vyúčtování byt - 1.část'!J29</f>
        <v>1440</v>
      </c>
      <c r="J29" s="86">
        <f>Faktury!I11</f>
        <v>2240.3200000000002</v>
      </c>
      <c r="K29" s="611">
        <f t="shared" si="0"/>
        <v>2240.3200000000002</v>
      </c>
      <c r="L29" s="611">
        <f>'Vyúčtování byt - 1.část'!K29</f>
        <v>-800.32</v>
      </c>
      <c r="M29" s="611">
        <f t="shared" si="1"/>
        <v>120</v>
      </c>
      <c r="N29" s="615">
        <f>IF(C29="počet osob", CEILING(K29/'vstupní data'!$AJ$31/VD_počet_měsíců_úžívání*($O$7*12), 10), ROUNDUP(K29/VD_počet_měsíců_úžívání, -1))</f>
        <v>190</v>
      </c>
      <c r="O29" s="611">
        <f>CEILING(K29/'vstupní data'!$AJ$31/VD_počet_měsíců_úžívání*($O$7*12),10)</f>
        <v>190</v>
      </c>
      <c r="P29" s="615">
        <f t="shared" si="2"/>
        <v>190</v>
      </c>
      <c r="Q29" s="398">
        <v>0</v>
      </c>
    </row>
    <row r="30" spans="1:19" ht="15.95" customHeight="1" x14ac:dyDescent="0.25">
      <c r="A30" s="739" t="s">
        <v>83</v>
      </c>
      <c r="B30" s="739"/>
      <c r="C30" s="739"/>
      <c r="D30" s="401"/>
      <c r="E30" s="402">
        <f>SUM(E10:E29)</f>
        <v>261494.22</v>
      </c>
      <c r="F30" s="401"/>
      <c r="G30" s="712" t="s">
        <v>84</v>
      </c>
      <c r="H30" s="712"/>
      <c r="I30" s="403">
        <f>SUM(I10:I29)</f>
        <v>13800</v>
      </c>
      <c r="J30" s="403">
        <f>SUM(J10:J29)</f>
        <v>16252.71</v>
      </c>
      <c r="K30" s="612">
        <f>SUM(K10:K29)</f>
        <v>16252.71</v>
      </c>
      <c r="L30" s="612"/>
      <c r="M30" s="612">
        <f>SUM(M10:M29)</f>
        <v>1150</v>
      </c>
      <c r="N30" s="412">
        <f>SUM(N10:N29)</f>
        <v>1380</v>
      </c>
      <c r="O30" s="612"/>
      <c r="P30" s="612">
        <f>SUM(P10:P29)</f>
        <v>1364</v>
      </c>
      <c r="Q30" s="80"/>
    </row>
    <row r="31" spans="1:19" ht="15" customHeight="1" x14ac:dyDescent="0.25">
      <c r="A31" s="27"/>
      <c r="B31" s="27"/>
      <c r="C31" s="27"/>
      <c r="D31" s="27"/>
      <c r="E31" s="27"/>
      <c r="G31" s="740" t="s">
        <v>85</v>
      </c>
      <c r="H31" s="740"/>
      <c r="I31" s="740"/>
      <c r="J31" s="740"/>
      <c r="K31" s="740"/>
      <c r="L31" s="457"/>
      <c r="M31" s="319">
        <f ca="1">M30+A36/VD_počet_měsíců_úžívání</f>
        <v>3813</v>
      </c>
      <c r="N31" s="442">
        <f ca="1">N30+A36/VD_počet_měsíců_úžívání</f>
        <v>4043</v>
      </c>
      <c r="O31" s="626" t="s">
        <v>86</v>
      </c>
      <c r="P31" s="627">
        <f>ROUND(P30-M30,0)</f>
        <v>214</v>
      </c>
      <c r="Q31" s="738" t="s">
        <v>87</v>
      </c>
      <c r="R31" s="738"/>
      <c r="S31" s="738"/>
    </row>
    <row r="32" spans="1:19" ht="18.75" customHeight="1" x14ac:dyDescent="0.3">
      <c r="A32" s="27"/>
      <c r="B32" s="27"/>
      <c r="C32" s="27"/>
      <c r="D32" s="27"/>
      <c r="E32" s="27"/>
      <c r="G32" s="711"/>
      <c r="H32" s="711"/>
      <c r="I32" s="711"/>
      <c r="J32" s="711"/>
      <c r="K32" s="711"/>
      <c r="L32" s="70"/>
      <c r="M32" s="70"/>
      <c r="N32" s="70"/>
      <c r="O32" s="626" t="s">
        <v>88</v>
      </c>
      <c r="P32" s="628">
        <f>P31-P7</f>
        <v>209</v>
      </c>
      <c r="Q32" s="738"/>
      <c r="R32" s="738"/>
      <c r="S32" s="738"/>
    </row>
    <row r="33" spans="1:19" ht="21" customHeight="1" x14ac:dyDescent="0.35">
      <c r="A33" s="293" t="s">
        <v>89</v>
      </c>
      <c r="C33" s="69"/>
      <c r="D33" s="5"/>
      <c r="E33" s="5"/>
      <c r="F33" s="5"/>
      <c r="G33" s="741"/>
      <c r="H33" s="741"/>
      <c r="I33" s="741"/>
      <c r="J33" s="741"/>
      <c r="K33" s="741"/>
      <c r="L33" s="424"/>
      <c r="M33" s="424"/>
      <c r="N33" s="424"/>
      <c r="O33" s="424"/>
      <c r="P33" s="367"/>
      <c r="Q33" s="738"/>
      <c r="R33" s="738"/>
      <c r="S33" s="738"/>
    </row>
    <row r="34" spans="1:19" ht="17.25" customHeight="1" x14ac:dyDescent="0.25">
      <c r="A34" s="63" t="str">
        <f>'Vyúčtování byt - 1.část'!A35</f>
        <v>Fond oprav</v>
      </c>
      <c r="C34" s="25"/>
      <c r="D34" s="5"/>
      <c r="G34" s="2"/>
      <c r="J34" s="2"/>
      <c r="Q34" s="80"/>
    </row>
    <row r="35" spans="1:19" x14ac:dyDescent="0.25">
      <c r="A35" s="293" t="s">
        <v>90</v>
      </c>
      <c r="B35" s="27"/>
      <c r="C35" s="25"/>
      <c r="D35" s="5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80"/>
    </row>
    <row r="36" spans="1:19" x14ac:dyDescent="0.25">
      <c r="A36" s="318">
        <f ca="1">'Vyúčtování byt - 1.část'!B35</f>
        <v>31956</v>
      </c>
      <c r="K36" s="737" t="s">
        <v>91</v>
      </c>
      <c r="L36" s="737"/>
      <c r="M36" s="737"/>
      <c r="N36" s="737"/>
      <c r="O36" s="737"/>
    </row>
    <row r="37" spans="1:19" x14ac:dyDescent="0.25">
      <c r="A37" s="293" t="s">
        <v>92</v>
      </c>
      <c r="K37" s="2" t="s">
        <v>93</v>
      </c>
      <c r="M37" s="606">
        <f ca="1">M31</f>
        <v>3813</v>
      </c>
      <c r="N37" s="607" t="s">
        <v>94</v>
      </c>
      <c r="O37" s="607"/>
    </row>
    <row r="38" spans="1:19" ht="18.75" customHeight="1" x14ac:dyDescent="0.3">
      <c r="A38" s="625">
        <f>ROUND('Vyúčtování byt - 1.část'!K31,0)</f>
        <v>-2453</v>
      </c>
      <c r="K38" s="2" t="s">
        <v>95</v>
      </c>
      <c r="M38" s="616">
        <f ca="1">N31</f>
        <v>4043</v>
      </c>
    </row>
    <row r="39" spans="1:19" x14ac:dyDescent="0.25">
      <c r="K39" s="2" t="s">
        <v>86</v>
      </c>
      <c r="M39" s="608">
        <f ca="1">M38-M37</f>
        <v>230</v>
      </c>
      <c r="N39" s="610">
        <f ca="1">M39*VD_počet_měsíců_úžívání+'Vyúčtování byt - 1.část'!VB_preplatky_celkem</f>
        <v>307</v>
      </c>
      <c r="O39" s="2" t="s">
        <v>96</v>
      </c>
    </row>
    <row r="40" spans="1:19" x14ac:dyDescent="0.25">
      <c r="K40" s="609" t="s">
        <v>97</v>
      </c>
      <c r="L40" s="609"/>
      <c r="M40" s="606">
        <f>J30</f>
        <v>16252.71</v>
      </c>
    </row>
    <row r="41" spans="1:19" x14ac:dyDescent="0.25">
      <c r="K41" s="609" t="s">
        <v>98</v>
      </c>
      <c r="L41" s="609"/>
      <c r="M41" s="606">
        <f>N30*VD_počet_měsíců_úžívání</f>
        <v>16560</v>
      </c>
    </row>
    <row r="42" spans="1:19" x14ac:dyDescent="0.25">
      <c r="K42" s="609" t="s">
        <v>99</v>
      </c>
      <c r="L42" s="609"/>
      <c r="M42" s="608">
        <f>M41-M40</f>
        <v>307.29000000000087</v>
      </c>
      <c r="N42" s="2" t="s">
        <v>100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K1"/>
    <mergeCell ref="F3:G3"/>
    <mergeCell ref="E4:G4"/>
    <mergeCell ref="V4:AD11"/>
    <mergeCell ref="A8:D8"/>
    <mergeCell ref="E8:G8"/>
    <mergeCell ref="H8:P8"/>
    <mergeCell ref="K36:O36"/>
    <mergeCell ref="Q31:S33"/>
    <mergeCell ref="A30:C30"/>
    <mergeCell ref="G30:H30"/>
    <mergeCell ref="G31:K31"/>
    <mergeCell ref="G32:K32"/>
    <mergeCell ref="G33:K33"/>
  </mergeCells>
  <hyperlinks>
    <hyperlink ref="S2" location="Seznam!A1" display="MENU" xr:uid="{00000000-0004-0000-03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9" orientation="landscape"/>
  <headerFooter>
    <oddFooter>&amp;L&amp;8datum:      &amp;D
vystavil: AdminReal s.r.o.&amp;C&amp;8info@adminreal.cz
mobil: 607 959 876&amp;R&amp;8www.adminreal.cz
www.onlinesprava.cz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E10"/>
  <sheetViews>
    <sheetView zoomScale="205" zoomScaleNormal="205" workbookViewId="0">
      <selection activeCell="A8" sqref="A8"/>
    </sheetView>
  </sheetViews>
  <sheetFormatPr defaultRowHeight="15" x14ac:dyDescent="0.25"/>
  <cols>
    <col min="1" max="1" width="23.28515625" customWidth="1"/>
    <col min="2" max="2" width="17.5703125" customWidth="1"/>
    <col min="3" max="3" width="21.7109375" customWidth="1"/>
    <col min="4" max="4" width="15.85546875" customWidth="1"/>
    <col min="5" max="5" width="18.85546875" customWidth="1"/>
    <col min="7" max="7" width="23.42578125" customWidth="1"/>
  </cols>
  <sheetData>
    <row r="1" spans="1:5" ht="21" customHeight="1" x14ac:dyDescent="0.35">
      <c r="A1" s="746" t="s">
        <v>54</v>
      </c>
      <c r="B1" s="746"/>
      <c r="C1" s="746"/>
      <c r="D1" s="746"/>
      <c r="E1" s="746"/>
    </row>
    <row r="2" spans="1:5" x14ac:dyDescent="0.25">
      <c r="A2" s="263" t="s">
        <v>101</v>
      </c>
      <c r="B2" s="263" t="s">
        <v>102</v>
      </c>
      <c r="C2" s="263" t="s">
        <v>103</v>
      </c>
      <c r="D2" s="263" t="s">
        <v>104</v>
      </c>
      <c r="E2" s="263" t="s">
        <v>91</v>
      </c>
    </row>
    <row r="3" spans="1:5" x14ac:dyDescent="0.25">
      <c r="A3" s="604" t="s">
        <v>105</v>
      </c>
      <c r="B3" s="604" t="s">
        <v>106</v>
      </c>
      <c r="C3" s="262" t="s">
        <v>107</v>
      </c>
      <c r="D3" s="262" t="s">
        <v>108</v>
      </c>
      <c r="E3" s="262" t="s">
        <v>109</v>
      </c>
    </row>
    <row r="4" spans="1:5" x14ac:dyDescent="0.25">
      <c r="A4" s="604" t="s">
        <v>110</v>
      </c>
      <c r="B4" s="604" t="s">
        <v>111</v>
      </c>
      <c r="C4" s="262" t="s">
        <v>112</v>
      </c>
      <c r="D4" s="262" t="s">
        <v>113</v>
      </c>
    </row>
    <row r="5" spans="1:5" x14ac:dyDescent="0.25">
      <c r="A5" s="262" t="s">
        <v>114</v>
      </c>
      <c r="B5" s="604" t="s">
        <v>115</v>
      </c>
      <c r="C5" s="262" t="s">
        <v>116</v>
      </c>
      <c r="D5" s="262" t="s">
        <v>117</v>
      </c>
    </row>
    <row r="6" spans="1:5" x14ac:dyDescent="0.25">
      <c r="A6" s="262" t="s">
        <v>118</v>
      </c>
      <c r="B6" s="604" t="s">
        <v>119</v>
      </c>
      <c r="C6" s="604" t="s">
        <v>120</v>
      </c>
    </row>
    <row r="7" spans="1:5" x14ac:dyDescent="0.25">
      <c r="A7" s="262" t="s">
        <v>121</v>
      </c>
      <c r="B7" s="262" t="s">
        <v>122</v>
      </c>
    </row>
    <row r="8" spans="1:5" x14ac:dyDescent="0.25">
      <c r="A8" s="604" t="s">
        <v>123</v>
      </c>
      <c r="B8" s="604" t="s">
        <v>124</v>
      </c>
    </row>
    <row r="9" spans="1:5" x14ac:dyDescent="0.25">
      <c r="A9" s="262" t="s">
        <v>125</v>
      </c>
      <c r="B9" s="262" t="s">
        <v>126</v>
      </c>
    </row>
    <row r="10" spans="1:5" x14ac:dyDescent="0.25">
      <c r="A10" s="604" t="s">
        <v>127</v>
      </c>
      <c r="B10" s="262" t="s">
        <v>128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hyperlinks>
    <hyperlink ref="B6" location="Elektroměry!A1" display="Elektroměry" xr:uid="{00000000-0004-0000-0400-000000000000}"/>
    <hyperlink ref="A10" location="Parametry!A1" display="Parametry" xr:uid="{00000000-0004-0000-0400-000001000000}"/>
    <hyperlink ref="A9" location="'Rozpočet domu'!A1" display="Rozpočet domu" xr:uid="{00000000-0004-0000-0400-000002000000}"/>
    <hyperlink ref="A4" location="'Vyúčtování byt - 1.část'!A1" display="Vyúčtování" xr:uid="{00000000-0004-0000-0400-000003000000}"/>
    <hyperlink ref="A8" location="Faktury!A2" display="Faktury" xr:uid="{00000000-0004-0000-0400-000004000000}"/>
    <hyperlink ref="D5" location="'Odečty formular'!A1" display="Odečty formulář" xr:uid="{00000000-0004-0000-0400-000005000000}"/>
    <hyperlink ref="A6" location="'prijem SVJ bez vydaju'!A1" display="Příjem SVJ bez výdajů" xr:uid="{00000000-0004-0000-0400-000006000000}"/>
    <hyperlink ref="A5" location="'prijem SVJ'!A1" display="Příjem SVJ včetně výdajů" xr:uid="{00000000-0004-0000-0400-000007000000}"/>
    <hyperlink ref="C5" location="'Přeplatky nedoplatky'!A1" display="Přeplatky a nedoplatky" xr:uid="{00000000-0004-0000-0400-000008000000}"/>
    <hyperlink ref="B7" location="Výtahy!A1" display="Výtahy" xr:uid="{00000000-0004-0000-0400-000009000000}"/>
    <hyperlink ref="B8" location="'Počet osob'!A1" display="Počet osob" xr:uid="{00000000-0004-0000-0400-00000A000000}"/>
    <hyperlink ref="C4" location="Uhrady!A1" display="Úhrady" xr:uid="{00000000-0004-0000-0400-00000B000000}"/>
    <hyperlink ref="B5" location="Teplo!A1" display="Teplo" xr:uid="{00000000-0004-0000-0400-00000C000000}"/>
    <hyperlink ref="A7" location="'Náklady na dům'!A1" display="Náklady za dům" xr:uid="{00000000-0004-0000-0400-00000D000000}"/>
    <hyperlink ref="B10" location="'faktury za služby'!A1" display="Faktury za služby" xr:uid="{00000000-0004-0000-0400-00000E000000}"/>
    <hyperlink ref="B9" location="'Předpis po mesici'!A1" display="Předpisy po měsící" xr:uid="{00000000-0004-0000-0400-00000F000000}"/>
    <hyperlink ref="C3" location="EVIDENCE" display="Evidence" xr:uid="{00000000-0004-0000-0400-000010000000}"/>
    <hyperlink ref="B4" location="'Vodoměry SV'!A1" display="Vodoměry SV" xr:uid="{00000000-0004-0000-0400-000011000000}"/>
    <hyperlink ref="B3" location="'Vodoměry TUV'!A1" display="Vodoměry TUV" xr:uid="{00000000-0004-0000-0400-000012000000}"/>
    <hyperlink ref="D3" location="EXPORT_PRO_SEND_MAIL" display="Export send mail" xr:uid="{00000000-0004-0000-0400-000013000000}"/>
    <hyperlink ref="A3" location="'vstupní data'!A1" display="Vstupní data" xr:uid="{00000000-0004-0000-0400-000014000000}"/>
    <hyperlink ref="D4" location="BYTOVE_DOMY" display="Bytové domy" xr:uid="{00000000-0004-0000-0400-000015000000}"/>
    <hyperlink ref="C6" location="'Zálohy byt - měsíčně'!VYUCTOVANI" display="Předpisy - výpočet" xr:uid="{00000000-0004-0000-0400-000016000000}"/>
    <hyperlink ref="E3" location="Výpočet!A1" display="Výpočet vyúčtování " xr:uid="{00000000-0004-0000-0400-000017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AMK63"/>
  <sheetViews>
    <sheetView zoomScale="85" zoomScaleNormal="85" workbookViewId="0">
      <selection activeCell="G17" sqref="G17"/>
    </sheetView>
  </sheetViews>
  <sheetFormatPr defaultRowHeight="15" x14ac:dyDescent="0.25"/>
  <cols>
    <col min="1" max="1" width="17.7109375" style="2" customWidth="1"/>
    <col min="2" max="2" width="20.28515625" style="2" customWidth="1"/>
    <col min="3" max="3" width="19.85546875" style="2" customWidth="1"/>
    <col min="4" max="4" width="12.85546875" style="2" customWidth="1"/>
    <col min="5" max="5" width="12.42578125" style="2" customWidth="1"/>
    <col min="6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5" width="9.140625" style="2" customWidth="1"/>
    <col min="16" max="16" width="15.7109375" style="2" customWidth="1"/>
    <col min="17" max="17" width="20.7109375" style="2" customWidth="1"/>
    <col min="18" max="22" width="9.140625" style="2" customWidth="1"/>
    <col min="23" max="23" width="100.7109375" style="2" customWidth="1"/>
    <col min="24" max="24" width="9.140625" style="2" customWidth="1"/>
    <col min="25" max="25" width="35.7109375" style="2" customWidth="1"/>
    <col min="26" max="1025" width="9.140625" style="2" customWidth="1"/>
    <col min="1026" max="1026" width="9.140625" customWidth="1"/>
  </cols>
  <sheetData>
    <row r="1" spans="1:25" ht="15" customHeight="1" x14ac:dyDescent="0.25">
      <c r="B1" s="502"/>
      <c r="C1" s="756" t="str">
        <f>IF('vstupní data'!B34="AdminReal, s.r.o.","AdminReal s.r.o., Veveří 2581/102 , 616 00 Brno, IČO 02827476, Zapsáno KS v Brně, oddíl C, vložka 82606","BrnoReal s.r.o., Veveří 2581/102 , 616 00 Brno, IČO 14423537, Zapsáno KS v Brně, oddíl C, vložka 128255")</f>
        <v>AdminReal s.r.o., Veveří 2581/102 , 616 00 Brno, IČO 02827476, Zapsáno KS v Brně, oddíl C, vložka 82606</v>
      </c>
      <c r="D1" s="756"/>
      <c r="E1" s="756"/>
      <c r="F1" s="756"/>
      <c r="G1" s="756"/>
      <c r="H1" s="756"/>
      <c r="I1" s="756"/>
      <c r="J1" s="756" t="e" vm="1">
        <f>IF('vstupní data'!$B$34="BrnoReal, s.r.o.",'vstupní data'!$B$60,'vstupní data'!$B$59)</f>
        <v>#VALUE!</v>
      </c>
      <c r="K1" s="756"/>
    </row>
    <row r="2" spans="1:25" ht="18.75" customHeight="1" x14ac:dyDescent="0.35">
      <c r="A2" s="3" t="str">
        <f>'vstupní data'!B5</f>
        <v>Martin Klíma</v>
      </c>
      <c r="C2" s="4"/>
      <c r="E2" s="27"/>
      <c r="F2" s="27"/>
      <c r="G2" s="27"/>
      <c r="H2" s="27"/>
      <c r="I2" s="27"/>
      <c r="J2" s="756"/>
      <c r="K2" s="756"/>
      <c r="N2" s="593" t="s">
        <v>54</v>
      </c>
      <c r="P2" s="188"/>
      <c r="Q2" s="189"/>
    </row>
    <row r="3" spans="1:25" x14ac:dyDescent="0.25">
      <c r="A3" s="6" t="s">
        <v>55</v>
      </c>
      <c r="B3" s="27"/>
      <c r="C3" s="7" t="str">
        <f>dum_adresa</f>
        <v>Zborovská 939/2, Žabovřesky, 616 00 Brno</v>
      </c>
      <c r="F3" s="689" t="s">
        <v>56</v>
      </c>
      <c r="G3" s="689"/>
      <c r="H3" s="7" t="str">
        <f>'vstupní data'!B7</f>
        <v>8308679001/5500</v>
      </c>
      <c r="J3" s="87" t="s">
        <v>57</v>
      </c>
      <c r="K3" s="7" t="str">
        <f>'vstupní data'!B4</f>
        <v>Byt č. 939/01</v>
      </c>
      <c r="L3" s="27"/>
      <c r="P3" s="188"/>
      <c r="Q3" s="190"/>
    </row>
    <row r="4" spans="1:25" ht="15" customHeight="1" x14ac:dyDescent="0.25">
      <c r="A4" s="6" t="s">
        <v>58</v>
      </c>
      <c r="B4" s="27"/>
      <c r="C4" s="6" t="str">
        <f>'vstupní data'!B35</f>
        <v>2100704207/2010</v>
      </c>
      <c r="D4" s="9"/>
      <c r="E4" s="689" t="s">
        <v>59</v>
      </c>
      <c r="F4" s="689"/>
      <c r="G4" s="689"/>
      <c r="H4" s="6">
        <f>'vstupní data'!B6</f>
        <v>1093900019</v>
      </c>
      <c r="J4" s="87" t="s">
        <v>60</v>
      </c>
      <c r="K4" s="209" t="str">
        <f>VLOOKUP(BYT,Evidence!$A:$Z,18,0)</f>
        <v>1.1.2024 - 31.12.2024</v>
      </c>
      <c r="L4" s="27"/>
      <c r="P4" s="188"/>
      <c r="Q4" s="743"/>
      <c r="R4" s="743"/>
      <c r="S4" s="743"/>
      <c r="T4" s="743"/>
      <c r="U4" s="743"/>
      <c r="V4" s="743"/>
      <c r="W4" s="743"/>
      <c r="X4" s="743"/>
      <c r="Y4" s="743"/>
    </row>
    <row r="5" spans="1:25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P5" s="189"/>
      <c r="Q5" s="743"/>
      <c r="R5" s="743"/>
      <c r="S5" s="743"/>
      <c r="T5" s="743"/>
      <c r="U5" s="743"/>
      <c r="V5" s="743"/>
      <c r="W5" s="743"/>
      <c r="X5" s="743"/>
      <c r="Y5" s="743"/>
    </row>
    <row r="6" spans="1:25" ht="19.5" customHeight="1" x14ac:dyDescent="0.3">
      <c r="A6" s="690" t="str">
        <f>("Vyúčtování služeb:  "&amp;'vstupní data'!B12&amp;"")</f>
        <v>Vyúčtování služeb:  2024</v>
      </c>
      <c r="B6" s="690"/>
      <c r="C6" s="690"/>
      <c r="D6" s="690"/>
      <c r="E6" s="690"/>
      <c r="F6" s="690"/>
      <c r="G6" s="690"/>
      <c r="H6" s="690"/>
      <c r="I6" s="690"/>
      <c r="J6" s="690"/>
      <c r="K6" s="690"/>
      <c r="L6" s="27"/>
      <c r="Q6" s="743"/>
      <c r="R6" s="743"/>
      <c r="S6" s="743"/>
      <c r="T6" s="743"/>
      <c r="U6" s="743"/>
      <c r="V6" s="743"/>
      <c r="W6" s="743"/>
      <c r="X6" s="743"/>
      <c r="Y6" s="743"/>
    </row>
    <row r="7" spans="1:25" ht="12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27"/>
      <c r="Q7" s="743"/>
      <c r="R7" s="743"/>
      <c r="S7" s="743"/>
      <c r="T7" s="743"/>
      <c r="U7" s="743"/>
      <c r="V7" s="743"/>
      <c r="W7" s="743"/>
      <c r="X7" s="743"/>
      <c r="Y7" s="743"/>
    </row>
    <row r="8" spans="1:25" x14ac:dyDescent="0.25">
      <c r="A8" s="744"/>
      <c r="B8" s="744"/>
      <c r="C8" s="744"/>
      <c r="D8" s="744"/>
      <c r="E8" s="745" t="s">
        <v>64</v>
      </c>
      <c r="F8" s="745"/>
      <c r="G8" s="745"/>
      <c r="H8" s="745" t="s">
        <v>65</v>
      </c>
      <c r="I8" s="745"/>
      <c r="J8" s="745"/>
      <c r="K8" s="745"/>
      <c r="L8" s="27"/>
      <c r="Q8" s="743"/>
      <c r="R8" s="743"/>
      <c r="S8" s="743"/>
      <c r="T8" s="743"/>
      <c r="U8" s="743"/>
      <c r="V8" s="743"/>
      <c r="W8" s="743"/>
      <c r="X8" s="743"/>
      <c r="Y8" s="743"/>
    </row>
    <row r="9" spans="1:25" ht="15.95" customHeight="1" x14ac:dyDescent="0.25">
      <c r="A9" s="246" t="s">
        <v>66</v>
      </c>
      <c r="B9" s="250" t="s">
        <v>67</v>
      </c>
      <c r="C9" s="304" t="s">
        <v>68</v>
      </c>
      <c r="D9" s="304" t="s">
        <v>69</v>
      </c>
      <c r="E9" s="13" t="s">
        <v>70</v>
      </c>
      <c r="F9" s="304" t="s">
        <v>71</v>
      </c>
      <c r="G9" s="305" t="s">
        <v>72</v>
      </c>
      <c r="H9" s="13" t="s">
        <v>129</v>
      </c>
      <c r="I9" s="305" t="s">
        <v>130</v>
      </c>
      <c r="J9" s="304" t="s">
        <v>131</v>
      </c>
      <c r="K9" s="249" t="s">
        <v>132</v>
      </c>
      <c r="L9" s="27"/>
      <c r="O9" s="457"/>
      <c r="P9" s="313"/>
      <c r="Q9" s="743"/>
      <c r="R9" s="743"/>
      <c r="S9" s="743"/>
      <c r="T9" s="743"/>
      <c r="U9" s="743"/>
      <c r="V9" s="743"/>
      <c r="W9" s="743"/>
      <c r="X9" s="743"/>
      <c r="Y9" s="743"/>
    </row>
    <row r="10" spans="1:25" ht="15.95" customHeight="1" x14ac:dyDescent="0.25">
      <c r="A10" s="405" t="str">
        <f>Faktury!A4</f>
        <v>Elektrická energie (společné prostory)</v>
      </c>
      <c r="B10" s="243"/>
      <c r="C10" s="16" t="str">
        <f>Faktury!C4</f>
        <v>počet osob</v>
      </c>
      <c r="D10" s="16">
        <f>Faktury!D4</f>
        <v>100</v>
      </c>
      <c r="E10" s="18">
        <f>Faktury!E4</f>
        <v>8663.77</v>
      </c>
      <c r="F10" s="18">
        <f>Faktury!F4</f>
        <v>439</v>
      </c>
      <c r="G10" s="18">
        <f>Faktury!G4</f>
        <v>19.739999999999998</v>
      </c>
      <c r="H10" s="16">
        <f>Faktury!H4</f>
        <v>48</v>
      </c>
      <c r="I10" s="18">
        <f>Faktury!I4</f>
        <v>947.52</v>
      </c>
      <c r="J10" s="18">
        <f>Faktury!J4</f>
        <v>540</v>
      </c>
      <c r="K10" s="18">
        <f>Faktury!K4</f>
        <v>-407.52</v>
      </c>
      <c r="L10" s="27"/>
      <c r="Q10" s="743"/>
      <c r="R10" s="743"/>
      <c r="S10" s="743"/>
      <c r="T10" s="743"/>
      <c r="U10" s="743"/>
      <c r="V10" s="743"/>
      <c r="W10" s="743"/>
      <c r="X10" s="743"/>
      <c r="Y10" s="743"/>
    </row>
    <row r="11" spans="1:25" x14ac:dyDescent="0.25">
      <c r="A11" s="199" t="str">
        <f>Faktury!A5</f>
        <v>Úklid bytového domu</v>
      </c>
      <c r="B11" s="244"/>
      <c r="C11" s="20" t="str">
        <f>Faktury!C5</f>
        <v>počet osob</v>
      </c>
      <c r="D11" s="20">
        <f>Faktury!D5</f>
        <v>100</v>
      </c>
      <c r="E11" s="22">
        <f>Faktury!E5</f>
        <v>25800</v>
      </c>
      <c r="F11" s="22">
        <f>Faktury!F5</f>
        <v>439</v>
      </c>
      <c r="G11" s="22">
        <f>Faktury!G5</f>
        <v>58.77</v>
      </c>
      <c r="H11" s="20">
        <f>Faktury!H5</f>
        <v>48</v>
      </c>
      <c r="I11" s="22">
        <f>Faktury!I5</f>
        <v>2820.96</v>
      </c>
      <c r="J11" s="22">
        <f>Faktury!J5</f>
        <v>3000</v>
      </c>
      <c r="K11" s="22">
        <f>Faktury!K5</f>
        <v>179.04</v>
      </c>
      <c r="L11" s="27"/>
      <c r="Q11" s="743"/>
      <c r="R11" s="743"/>
      <c r="S11" s="743"/>
      <c r="T11" s="743"/>
      <c r="U11" s="743"/>
      <c r="V11" s="743"/>
      <c r="W11" s="743"/>
      <c r="X11" s="743"/>
      <c r="Y11" s="743"/>
    </row>
    <row r="12" spans="1:25" x14ac:dyDescent="0.25">
      <c r="A12" s="199" t="str">
        <f>Faktury!A6</f>
        <v>Komíny</v>
      </c>
      <c r="B12" s="247"/>
      <c r="C12" s="20" t="str">
        <f>Faktury!C6</f>
        <v>komín</v>
      </c>
      <c r="D12" s="20">
        <f>Faktury!D6</f>
        <v>100</v>
      </c>
      <c r="E12" s="22">
        <f>Faktury!E6</f>
        <v>7502</v>
      </c>
      <c r="F12" s="22">
        <f>Faktury!F6</f>
        <v>12</v>
      </c>
      <c r="G12" s="22">
        <f>Faktury!G6</f>
        <v>625.16999999999996</v>
      </c>
      <c r="H12" s="20">
        <f>Faktury!H6</f>
        <v>1</v>
      </c>
      <c r="I12" s="22">
        <f>Faktury!I6</f>
        <v>625.16999999999996</v>
      </c>
      <c r="J12" s="22">
        <f>Faktury!J6</f>
        <v>540</v>
      </c>
      <c r="K12" s="22">
        <f>Faktury!K6</f>
        <v>-85.17</v>
      </c>
      <c r="L12" s="27"/>
      <c r="Q12" s="192"/>
      <c r="R12" s="192"/>
      <c r="S12" s="192"/>
      <c r="T12" s="192"/>
      <c r="U12" s="192"/>
      <c r="V12" s="192"/>
      <c r="W12" s="192"/>
      <c r="X12" s="192"/>
      <c r="Y12" s="192"/>
    </row>
    <row r="13" spans="1:25" x14ac:dyDescent="0.25">
      <c r="A13" s="199" t="str">
        <f>Faktury!A7</f>
        <v>Pravidelná údržba výtah</v>
      </c>
      <c r="B13" s="244"/>
      <c r="C13" s="20" t="str">
        <f>Faktury!C7</f>
        <v>počet osob</v>
      </c>
      <c r="D13" s="20">
        <f>Faktury!D7</f>
        <v>100</v>
      </c>
      <c r="E13" s="22">
        <f>Faktury!E7</f>
        <v>43616.12</v>
      </c>
      <c r="F13" s="22">
        <f>Faktury!F7</f>
        <v>307</v>
      </c>
      <c r="G13" s="22">
        <f>Faktury!G7</f>
        <v>142.07</v>
      </c>
      <c r="H13" s="20">
        <f>Faktury!H7</f>
        <v>0</v>
      </c>
      <c r="I13" s="22">
        <f>Faktury!I7</f>
        <v>0</v>
      </c>
      <c r="J13" s="22">
        <f>Faktury!J7</f>
        <v>0</v>
      </c>
      <c r="K13" s="22">
        <f>Faktury!K7</f>
        <v>0</v>
      </c>
      <c r="L13" s="27"/>
      <c r="Q13" s="192"/>
      <c r="R13" s="192"/>
      <c r="S13" s="192"/>
      <c r="T13" s="192"/>
      <c r="U13" s="192"/>
      <c r="V13" s="192"/>
      <c r="W13" s="192"/>
      <c r="X13" s="192"/>
      <c r="Y13" s="192"/>
    </row>
    <row r="14" spans="1:25" ht="15" customHeight="1" x14ac:dyDescent="0.25">
      <c r="A14" s="199" t="str">
        <f>Faktury!A17</f>
        <v>Fond oprav nebytových prostor</v>
      </c>
      <c r="B14" s="244"/>
      <c r="C14" s="20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0">
        <f>Faktury!H17</f>
        <v>0</v>
      </c>
      <c r="I14" s="22">
        <f>Faktury!I17</f>
        <v>0</v>
      </c>
      <c r="J14" s="22">
        <f>Faktury!J17</f>
        <v>0</v>
      </c>
      <c r="K14" s="22">
        <f>Faktury!K17</f>
        <v>0</v>
      </c>
      <c r="L14" s="27"/>
      <c r="V14" s="192"/>
      <c r="W14" s="192"/>
      <c r="X14" s="192"/>
      <c r="Y14" s="192"/>
    </row>
    <row r="15" spans="1:25" x14ac:dyDescent="0.25">
      <c r="A15" s="199" t="str">
        <f>Faktury!A12</f>
        <v>Pojištění domu</v>
      </c>
      <c r="B15" s="244"/>
      <c r="C15" s="20">
        <f>Faktury!C12</f>
        <v>0</v>
      </c>
      <c r="D15" s="20">
        <f>Faktury!D12</f>
        <v>0</v>
      </c>
      <c r="E15" s="22">
        <f>Faktury!E12</f>
        <v>0</v>
      </c>
      <c r="F15" s="22">
        <f>Faktury!F12</f>
        <v>0</v>
      </c>
      <c r="G15" s="22">
        <f>Faktury!G12</f>
        <v>0</v>
      </c>
      <c r="H15" s="20">
        <f>Faktury!H12</f>
        <v>0</v>
      </c>
      <c r="I15" s="22">
        <f>Faktury!I12</f>
        <v>0</v>
      </c>
      <c r="J15" s="22">
        <f>Faktury!J12</f>
        <v>0</v>
      </c>
      <c r="K15" s="22">
        <f>Faktury!K12</f>
        <v>0</v>
      </c>
      <c r="L15" s="27"/>
      <c r="V15" s="192"/>
      <c r="W15" s="192"/>
      <c r="X15" s="192"/>
      <c r="Y15" s="192"/>
    </row>
    <row r="16" spans="1:25" x14ac:dyDescent="0.25">
      <c r="A16" s="199" t="str">
        <f>Faktury!A9</f>
        <v>Ohřev teplé vody (TUV)</v>
      </c>
      <c r="B16" s="244"/>
      <c r="C16" s="20">
        <f>Faktury!C9</f>
        <v>0</v>
      </c>
      <c r="D16" s="20">
        <f>Faktury!D9</f>
        <v>0</v>
      </c>
      <c r="E16" s="22">
        <f>Faktury!E9</f>
        <v>0</v>
      </c>
      <c r="F16" s="22">
        <f>Faktury!F9</f>
        <v>0</v>
      </c>
      <c r="G16" s="22">
        <f>Faktury!G9</f>
        <v>0</v>
      </c>
      <c r="H16" s="20">
        <f>Faktury!H9</f>
        <v>0</v>
      </c>
      <c r="I16" s="22">
        <f>Faktury!I9</f>
        <v>0</v>
      </c>
      <c r="J16" s="22">
        <f>Faktury!J9</f>
        <v>0</v>
      </c>
      <c r="K16" s="22">
        <f>Faktury!K9</f>
        <v>0</v>
      </c>
      <c r="L16" s="27"/>
      <c r="V16" s="192"/>
      <c r="W16" s="192"/>
      <c r="X16" s="192"/>
      <c r="Y16" s="192"/>
    </row>
    <row r="17" spans="1:12" x14ac:dyDescent="0.25">
      <c r="A17" s="199" t="str">
        <f>Faktury!A2</f>
        <v>Fond oprav</v>
      </c>
      <c r="B17" s="247"/>
      <c r="C17" s="20" t="str">
        <f>Faktury!C2</f>
        <v>nevyúčtovává se</v>
      </c>
      <c r="D17" s="20">
        <f>Faktury!D2</f>
        <v>0</v>
      </c>
      <c r="E17" s="22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Faktury!I2</f>
        <v>0</v>
      </c>
      <c r="J17" s="22">
        <f>Faktury!J2</f>
        <v>0</v>
      </c>
      <c r="K17" s="22">
        <f>Faktury!K2</f>
        <v>0</v>
      </c>
      <c r="L17" s="27"/>
    </row>
    <row r="18" spans="1:12" x14ac:dyDescent="0.25">
      <c r="A18" s="199" t="str">
        <f>Faktury!A3</f>
        <v>Studená voda</v>
      </c>
      <c r="B18" s="244"/>
      <c r="C18" s="20" t="str">
        <f>Faktury!C3</f>
        <v>počet osob</v>
      </c>
      <c r="D18" s="20">
        <f>Faktury!D3</f>
        <v>100</v>
      </c>
      <c r="E18" s="22">
        <f>Faktury!E3</f>
        <v>75347.329999999987</v>
      </c>
      <c r="F18" s="22">
        <f>Faktury!F3</f>
        <v>868</v>
      </c>
      <c r="G18" s="22">
        <f>Faktury!G3</f>
        <v>86.81</v>
      </c>
      <c r="H18" s="20">
        <f>Faktury!H3</f>
        <v>35</v>
      </c>
      <c r="I18" s="22">
        <f>Faktury!I3</f>
        <v>9618.74</v>
      </c>
      <c r="J18" s="22">
        <f>Faktury!J3</f>
        <v>8280</v>
      </c>
      <c r="K18" s="22">
        <f>Faktury!K3</f>
        <v>-1338.74</v>
      </c>
      <c r="L18" s="27"/>
    </row>
    <row r="19" spans="1:12" x14ac:dyDescent="0.25">
      <c r="A19" s="406" t="str">
        <f>Faktury!A19</f>
        <v>Ostatní náklady - UPC</v>
      </c>
      <c r="B19" s="260"/>
      <c r="C19" s="20" t="str">
        <f>Faktury!C19</f>
        <v>na byt</v>
      </c>
      <c r="D19" s="20">
        <f>Faktury!D19</f>
        <v>100</v>
      </c>
      <c r="E19" s="22">
        <f>Faktury!E19</f>
        <v>57999</v>
      </c>
      <c r="F19" s="22">
        <f>Faktury!F19</f>
        <v>9</v>
      </c>
      <c r="G19" s="22">
        <f>Faktury!G19</f>
        <v>6444.33</v>
      </c>
      <c r="H19" s="20">
        <f>Faktury!H19</f>
        <v>0</v>
      </c>
      <c r="I19" s="22">
        <f>Faktury!I19</f>
        <v>0</v>
      </c>
      <c r="J19" s="22">
        <f>Faktury!J19</f>
        <v>0</v>
      </c>
      <c r="K19" s="22">
        <f>Faktury!K19</f>
        <v>0</v>
      </c>
      <c r="L19" s="27"/>
    </row>
    <row r="20" spans="1:12" x14ac:dyDescent="0.25">
      <c r="A20" s="406" t="str">
        <f>Faktury!A18</f>
        <v>Ostatní náklady (garáž a sklepy)</v>
      </c>
      <c r="B20" s="245"/>
      <c r="C20" s="20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0">
        <f>Faktury!H18</f>
        <v>0</v>
      </c>
      <c r="I20" s="22">
        <f>Faktury!I18</f>
        <v>0</v>
      </c>
      <c r="J20" s="22">
        <f>Faktury!J18</f>
        <v>0</v>
      </c>
      <c r="K20" s="22">
        <f>Faktury!K18</f>
        <v>0</v>
      </c>
      <c r="L20" s="27"/>
    </row>
    <row r="21" spans="1:12" x14ac:dyDescent="0.25">
      <c r="A21" s="199">
        <f>Faktury!A10</f>
        <v>0</v>
      </c>
      <c r="B21" s="244"/>
      <c r="C21" s="20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Faktury!I10</f>
        <v>0</v>
      </c>
      <c r="J21" s="22">
        <f>Faktury!J10</f>
        <v>0</v>
      </c>
      <c r="K21" s="22">
        <f>Faktury!K10</f>
        <v>0</v>
      </c>
      <c r="L21" s="27"/>
    </row>
    <row r="22" spans="1:12" x14ac:dyDescent="0.25">
      <c r="A22" s="408" t="str">
        <f>Faktury!A8</f>
        <v>Záloha na teplo</v>
      </c>
      <c r="B22" s="70"/>
      <c r="C22" s="20">
        <f>Faktury!C8</f>
        <v>0</v>
      </c>
      <c r="D22" s="20">
        <f>Faktury!D8</f>
        <v>0</v>
      </c>
      <c r="E22" s="22">
        <f>Faktury!E8</f>
        <v>0</v>
      </c>
      <c r="F22" s="22">
        <f>Faktury!F8</f>
        <v>0</v>
      </c>
      <c r="G22" s="22">
        <f>Faktury!G8</f>
        <v>0</v>
      </c>
      <c r="H22" s="20">
        <f>Faktury!H8</f>
        <v>0</v>
      </c>
      <c r="I22" s="22">
        <f>Faktury!I8</f>
        <v>0</v>
      </c>
      <c r="J22" s="22">
        <f>Faktury!J8</f>
        <v>0</v>
      </c>
      <c r="K22" s="22">
        <f>Faktury!K8</f>
        <v>0</v>
      </c>
      <c r="L22" s="27"/>
    </row>
    <row r="23" spans="1:12" x14ac:dyDescent="0.25">
      <c r="A23" s="199" t="str">
        <f>Faktury!A16</f>
        <v>Poplatek za psa</v>
      </c>
      <c r="B23" s="244"/>
      <c r="C23" s="20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0">
        <f>Faktury!H16</f>
        <v>0</v>
      </c>
      <c r="I23" s="22">
        <f>Faktury!I16</f>
        <v>0</v>
      </c>
      <c r="J23" s="22">
        <f>Faktury!J16</f>
        <v>0</v>
      </c>
      <c r="K23" s="22">
        <f>Faktury!K16</f>
        <v>0</v>
      </c>
      <c r="L23" s="27"/>
    </row>
    <row r="24" spans="1:12" x14ac:dyDescent="0.25">
      <c r="A24" s="409" t="str">
        <f>Faktury!A22</f>
        <v>Spořící účet</v>
      </c>
      <c r="B24" s="394"/>
      <c r="C24" s="20" t="str">
        <f>Faktury!C22</f>
        <v>nevyúčtovává se</v>
      </c>
      <c r="D24" s="20">
        <f>Faktury!D22</f>
        <v>0</v>
      </c>
      <c r="E24" s="22">
        <f>Faktury!E22</f>
        <v>0</v>
      </c>
      <c r="F24" s="20">
        <f>Faktury!F22</f>
        <v>0</v>
      </c>
      <c r="G24" s="20">
        <f>Faktury!G22</f>
        <v>0</v>
      </c>
      <c r="H24" s="20">
        <f>Faktury!H22</f>
        <v>0</v>
      </c>
      <c r="I24" s="22">
        <f>Faktury!I22</f>
        <v>0</v>
      </c>
      <c r="J24" s="22">
        <f>Faktury!J22</f>
        <v>0</v>
      </c>
      <c r="K24" s="22">
        <f>Faktury!K22</f>
        <v>0</v>
      </c>
      <c r="L24" s="27"/>
    </row>
    <row r="25" spans="1:12" x14ac:dyDescent="0.25">
      <c r="A25" s="199">
        <f>Faktury!A23</f>
        <v>0</v>
      </c>
      <c r="B25" s="395"/>
      <c r="C25" s="20">
        <f>Faktury!C23</f>
        <v>0</v>
      </c>
      <c r="D25" s="20">
        <f>Faktury!D23</f>
        <v>0</v>
      </c>
      <c r="E25" s="22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Faktury!I23</f>
        <v>0</v>
      </c>
      <c r="J25" s="22">
        <f>Faktury!J23</f>
        <v>0</v>
      </c>
      <c r="K25" s="22">
        <f>Faktury!K23</f>
        <v>0</v>
      </c>
      <c r="L25" s="27"/>
    </row>
    <row r="26" spans="1:12" x14ac:dyDescent="0.25">
      <c r="A26" s="199" t="str">
        <f>Faktury!A15</f>
        <v>Mzdové náklady</v>
      </c>
      <c r="B26" s="244"/>
      <c r="C26" s="20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0">
        <f>Faktury!H15</f>
        <v>0</v>
      </c>
      <c r="I26" s="22">
        <f>Faktury!I15</f>
        <v>0</v>
      </c>
      <c r="J26" s="22">
        <f>Faktury!J15</f>
        <v>0</v>
      </c>
      <c r="K26" s="22">
        <f>Faktury!K15</f>
        <v>0</v>
      </c>
      <c r="L26" s="27"/>
    </row>
    <row r="27" spans="1:12" x14ac:dyDescent="0.25">
      <c r="A27" s="199" t="str">
        <f>Faktury!A13</f>
        <v>Ostatní nájemné</v>
      </c>
      <c r="B27" s="244"/>
      <c r="C27" s="20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0">
        <f>Faktury!H13</f>
        <v>0</v>
      </c>
      <c r="I27" s="22">
        <f>Faktury!I13</f>
        <v>0</v>
      </c>
      <c r="J27" s="22">
        <f>Faktury!J13</f>
        <v>0</v>
      </c>
      <c r="K27" s="22">
        <f>Faktury!K13</f>
        <v>0</v>
      </c>
      <c r="L27" s="27"/>
    </row>
    <row r="28" spans="1:12" x14ac:dyDescent="0.25">
      <c r="A28" s="199" t="str">
        <f>Faktury!A14</f>
        <v>Ostatní služby</v>
      </c>
      <c r="B28" s="244"/>
      <c r="C28" s="20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0">
        <f>Faktury!H14</f>
        <v>0</v>
      </c>
      <c r="I28" s="22">
        <f>Faktury!I14</f>
        <v>0</v>
      </c>
      <c r="J28" s="22">
        <f>Faktury!J14</f>
        <v>0</v>
      </c>
      <c r="K28" s="22">
        <f>Faktury!K14</f>
        <v>0</v>
      </c>
      <c r="L28" s="27"/>
    </row>
    <row r="29" spans="1:12" ht="15.95" customHeight="1" x14ac:dyDescent="0.25">
      <c r="A29" s="409" t="str">
        <f>Faktury!A11</f>
        <v>Správa domu</v>
      </c>
      <c r="B29" s="248"/>
      <c r="C29" s="337" t="str">
        <f>Faktury!C11</f>
        <v>na byt</v>
      </c>
      <c r="D29" s="83">
        <f>Faktury!D11</f>
        <v>100</v>
      </c>
      <c r="E29" s="86">
        <f>Faktury!E11</f>
        <v>42566</v>
      </c>
      <c r="F29" s="86">
        <f>Faktury!F11</f>
        <v>19</v>
      </c>
      <c r="G29" s="86">
        <f>Faktury!G11</f>
        <v>2240.3200000000002</v>
      </c>
      <c r="H29" s="83">
        <f>Faktury!H11</f>
        <v>1</v>
      </c>
      <c r="I29" s="86">
        <f>Faktury!I11</f>
        <v>2240.3200000000002</v>
      </c>
      <c r="J29" s="86">
        <f>Faktury!J11</f>
        <v>1440</v>
      </c>
      <c r="K29" s="374">
        <f>Faktury!K11</f>
        <v>-800.32</v>
      </c>
      <c r="L29" s="27"/>
    </row>
    <row r="30" spans="1:12" ht="15.95" customHeight="1" x14ac:dyDescent="0.25">
      <c r="A30" s="340" t="str">
        <f>Faktury!A21</f>
        <v>Ostatní služby 2</v>
      </c>
      <c r="B30" s="540"/>
      <c r="C30" s="54">
        <f>Faktury!C21</f>
        <v>0</v>
      </c>
      <c r="D30" s="54">
        <f>Faktury!D21</f>
        <v>0</v>
      </c>
      <c r="E30" s="74">
        <f>Faktury!E21</f>
        <v>0</v>
      </c>
      <c r="F30" s="74">
        <f>Faktury!F21</f>
        <v>0</v>
      </c>
      <c r="G30" s="74">
        <f>Faktury!G21</f>
        <v>0</v>
      </c>
      <c r="H30" s="54">
        <f>Faktury!H21</f>
        <v>0</v>
      </c>
      <c r="I30" s="74">
        <f>Faktury!I21</f>
        <v>0</v>
      </c>
      <c r="J30" s="74">
        <f>Faktury!J21</f>
        <v>0</v>
      </c>
      <c r="K30" s="539">
        <f>Faktury!K21</f>
        <v>0</v>
      </c>
      <c r="L30" s="27"/>
    </row>
    <row r="31" spans="1:12" ht="15.95" customHeight="1" x14ac:dyDescent="0.25">
      <c r="A31" s="739" t="s">
        <v>83</v>
      </c>
      <c r="B31" s="739"/>
      <c r="C31" s="739"/>
      <c r="D31" s="401"/>
      <c r="E31" s="402">
        <f>SUM(E10:E30)</f>
        <v>261494.22</v>
      </c>
      <c r="F31" s="401"/>
      <c r="G31" s="712" t="s">
        <v>84</v>
      </c>
      <c r="H31" s="712"/>
      <c r="I31" s="403">
        <f>SUM(I10:I30)</f>
        <v>16252.71</v>
      </c>
      <c r="J31" s="403">
        <f>SUM(J10:J30)</f>
        <v>13800</v>
      </c>
      <c r="K31" s="404">
        <f>SUM(K10:K30)</f>
        <v>-2452.71</v>
      </c>
      <c r="L31" s="27"/>
    </row>
    <row r="32" spans="1:12" x14ac:dyDescent="0.25">
      <c r="A32" s="27"/>
      <c r="B32" s="27"/>
      <c r="C32" s="751" t="e" vm="2">
        <f>IF(ExcelMacroData!C15=TRUE,_xlfn.IMAGE(ExcelMacroData!C16),"")</f>
        <v>#VALUE!</v>
      </c>
      <c r="D32" s="751"/>
      <c r="E32" s="27"/>
      <c r="G32" s="711" t="str">
        <f>IF(K32&lt;0,"Nedoplatek v účtovaném období",IF(K32&gt;0,"Přeplatek v účtovaném období",IF(K32=0,"Není evidován v účtovaném období přeplatek ani nedoplatek")))</f>
        <v>Není evidován v účtovaném období přeplatek ani nedoplatek</v>
      </c>
      <c r="H32" s="711"/>
      <c r="I32" s="711"/>
      <c r="J32" s="711"/>
      <c r="K32" s="312">
        <f>VD_přeplatek_aktuální_rok</f>
        <v>0</v>
      </c>
      <c r="L32" s="27"/>
    </row>
    <row r="33" spans="1:16" x14ac:dyDescent="0.25">
      <c r="A33" s="27"/>
      <c r="B33" s="27"/>
      <c r="C33" s="751"/>
      <c r="D33" s="751"/>
      <c r="E33" s="27"/>
      <c r="G33" s="711" t="str">
        <f>IF(K33&lt;0,"Nedoplatek v minulém období",IF(K33&gt;0,"Přeplatek v minulém období",IF(K33=0,"Není evidován v minulém období přeplatek ani nedoplatek")))</f>
        <v>Není evidován v minulém období přeplatek ani nedoplatek</v>
      </c>
      <c r="H33" s="711"/>
      <c r="I33" s="711"/>
      <c r="J33" s="711"/>
      <c r="K33" s="312">
        <f>VLOOKUP(BYT,'Přeplatky nedoplatky'!$A:$E,5,0)</f>
        <v>0</v>
      </c>
      <c r="L33" s="27"/>
    </row>
    <row r="34" spans="1:16" ht="21" customHeight="1" x14ac:dyDescent="0.35">
      <c r="A34" s="293" t="s">
        <v>89</v>
      </c>
      <c r="B34" s="293" t="s">
        <v>90</v>
      </c>
      <c r="C34" s="751"/>
      <c r="D34" s="751"/>
      <c r="E34" s="5"/>
      <c r="F34" s="5"/>
      <c r="G34" s="741" t="str">
        <f>IF('Vyúčtování byt - 1.část'!K34&lt;0,"NEDOPLATEK CELKEM",IF('Vyúčtování byt - 1.část'!K34&gt;0,"PŘEPLATEK CELKEM",IF('Vyúčtování byt - 1.část'!K34=0,"Nemáte přeplatek ani nedoplatek")))</f>
        <v>NEDOPLATEK CELKEM</v>
      </c>
      <c r="H34" s="741"/>
      <c r="I34" s="741"/>
      <c r="J34" s="741"/>
      <c r="K34" s="367">
        <f>ROUND(K31+K32+K33,0)</f>
        <v>-2453</v>
      </c>
      <c r="L34" s="27"/>
    </row>
    <row r="35" spans="1:16" ht="17.25" customHeight="1" x14ac:dyDescent="0.25">
      <c r="A35" s="541" t="str">
        <f>INDEX(Faktury!A2:A53,MATCH("*Fond*",Faktury!A2:A53,0))</f>
        <v>Fond oprav</v>
      </c>
      <c r="B35" s="318">
        <f ca="1">'vstupní data'!R17</f>
        <v>31956</v>
      </c>
      <c r="C35" s="751"/>
      <c r="D35" s="751"/>
      <c r="E35" s="753" t="str">
        <f>IF(VD_účet_vlastníka=0,(IF('vstupní data'!C11&lt;0,"Nedoplatek uhraďte na účet číslo: "&amp;VD_číslo_účtu_SVJ&amp;", variabilní symbol "&amp;VD_VS&amp;"",IF('vstupní data'!C11&gt;0,"Přeplatek Vám bude vyplacen poštovní poukázkou",IF('vstupní data'!C11=0,"""Nemáte žádný přeplatek ani nedoplatek")))),IF('vstupní data'!C11&lt;0,"Nedoplatek uhraďte na účet číslo: "&amp;VD_číslo_účtu_SVJ&amp;", variabilní symbol "&amp;VD_VS&amp;"",IF('vstupní data'!C11&gt;0,"Přeplatek Vám bude vyplacen na číslo účtu "&amp;VD_účet_vlastníka&amp;"",IF('vstupní data'!C11=0,"Nemáte žádný přeplatek ani nedoplatek"))))</f>
        <v>Nedoplatek uhraďte na účet číslo: 2100704207/2010, variabilní symbol 1093900019</v>
      </c>
      <c r="F35" s="753"/>
      <c r="G35" s="753"/>
      <c r="H35" s="753"/>
      <c r="I35" s="753"/>
      <c r="J35" s="753"/>
      <c r="K35" s="753"/>
      <c r="L35" s="27"/>
    </row>
    <row r="36" spans="1:16" x14ac:dyDescent="0.25">
      <c r="A36" s="27"/>
      <c r="B36" s="27"/>
      <c r="C36" s="752"/>
      <c r="D36" s="752"/>
      <c r="E36" s="61"/>
      <c r="F36" s="61"/>
      <c r="G36" s="61"/>
      <c r="H36" s="61"/>
      <c r="I36" s="61"/>
      <c r="J36" s="61"/>
      <c r="K36" s="61"/>
      <c r="L36" s="27"/>
    </row>
    <row r="37" spans="1:16" x14ac:dyDescent="0.25">
      <c r="A37" s="715" t="str">
        <f>"Přehled úhrad za rok "&amp;'vstupní data'!B12&amp;""</f>
        <v>Přehled úhrad za rok 2024</v>
      </c>
      <c r="B37" s="716"/>
      <c r="C37" s="716"/>
      <c r="D37" s="716"/>
      <c r="E37" s="716"/>
      <c r="F37" s="716"/>
      <c r="G37" s="716"/>
      <c r="H37" s="716"/>
      <c r="I37" s="716"/>
      <c r="J37" s="716"/>
      <c r="K37" s="716"/>
      <c r="L37" s="717"/>
      <c r="P37" s="35"/>
    </row>
    <row r="38" spans="1:16" x14ac:dyDescent="0.25">
      <c r="A38" s="63" t="str">
        <f>"1/"&amp;'vstupní data'!$B$12&amp;""</f>
        <v>1/2024</v>
      </c>
      <c r="B38" s="63" t="str">
        <f>"2/"&amp;'vstupní data'!$B$12&amp;""</f>
        <v>2/2024</v>
      </c>
      <c r="C38" s="63" t="str">
        <f>"3/"&amp;'vstupní data'!$B$12&amp;""</f>
        <v>3/2024</v>
      </c>
      <c r="D38" s="63" t="str">
        <f>"4/"&amp;'vstupní data'!$B$12&amp;""</f>
        <v>4/2024</v>
      </c>
      <c r="E38" s="63" t="str">
        <f>"5/"&amp;'vstupní data'!$B$12&amp;""</f>
        <v>5/2024</v>
      </c>
      <c r="F38" s="63" t="str">
        <f>"6/"&amp;'vstupní data'!$B$12&amp;""</f>
        <v>6/2024</v>
      </c>
      <c r="G38" s="63" t="str">
        <f>"7/"&amp;'vstupní data'!$B$12&amp;""</f>
        <v>7/2024</v>
      </c>
      <c r="H38" s="63" t="str">
        <f>"8/"&amp;'vstupní data'!$B$12&amp;""</f>
        <v>8/2024</v>
      </c>
      <c r="I38" s="63" t="str">
        <f>"9/"&amp;'vstupní data'!$B$12&amp;""</f>
        <v>9/2024</v>
      </c>
      <c r="J38" s="63" t="str">
        <f>"10/"&amp;'vstupní data'!$B$12&amp;""</f>
        <v>10/2024</v>
      </c>
      <c r="K38" s="63" t="str">
        <f>"11/"&amp;'vstupní data'!$B$12&amp;""</f>
        <v>11/2024</v>
      </c>
      <c r="L38" s="63" t="str">
        <f>"12/"&amp;'vstupní data'!$B$12&amp;""</f>
        <v>12/2024</v>
      </c>
    </row>
    <row r="39" spans="1:16" x14ac:dyDescent="0.25">
      <c r="A39" s="64">
        <f>'vstupní data'!N19</f>
        <v>3813</v>
      </c>
      <c r="B39" s="64">
        <f>'vstupní data'!N20</f>
        <v>0</v>
      </c>
      <c r="C39" s="64">
        <f>'vstupní data'!N21</f>
        <v>7626</v>
      </c>
      <c r="D39" s="64">
        <f>'vstupní data'!N22</f>
        <v>3813</v>
      </c>
      <c r="E39" s="64">
        <f>'vstupní data'!N23</f>
        <v>0</v>
      </c>
      <c r="F39" s="64">
        <f>'vstupní data'!N24</f>
        <v>7626</v>
      </c>
      <c r="G39" s="64">
        <f>'vstupní data'!N25</f>
        <v>7626</v>
      </c>
      <c r="H39" s="64">
        <f>'vstupní data'!N26</f>
        <v>0</v>
      </c>
      <c r="I39" s="64">
        <f>'vstupní data'!N27</f>
        <v>0</v>
      </c>
      <c r="J39" s="64">
        <f>'vstupní data'!N28</f>
        <v>7626</v>
      </c>
      <c r="K39" s="64">
        <f>'vstupní data'!N29</f>
        <v>7626</v>
      </c>
      <c r="L39" s="64">
        <f>'vstupní data'!N30</f>
        <v>0</v>
      </c>
      <c r="N39" s="88"/>
      <c r="O39" s="88"/>
      <c r="P39" s="232"/>
    </row>
    <row r="40" spans="1:16" x14ac:dyDescent="0.25">
      <c r="A40" s="715" t="str">
        <f>"Přehled předpisů za rok "&amp;'vstupní data'!B12&amp;""</f>
        <v>Přehled předpisů za rok 2024</v>
      </c>
      <c r="B40" s="716"/>
      <c r="C40" s="716"/>
      <c r="D40" s="716"/>
      <c r="E40" s="716"/>
      <c r="F40" s="716"/>
      <c r="G40" s="716"/>
      <c r="H40" s="716"/>
      <c r="I40" s="716"/>
      <c r="J40" s="716"/>
      <c r="K40" s="716"/>
      <c r="L40" s="717"/>
      <c r="N40" s="89"/>
      <c r="O40" s="89"/>
    </row>
    <row r="41" spans="1:16" x14ac:dyDescent="0.25">
      <c r="A41" s="63" t="str">
        <f>"1/"&amp;'vstupní data'!$B$12&amp;""</f>
        <v>1/2024</v>
      </c>
      <c r="B41" s="63" t="str">
        <f>"2/"&amp;'vstupní data'!$B$12&amp;""</f>
        <v>2/2024</v>
      </c>
      <c r="C41" s="63" t="str">
        <f>"3/"&amp;'vstupní data'!$B$12&amp;""</f>
        <v>3/2024</v>
      </c>
      <c r="D41" s="63" t="str">
        <f>"4/"&amp;'vstupní data'!$B$12&amp;""</f>
        <v>4/2024</v>
      </c>
      <c r="E41" s="63" t="str">
        <f>"5/"&amp;'vstupní data'!$B$12&amp;""</f>
        <v>5/2024</v>
      </c>
      <c r="F41" s="63" t="str">
        <f>"6/"&amp;'vstupní data'!$B$12&amp;""</f>
        <v>6/2024</v>
      </c>
      <c r="G41" s="63" t="str">
        <f>"7/"&amp;'vstupní data'!$B$12&amp;""</f>
        <v>7/2024</v>
      </c>
      <c r="H41" s="63" t="str">
        <f>"8/"&amp;'vstupní data'!$B$12&amp;""</f>
        <v>8/2024</v>
      </c>
      <c r="I41" s="63" t="str">
        <f>"9/"&amp;'vstupní data'!$B$12&amp;""</f>
        <v>9/2024</v>
      </c>
      <c r="J41" s="63" t="str">
        <f>"10/"&amp;'vstupní data'!$B$12&amp;""</f>
        <v>10/2024</v>
      </c>
      <c r="K41" s="63" t="str">
        <f>"11/"&amp;'vstupní data'!$B$12&amp;""</f>
        <v>11/2024</v>
      </c>
      <c r="L41" s="63" t="str">
        <f>"12/"&amp;'vstupní data'!$B$12&amp;""</f>
        <v>12/2024</v>
      </c>
      <c r="N41" s="89"/>
    </row>
    <row r="42" spans="1:16" x14ac:dyDescent="0.25">
      <c r="A42" s="64">
        <f>'vstupní data'!Q19</f>
        <v>3813</v>
      </c>
      <c r="B42" s="64">
        <f>'vstupní data'!Q20</f>
        <v>3813</v>
      </c>
      <c r="C42" s="64">
        <f>'vstupní data'!Q21</f>
        <v>3813</v>
      </c>
      <c r="D42" s="64">
        <f>'vstupní data'!Q22</f>
        <v>3813</v>
      </c>
      <c r="E42" s="64">
        <f>'vstupní data'!Q23</f>
        <v>3813</v>
      </c>
      <c r="F42" s="64">
        <f>'vstupní data'!Q24</f>
        <v>3813</v>
      </c>
      <c r="G42" s="64">
        <f>'vstupní data'!Q25</f>
        <v>3813</v>
      </c>
      <c r="H42" s="64">
        <f>'vstupní data'!Q26</f>
        <v>3813</v>
      </c>
      <c r="I42" s="64">
        <f>'vstupní data'!Q27</f>
        <v>3813</v>
      </c>
      <c r="J42" s="64">
        <f>'vstupní data'!Q28</f>
        <v>3813</v>
      </c>
      <c r="K42" s="64">
        <f>'vstupní data'!Q29</f>
        <v>3813</v>
      </c>
      <c r="L42" s="64">
        <f>'vstupní data'!Q30</f>
        <v>3813</v>
      </c>
      <c r="N42" s="88"/>
      <c r="O42" s="88"/>
    </row>
    <row r="43" spans="1:16" x14ac:dyDescent="0.25">
      <c r="A43" s="705" t="str">
        <f>IF('vstupní data'!B11=0,"K úhradě za rok",IF('vstupní data'!B11&lt;0,"Nedoplatek za rok celkem",IF('vstupní data'!B11&gt;0,"Přeplatek za rok celkem",IF('vstupní data'!B11=0,""))))</f>
        <v>K úhradě za rok</v>
      </c>
      <c r="B43" s="706"/>
      <c r="C43" s="318">
        <f>'vstupní data'!B11</f>
        <v>0</v>
      </c>
      <c r="D43" s="89"/>
      <c r="E43" s="61"/>
      <c r="F43" s="61"/>
      <c r="G43" s="61"/>
      <c r="H43" s="61"/>
      <c r="I43" s="61"/>
      <c r="J43" s="61"/>
      <c r="K43" s="61"/>
      <c r="L43" s="27"/>
    </row>
    <row r="44" spans="1:16" x14ac:dyDescent="0.25">
      <c r="A44" s="67"/>
      <c r="B44" s="67"/>
      <c r="C44" s="67"/>
      <c r="D44" s="67"/>
      <c r="E44" s="67"/>
      <c r="F44" s="67"/>
      <c r="G44" s="27"/>
      <c r="H44" s="27"/>
      <c r="I44" s="27"/>
      <c r="J44" s="27"/>
      <c r="K44" s="27"/>
      <c r="L44" s="27"/>
      <c r="P44" s="35"/>
    </row>
    <row r="45" spans="1:16" x14ac:dyDescent="0.25">
      <c r="A45" s="754" t="s">
        <v>133</v>
      </c>
      <c r="B45" s="754"/>
      <c r="C45" s="754"/>
      <c r="D45" s="754"/>
      <c r="E45" s="754"/>
      <c r="F45" s="754"/>
      <c r="G45" s="166"/>
      <c r="H45" s="166"/>
      <c r="I45" s="166"/>
    </row>
    <row r="46" spans="1:16" ht="15.95" customHeight="1" x14ac:dyDescent="0.25">
      <c r="A46" s="537" t="s">
        <v>134</v>
      </c>
      <c r="B46" s="537" t="s">
        <v>135</v>
      </c>
      <c r="C46" s="537" t="s">
        <v>136</v>
      </c>
      <c r="D46" s="537" t="s">
        <v>137</v>
      </c>
      <c r="E46" s="537" t="s">
        <v>138</v>
      </c>
      <c r="F46" s="537" t="s">
        <v>139</v>
      </c>
      <c r="G46" s="2"/>
      <c r="I46" s="2"/>
      <c r="O46" s="549"/>
      <c r="P46" s="166"/>
    </row>
    <row r="47" spans="1:16" ht="15.95" customHeight="1" x14ac:dyDescent="0.25">
      <c r="A47" s="527" t="str">
        <f>IF(E47&gt;0,"Studená voda","")</f>
        <v/>
      </c>
      <c r="B47" s="538" t="str">
        <f>K4</f>
        <v>1.1.2024 - 31.12.2024</v>
      </c>
      <c r="C47" s="528">
        <f>IF(E47=0,0,_xlfn.XLOOKUP(BYT&amp;"|"&amp;"SV1", 'Vodoměry SV'!A2:A103&amp;"|"&amp;'Vodoměry SV'!C2:C103, 'Vodoměry SV'!F2:F103))</f>
        <v>0</v>
      </c>
      <c r="D47" s="530">
        <f>SUMIFS('Vodoměry SV'!G2:G103,'Vodoměry SV'!A2:A103,BYT,'Vodoměry SV'!C2:C103,"SV1")</f>
        <v>0</v>
      </c>
      <c r="E47" s="530">
        <f>SUMIFS('Vodoměry SV'!H2:H103,'Vodoměry SV'!A2:A103,BYT,'Vodoměry SV'!C2:C103,"SV1")</f>
        <v>0</v>
      </c>
      <c r="F47" s="530">
        <f>SUMIFS('Vodoměry SV'!I2:I103,'Vodoměry SV'!A2:A103,BYT,'Vodoměry SV'!C2:C103,"SV1")</f>
        <v>0</v>
      </c>
      <c r="G47" s="2"/>
      <c r="I47" s="2"/>
      <c r="P47" s="35"/>
    </row>
    <row r="48" spans="1:16" ht="15.95" customHeight="1" x14ac:dyDescent="0.25">
      <c r="A48" s="527" t="str">
        <f>IF(E48&gt;0,"Teplá voda","")</f>
        <v/>
      </c>
      <c r="B48" s="538" t="str">
        <f>K4</f>
        <v>1.1.2024 - 31.12.2024</v>
      </c>
      <c r="C48" s="528">
        <f>IF(E48=0,0, _xlfn.XLOOKUP(BYT&amp;"|"&amp;"TUV1", 'Vodoměry TUV'!A2:A103&amp;"|"&amp;'Vodoměry TUV'!C2:C103, 'Vodoměry TUV'!F2:F103))</f>
        <v>0</v>
      </c>
      <c r="D48" s="530">
        <f>SUMIFS('Vodoměry TUV'!G2:G114,'Vodoměry TUV'!A2:A114,BYT,'Vodoměry TUV'!C2:C114,"TUV1")</f>
        <v>0</v>
      </c>
      <c r="E48" s="530">
        <f>SUMIFS('Vodoměry TUV'!H2:H114,'Vodoměry TUV'!A2:A114,BYT,'Vodoměry TUV'!C2:C114,"TUV1")</f>
        <v>0</v>
      </c>
      <c r="F48" s="530">
        <f>SUMIFS('Vodoměry TUV'!I2:I114,'Vodoměry TUV'!A2:A114,BYT,'Vodoměry TUV'!C2:C114,"TUV1")</f>
        <v>0</v>
      </c>
      <c r="G48" s="2"/>
      <c r="I48" s="2"/>
      <c r="J48" s="27"/>
      <c r="K48" s="27"/>
      <c r="L48" s="27"/>
      <c r="M48" s="27"/>
      <c r="N48" s="27"/>
      <c r="O48" s="27"/>
      <c r="P48" s="35"/>
    </row>
    <row r="49" spans="1:12" ht="15.95" customHeight="1" x14ac:dyDescent="0.25">
      <c r="A49" s="527" t="str">
        <f>IF(E49&gt;0,"Studená voda","")</f>
        <v/>
      </c>
      <c r="B49" s="538" t="str">
        <f>K4</f>
        <v>1.1.2024 - 31.12.2024</v>
      </c>
      <c r="C49" s="528">
        <f>IF(E49=0, 0, _xlfn.XLOOKUP(BYT&amp;"|"&amp;"SV2", 'Vodoměry SV'!A2:A103&amp;"|"&amp;'Vodoměry SV'!C2:C103, 'Vodoměry SV'!F2:F103))</f>
        <v>0</v>
      </c>
      <c r="D49" s="530">
        <f>SUMIFS('Vodoměry SV'!G2:G103,'Vodoměry SV'!A2:A103,BYT,'Vodoměry SV'!C2:C103,"SV2")</f>
        <v>0</v>
      </c>
      <c r="E49" s="530">
        <f>SUMIFS('Vodoměry SV'!H2:H103,'Vodoměry SV'!A2:A103,BYT,'Vodoměry SV'!C2:C103,"SV2")</f>
        <v>0</v>
      </c>
      <c r="F49" s="530">
        <f>SUMIFS('Vodoměry SV'!I2:I103,'Vodoměry SV'!A2:A103,BYT,'Vodoměry SV'!C2:C103,"SV2")</f>
        <v>0</v>
      </c>
      <c r="G49" s="2"/>
      <c r="I49" s="2"/>
      <c r="J49" s="27"/>
      <c r="K49" s="27"/>
      <c r="L49" s="27"/>
    </row>
    <row r="50" spans="1:12" x14ac:dyDescent="0.25">
      <c r="A50" s="527" t="str">
        <f>IF(E50&gt;0,"Teplá voda","")</f>
        <v/>
      </c>
      <c r="B50" s="527" t="str">
        <f>K4</f>
        <v>1.1.2024 - 31.12.2024</v>
      </c>
      <c r="C50" s="528">
        <f>IF(E50=0, 0, _xlfn.XLOOKUP(BYT&amp;"|"&amp;"TUV2", 'Vodoměry TUV'!A2:A103&amp;"|"&amp;'Vodoměry TUV'!C2:C103, 'Vodoměry TUV'!F2:F103))</f>
        <v>0</v>
      </c>
      <c r="D50" s="529">
        <f>SUMIFS('Vodoměry TUV'!G2:G114,'Vodoměry TUV'!A2:A114,BYT,'Vodoměry TUV'!C2:C114,"TUV2")</f>
        <v>0</v>
      </c>
      <c r="E50" s="530">
        <f>SUMIFS('Vodoměry TUV'!H2:H114,'Vodoměry TUV'!A2:A114,BYT,'Vodoměry TUV'!C2:C114,"TUV2")</f>
        <v>0</v>
      </c>
      <c r="F50" s="530">
        <f>SUMIFS('Vodoměry TUV'!I2:I114,'Vodoměry TUV'!A2:A114,BYT,'Vodoměry TUV'!C2:C114,"TUV2")</f>
        <v>0</v>
      </c>
      <c r="G50" s="2"/>
      <c r="I50" s="2"/>
    </row>
    <row r="51" spans="1:12" x14ac:dyDescent="0.25">
      <c r="A51" s="527" t="str">
        <f>IF(E51&gt;0,"Studená voda","")</f>
        <v/>
      </c>
      <c r="B51" s="527" t="str">
        <f>K4</f>
        <v>1.1.2024 - 31.12.2024</v>
      </c>
      <c r="C51" s="528">
        <f>IF(E51=0, 0, _xlfn.XLOOKUP(BYT&amp;"|"&amp;"SV3", 'Vodoměry SV'!A2:A103&amp;"|"&amp;'Vodoměry SV'!C2:C103, 'Vodoměry SV'!F2:F103))</f>
        <v>0</v>
      </c>
      <c r="D51" s="529">
        <f>SUMIFS('Vodoměry SV'!G2:G103,'Vodoměry SV'!A2:A103,BYT,'Vodoměry SV'!C2:C103,"SV3")</f>
        <v>0</v>
      </c>
      <c r="E51" s="530">
        <f>SUMIFS('Vodoměry SV'!H2:H103,'Vodoměry SV'!A2:A103,BYT,'Vodoměry SV'!C2:C103,"SV3")</f>
        <v>0</v>
      </c>
      <c r="F51" s="530">
        <f>SUMIFS('Vodoměry SV'!I2:I103,'Vodoměry SV'!A2:A103,BYT,'Vodoměry SV'!C2:C103,"SV3")</f>
        <v>0</v>
      </c>
      <c r="G51" s="2"/>
      <c r="I51" s="2"/>
      <c r="J51" s="35"/>
    </row>
    <row r="52" spans="1:12" x14ac:dyDescent="0.25">
      <c r="A52" s="527" t="str">
        <f>IF(E52&gt;0,"Teplá voda","")</f>
        <v/>
      </c>
      <c r="B52" s="527" t="str">
        <f>K4</f>
        <v>1.1.2024 - 31.12.2024</v>
      </c>
      <c r="C52" s="528">
        <f>IF(E52=0, 0, _xlfn.XLOOKUP(BYT&amp;"|"&amp;"TUV3", 'Vodoměry TUV'!A2:A103&amp;"|"&amp;'Vodoměry TUV'!C2:C103, 'Vodoměry TUV'!F2:F103))</f>
        <v>0</v>
      </c>
      <c r="D52" s="529">
        <f>SUMIFS('Vodoměry TUV'!G2:G114,'Vodoměry TUV'!A2:A114,BYT,'Vodoměry TUV'!C2:C114,"TUV3")</f>
        <v>0</v>
      </c>
      <c r="E52" s="530">
        <f>SUMIFS('Vodoměry TUV'!H2:H114,'Vodoměry TUV'!A2:A114,BYT,'Vodoměry TUV'!C2:C114,"TUV3")</f>
        <v>0</v>
      </c>
      <c r="F52" s="530">
        <f>SUMIFS('Vodoměry TUV'!I2:I114,'Vodoměry TUV'!A2:A114,BYT,'Vodoměry TUV'!C2:C114,"TUV3")</f>
        <v>0</v>
      </c>
      <c r="G52" s="2"/>
      <c r="I52" s="2"/>
      <c r="J52" s="35"/>
      <c r="K52" s="70"/>
    </row>
    <row r="53" spans="1:12" x14ac:dyDescent="0.25">
      <c r="A53" s="527" t="str">
        <f>IF(E53&gt;0,"Teplo","")</f>
        <v/>
      </c>
      <c r="B53" s="527" t="str">
        <f>K4</f>
        <v>1.1.2024 - 31.12.2024</v>
      </c>
      <c r="C53" s="528">
        <f>VLOOKUP(BYT,Teplo!1:1048576,6,1)</f>
        <v>0</v>
      </c>
      <c r="D53" s="529">
        <f>SUMIFS(Teplo!G2:G114,Teplo!A2:A114,BYT,Teplo!C2:C114,"Teplo")</f>
        <v>0</v>
      </c>
      <c r="E53" s="530">
        <f>SUMIFS(Teplo!H2:H114,Teplo!A2:A114,BYT,Teplo!C2:C114,"Teplo")</f>
        <v>0</v>
      </c>
      <c r="F53" s="530">
        <f>SUMIFS(Teplo!I2:I114,Teplo!A2:A114,BYT,Teplo!C2:C114,"Teplo")</f>
        <v>0</v>
      </c>
      <c r="G53" s="2"/>
      <c r="I53" s="2"/>
      <c r="J53" s="35"/>
      <c r="K53" s="70"/>
    </row>
    <row r="54" spans="1:12" x14ac:dyDescent="0.25">
      <c r="A54" s="527" t="str">
        <f>IF(E54&gt;0,"Elektro","")</f>
        <v/>
      </c>
      <c r="B54" s="527" t="str">
        <f>K4</f>
        <v>1.1.2024 - 31.12.2024</v>
      </c>
      <c r="C54" s="528">
        <f>VLOOKUP(BYT,Elektroměry!1:1048576,6,1)</f>
        <v>0</v>
      </c>
      <c r="D54" s="529">
        <f>SUMIFS(Elektroměry!G3:G115,Elektroměry!A3:A115,BYT,Elektroměry!C3:C115,"Elektroměr")</f>
        <v>0</v>
      </c>
      <c r="E54" s="530">
        <f>SUMIFS(Elektroměry!H3:H115,Elektroměry!A3:A115,BYT,Elektroměry!C3:C115,"Elektroměr")</f>
        <v>0</v>
      </c>
      <c r="F54" s="530">
        <f>SUMIFS(Elektroměry!I3:I115,Elektroměry!A3:A115,BYT,Elektroměry!C3:C115,"Elektroměr")</f>
        <v>0</v>
      </c>
      <c r="G54" s="26"/>
      <c r="H54" s="5"/>
      <c r="I54" s="26"/>
      <c r="J54" s="5"/>
      <c r="K54" s="5"/>
      <c r="L54" s="27"/>
    </row>
    <row r="55" spans="1:12" x14ac:dyDescent="0.25">
      <c r="A55" s="527" t="str">
        <f>IF(E55&gt;0,"Elektroměr VT","")</f>
        <v/>
      </c>
      <c r="B55" s="527" t="str">
        <f>K4</f>
        <v>1.1.2024 - 31.12.2024</v>
      </c>
      <c r="C55" s="528">
        <f>IF(E55=0,0,_xlfn.XLOOKUP(BYT&amp;"|"&amp;"Elektroměr NT", Elektroměry!A2:A103&amp;"|"&amp;Elektroměry!C2:C103, Elektroměry!F2:F103))</f>
        <v>0</v>
      </c>
      <c r="D55" s="529">
        <f>SUMIFS(Elektroměry!G2:G115,Elektroměry!A2:A115,BYT,Elektroměry!C2:C115,"Elektroměr VT")</f>
        <v>0</v>
      </c>
      <c r="E55" s="530">
        <f>SUMIFS(Elektroměry!H2:H115,Elektroměry!A2:A115,BYT,Elektroměry!C2:C115,"Elektroměr VT")</f>
        <v>0</v>
      </c>
      <c r="F55" s="530">
        <f>SUMIFS(Elektroměry!I2:I115,Elektroměry!A2:A115,BYT,Elektroměry!C2:C115,"Elektroměr VT")+G55</f>
        <v>0</v>
      </c>
      <c r="G55" s="26"/>
      <c r="H55" s="5"/>
      <c r="I55" s="26"/>
      <c r="J55" s="5"/>
      <c r="K55" s="5"/>
      <c r="L55" s="27"/>
    </row>
    <row r="56" spans="1:12" ht="14.25" customHeight="1" x14ac:dyDescent="0.25">
      <c r="A56" s="527" t="str">
        <f>IF(E56&gt;0,"Elektroměr NT","")</f>
        <v/>
      </c>
      <c r="B56" s="527" t="str">
        <f>K4</f>
        <v>1.1.2024 - 31.12.2024</v>
      </c>
      <c r="C56" s="528">
        <f>IF(E56=0,0,_xlfn.XLOOKUP(BYT&amp;"|"&amp;"Elektroměr VT", Elektroměry!A2:A103&amp;"|"&amp;Elektroměry!C2:C103, Elektroměry!F2:F103))</f>
        <v>0</v>
      </c>
      <c r="D56" s="529">
        <f>SUMIFS(Elektroměry!G2:G115,Elektroměry!A2:A115,BYT,Elektroměry!C2:C115,"Elektroměr NT")</f>
        <v>0</v>
      </c>
      <c r="E56" s="530">
        <f>SUMIFS(Elektroměry!H2:H115,Elektroměry!A2:A115,BYT,Elektroměry!C2:C115,"Elektroměr NT")</f>
        <v>0</v>
      </c>
      <c r="F56" s="530">
        <f>SUMIFS(Elektroměry!I2:I115,Elektroměry!A2:A115,BYT,Elektroměry!C2:C115,"Elektroměr NT")</f>
        <v>0</v>
      </c>
      <c r="G56" s="26"/>
      <c r="H56" s="5"/>
      <c r="I56" s="26"/>
      <c r="J56" s="5"/>
      <c r="K56" s="5"/>
      <c r="L56" s="27"/>
    </row>
    <row r="57" spans="1:12" ht="14.25" customHeight="1" x14ac:dyDescent="0.25">
      <c r="A57" s="527" t="str">
        <f>IF(E57&gt;0,"Studená voda","")</f>
        <v/>
      </c>
      <c r="B57" s="538" t="str">
        <f>K4</f>
        <v>1.1.2024 - 31.12.2024</v>
      </c>
      <c r="C57" s="528">
        <f>IF(E57=0,0,_xlfn.XLOOKUP(BYT&amp;"|"&amp;"SV4", 'Vodoměry SV'!A2:A103&amp;"|"&amp;'Vodoměry SV'!C2:C103, 'Vodoměry SV'!F2:F103))</f>
        <v>0</v>
      </c>
      <c r="D57" s="530">
        <f>SUMIFS('Vodoměry SV'!G2:G103,'Vodoměry SV'!A2:A103,BYT,'Vodoměry SV'!C2:C103,"SV4")</f>
        <v>0</v>
      </c>
      <c r="E57" s="530">
        <f>SUMIFS('Vodoměry SV'!H2:H103,'Vodoměry SV'!A2:A103,BYT,'Vodoměry SV'!C2:C103,"SV4")</f>
        <v>0</v>
      </c>
      <c r="F57" s="530">
        <f>SUMIFS('Vodoměry SV'!I2:I103,'Vodoměry SV'!A2:A103,BYT,'Vodoměry SV'!C2:C103,"SV4")</f>
        <v>0</v>
      </c>
      <c r="G57" s="26"/>
      <c r="H57" s="5"/>
      <c r="I57" s="26"/>
      <c r="J57" s="5"/>
      <c r="K57" s="5"/>
      <c r="L57" s="27"/>
    </row>
    <row r="58" spans="1:12" ht="14.25" customHeight="1" x14ac:dyDescent="0.25">
      <c r="A58" s="527" t="str">
        <f>IF(E58&gt;0,"Studená voda","")</f>
        <v/>
      </c>
      <c r="B58" s="538" t="str">
        <f>K4</f>
        <v>1.1.2024 - 31.12.2024</v>
      </c>
      <c r="C58" s="528">
        <f>IF(E58=0,0,_xlfn.XLOOKUP(BYT&amp;"|"&amp;"SV5", 'Vodoměry SV'!A2:A103&amp;"|"&amp;'Vodoměry SV'!C2:C103, 'Vodoměry SV'!F2:F103))</f>
        <v>0</v>
      </c>
      <c r="D58" s="530">
        <f>SUMIFS('Vodoměry SV'!G2:G103,'Vodoměry SV'!A2:A103,BYT,'Vodoměry SV'!C2:C103,"SV5")</f>
        <v>0</v>
      </c>
      <c r="E58" s="530">
        <f>SUMIFS('Vodoměry SV'!H2:H103,'Vodoměry SV'!A2:A103,BYT,'Vodoměry SV'!C2:C103,"SV5")</f>
        <v>0</v>
      </c>
      <c r="F58" s="530">
        <f>SUMIFS('Vodoměry SV'!I2:I103,'Vodoměry SV'!A2:A103,BYT,'Vodoměry SV'!C2:C103,"SV5")</f>
        <v>0</v>
      </c>
      <c r="G58" s="26"/>
      <c r="H58" s="5"/>
      <c r="I58" s="26"/>
      <c r="J58" s="5"/>
      <c r="K58" s="5"/>
      <c r="L58" s="27"/>
    </row>
    <row r="59" spans="1:12" ht="14.25" customHeight="1" x14ac:dyDescent="0.25">
      <c r="A59" s="5"/>
      <c r="B59" s="5"/>
      <c r="C59" s="5"/>
      <c r="D59" s="5"/>
      <c r="E59" s="5"/>
      <c r="F59" s="5"/>
      <c r="G59" s="505"/>
      <c r="H59" s="505"/>
      <c r="I59" s="505"/>
      <c r="J59" s="505"/>
      <c r="K59" s="505"/>
      <c r="L59" s="505"/>
    </row>
    <row r="60" spans="1:12" ht="29.25" customHeight="1" x14ac:dyDescent="0.25">
      <c r="A60" s="755" t="str">
        <f>("Jednotková cena za m3 vody činila v roce "&amp;'vstupní data'!B12&amp;" dle ceníku BVaK "&amp;'vstupní data'!B13&amp;" Kč. Hodnota uvedená ve vyúčtování již zahrnuje rozdíl mezi náměrem hlavního a součtem náměrů poměrových vodoměrů.")</f>
        <v>Jednotková cena za m3 vody činila v roce 2024 dle ceníku BVaK 105,53 Kč. Hodnota uvedená ve vyúčtování již zahrnuje rozdíl mezi náměrem hlavního a součtem náměrů poměrových vodoměrů.</v>
      </c>
      <c r="B60" s="755"/>
      <c r="C60" s="755"/>
      <c r="D60" s="755"/>
      <c r="E60" s="755"/>
      <c r="F60" s="755"/>
      <c r="G60" s="755"/>
      <c r="H60" s="755"/>
      <c r="I60" s="755"/>
      <c r="J60" s="755"/>
      <c r="K60" s="755"/>
      <c r="L60" s="755"/>
    </row>
    <row r="61" spans="1:12" ht="30.75" customHeight="1" x14ac:dyDescent="0.25">
      <c r="A61" s="747" t="str">
        <f>'vstupní data'!B33</f>
        <v>Případné reklamace uplatněte výhradně písemnou (elektronickou) formou na adrese správce (viz záhlaví) nejpozději do 30 dní od doručení vyúčtování včetně případné změny Vašeho osobního účtu pro vyplacení přeplatku.</v>
      </c>
      <c r="B61" s="747"/>
      <c r="C61" s="747"/>
      <c r="D61" s="747"/>
      <c r="E61" s="747"/>
      <c r="F61" s="747"/>
      <c r="G61" s="747"/>
      <c r="H61" s="747"/>
      <c r="I61" s="747"/>
      <c r="J61" s="747"/>
      <c r="K61" s="747"/>
      <c r="L61" s="747"/>
    </row>
    <row r="62" spans="1:12" ht="30.75" customHeight="1" x14ac:dyDescent="0.25">
      <c r="A62" s="747" t="str">
        <f>'vstupní data'!B32</f>
        <v>Přeplatky a nedoplatky z vyúčtování jsou splatné nejpozději do 7 (sedmi) měsíců od skončení zúčtovacího období.</v>
      </c>
      <c r="B62" s="747"/>
      <c r="C62" s="747"/>
      <c r="D62" s="747"/>
      <c r="E62" s="747"/>
      <c r="F62" s="747"/>
      <c r="G62" s="747"/>
      <c r="H62" s="747"/>
      <c r="I62" s="747"/>
      <c r="J62" s="747"/>
      <c r="K62" s="747"/>
      <c r="L62" s="747"/>
    </row>
    <row r="63" spans="1:12" ht="15" customHeight="1" x14ac:dyDescent="0.25">
      <c r="A63" s="748" t="str">
        <f ca="1">"Datum:  " &amp; TEXT(TODAY(), "dd.mm.rrrr")</f>
        <v>Datum:  28.11.2025</v>
      </c>
      <c r="B63" s="748"/>
      <c r="C63" s="557"/>
      <c r="D63" s="556"/>
      <c r="E63" s="749" t="str">
        <f>IF('vstupní data'!B34="AdminReal, s.r.o.", "info@adminreal.cz | mobil: 607 959 876", "info@brnoreal.cz | mobil: 607 959 876")</f>
        <v>info@adminreal.cz | mobil: 607 959 876</v>
      </c>
      <c r="F63" s="749"/>
      <c r="G63" s="749"/>
      <c r="H63" s="749"/>
      <c r="I63" s="556"/>
      <c r="J63" s="750" t="str">
        <f>IF('vstupní data'!B34="AdminReal, s.r.o.", "www.adminreal.cz | www.onlinesprava.cz", "www.brnoreal.cz | www.onlinesprava.cz")</f>
        <v>www.adminreal.cz | www.onlinesprava.cz</v>
      </c>
      <c r="K63" s="750"/>
      <c r="L63" s="750"/>
    </row>
  </sheetData>
  <sheetProtection formatCells="0" formatColumns="0" formatRows="0" insertColumns="0" insertRows="0" insertHyperlinks="0" deleteColumns="0" deleteRows="0" sort="0" autoFilter="0" pivotTables="0"/>
  <mergeCells count="26">
    <mergeCell ref="A31:C31"/>
    <mergeCell ref="G31:H31"/>
    <mergeCell ref="C1:I1"/>
    <mergeCell ref="Q4:Y11"/>
    <mergeCell ref="A6:K6"/>
    <mergeCell ref="A8:D8"/>
    <mergeCell ref="E8:G8"/>
    <mergeCell ref="H8:K8"/>
    <mergeCell ref="E4:G4"/>
    <mergeCell ref="J1:K2"/>
    <mergeCell ref="F3:G3"/>
    <mergeCell ref="A62:L62"/>
    <mergeCell ref="A63:B63"/>
    <mergeCell ref="E63:H63"/>
    <mergeCell ref="J63:L63"/>
    <mergeCell ref="C32:D36"/>
    <mergeCell ref="A61:L61"/>
    <mergeCell ref="E35:K35"/>
    <mergeCell ref="G32:J32"/>
    <mergeCell ref="G33:J33"/>
    <mergeCell ref="G34:J34"/>
    <mergeCell ref="A37:L37"/>
    <mergeCell ref="A40:L40"/>
    <mergeCell ref="A43:B43"/>
    <mergeCell ref="A45:F45"/>
    <mergeCell ref="A60:L60"/>
  </mergeCells>
  <hyperlinks>
    <hyperlink ref="N2" location="Seznam!A1" display="MENU" xr:uid="{00000000-0004-0000-05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6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MF60"/>
  <sheetViews>
    <sheetView zoomScale="90" zoomScaleNormal="90" workbookViewId="0">
      <selection sqref="A1:B1"/>
    </sheetView>
  </sheetViews>
  <sheetFormatPr defaultColWidth="9.140625" defaultRowHeight="15" x14ac:dyDescent="0.25"/>
  <cols>
    <col min="1" max="1" width="61" style="2" customWidth="1"/>
    <col min="2" max="2" width="53.42578125" style="2" customWidth="1"/>
    <col min="3" max="3" width="19.28515625" style="2" customWidth="1"/>
    <col min="4" max="4" width="25.140625" style="2" customWidth="1"/>
    <col min="5" max="5" width="26.140625" style="2" customWidth="1"/>
    <col min="6" max="6" width="21.85546875" style="2" customWidth="1"/>
    <col min="7" max="7" width="17.7109375" style="2" customWidth="1"/>
    <col min="8" max="9" width="24" style="2" customWidth="1"/>
    <col min="10" max="10" width="20.42578125" style="2" customWidth="1"/>
    <col min="11" max="11" width="22" style="2" customWidth="1"/>
    <col min="12" max="12" width="23.85546875" style="2" customWidth="1"/>
    <col min="13" max="13" width="22" style="2" customWidth="1"/>
    <col min="14" max="16" width="20.7109375" style="2" customWidth="1"/>
    <col min="17" max="17" width="15.7109375" style="2" customWidth="1"/>
    <col min="18" max="34" width="10.140625" style="2" customWidth="1"/>
    <col min="35" max="35" width="9" style="2" customWidth="1"/>
    <col min="36" max="36" width="10.7109375" style="2" customWidth="1"/>
    <col min="37" max="1019" width="9" style="2" customWidth="1"/>
    <col min="1020" max="1020" width="9.140625" style="27"/>
  </cols>
  <sheetData>
    <row r="1" spans="1:40" ht="18.75" customHeight="1" x14ac:dyDescent="0.3">
      <c r="A1" s="763" t="s">
        <v>105</v>
      </c>
      <c r="B1" s="763"/>
      <c r="C1" s="27"/>
      <c r="D1" s="27"/>
      <c r="E1" s="27"/>
      <c r="F1" s="27"/>
      <c r="G1" s="27"/>
    </row>
    <row r="2" spans="1:40" x14ac:dyDescent="0.25">
      <c r="A2" s="27"/>
      <c r="B2" s="27"/>
      <c r="C2" s="27"/>
      <c r="D2" s="27"/>
      <c r="E2" s="223" t="s">
        <v>140</v>
      </c>
      <c r="F2" s="27"/>
      <c r="G2" s="27"/>
    </row>
    <row r="3" spans="1:40" x14ac:dyDescent="0.25">
      <c r="A3" s="28" t="s">
        <v>141</v>
      </c>
      <c r="B3" s="397" t="str">
        <f>C3</f>
        <v>Společenství pro dům Zborovská 939/2, Brno</v>
      </c>
      <c r="C3" s="27" t="s">
        <v>142</v>
      </c>
      <c r="D3" s="2" t="s">
        <v>143</v>
      </c>
      <c r="E3" s="224" t="s">
        <v>144</v>
      </c>
    </row>
    <row r="4" spans="1:40" ht="23.25" customHeight="1" x14ac:dyDescent="0.35">
      <c r="A4" s="592" t="s">
        <v>68</v>
      </c>
      <c r="B4" s="605" t="str">
        <f>Evidence!A2</f>
        <v>Byt č. 939/01</v>
      </c>
      <c r="C4" s="27" t="str">
        <f>SUBSTITUTE(SUBSTITUTE(SUBSTITUTE(BYT," ","-"),"---","-"),"/","")</f>
        <v>Byt-č.-93901</v>
      </c>
      <c r="D4" s="27"/>
      <c r="E4" s="224" t="s">
        <v>145</v>
      </c>
      <c r="H4" s="35"/>
      <c r="I4" s="35"/>
      <c r="J4" s="66"/>
      <c r="K4" s="178"/>
    </row>
    <row r="5" spans="1:40" x14ac:dyDescent="0.25">
      <c r="A5" s="28" t="s">
        <v>4</v>
      </c>
      <c r="B5" s="225" t="str">
        <f>VLOOKUP(BYT,Evidence!$A:$Z,2,0)</f>
        <v>Martin Klíma</v>
      </c>
      <c r="C5" s="203" t="str">
        <f>IF(D5="paní","Vážená","Vážený")</f>
        <v>Vážený</v>
      </c>
      <c r="D5" s="70" t="str">
        <f>(IF(RIGHT(B5,1)="á","paní","pane"))</f>
        <v>pane</v>
      </c>
      <c r="E5" s="2" t="str">
        <f>LEFT(VD_jméno,FIND(" ",B5)-1)</f>
        <v>Martin</v>
      </c>
      <c r="F5" s="2" t="str">
        <f>TRIM(RIGHT(SUBSTITUTE(VD_jméno," ",REPT(" ",100)),100))</f>
        <v>Klíma</v>
      </c>
    </row>
    <row r="6" spans="1:40" x14ac:dyDescent="0.25">
      <c r="A6" s="28" t="s">
        <v>146</v>
      </c>
      <c r="B6" s="225">
        <f>VLOOKUP(BYT,Evidence!1:1048576,22,0)</f>
        <v>1093900019</v>
      </c>
      <c r="C6" s="2" t="s">
        <v>147</v>
      </c>
      <c r="D6" s="27"/>
    </row>
    <row r="7" spans="1:40" x14ac:dyDescent="0.25">
      <c r="A7" s="28" t="s">
        <v>148</v>
      </c>
      <c r="B7" s="225" t="str">
        <f>VLOOKUP(BYT,Evidence!$A:$Z,11,0)</f>
        <v>8308679001/5500</v>
      </c>
      <c r="C7" s="27"/>
      <c r="D7" s="27"/>
      <c r="L7" s="766" t="s">
        <v>149</v>
      </c>
      <c r="M7" s="766"/>
      <c r="N7" s="766"/>
      <c r="O7" s="766"/>
      <c r="P7" s="759" t="s">
        <v>150</v>
      </c>
      <c r="Q7" s="760"/>
      <c r="R7" s="761" t="s">
        <v>151</v>
      </c>
      <c r="S7" s="762"/>
    </row>
    <row r="8" spans="1:40" x14ac:dyDescent="0.25">
      <c r="A8" s="28" t="s">
        <v>152</v>
      </c>
      <c r="B8" s="427" t="str">
        <f>"1.1."&amp;'vstupní data'!$B$12&amp;" - 1.12."&amp;'vstupní data'!$B$12&amp;""</f>
        <v>1.1.2024 - 1.12.2024</v>
      </c>
      <c r="C8" s="27"/>
      <c r="D8" s="27"/>
      <c r="F8" s="313" t="s">
        <v>153</v>
      </c>
      <c r="H8" s="313" t="s">
        <v>154</v>
      </c>
      <c r="J8" s="313" t="s">
        <v>155</v>
      </c>
      <c r="L8" s="475" t="s">
        <v>156</v>
      </c>
      <c r="M8" s="476" t="str">
        <f>VLOOKUP(BYT,Evidence!$A:$T,16,1)</f>
        <v>1.1.2024</v>
      </c>
      <c r="N8" s="476" t="str">
        <f>VLOOKUP(BYT,Evidence!$A:$T,17,1)</f>
        <v>31.12.2024</v>
      </c>
      <c r="O8" s="477"/>
      <c r="P8" s="27"/>
      <c r="Q8" s="27"/>
    </row>
    <row r="9" spans="1:40" x14ac:dyDescent="0.25">
      <c r="A9" s="28" t="s">
        <v>92</v>
      </c>
      <c r="B9" s="226"/>
      <c r="C9" s="32"/>
      <c r="D9" s="33"/>
      <c r="F9" s="88" t="s">
        <v>157</v>
      </c>
      <c r="G9" s="313" t="s">
        <v>158</v>
      </c>
      <c r="H9" s="88" t="s">
        <v>157</v>
      </c>
      <c r="I9" s="313" t="s">
        <v>158</v>
      </c>
      <c r="J9" s="313" t="s">
        <v>157</v>
      </c>
      <c r="K9" s="313" t="s">
        <v>159</v>
      </c>
      <c r="L9" s="475" t="s">
        <v>160</v>
      </c>
      <c r="M9" s="478">
        <f>MONTH(M8)</f>
        <v>1</v>
      </c>
      <c r="N9" s="569">
        <f>MONTH(N8)</f>
        <v>12</v>
      </c>
      <c r="O9" s="570">
        <v>12</v>
      </c>
      <c r="P9" s="261" t="s">
        <v>161</v>
      </c>
      <c r="Q9" s="27"/>
    </row>
    <row r="10" spans="1:40" x14ac:dyDescent="0.25">
      <c r="A10" s="30" t="s">
        <v>162</v>
      </c>
      <c r="B10" s="317">
        <f>VLOOKUP(BYT,'Přeplatky nedoplatky'!$A:$E,5,0)</f>
        <v>0</v>
      </c>
      <c r="C10" s="261"/>
      <c r="E10" s="88"/>
      <c r="F10" s="80" t="str">
        <f>ADDRESS(MATCH('vstupní data'!$B$4,uhrady!A:A,0),2,4,1)</f>
        <v>B2</v>
      </c>
      <c r="G10" s="5" t="str">
        <f>ADDRESS((MATCH('vstupní data'!$B$4,uhrady!A:A,0)),(MATCH($B$15,'Předpis po mesici'!$B$2:$M$2,0)+1),4)</f>
        <v>M2</v>
      </c>
      <c r="H10" s="5" t="str">
        <f>ADDRESS(MATCH('vstupní data'!$B$4,'Předpis po mesici'!A:A,0),262,4,1)</f>
        <v>JB3</v>
      </c>
      <c r="I10" s="5" t="str">
        <f>ADDRESS((MATCH('vstupní data'!$B$4,'Předpis po mesici'!A:A,0)),(MATCH($B$15,'Předpis po mesici'!$JC$2:$JN$2,0)+262),4)</f>
        <v>JN3</v>
      </c>
      <c r="J10" s="80">
        <f ca="1">F11-H11</f>
        <v>0</v>
      </c>
      <c r="K10" s="5">
        <f ca="1">G11-I11</f>
        <v>0</v>
      </c>
      <c r="L10" s="475" t="s">
        <v>163</v>
      </c>
      <c r="M10" s="478" t="str">
        <f>SUBSTITUTE(ADDRESS(1,M9+1,4),"1","")</f>
        <v>B</v>
      </c>
      <c r="N10" s="478" t="str">
        <f>SUBSTITUTE(ADDRESS(1,N9+1,4),"1","")</f>
        <v>M</v>
      </c>
      <c r="O10" s="477"/>
      <c r="P10" s="479" t="str">
        <f>SUBSTITUTE(ADDRESS(1,M9+262,4),"1","")</f>
        <v>JC</v>
      </c>
      <c r="Q10" s="479" t="str">
        <f>SUBSTITUTE(ADDRESS(1,N9+262,4),"1","")</f>
        <v>JN</v>
      </c>
      <c r="R10" s="2" t="str">
        <f>SUBSTITUTE(ADDRESS(1,M9+79,4),"1","")</f>
        <v>CB</v>
      </c>
      <c r="S10" s="2" t="str">
        <f>SUBSTITUTE(ADDRESS(1,N9+79,4),"1","")</f>
        <v>CM</v>
      </c>
    </row>
    <row r="11" spans="1:40" s="27" customFormat="1" x14ac:dyDescent="0.25">
      <c r="A11" s="30" t="s">
        <v>164</v>
      </c>
      <c r="B11" s="572">
        <f>SUM(N19:N30)-SUM(Q19:Q30)</f>
        <v>0</v>
      </c>
      <c r="C11" s="314">
        <f>'Vyúčtování byt - 1.část'!VB_preplatky_celkem</f>
        <v>-2453</v>
      </c>
      <c r="D11" s="315">
        <f>SUM(VD_přeplatek_z_minula+VD_přeplatek_aktuální_rok+C11)</f>
        <v>-2453</v>
      </c>
      <c r="F11" s="80">
        <f ca="1">_xlfn.IFNA(SUM(INDIRECT("'uhrady'!"&amp;F10&amp;":"&amp;G10)),0)</f>
        <v>45756</v>
      </c>
      <c r="G11" s="80">
        <f ca="1">LOOKUP(B4,uhrady!A:A,uhrady!N:N)-F11</f>
        <v>0</v>
      </c>
      <c r="H11" s="80">
        <f ca="1">_xlfn.IFNA(SUM(INDIRECT("'Předpis po mesici'!"&amp;H10&amp;":"&amp;I10)),0)</f>
        <v>45756</v>
      </c>
      <c r="I11" s="80">
        <f ca="1">LOOKUP(B4,'Předpis po mesici'!A:A,'Předpis po mesici'!JO:JO)-H11</f>
        <v>0</v>
      </c>
      <c r="L11" s="475" t="s">
        <v>165</v>
      </c>
      <c r="M11" s="480">
        <f>N9-M9+1</f>
        <v>12</v>
      </c>
      <c r="N11" s="480"/>
      <c r="O11" s="47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28" t="s">
        <v>166</v>
      </c>
      <c r="B12" s="225">
        <v>2024</v>
      </c>
      <c r="C12" s="27"/>
      <c r="E12" s="80"/>
      <c r="F12" s="313" t="s">
        <v>167</v>
      </c>
      <c r="G12" s="316"/>
      <c r="H12" s="313"/>
      <c r="I12" s="313"/>
      <c r="J12" s="313"/>
      <c r="K12" s="313"/>
      <c r="L12" s="475" t="s">
        <v>168</v>
      </c>
      <c r="M12" s="478" t="str">
        <f>"uhrady!"&amp;ADDRESS(MATCH(BYT,uhrady!A:A,0),2,4,1)</f>
        <v>uhrady!B2</v>
      </c>
      <c r="N12" s="478">
        <f ca="1">ROW(INDIRECT(M12))</f>
        <v>2</v>
      </c>
      <c r="O12" s="477"/>
      <c r="P12" s="479" t="str">
        <f>"'Předpis po mesici'!"&amp;ADDRESS(MATCH(BYT,'Předpis po mesici'!A:A,0),2,4,1)</f>
        <v>'Předpis po mesici'!B3</v>
      </c>
      <c r="Q12" s="479">
        <f ca="1">ROW(INDIRECT(P12))</f>
        <v>3</v>
      </c>
      <c r="R12" s="2" t="str">
        <f>"'Předpis po mesici'!"&amp;ADDRESS(MATCH(BYT,'Předpis po mesici'!A:A,0),2,4,1)</f>
        <v>'Předpis po mesici'!B3</v>
      </c>
      <c r="S12" s="2">
        <f ca="1">ROW(INDIRECT(R12))</f>
        <v>3</v>
      </c>
    </row>
    <row r="13" spans="1:40" x14ac:dyDescent="0.25">
      <c r="A13" s="28" t="s">
        <v>169</v>
      </c>
      <c r="B13" s="227" t="s">
        <v>170</v>
      </c>
      <c r="C13" s="27"/>
      <c r="E13" s="27"/>
      <c r="F13" s="80" t="str">
        <f>ADDRESS(MATCH('vstupní data'!$B$4,'Předpis po mesici'!A:A,0),80,4,1)</f>
        <v>CB3</v>
      </c>
      <c r="G13" s="80" t="str">
        <f>ADDRESS((MATCH('vstupní data'!$B$4,'Předpis po mesici'!A:A,0)),(MATCH($B$15,'Předpis po mesici'!$B$2:$M$2,0)+79),4)</f>
        <v>CM3</v>
      </c>
      <c r="H13" s="5"/>
      <c r="I13" s="5"/>
      <c r="J13" s="5"/>
      <c r="K13" s="5"/>
      <c r="L13" s="480"/>
      <c r="M13" s="480"/>
      <c r="N13" s="480"/>
      <c r="O13" s="477"/>
      <c r="P13" s="27"/>
      <c r="Q13" s="27"/>
    </row>
    <row r="14" spans="1:40" x14ac:dyDescent="0.25">
      <c r="A14" s="28"/>
      <c r="B14" s="225"/>
      <c r="C14" s="187" t="s">
        <v>171</v>
      </c>
      <c r="D14" s="171" t="s">
        <v>172</v>
      </c>
      <c r="E14" s="27"/>
      <c r="F14" s="80">
        <f ca="1">_xlfn.IFNA(SUM(INDIRECT("'Předpis po mesici'!"&amp;F13&amp;":"&amp;G13)),0)</f>
        <v>31956</v>
      </c>
      <c r="G14" s="80">
        <f ca="1">LOOKUP(B4,'Předpis po mesici'!A:A,'Předpis po mesici'!CN:CN)-F14</f>
        <v>0</v>
      </c>
      <c r="H14" s="5"/>
      <c r="I14" s="5"/>
      <c r="J14" s="5"/>
      <c r="K14" s="5"/>
      <c r="L14" s="475" t="s">
        <v>173</v>
      </c>
      <c r="M14" s="478" t="str">
        <f ca="1">M10&amp;$N12</f>
        <v>B2</v>
      </c>
      <c r="N14" s="478" t="str">
        <f ca="1">N10&amp;$N12</f>
        <v>M2</v>
      </c>
      <c r="O14" s="477"/>
      <c r="P14" s="481" t="str">
        <f ca="1">P10&amp;$Q12</f>
        <v>JC3</v>
      </c>
      <c r="Q14" s="481" t="str">
        <f ca="1">Q10&amp;$Q12</f>
        <v>JN3</v>
      </c>
      <c r="R14" s="2" t="str">
        <f ca="1">R10&amp;$S12</f>
        <v>CB3</v>
      </c>
      <c r="S14" s="2" t="str">
        <f ca="1">S10&amp;$S12</f>
        <v>CM3</v>
      </c>
    </row>
    <row r="15" spans="1:40" x14ac:dyDescent="0.25">
      <c r="A15" s="28" t="s">
        <v>174</v>
      </c>
      <c r="B15" s="186">
        <f>M11</f>
        <v>12</v>
      </c>
      <c r="C15" s="204">
        <f>12-B15</f>
        <v>0</v>
      </c>
      <c r="D15" s="208" t="s">
        <v>175</v>
      </c>
      <c r="E15" s="27"/>
      <c r="F15" s="27"/>
      <c r="G15" s="27"/>
      <c r="L15" s="482" t="s">
        <v>176</v>
      </c>
      <c r="M15" s="478" t="str">
        <f ca="1">"uhrady!"&amp;_xlfn.CONCAT(M14,":",N14)</f>
        <v>uhrady!B2:M2</v>
      </c>
      <c r="N15" s="483"/>
      <c r="O15" s="484"/>
      <c r="P15" s="481" t="str">
        <f ca="1">"'Předpis po mesici'!"&amp;_xlfn.CONCAT(P14,":",Q14)</f>
        <v>'Předpis po mesici'!JC3:JN3</v>
      </c>
      <c r="Q15" s="27"/>
      <c r="R15" s="2" t="str">
        <f ca="1">"'Předpis po mesici'!"&amp;_xlfn.CONCAT(R14,":",S14)</f>
        <v>'Předpis po mesici'!CB3:CM3</v>
      </c>
    </row>
    <row r="16" spans="1:40" x14ac:dyDescent="0.25">
      <c r="A16" s="28"/>
      <c r="B16" s="228"/>
      <c r="C16" s="764" t="s">
        <v>177</v>
      </c>
      <c r="D16" s="764"/>
      <c r="E16" s="764"/>
      <c r="F16" s="765" t="s">
        <v>178</v>
      </c>
      <c r="G16" s="765"/>
      <c r="H16" s="765"/>
      <c r="L16" s="477"/>
      <c r="M16" s="480"/>
      <c r="N16" s="480"/>
      <c r="O16" s="477"/>
      <c r="P16" s="27"/>
      <c r="Q16" s="27"/>
    </row>
    <row r="17" spans="1:40" ht="15.75" customHeight="1" x14ac:dyDescent="0.25">
      <c r="A17" s="28" t="s">
        <v>179</v>
      </c>
      <c r="B17" s="225">
        <v>19</v>
      </c>
      <c r="C17" s="104" t="str">
        <f>"1.1."&amp;'vstupní data'!B12&amp;""</f>
        <v>1.1.2024</v>
      </c>
      <c r="D17" s="205">
        <f>EDATE(C17,B15)-1</f>
        <v>45657</v>
      </c>
      <c r="E17" s="206" t="str">
        <f>(""&amp;'vstupní data'!C18&amp;" - "&amp;'vstupní data'!D18&amp;"")</f>
        <v>1.1.2024 - 31.12.2024</v>
      </c>
      <c r="F17" s="207">
        <f>EDATE(C17,B15)</f>
        <v>45658</v>
      </c>
      <c r="G17" s="207">
        <f>EDATE(D17,C15)</f>
        <v>45657</v>
      </c>
      <c r="H17" s="20" t="str">
        <f>(""&amp;'vstupní data'!F18&amp;" - "&amp;'vstupní data'!G18&amp;"")</f>
        <v>1.1.2025 - 31.12.2024</v>
      </c>
      <c r="L17" s="475" t="s">
        <v>180</v>
      </c>
      <c r="M17" s="487">
        <f ca="1">SUM(INDIRECT(M15))</f>
        <v>45756</v>
      </c>
      <c r="N17" s="480"/>
      <c r="O17" s="477"/>
      <c r="P17" s="568">
        <f ca="1">SUM(INDIRECT(P15))</f>
        <v>45756</v>
      </c>
      <c r="Q17" s="27"/>
      <c r="R17" s="488">
        <f ca="1">SUM(INDIRECT(R15))</f>
        <v>31956</v>
      </c>
    </row>
    <row r="18" spans="1:40" ht="15.75" customHeight="1" x14ac:dyDescent="0.25">
      <c r="A18" s="28" t="s">
        <v>181</v>
      </c>
      <c r="B18" s="225">
        <v>943</v>
      </c>
      <c r="C18" s="63" t="str">
        <f>""&amp;TEXT(C17,"d.m.rrrr")</f>
        <v>1.1.2024</v>
      </c>
      <c r="D18" s="63" t="str">
        <f>""&amp;TEXT(D17,"d.m.rrrr")</f>
        <v>31.12.2024</v>
      </c>
      <c r="E18" s="155"/>
      <c r="F18" s="63" t="str">
        <f>""&amp;TEXT(F17,"d.m.rrrr")</f>
        <v>1.1.2025</v>
      </c>
      <c r="G18" s="63" t="str">
        <f>""&amp;TEXT(G17,"d.m.rrrr")</f>
        <v>31.12.2024</v>
      </c>
      <c r="H18" s="29"/>
      <c r="L18" s="477"/>
      <c r="M18" s="758" t="s">
        <v>112</v>
      </c>
      <c r="N18" s="758"/>
      <c r="O18" s="477"/>
      <c r="P18" s="566" t="s">
        <v>182</v>
      </c>
      <c r="Q18" s="567" t="s">
        <v>183</v>
      </c>
      <c r="R18" s="566" t="s">
        <v>182</v>
      </c>
      <c r="S18" s="767" t="str">
        <f>("Služby "&amp;'vstupní data'!B4&amp;"")</f>
        <v>Služby Byt č. 939/01</v>
      </c>
      <c r="T18" s="768"/>
      <c r="U18" s="768"/>
      <c r="V18" s="768"/>
      <c r="W18" s="768"/>
      <c r="X18" s="768"/>
      <c r="Y18" s="768"/>
      <c r="Z18" s="768"/>
      <c r="AA18" s="768"/>
      <c r="AB18" s="768"/>
      <c r="AC18" s="768"/>
      <c r="AD18" s="768"/>
      <c r="AE18" s="768"/>
      <c r="AF18" s="768"/>
      <c r="AG18" s="768"/>
      <c r="AH18" s="768"/>
      <c r="AI18" s="768"/>
      <c r="AJ18" s="768"/>
      <c r="AK18" s="768"/>
      <c r="AL18" s="768"/>
      <c r="AM18" s="769"/>
    </row>
    <row r="19" spans="1:40" x14ac:dyDescent="0.25">
      <c r="A19" s="28" t="s">
        <v>184</v>
      </c>
      <c r="B19" s="225">
        <v>0</v>
      </c>
      <c r="C19" s="80"/>
      <c r="D19" s="80"/>
      <c r="E19" s="27"/>
      <c r="F19" s="80"/>
      <c r="G19" s="80"/>
      <c r="L19" s="475" t="s">
        <v>185</v>
      </c>
      <c r="M19" s="485">
        <v>1</v>
      </c>
      <c r="N19" s="571">
        <f>IF(AND(M19&gt;=$M$9,M19&lt;=$O$9),VLOOKUP(BYT,uhrady!$A$2:$M$102,M19+1,FALSE),0)</f>
        <v>3813</v>
      </c>
      <c r="O19" s="477"/>
      <c r="P19" s="565">
        <v>1</v>
      </c>
      <c r="Q19" s="565">
        <f>IF(AND(P19&gt;=$M$9,P19&lt;=$O$9),VLOOKUP(BYT,'Předpis po mesici'!$A$3:$JQ$102,P19+262,FALSE),0)</f>
        <v>3813</v>
      </c>
      <c r="R19" s="565">
        <v>1</v>
      </c>
      <c r="S19" s="565">
        <f>IF(AND(P19&gt;=$M$9,P19&lt;=$N$9),VLOOKUP(BYT,'Předpis po mesici'!$A$3:$JQ$102,P19+79,FALSE),0)</f>
        <v>2663</v>
      </c>
      <c r="T19" s="565">
        <f>IF(AND(P19&gt;=$M$9,P19&lt;=$N$9),VLOOKUP(BYT,'Předpis po mesici'!$A$3:$JQ$102,P19+1,FALSE),0)</f>
        <v>45</v>
      </c>
      <c r="U19" s="565">
        <f>IF(AND(P19&gt;=$M$9,P19&lt;=$N$9),VLOOKUP(BYT,'Předpis po mesici'!$A$3:$JQ$102,P19+14,FALSE),0)</f>
        <v>250</v>
      </c>
      <c r="V19" s="565">
        <f>IF(AND(P19&gt;=$M$9,P19&lt;=$N$9),VLOOKUP(BYT,'Předpis po mesici'!$A$3:$JQ$102,P19+27,FALSE),0)</f>
        <v>45</v>
      </c>
      <c r="W19" s="565">
        <f>IF(AND(P19&gt;=$M$9,P19&lt;=$N$9),VLOOKUP(BYT,'Předpis po mesici'!$A$3:$JQ$102,P19+40,FALSE),0)</f>
        <v>0</v>
      </c>
      <c r="X19" s="565">
        <f>IF(AND(P19&gt;=$M$9,P19&lt;=$N$9),VLOOKUP(BYT,'Předpis po mesici'!$A$3:$JQ$102,P19+53,FALSE),0)</f>
        <v>690</v>
      </c>
      <c r="Y19" s="565">
        <f>IF(AND(P19&gt;=$M$9,P19&lt;=$N$9),VLOOKUP(BYT,'Předpis po mesici'!$A$3:$JQ$102,P19+66,FALSE),0)</f>
        <v>120</v>
      </c>
      <c r="Z19" s="565">
        <f>IF(AND(P19&gt;=$M$9,P19&lt;=$N$9),VLOOKUP(BYT,'Předpis po mesici'!$A$3:$JQ$102,P19+92,FALSE),0)</f>
        <v>0</v>
      </c>
      <c r="AA19" s="565">
        <f>IF(AND(P19&gt;=$M$9,P19&lt;=$N$9),VLOOKUP(BYT,'Předpis po mesici'!$A$3:$JQ$102,P19+105,FALSE),0)</f>
        <v>0</v>
      </c>
      <c r="AB19" s="565">
        <f>IF(AND(P19&gt;=$M$9,P19&lt;=$N$9),VLOOKUP(BYT,'Předpis po mesici'!$A$3:$JQ$102,P19+118,FALSE),0)</f>
        <v>0</v>
      </c>
      <c r="AC19" s="565">
        <f>IF(AND(P19&gt;=$M$9,P19&lt;=$N$9),VLOOKUP(BYT,'Předpis po mesici'!$A$3:$JQ$102,P19+131,FALSE),0)</f>
        <v>0</v>
      </c>
      <c r="AD19" s="565">
        <f>IF(AND(P19&gt;=$M$9,P19&lt;=$N$9),VLOOKUP(BYT,'Předpis po mesici'!$A$3:$JQ$102,P19+170,FALSE),0)</f>
        <v>0</v>
      </c>
      <c r="AE19" s="565">
        <f>IF(AND(P19&gt;=$M$9,P19&lt;=$N$9),VLOOKUP(BYT,'Předpis po mesici'!$A$3:$JQ$102,P19+183,FALSE),0)</f>
        <v>0</v>
      </c>
      <c r="AF19" s="565">
        <f>IF(AND(P19&gt;=$M$9,P19&lt;=$N$9),VLOOKUP(BYT,'Předpis po mesici'!$A$3:$JQ$102,P19+196,FALSE),0)</f>
        <v>0</v>
      </c>
      <c r="AG19" s="565">
        <f>IF(AND(P19&gt;=$M$9,P19&lt;=$N$9),VLOOKUP(BYT,'Předpis po mesici'!$A$3:$JQ$102,P19+209,FALSE),0)</f>
        <v>0</v>
      </c>
      <c r="AH19" s="565">
        <f>IF(AND(P19&gt;=$M$9,P19&lt;=$N$9),VLOOKUP(BYT,'Předpis po mesici'!$A$3:$JQ$102,P19+222,FALSE),0)</f>
        <v>0</v>
      </c>
      <c r="AI19" s="565">
        <f>IF(AND(P19&gt;=$M$9,P19&lt;=$N$9),VLOOKUP(BYT,'Předpis po mesici'!$A$3:$JQ$102,P19+157,FALSE),0)</f>
        <v>0</v>
      </c>
      <c r="AJ19" s="565">
        <f>IF(AND(P19&gt;=$M$9,P19&lt;=$N$9),VLOOKUP(BYT,'Počet osob'!$A$2:$JR$102,P19+2,FALSE),0)</f>
        <v>4</v>
      </c>
      <c r="AK19" s="565">
        <f>IF(AND(P19&gt;=$M$9,P19&lt;=$N$9),VLOOKUP(BYT,'Předpis po mesici'!$A$3:$JQ$102,P19+144,FALSE),0)</f>
        <v>0</v>
      </c>
      <c r="AL19" s="565">
        <f>IF(AND(P19&gt;=$M$9,P19&lt;=$N$9),VLOOKUP(BYT,'Předpis po mesici'!$A$3:$JQ$102,P19+248,FALSE),0)</f>
        <v>0</v>
      </c>
      <c r="AM19" s="565">
        <f>IF(AND(P19&gt;=$M$9,P19&lt;=$N$9),VLOOKUP(BYT,'Předpis po mesici'!$A$3:$JQ$102,P19+235,FALSE),0)</f>
        <v>0</v>
      </c>
      <c r="AN19" s="2">
        <f>IF(AND(P19&gt;=$M$9,P19&lt;=$N$9),VLOOKUP(BYT,'Předpis po mesici'!$A$3:$JQ$102,P19+235,FALSE),0)</f>
        <v>0</v>
      </c>
    </row>
    <row r="20" spans="1:40" x14ac:dyDescent="0.25">
      <c r="A20" s="28" t="s">
        <v>186</v>
      </c>
      <c r="B20" s="21">
        <f>Evidence!F104</f>
        <v>14</v>
      </c>
      <c r="C20" s="34"/>
      <c r="F20" s="27"/>
      <c r="G20" s="27"/>
      <c r="L20" s="477"/>
      <c r="M20" s="485">
        <v>2</v>
      </c>
      <c r="N20" s="571">
        <f>IF(AND(M20&gt;=$M$9,M20&lt;=$O$9),VLOOKUP(BYT,uhrady!$A$2:$M$102,M20+1,FALSE),0)</f>
        <v>0</v>
      </c>
      <c r="O20" s="477"/>
      <c r="P20" s="486">
        <v>2</v>
      </c>
      <c r="Q20" s="486">
        <f>IF(AND(P20&gt;=$M$9,P20&lt;=$O$9),VLOOKUP(BYT,'Předpis po mesici'!$A$3:$JQ$102,P20+262,FALSE),0)</f>
        <v>3813</v>
      </c>
      <c r="R20" s="486">
        <v>2</v>
      </c>
      <c r="S20" s="486">
        <f>IF(AND(P20&gt;=$M$9,P20&lt;=$N$9),VLOOKUP(BYT,'Předpis po mesici'!$A$3:$JQ$102,P20+79,FALSE),0)</f>
        <v>2663</v>
      </c>
      <c r="T20" s="486">
        <f>IF(AND(P20&gt;=$M$9,P20&lt;=$N$9),VLOOKUP(BYT,'Předpis po mesici'!$A$3:$JQ$102,P20+1,FALSE),0)</f>
        <v>45</v>
      </c>
      <c r="U20" s="486">
        <f>IF(AND(P20&gt;=$M$9,P20&lt;=$N$9),VLOOKUP(BYT,'Předpis po mesici'!$A$3:$JQ$102,P20+14,FALSE),0)</f>
        <v>250</v>
      </c>
      <c r="V20" s="486">
        <f>IF(AND(P20&gt;=$M$9,P20&lt;=$N$9),VLOOKUP(BYT,'Předpis po mesici'!$A$3:$JQ$102,P20+27,FALSE),0)</f>
        <v>45</v>
      </c>
      <c r="W20" s="486">
        <f>IF(AND(P20&gt;=$M$9,P20&lt;=$N$9),VLOOKUP(BYT,'Předpis po mesici'!$A$3:$JQ$102,P20+40,FALSE),0)</f>
        <v>0</v>
      </c>
      <c r="X20" s="486">
        <f>IF(AND(P20&gt;=$M$9,P20&lt;=$N$9),VLOOKUP(BYT,'Předpis po mesici'!$A$3:$JQ$102,P20+53,FALSE),0)</f>
        <v>690</v>
      </c>
      <c r="Y20" s="486">
        <f>IF(AND(P20&gt;=$M$9,P20&lt;=$N$9),VLOOKUP(BYT,'Předpis po mesici'!$A$3:$JQ$102,P20+66,FALSE),0)</f>
        <v>120</v>
      </c>
      <c r="Z20" s="486">
        <f>IF(AND(P20&gt;=$M$9,P20&lt;=$N$9),VLOOKUP(BYT,'Předpis po mesici'!$A$3:$JQ$102,P20+92,FALSE),0)</f>
        <v>0</v>
      </c>
      <c r="AA20" s="486">
        <f>IF(AND(P20&gt;=$M$9,P20&lt;=$N$9),VLOOKUP(BYT,'Předpis po mesici'!$A$3:$JQ$102,P20+105,FALSE),0)</f>
        <v>0</v>
      </c>
      <c r="AB20" s="486">
        <f>IF(AND(P20&gt;=$M$9,P20&lt;=$N$9),VLOOKUP(BYT,'Předpis po mesici'!$A$3:$JQ$102,P20+118,FALSE),0)</f>
        <v>0</v>
      </c>
      <c r="AC20" s="486">
        <f>IF(AND(P20&gt;=$M$9,P20&lt;=$N$9),VLOOKUP(BYT,'Předpis po mesici'!$A$3:$JQ$102,P20+131,FALSE),0)</f>
        <v>0</v>
      </c>
      <c r="AD20" s="486">
        <f>IF(AND(P20&gt;=$M$9,P20&lt;=$N$9),VLOOKUP(BYT,'Předpis po mesici'!$A$3:$JQ$102,P20+170,FALSE),0)</f>
        <v>0</v>
      </c>
      <c r="AE20" s="486">
        <f>IF(AND(P20&gt;=$M$9,P20&lt;=$N$9),VLOOKUP(BYT,'Předpis po mesici'!$A$3:$JQ$102,P20+183,FALSE),0)</f>
        <v>0</v>
      </c>
      <c r="AF20" s="486">
        <f>IF(AND(P20&gt;=$M$9,P20&lt;=$N$9),VLOOKUP(BYT,'Předpis po mesici'!$A$3:$JQ$102,P20+196,FALSE),0)</f>
        <v>0</v>
      </c>
      <c r="AG20" s="486">
        <f>IF(AND(P20&gt;=$M$9,P20&lt;=$N$9),VLOOKUP(BYT,'Předpis po mesici'!$A$3:$JQ$102,P20+209,FALSE),0)</f>
        <v>0</v>
      </c>
      <c r="AH20" s="486">
        <f>IF(AND(P20&gt;=$M$9,P20&lt;=$N$9),VLOOKUP(BYT,'Předpis po mesici'!$A$3:$JQ$102,P20+222,FALSE),0)</f>
        <v>0</v>
      </c>
      <c r="AI20" s="486">
        <f>IF(AND(P20&gt;=$M$9,P20&lt;=$N$9),VLOOKUP(BYT,'Předpis po mesici'!$A$3:$JQ$102,P20+157,FALSE),0)</f>
        <v>0</v>
      </c>
      <c r="AJ20" s="486">
        <f>IF(AND(P20&gt;=$M$9,P20&lt;=$N$9),VLOOKUP(BYT,'Počet osob'!$A$2:$JR$102,P20+2,FALSE),0)</f>
        <v>4</v>
      </c>
      <c r="AK20" s="486">
        <f>IF(AND(P20&gt;=$M$9,P20&lt;=$N$9),VLOOKUP(BYT,'Předpis po mesici'!$A$3:$JQ$102,P20+144,FALSE),0)</f>
        <v>0</v>
      </c>
      <c r="AL20" s="486">
        <f>IF(AND(P20&gt;=$M$9,P20&lt;=$N$9),VLOOKUP(BYT,'Předpis po mesici'!$A$3:$JQ$102,P20+248,FALSE),0)</f>
        <v>0</v>
      </c>
      <c r="AM20" s="486">
        <f>IF(AND(P20&gt;=$M$9,P20&lt;=$N$9),VLOOKUP(BYT,'Předpis po mesici'!$A$3:$JQ$102,P20+235,FALSE),0)</f>
        <v>0</v>
      </c>
      <c r="AN20" s="2">
        <f>IF(AND(P20&gt;=$M$9,P20&lt;=$N$9),VLOOKUP(BYT,'Předpis po mesici'!$A$3:$JQ$102,P20+235,FALSE),0)</f>
        <v>0</v>
      </c>
    </row>
    <row r="21" spans="1:40" x14ac:dyDescent="0.25">
      <c r="A21" s="28" t="s">
        <v>187</v>
      </c>
      <c r="B21" s="21">
        <f>'Počet osob'!O104</f>
        <v>439</v>
      </c>
      <c r="C21" s="2">
        <f>'Počet osob'!P104</f>
        <v>307</v>
      </c>
      <c r="F21" s="27"/>
      <c r="G21" s="27"/>
      <c r="L21" s="484"/>
      <c r="M21" s="485">
        <v>3</v>
      </c>
      <c r="N21" s="571">
        <f>IF(AND(M21&gt;=$M$9,M21&lt;=$O$9),VLOOKUP(BYT,uhrady!$A$2:$M$102,M21+1,FALSE),0)</f>
        <v>7626</v>
      </c>
      <c r="O21" s="477"/>
      <c r="P21" s="486">
        <v>3</v>
      </c>
      <c r="Q21" s="486">
        <f>IF(AND(P21&gt;=$M$9,P21&lt;=$O$9),VLOOKUP(BYT,'Předpis po mesici'!$A$3:$JQ$102,P21+262,FALSE),0)</f>
        <v>3813</v>
      </c>
      <c r="R21" s="486">
        <v>3</v>
      </c>
      <c r="S21" s="486">
        <f>IF(AND(P21&gt;=$M$9,P21&lt;=$N$9),VLOOKUP(BYT,'Předpis po mesici'!$A$3:$JQ$102,P21+79,FALSE),0)</f>
        <v>2663</v>
      </c>
      <c r="T21" s="486">
        <f>IF(AND(P21&gt;=$M$9,P21&lt;=$N$9),VLOOKUP(BYT,'Předpis po mesici'!$A$3:$JQ$102,P21+1,FALSE),0)</f>
        <v>45</v>
      </c>
      <c r="U21" s="486">
        <f>IF(AND(P21&gt;=$M$9,P21&lt;=$N$9),VLOOKUP(BYT,'Předpis po mesici'!$A$3:$JQ$102,P21+14,FALSE),0)</f>
        <v>250</v>
      </c>
      <c r="V21" s="486">
        <f>IF(AND(P21&gt;=$M$9,P21&lt;=$N$9),VLOOKUP(BYT,'Předpis po mesici'!$A$3:$JQ$102,P21+27,FALSE),0)</f>
        <v>45</v>
      </c>
      <c r="W21" s="486">
        <f>IF(AND(P21&gt;=$M$9,P21&lt;=$N$9),VLOOKUP(BYT,'Předpis po mesici'!$A$3:$JQ$102,P21+40,FALSE),0)</f>
        <v>0</v>
      </c>
      <c r="X21" s="486">
        <f>IF(AND(P21&gt;=$M$9,P21&lt;=$N$9),VLOOKUP(BYT,'Předpis po mesici'!$A$3:$JQ$102,P21+53,FALSE),0)</f>
        <v>690</v>
      </c>
      <c r="Y21" s="486">
        <f>IF(AND(P21&gt;=$M$9,P21&lt;=$N$9),VLOOKUP(BYT,'Předpis po mesici'!$A$3:$JQ$102,P21+66,FALSE),0)</f>
        <v>120</v>
      </c>
      <c r="Z21" s="486">
        <f>IF(AND(P21&gt;=$M$9,P21&lt;=$N$9),VLOOKUP(BYT,'Předpis po mesici'!$A$3:$JQ$102,P21+92,FALSE),0)</f>
        <v>0</v>
      </c>
      <c r="AA21" s="486">
        <f>IF(AND(P21&gt;=$M$9,P21&lt;=$N$9),VLOOKUP(BYT,'Předpis po mesici'!$A$3:$JQ$102,P21+105,FALSE),0)</f>
        <v>0</v>
      </c>
      <c r="AB21" s="486">
        <f>IF(AND(P21&gt;=$M$9,P21&lt;=$N$9),VLOOKUP(BYT,'Předpis po mesici'!$A$3:$JQ$102,P21+118,FALSE),0)</f>
        <v>0</v>
      </c>
      <c r="AC21" s="486">
        <f>IF(AND(P21&gt;=$M$9,P21&lt;=$N$9),VLOOKUP(BYT,'Předpis po mesici'!$A$3:$JQ$102,P21+131,FALSE),0)</f>
        <v>0</v>
      </c>
      <c r="AD21" s="486">
        <f>IF(AND(P21&gt;=$M$9,P21&lt;=$N$9),VLOOKUP(BYT,'Předpis po mesici'!$A$3:$JQ$102,P21+170,FALSE),0)</f>
        <v>0</v>
      </c>
      <c r="AE21" s="486">
        <f>IF(AND(P21&gt;=$M$9,P21&lt;=$N$9),VLOOKUP(BYT,'Předpis po mesici'!$A$3:$JQ$102,P21+183,FALSE),0)</f>
        <v>0</v>
      </c>
      <c r="AF21" s="486">
        <f>IF(AND(P21&gt;=$M$9,P21&lt;=$N$9),VLOOKUP(BYT,'Předpis po mesici'!$A$3:$JQ$102,P21+196,FALSE),0)</f>
        <v>0</v>
      </c>
      <c r="AG21" s="486">
        <f>IF(AND(P21&gt;=$M$9,P21&lt;=$N$9),VLOOKUP(BYT,'Předpis po mesici'!$A$3:$JQ$102,P21+209,FALSE),0)</f>
        <v>0</v>
      </c>
      <c r="AH21" s="486">
        <f>IF(AND(P21&gt;=$M$9,P21&lt;=$N$9),VLOOKUP(BYT,'Předpis po mesici'!$A$3:$JQ$102,P21+222,FALSE),0)</f>
        <v>0</v>
      </c>
      <c r="AI21" s="486">
        <f>IF(AND(P21&gt;=$M$9,P21&lt;=$N$9),VLOOKUP(BYT,'Předpis po mesici'!$A$3:$JQ$102,P21+157,FALSE),0)</f>
        <v>0</v>
      </c>
      <c r="AJ21" s="486">
        <f>IF(AND(P21&gt;=$M$9,P21&lt;=$N$9),VLOOKUP(BYT,'Počet osob'!$A$2:$JR$102,P21+2,FALSE),0)</f>
        <v>4</v>
      </c>
      <c r="AK21" s="486">
        <f>IF(AND(P21&gt;=$M$9,P21&lt;=$N$9),VLOOKUP(BYT,'Předpis po mesici'!$A$3:$JQ$102,P21+144,FALSE),0)</f>
        <v>0</v>
      </c>
      <c r="AL21" s="486">
        <f>IF(AND(P21&gt;=$M$9,P21&lt;=$N$9),VLOOKUP(BYT,'Předpis po mesici'!$A$3:$JQ$102,P21+248,FALSE),0)</f>
        <v>0</v>
      </c>
      <c r="AM21" s="486">
        <f>IF(AND(P21&gt;=$M$9,P21&lt;=$N$9),VLOOKUP(BYT,'Předpis po mesici'!$A$3:$JQ$102,P21+235,FALSE),0)</f>
        <v>0</v>
      </c>
      <c r="AN21" s="2">
        <f>IF(AND(P21&gt;=$M$9,P21&lt;=$N$9),VLOOKUP(BYT,'Předpis po mesici'!$A$3:$JQ$102,P21+235,FALSE),0)</f>
        <v>0</v>
      </c>
    </row>
    <row r="22" spans="1:40" x14ac:dyDescent="0.25">
      <c r="A22" s="28" t="s">
        <v>188</v>
      </c>
      <c r="B22" s="465" t="str">
        <f>B35</f>
        <v>2100704207/2010</v>
      </c>
      <c r="C22" s="466" t="str">
        <f>IF(VLOOKUP(DŮM,'Bytové domy'!$A:$J,8,FALSE)="","",(VLOOKUP(DŮM,'Bytové domy'!$A:$J,8,FALSE)))</f>
        <v/>
      </c>
      <c r="D22" s="467">
        <f>VLOOKUP(DŮM,'Bytové domy'!$A:$J,9,0)</f>
        <v>2100704207</v>
      </c>
      <c r="E22" s="506">
        <f>VLOOKUP(DŮM,'Bytové domy'!$A:$J,10,0)</f>
        <v>2010</v>
      </c>
      <c r="F22" s="27"/>
      <c r="G22" s="27"/>
      <c r="L22" s="477"/>
      <c r="M22" s="485">
        <v>4</v>
      </c>
      <c r="N22" s="571">
        <f>IF(AND(M22&gt;=$M$9,M22&lt;=$O$9),VLOOKUP(BYT,uhrady!$A$2:$M$102,M22+1,FALSE),0)</f>
        <v>3813</v>
      </c>
      <c r="O22" s="477"/>
      <c r="P22" s="486">
        <v>4</v>
      </c>
      <c r="Q22" s="486">
        <f>IF(AND(P22&gt;=$M$9,P22&lt;=$O$9),VLOOKUP(BYT,'Předpis po mesici'!$A$3:$JQ$102,P22+262,FALSE),0)</f>
        <v>3813</v>
      </c>
      <c r="R22" s="486">
        <v>4</v>
      </c>
      <c r="S22" s="486">
        <f>IF(AND(P22&gt;=$M$9,P22&lt;=$N$9),VLOOKUP(BYT,'Předpis po mesici'!$A$3:$JQ$102,P22+79,FALSE),0)</f>
        <v>2663</v>
      </c>
      <c r="T22" s="486">
        <f>IF(AND(P22&gt;=$M$9,P22&lt;=$N$9),VLOOKUP(BYT,'Předpis po mesici'!$A$3:$JQ$102,P22+1,FALSE),0)</f>
        <v>45</v>
      </c>
      <c r="U22" s="486">
        <f>IF(AND(P22&gt;=$M$9,P22&lt;=$N$9),VLOOKUP(BYT,'Předpis po mesici'!$A$3:$JQ$102,P22+14,FALSE),0)</f>
        <v>250</v>
      </c>
      <c r="V22" s="486">
        <f>IF(AND(P22&gt;=$M$9,P22&lt;=$N$9),VLOOKUP(BYT,'Předpis po mesici'!$A$3:$JQ$102,P22+27,FALSE),0)</f>
        <v>45</v>
      </c>
      <c r="W22" s="486">
        <f>IF(AND(P22&gt;=$M$9,P22&lt;=$N$9),VLOOKUP(BYT,'Předpis po mesici'!$A$3:$JQ$102,P22+40,FALSE),0)</f>
        <v>0</v>
      </c>
      <c r="X22" s="486">
        <f>IF(AND(P22&gt;=$M$9,P22&lt;=$N$9),VLOOKUP(BYT,'Předpis po mesici'!$A$3:$JQ$102,P22+53,FALSE),0)</f>
        <v>690</v>
      </c>
      <c r="Y22" s="486">
        <f>IF(AND(P22&gt;=$M$9,P22&lt;=$N$9),VLOOKUP(BYT,'Předpis po mesici'!$A$3:$JQ$102,P22+66,FALSE),0)</f>
        <v>120</v>
      </c>
      <c r="Z22" s="486">
        <f>IF(AND(P22&gt;=$M$9,P22&lt;=$N$9),VLOOKUP(BYT,'Předpis po mesici'!$A$3:$JQ$102,P22+92,FALSE),0)</f>
        <v>0</v>
      </c>
      <c r="AA22" s="486">
        <f>IF(AND(P22&gt;=$M$9,P22&lt;=$N$9),VLOOKUP(BYT,'Předpis po mesici'!$A$3:$JQ$102,P22+105,FALSE),0)</f>
        <v>0</v>
      </c>
      <c r="AB22" s="486">
        <f>IF(AND(P22&gt;=$M$9,P22&lt;=$N$9),VLOOKUP(BYT,'Předpis po mesici'!$A$3:$JQ$102,P22+118,FALSE),0)</f>
        <v>0</v>
      </c>
      <c r="AC22" s="486">
        <f>IF(AND(P22&gt;=$M$9,P22&lt;=$N$9),VLOOKUP(BYT,'Předpis po mesici'!$A$3:$JQ$102,P22+131,FALSE),0)</f>
        <v>0</v>
      </c>
      <c r="AD22" s="486">
        <f>IF(AND(P22&gt;=$M$9,P22&lt;=$N$9),VLOOKUP(BYT,'Předpis po mesici'!$A$3:$JQ$102,P22+170,FALSE),0)</f>
        <v>0</v>
      </c>
      <c r="AE22" s="486">
        <f>IF(AND(P22&gt;=$M$9,P22&lt;=$N$9),VLOOKUP(BYT,'Předpis po mesici'!$A$3:$JQ$102,P22+183,FALSE),0)</f>
        <v>0</v>
      </c>
      <c r="AF22" s="486">
        <f>IF(AND(P22&gt;=$M$9,P22&lt;=$N$9),VLOOKUP(BYT,'Předpis po mesici'!$A$3:$JQ$102,P22+196,FALSE),0)</f>
        <v>0</v>
      </c>
      <c r="AG22" s="486">
        <f>IF(AND(P22&gt;=$M$9,P22&lt;=$N$9),VLOOKUP(BYT,'Předpis po mesici'!$A$3:$JQ$102,P22+209,FALSE),0)</f>
        <v>0</v>
      </c>
      <c r="AH22" s="486">
        <f>IF(AND(P22&gt;=$M$9,P22&lt;=$N$9),VLOOKUP(BYT,'Předpis po mesici'!$A$3:$JQ$102,P22+222,FALSE),0)</f>
        <v>0</v>
      </c>
      <c r="AI22" s="486">
        <f>IF(AND(P22&gt;=$M$9,P22&lt;=$N$9),VLOOKUP(BYT,'Předpis po mesici'!$A$3:$JQ$102,P22+157,FALSE),0)</f>
        <v>0</v>
      </c>
      <c r="AJ22" s="486">
        <f>IF(AND(P22&gt;=$M$9,P22&lt;=$N$9),VLOOKUP(BYT,'Počet osob'!$A$2:$JR$102,P22+2,FALSE),0)</f>
        <v>4</v>
      </c>
      <c r="AK22" s="486">
        <f>IF(AND(P22&gt;=$M$9,P22&lt;=$N$9),VLOOKUP(BYT,'Předpis po mesici'!$A$3:$JQ$102,P22+144,FALSE),0)</f>
        <v>0</v>
      </c>
      <c r="AL22" s="486">
        <f>IF(AND(P22&gt;=$M$9,P22&lt;=$N$9),VLOOKUP(BYT,'Předpis po mesici'!$A$3:$JQ$102,P22+248,FALSE),0)</f>
        <v>0</v>
      </c>
      <c r="AM22" s="486">
        <f>IF(AND(P22&gt;=$M$9,P22&lt;=$N$9),VLOOKUP(BYT,'Předpis po mesici'!$A$3:$JQ$102,P22+235,FALSE),0)</f>
        <v>0</v>
      </c>
      <c r="AN22" s="2">
        <f>IF(AND(P22&gt;=$M$9,P22&lt;=$N$9),VLOOKUP(BYT,'Předpis po mesici'!$A$3:$JQ$102,P22+235,FALSE),0)</f>
        <v>0</v>
      </c>
    </row>
    <row r="23" spans="1:40" s="27" customFormat="1" x14ac:dyDescent="0.25">
      <c r="A23" s="28" t="s">
        <v>189</v>
      </c>
      <c r="B23" s="225">
        <f>SUMIFS('Vodoměry SV'!I2:I103,'Vodoměry SV'!A2:A103,BYT)</f>
        <v>0</v>
      </c>
      <c r="D23" s="2"/>
      <c r="H23" s="2"/>
      <c r="I23" s="2"/>
      <c r="J23" s="2"/>
      <c r="K23" s="2"/>
      <c r="L23" s="477"/>
      <c r="M23" s="485">
        <v>5</v>
      </c>
      <c r="N23" s="571">
        <f>IF(AND(M23&gt;=$M$9,M23&lt;=$O$9),VLOOKUP(BYT,uhrady!$A$2:$M$102,M23+1,FALSE),0)</f>
        <v>0</v>
      </c>
      <c r="O23" s="477"/>
      <c r="P23" s="486">
        <v>5</v>
      </c>
      <c r="Q23" s="486">
        <f>IF(AND(P23&gt;=$M$9,P23&lt;=$O$9),VLOOKUP(BYT,'Předpis po mesici'!$A$3:$JQ$102,P23+262,FALSE),0)</f>
        <v>3813</v>
      </c>
      <c r="R23" s="486">
        <v>5</v>
      </c>
      <c r="S23" s="486">
        <f>IF(AND(P23&gt;=$M$9,P23&lt;=$N$9),VLOOKUP(BYT,'Předpis po mesici'!$A$3:$JQ$102,P23+79,FALSE),0)</f>
        <v>2663</v>
      </c>
      <c r="T23" s="486">
        <f>IF(AND(P23&gt;=$M$9,P23&lt;=$N$9),VLOOKUP(BYT,'Předpis po mesici'!$A$3:$JQ$102,P23+1,FALSE),0)</f>
        <v>45</v>
      </c>
      <c r="U23" s="486">
        <f>IF(AND(P23&gt;=$M$9,P23&lt;=$N$9),VLOOKUP(BYT,'Předpis po mesici'!$A$3:$JQ$102,P23+14,FALSE),0)</f>
        <v>250</v>
      </c>
      <c r="V23" s="486">
        <f>IF(AND(P23&gt;=$M$9,P23&lt;=$N$9),VLOOKUP(BYT,'Předpis po mesici'!$A$3:$JQ$102,P23+27,FALSE),0)</f>
        <v>45</v>
      </c>
      <c r="W23" s="486">
        <f>IF(AND(P23&gt;=$M$9,P23&lt;=$N$9),VLOOKUP(BYT,'Předpis po mesici'!$A$3:$JQ$102,P23+40,FALSE),0)</f>
        <v>0</v>
      </c>
      <c r="X23" s="486">
        <f>IF(AND(P23&gt;=$M$9,P23&lt;=$N$9),VLOOKUP(BYT,'Předpis po mesici'!$A$3:$JQ$102,P23+53,FALSE),0)</f>
        <v>690</v>
      </c>
      <c r="Y23" s="486">
        <f>IF(AND(P23&gt;=$M$9,P23&lt;=$N$9),VLOOKUP(BYT,'Předpis po mesici'!$A$3:$JQ$102,P23+66,FALSE),0)</f>
        <v>120</v>
      </c>
      <c r="Z23" s="486">
        <f>IF(AND(P23&gt;=$M$9,P23&lt;=$N$9),VLOOKUP(BYT,'Předpis po mesici'!$A$3:$JQ$102,P23+92,FALSE),0)</f>
        <v>0</v>
      </c>
      <c r="AA23" s="486">
        <f>IF(AND(P23&gt;=$M$9,P23&lt;=$N$9),VLOOKUP(BYT,'Předpis po mesici'!$A$3:$JQ$102,P23+105,FALSE),0)</f>
        <v>0</v>
      </c>
      <c r="AB23" s="486">
        <f>IF(AND(P23&gt;=$M$9,P23&lt;=$N$9),VLOOKUP(BYT,'Předpis po mesici'!$A$3:$JQ$102,P23+118,FALSE),0)</f>
        <v>0</v>
      </c>
      <c r="AC23" s="486">
        <f>IF(AND(P23&gt;=$M$9,P23&lt;=$N$9),VLOOKUP(BYT,'Předpis po mesici'!$A$3:$JQ$102,P23+131,FALSE),0)</f>
        <v>0</v>
      </c>
      <c r="AD23" s="486">
        <f>IF(AND(P23&gt;=$M$9,P23&lt;=$N$9),VLOOKUP(BYT,'Předpis po mesici'!$A$3:$JQ$102,P23+170,FALSE),0)</f>
        <v>0</v>
      </c>
      <c r="AE23" s="486">
        <f>IF(AND(P23&gt;=$M$9,P23&lt;=$N$9),VLOOKUP(BYT,'Předpis po mesici'!$A$3:$JQ$102,P23+183,FALSE),0)</f>
        <v>0</v>
      </c>
      <c r="AF23" s="486">
        <f>IF(AND(P23&gt;=$M$9,P23&lt;=$N$9),VLOOKUP(BYT,'Předpis po mesici'!$A$3:$JQ$102,P23+196,FALSE),0)</f>
        <v>0</v>
      </c>
      <c r="AG23" s="486">
        <f>IF(AND(P23&gt;=$M$9,P23&lt;=$N$9),VLOOKUP(BYT,'Předpis po mesici'!$A$3:$JQ$102,P23+209,FALSE),0)</f>
        <v>0</v>
      </c>
      <c r="AH23" s="486">
        <f>IF(AND(P23&gt;=$M$9,P23&lt;=$N$9),VLOOKUP(BYT,'Předpis po mesici'!$A$3:$JQ$102,P23+222,FALSE),0)</f>
        <v>0</v>
      </c>
      <c r="AI23" s="486">
        <f>IF(AND(P23&gt;=$M$9,P23&lt;=$N$9),VLOOKUP(BYT,'Předpis po mesici'!$A$3:$JQ$102,P23+157,FALSE),0)</f>
        <v>0</v>
      </c>
      <c r="AJ23" s="486">
        <f>IF(AND(P23&gt;=$M$9,P23&lt;=$N$9),VLOOKUP(BYT,'Počet osob'!$A$2:$JR$102,P23+2,FALSE),0)</f>
        <v>4</v>
      </c>
      <c r="AK23" s="486">
        <f>IF(AND(P23&gt;=$M$9,P23&lt;=$N$9),VLOOKUP(BYT,'Předpis po mesici'!$A$3:$JQ$102,P23+144,FALSE),0)</f>
        <v>0</v>
      </c>
      <c r="AL23" s="486">
        <f>IF(AND(P23&gt;=$M$9,P23&lt;=$N$9),VLOOKUP(BYT,'Předpis po mesici'!$A$3:$JQ$102,P23+248,FALSE),0)</f>
        <v>0</v>
      </c>
      <c r="AM23" s="486">
        <f>IF(AND(P23&gt;=$M$9,P23&lt;=$N$9),VLOOKUP(BYT,'Předpis po mesici'!$A$3:$JQ$102,P23+235,FALSE),0)</f>
        <v>0</v>
      </c>
      <c r="AN23" s="2">
        <f>IF(AND(P23&gt;=$M$9,P23&lt;=$N$9),VLOOKUP(BYT,'Předpis po mesici'!$A$3:$JQ$102,P23+235,FALSE),0)</f>
        <v>0</v>
      </c>
    </row>
    <row r="24" spans="1:40" x14ac:dyDescent="0.25">
      <c r="A24" s="28" t="s">
        <v>190</v>
      </c>
      <c r="B24" s="225">
        <f>SUMIFS('Vodoměry TUV'!I2:I114,'Vodoměry TUV'!A2:A114,BYT)</f>
        <v>0</v>
      </c>
      <c r="C24" s="27"/>
      <c r="E24" s="27"/>
      <c r="F24" s="27"/>
      <c r="G24" s="27"/>
      <c r="L24" s="477"/>
      <c r="M24" s="485">
        <v>6</v>
      </c>
      <c r="N24" s="571">
        <f>IF(AND(M24&gt;=$M$9,M24&lt;=$O$9),VLOOKUP(BYT,uhrady!$A$2:$M$102,M24+1,FALSE),0)</f>
        <v>7626</v>
      </c>
      <c r="O24" s="477"/>
      <c r="P24" s="486">
        <v>6</v>
      </c>
      <c r="Q24" s="486">
        <f>IF(AND(P24&gt;=$M$9,P24&lt;=$O$9),VLOOKUP(BYT,'Předpis po mesici'!$A$3:$JQ$102,P24+262,FALSE),0)</f>
        <v>3813</v>
      </c>
      <c r="R24" s="486">
        <v>6</v>
      </c>
      <c r="S24" s="486">
        <f>IF(AND(P24&gt;=$M$9,P24&lt;=$N$9),VLOOKUP(BYT,'Předpis po mesici'!$A$3:$JQ$102,P24+79,FALSE),0)</f>
        <v>2663</v>
      </c>
      <c r="T24" s="486">
        <f>IF(AND(P24&gt;=$M$9,P24&lt;=$N$9),VLOOKUP(BYT,'Předpis po mesici'!$A$3:$JQ$102,P24+1,FALSE),0)</f>
        <v>45</v>
      </c>
      <c r="U24" s="486">
        <f>IF(AND(P24&gt;=$M$9,P24&lt;=$N$9),VLOOKUP(BYT,'Předpis po mesici'!$A$3:$JQ$102,P24+14,FALSE),0)</f>
        <v>250</v>
      </c>
      <c r="V24" s="486">
        <f>IF(AND(P24&gt;=$M$9,P24&lt;=$N$9),VLOOKUP(BYT,'Předpis po mesici'!$A$3:$JQ$102,P24+27,FALSE),0)</f>
        <v>45</v>
      </c>
      <c r="W24" s="486">
        <f>IF(AND(P24&gt;=$M$9,P24&lt;=$N$9),VLOOKUP(BYT,'Předpis po mesici'!$A$3:$JQ$102,P24+40,FALSE),0)</f>
        <v>0</v>
      </c>
      <c r="X24" s="486">
        <f>IF(AND(P24&gt;=$M$9,P24&lt;=$N$9),VLOOKUP(BYT,'Předpis po mesici'!$A$3:$JQ$102,P24+53,FALSE),0)</f>
        <v>690</v>
      </c>
      <c r="Y24" s="486">
        <f>IF(AND(P24&gt;=$M$9,P24&lt;=$N$9),VLOOKUP(BYT,'Předpis po mesici'!$A$3:$JQ$102,P24+66,FALSE),0)</f>
        <v>120</v>
      </c>
      <c r="Z24" s="486">
        <f>IF(AND(P24&gt;=$M$9,P24&lt;=$N$9),VLOOKUP(BYT,'Předpis po mesici'!$A$3:$JQ$102,P24+92,FALSE),0)</f>
        <v>0</v>
      </c>
      <c r="AA24" s="486">
        <f>IF(AND(P24&gt;=$M$9,P24&lt;=$N$9),VLOOKUP(BYT,'Předpis po mesici'!$A$3:$JQ$102,P24+105,FALSE),0)</f>
        <v>0</v>
      </c>
      <c r="AB24" s="486">
        <f>IF(AND(P24&gt;=$M$9,P24&lt;=$N$9),VLOOKUP(BYT,'Předpis po mesici'!$A$3:$JQ$102,P24+118,FALSE),0)</f>
        <v>0</v>
      </c>
      <c r="AC24" s="486">
        <f>IF(AND(P24&gt;=$M$9,P24&lt;=$N$9),VLOOKUP(BYT,'Předpis po mesici'!$A$3:$JQ$102,P24+131,FALSE),0)</f>
        <v>0</v>
      </c>
      <c r="AD24" s="486">
        <f>IF(AND(P24&gt;=$M$9,P24&lt;=$N$9),VLOOKUP(BYT,'Předpis po mesici'!$A$3:$JQ$102,P24+170,FALSE),0)</f>
        <v>0</v>
      </c>
      <c r="AE24" s="486">
        <f>IF(AND(P24&gt;=$M$9,P24&lt;=$N$9),VLOOKUP(BYT,'Předpis po mesici'!$A$3:$JQ$102,P24+183,FALSE),0)</f>
        <v>0</v>
      </c>
      <c r="AF24" s="486">
        <f>IF(AND(P24&gt;=$M$9,P24&lt;=$N$9),VLOOKUP(BYT,'Předpis po mesici'!$A$3:$JQ$102,P24+196,FALSE),0)</f>
        <v>0</v>
      </c>
      <c r="AG24" s="486">
        <f>IF(AND(P24&gt;=$M$9,P24&lt;=$N$9),VLOOKUP(BYT,'Předpis po mesici'!$A$3:$JQ$102,P24+209,FALSE),0)</f>
        <v>0</v>
      </c>
      <c r="AH24" s="486">
        <f>IF(AND(P24&gt;=$M$9,P24&lt;=$N$9),VLOOKUP(BYT,'Předpis po mesici'!$A$3:$JQ$102,P24+222,FALSE),0)</f>
        <v>0</v>
      </c>
      <c r="AI24" s="486">
        <f>IF(AND(P24&gt;=$M$9,P24&lt;=$N$9),VLOOKUP(BYT,'Předpis po mesici'!$A$3:$JQ$102,P24+157,FALSE),0)</f>
        <v>0</v>
      </c>
      <c r="AJ24" s="486">
        <f>IF(AND(P24&gt;=$M$9,P24&lt;=$N$9),VLOOKUP(BYT,'Počet osob'!$A$2:$JR$102,P24+2,FALSE),0)</f>
        <v>4</v>
      </c>
      <c r="AK24" s="486">
        <f>IF(AND(P24&gt;=$M$9,P24&lt;=$N$9),VLOOKUP(BYT,'Předpis po mesici'!$A$3:$JQ$102,P24+144,FALSE),0)</f>
        <v>0</v>
      </c>
      <c r="AL24" s="486">
        <f>IF(AND(P24&gt;=$M$9,P24&lt;=$N$9),VLOOKUP(BYT,'Předpis po mesici'!$A$3:$JQ$102,P24+248,FALSE),0)</f>
        <v>0</v>
      </c>
      <c r="AM24" s="486">
        <f>IF(AND(P24&gt;=$M$9,P24&lt;=$N$9),VLOOKUP(BYT,'Předpis po mesici'!$A$3:$JQ$102,P24+235,FALSE),0)</f>
        <v>0</v>
      </c>
      <c r="AN24" s="2">
        <f>IF(AND(P24&gt;=$M$9,P24&lt;=$N$9),VLOOKUP(BYT,'Předpis po mesici'!$A$3:$JQ$102,P24+235,FALSE),0)</f>
        <v>0</v>
      </c>
    </row>
    <row r="25" spans="1:40" s="27" customFormat="1" x14ac:dyDescent="0.25">
      <c r="A25" s="84" t="s">
        <v>191</v>
      </c>
      <c r="B25" s="229">
        <f>VLOOKUP(BYT,Evidence!$A:$Z,7,0)</f>
        <v>115.53</v>
      </c>
      <c r="D25" s="29" t="s">
        <v>192</v>
      </c>
      <c r="E25" s="231" t="str">
        <f>VLOOKUP(BYT,Evidence!$A:$Z,16,0)</f>
        <v>1.1.2024</v>
      </c>
      <c r="H25" s="2"/>
      <c r="I25" s="2"/>
      <c r="J25" s="2"/>
      <c r="K25" s="2"/>
      <c r="L25" s="477"/>
      <c r="M25" s="485">
        <v>7</v>
      </c>
      <c r="N25" s="571">
        <f>IF(AND(M25&gt;=$M$9,M25&lt;=$O$9),VLOOKUP(BYT,uhrady!$A$2:$M$102,M25+1,FALSE),0)</f>
        <v>7626</v>
      </c>
      <c r="O25" s="477"/>
      <c r="P25" s="486">
        <v>7</v>
      </c>
      <c r="Q25" s="486">
        <f>IF(AND(P25&gt;=$M$9,P25&lt;=$O$9),VLOOKUP(BYT,'Předpis po mesici'!$A$3:$JQ$102,P25+262,FALSE),0)</f>
        <v>3813</v>
      </c>
      <c r="R25" s="486">
        <v>7</v>
      </c>
      <c r="S25" s="486">
        <f>IF(AND(P25&gt;=$M$9,P25&lt;=$N$9),VLOOKUP(BYT,'Předpis po mesici'!$A$3:$JQ$102,P25+79,FALSE),0)</f>
        <v>2663</v>
      </c>
      <c r="T25" s="486">
        <f>IF(AND(P25&gt;=$M$9,P25&lt;=$N$9),VLOOKUP(BYT,'Předpis po mesici'!$A$3:$JQ$102,P25+1,FALSE),0)</f>
        <v>45</v>
      </c>
      <c r="U25" s="486">
        <f>IF(AND(P25&gt;=$M$9,P25&lt;=$N$9),VLOOKUP(BYT,'Předpis po mesici'!$A$3:$JQ$102,P25+14,FALSE),0)</f>
        <v>250</v>
      </c>
      <c r="V25" s="486">
        <f>IF(AND(P25&gt;=$M$9,P25&lt;=$N$9),VLOOKUP(BYT,'Předpis po mesici'!$A$3:$JQ$102,P25+27,FALSE),0)</f>
        <v>45</v>
      </c>
      <c r="W25" s="486">
        <f>IF(AND(P25&gt;=$M$9,P25&lt;=$N$9),VLOOKUP(BYT,'Předpis po mesici'!$A$3:$JQ$102,P25+40,FALSE),0)</f>
        <v>0</v>
      </c>
      <c r="X25" s="486">
        <f>IF(AND(P25&gt;=$M$9,P25&lt;=$N$9),VLOOKUP(BYT,'Předpis po mesici'!$A$3:$JQ$102,P25+53,FALSE),0)</f>
        <v>690</v>
      </c>
      <c r="Y25" s="486">
        <f>IF(AND(P25&gt;=$M$9,P25&lt;=$N$9),VLOOKUP(BYT,'Předpis po mesici'!$A$3:$JQ$102,P25+66,FALSE),0)</f>
        <v>120</v>
      </c>
      <c r="Z25" s="486">
        <f>IF(AND(P25&gt;=$M$9,P25&lt;=$N$9),VLOOKUP(BYT,'Předpis po mesici'!$A$3:$JQ$102,P25+92,FALSE),0)</f>
        <v>0</v>
      </c>
      <c r="AA25" s="486">
        <f>IF(AND(P25&gt;=$M$9,P25&lt;=$N$9),VLOOKUP(BYT,'Předpis po mesici'!$A$3:$JQ$102,P25+105,FALSE),0)</f>
        <v>0</v>
      </c>
      <c r="AB25" s="486">
        <f>IF(AND(P25&gt;=$M$9,P25&lt;=$N$9),VLOOKUP(BYT,'Předpis po mesici'!$A$3:$JQ$102,P25+118,FALSE),0)</f>
        <v>0</v>
      </c>
      <c r="AC25" s="486">
        <f>IF(AND(P25&gt;=$M$9,P25&lt;=$N$9),VLOOKUP(BYT,'Předpis po mesici'!$A$3:$JQ$102,P25+131,FALSE),0)</f>
        <v>0</v>
      </c>
      <c r="AD25" s="486">
        <f>IF(AND(P25&gt;=$M$9,P25&lt;=$N$9),VLOOKUP(BYT,'Předpis po mesici'!$A$3:$JQ$102,P25+170,FALSE),0)</f>
        <v>0</v>
      </c>
      <c r="AE25" s="486">
        <f>IF(AND(P25&gt;=$M$9,P25&lt;=$N$9),VLOOKUP(BYT,'Předpis po mesici'!$A$3:$JQ$102,P25+183,FALSE),0)</f>
        <v>0</v>
      </c>
      <c r="AF25" s="486">
        <f>IF(AND(P25&gt;=$M$9,P25&lt;=$N$9),VLOOKUP(BYT,'Předpis po mesici'!$A$3:$JQ$102,P25+196,FALSE),0)</f>
        <v>0</v>
      </c>
      <c r="AG25" s="486">
        <f>IF(AND(P25&gt;=$M$9,P25&lt;=$N$9),VLOOKUP(BYT,'Předpis po mesici'!$A$3:$JQ$102,P25+209,FALSE),0)</f>
        <v>0</v>
      </c>
      <c r="AH25" s="486">
        <f>IF(AND(P25&gt;=$M$9,P25&lt;=$N$9),VLOOKUP(BYT,'Předpis po mesici'!$A$3:$JQ$102,P25+222,FALSE),0)</f>
        <v>0</v>
      </c>
      <c r="AI25" s="486">
        <f>IF(AND(P25&gt;=$M$9,P25&lt;=$N$9),VLOOKUP(BYT,'Předpis po mesici'!$A$3:$JQ$102,P25+157,FALSE),0)</f>
        <v>0</v>
      </c>
      <c r="AJ25" s="486">
        <f>IF(AND(P25&gt;=$M$9,P25&lt;=$N$9),VLOOKUP(BYT,'Počet osob'!$A$2:$JR$102,P25+2,FALSE),0)</f>
        <v>4</v>
      </c>
      <c r="AK25" s="486">
        <f>IF(AND(P25&gt;=$M$9,P25&lt;=$N$9),VLOOKUP(BYT,'Předpis po mesici'!$A$3:$JQ$102,P25+144,FALSE),0)</f>
        <v>0</v>
      </c>
      <c r="AL25" s="486">
        <f>IF(AND(P25&gt;=$M$9,P25&lt;=$N$9),VLOOKUP(BYT,'Předpis po mesici'!$A$3:$JQ$102,P25+248,FALSE),0)</f>
        <v>0</v>
      </c>
      <c r="AM25" s="486">
        <f>IF(AND(P25&gt;=$M$9,P25&lt;=$N$9),VLOOKUP(BYT,'Předpis po mesici'!$A$3:$JQ$102,P25+235,FALSE),0)</f>
        <v>0</v>
      </c>
      <c r="AN25" s="2">
        <f>IF(AND(P25&gt;=$M$9,P25&lt;=$N$9),VLOOKUP(BYT,'Předpis po mesici'!$A$3:$JQ$102,P25+235,FALSE),0)</f>
        <v>0</v>
      </c>
    </row>
    <row r="26" spans="1:40" s="27" customFormat="1" x14ac:dyDescent="0.25">
      <c r="A26" s="84" t="s">
        <v>193</v>
      </c>
      <c r="B26" s="229">
        <f>VLOOKUP(BYT,Evidence!$A:$Z,8,0)</f>
        <v>104.51</v>
      </c>
      <c r="D26" s="29" t="s">
        <v>194</v>
      </c>
      <c r="E26" s="231" t="str">
        <f>VLOOKUP(BYT,Evidence!$A:$Z,18,0)</f>
        <v>1.1.2024 - 31.12.2024</v>
      </c>
      <c r="H26" s="2"/>
      <c r="I26" s="2"/>
      <c r="J26" s="2"/>
      <c r="K26" s="2"/>
      <c r="L26" s="477"/>
      <c r="M26" s="485">
        <v>8</v>
      </c>
      <c r="N26" s="571">
        <f>IF(AND(M26&gt;=$M$9,M26&lt;=$O$9),VLOOKUP(BYT,uhrady!$A$2:$M$102,M26+1,FALSE),0)</f>
        <v>0</v>
      </c>
      <c r="O26" s="477"/>
      <c r="P26" s="486">
        <v>8</v>
      </c>
      <c r="Q26" s="486">
        <f>IF(AND(P26&gt;=$M$9,P26&lt;=$O$9),VLOOKUP(BYT,'Předpis po mesici'!$A$3:$JQ$102,P26+262,FALSE),0)</f>
        <v>3813</v>
      </c>
      <c r="R26" s="486">
        <v>8</v>
      </c>
      <c r="S26" s="486">
        <f>IF(AND(P26&gt;=$M$9,P26&lt;=$N$9),VLOOKUP(BYT,'Předpis po mesici'!$A$3:$JQ$102,P26+79,FALSE),0)</f>
        <v>2663</v>
      </c>
      <c r="T26" s="486">
        <f>IF(AND(P26&gt;=$M$9,P26&lt;=$N$9),VLOOKUP(BYT,'Předpis po mesici'!$A$3:$JQ$102,P26+1,FALSE),0)</f>
        <v>45</v>
      </c>
      <c r="U26" s="486">
        <f>IF(AND(P26&gt;=$M$9,P26&lt;=$N$9),VLOOKUP(BYT,'Předpis po mesici'!$A$3:$JQ$102,P26+14,FALSE),0)</f>
        <v>250</v>
      </c>
      <c r="V26" s="486">
        <f>IF(AND(P26&gt;=$M$9,P26&lt;=$N$9),VLOOKUP(BYT,'Předpis po mesici'!$A$3:$JQ$102,P26+27,FALSE),0)</f>
        <v>45</v>
      </c>
      <c r="W26" s="486">
        <f>IF(AND(P26&gt;=$M$9,P26&lt;=$N$9),VLOOKUP(BYT,'Předpis po mesici'!$A$3:$JQ$102,P26+40,FALSE),0)</f>
        <v>0</v>
      </c>
      <c r="X26" s="486">
        <f>IF(AND(P26&gt;=$M$9,P26&lt;=$N$9),VLOOKUP(BYT,'Předpis po mesici'!$A$3:$JQ$102,P26+53,FALSE),0)</f>
        <v>690</v>
      </c>
      <c r="Y26" s="486">
        <f>IF(AND(P26&gt;=$M$9,P26&lt;=$N$9),VLOOKUP(BYT,'Předpis po mesici'!$A$3:$JQ$102,P26+66,FALSE),0)</f>
        <v>120</v>
      </c>
      <c r="Z26" s="486">
        <f>IF(AND(P26&gt;=$M$9,P26&lt;=$N$9),VLOOKUP(BYT,'Předpis po mesici'!$A$3:$JQ$102,P26+92,FALSE),0)</f>
        <v>0</v>
      </c>
      <c r="AA26" s="486">
        <f>IF(AND(P26&gt;=$M$9,P26&lt;=$N$9),VLOOKUP(BYT,'Předpis po mesici'!$A$3:$JQ$102,P26+105,FALSE),0)</f>
        <v>0</v>
      </c>
      <c r="AB26" s="486">
        <f>IF(AND(P26&gt;=$M$9,P26&lt;=$N$9),VLOOKUP(BYT,'Předpis po mesici'!$A$3:$JQ$102,P26+118,FALSE),0)</f>
        <v>0</v>
      </c>
      <c r="AC26" s="486">
        <f>IF(AND(P26&gt;=$M$9,P26&lt;=$N$9),VLOOKUP(BYT,'Předpis po mesici'!$A$3:$JQ$102,P26+131,FALSE),0)</f>
        <v>0</v>
      </c>
      <c r="AD26" s="486">
        <f>IF(AND(P26&gt;=$M$9,P26&lt;=$N$9),VLOOKUP(BYT,'Předpis po mesici'!$A$3:$JQ$102,P26+170,FALSE),0)</f>
        <v>0</v>
      </c>
      <c r="AE26" s="486">
        <f>IF(AND(P26&gt;=$M$9,P26&lt;=$N$9),VLOOKUP(BYT,'Předpis po mesici'!$A$3:$JQ$102,P26+183,FALSE),0)</f>
        <v>0</v>
      </c>
      <c r="AF26" s="486">
        <f>IF(AND(P26&gt;=$M$9,P26&lt;=$N$9),VLOOKUP(BYT,'Předpis po mesici'!$A$3:$JQ$102,P26+196,FALSE),0)</f>
        <v>0</v>
      </c>
      <c r="AG26" s="486">
        <f>IF(AND(P26&gt;=$M$9,P26&lt;=$N$9),VLOOKUP(BYT,'Předpis po mesici'!$A$3:$JQ$102,P26+209,FALSE),0)</f>
        <v>0</v>
      </c>
      <c r="AH26" s="486">
        <f>IF(AND(P26&gt;=$M$9,P26&lt;=$N$9),VLOOKUP(BYT,'Předpis po mesici'!$A$3:$JQ$102,P26+222,FALSE),0)</f>
        <v>0</v>
      </c>
      <c r="AI26" s="486">
        <f>IF(AND(P26&gt;=$M$9,P26&lt;=$N$9),VLOOKUP(BYT,'Předpis po mesici'!$A$3:$JQ$102,P26+157,FALSE),0)</f>
        <v>0</v>
      </c>
      <c r="AJ26" s="486">
        <f>IF(AND(P26&gt;=$M$9,P26&lt;=$N$9),VLOOKUP(BYT,'Počet osob'!$A$2:$JR$102,P26+2,FALSE),0)</f>
        <v>4</v>
      </c>
      <c r="AK26" s="486">
        <f>IF(AND(P26&gt;=$M$9,P26&lt;=$N$9),VLOOKUP(BYT,'Předpis po mesici'!$A$3:$JQ$102,P26+144,FALSE),0)</f>
        <v>0</v>
      </c>
      <c r="AL26" s="486">
        <f>IF(AND(P26&gt;=$M$9,P26&lt;=$N$9),VLOOKUP(BYT,'Předpis po mesici'!$A$3:$JQ$102,P26+248,FALSE),0)</f>
        <v>0</v>
      </c>
      <c r="AM26" s="486">
        <f>IF(AND(P26&gt;=$M$9,P26&lt;=$N$9),VLOOKUP(BYT,'Předpis po mesici'!$A$3:$JQ$102,P26+235,FALSE),0)</f>
        <v>0</v>
      </c>
      <c r="AN26" s="2">
        <f>IF(AND(P26&gt;=$M$9,P26&lt;=$N$9),VLOOKUP(BYT,'Předpis po mesici'!$A$3:$JQ$102,P26+235,FALSE),0)</f>
        <v>0</v>
      </c>
    </row>
    <row r="27" spans="1:40" x14ac:dyDescent="0.25">
      <c r="A27" s="84" t="s">
        <v>195</v>
      </c>
      <c r="B27" s="229" t="str">
        <f>VLOOKUP(BYT,Evidence!$A:$Z,9,0)</f>
        <v>10653/131476</v>
      </c>
      <c r="C27" s="27"/>
      <c r="E27" s="27"/>
      <c r="F27" s="27"/>
      <c r="G27" s="27"/>
      <c r="L27" s="477"/>
      <c r="M27" s="485">
        <v>9</v>
      </c>
      <c r="N27" s="571">
        <f>IF(AND(M27&gt;=$M$9,M27&lt;=$O$9),VLOOKUP(BYT,uhrady!$A$2:$M$102,M27+1,FALSE),0)</f>
        <v>0</v>
      </c>
      <c r="O27" s="484"/>
      <c r="P27" s="486">
        <v>9</v>
      </c>
      <c r="Q27" s="486">
        <f>IF(AND(P27&gt;=$M$9,P27&lt;=$O$9),VLOOKUP(BYT,'Předpis po mesici'!$A$3:$JQ$102,P27+262,FALSE),0)</f>
        <v>3813</v>
      </c>
      <c r="R27" s="486">
        <v>9</v>
      </c>
      <c r="S27" s="486">
        <f>IF(AND(P27&gt;=$M$9,P27&lt;=$N$9),VLOOKUP(BYT,'Předpis po mesici'!$A$3:$JQ$102,P27+79,FALSE),0)</f>
        <v>2663</v>
      </c>
      <c r="T27" s="486">
        <f>IF(AND(P27&gt;=$M$9,P27&lt;=$N$9),VLOOKUP(BYT,'Předpis po mesici'!$A$3:$JQ$102,P27+1,FALSE),0)</f>
        <v>45</v>
      </c>
      <c r="U27" s="486">
        <f>IF(AND(P27&gt;=$M$9,P27&lt;=$N$9),VLOOKUP(BYT,'Předpis po mesici'!$A$3:$JQ$102,P27+14,FALSE),0)</f>
        <v>250</v>
      </c>
      <c r="V27" s="486">
        <f>IF(AND(P27&gt;=$M$9,P27&lt;=$N$9),VLOOKUP(BYT,'Předpis po mesici'!$A$3:$JQ$102,P27+27,FALSE),0)</f>
        <v>45</v>
      </c>
      <c r="W27" s="486">
        <f>IF(AND(P27&gt;=$M$9,P27&lt;=$N$9),VLOOKUP(BYT,'Předpis po mesici'!$A$3:$JQ$102,P27+40,FALSE),0)</f>
        <v>0</v>
      </c>
      <c r="X27" s="486">
        <f>IF(AND(P27&gt;=$M$9,P27&lt;=$N$9),VLOOKUP(BYT,'Předpis po mesici'!$A$3:$JQ$102,P27+53,FALSE),0)</f>
        <v>690</v>
      </c>
      <c r="Y27" s="486">
        <f>IF(AND(P27&gt;=$M$9,P27&lt;=$N$9),VLOOKUP(BYT,'Předpis po mesici'!$A$3:$JQ$102,P27+66,FALSE),0)</f>
        <v>120</v>
      </c>
      <c r="Z27" s="486">
        <f>IF(AND(P27&gt;=$M$9,P27&lt;=$N$9),VLOOKUP(BYT,'Předpis po mesici'!$A$3:$JQ$102,P27+92,FALSE),0)</f>
        <v>0</v>
      </c>
      <c r="AA27" s="486">
        <f>IF(AND(P27&gt;=$M$9,P27&lt;=$N$9),VLOOKUP(BYT,'Předpis po mesici'!$A$3:$JQ$102,P27+105,FALSE),0)</f>
        <v>0</v>
      </c>
      <c r="AB27" s="486">
        <f>IF(AND(P27&gt;=$M$9,P27&lt;=$N$9),VLOOKUP(BYT,'Předpis po mesici'!$A$3:$JQ$102,P27+118,FALSE),0)</f>
        <v>0</v>
      </c>
      <c r="AC27" s="486">
        <f>IF(AND(P27&gt;=$M$9,P27&lt;=$N$9),VLOOKUP(BYT,'Předpis po mesici'!$A$3:$JQ$102,P27+131,FALSE),0)</f>
        <v>0</v>
      </c>
      <c r="AD27" s="486">
        <f>IF(AND(P27&gt;=$M$9,P27&lt;=$N$9),VLOOKUP(BYT,'Předpis po mesici'!$A$3:$JQ$102,P27+170,FALSE),0)</f>
        <v>0</v>
      </c>
      <c r="AE27" s="486">
        <f>IF(AND(P27&gt;=$M$9,P27&lt;=$N$9),VLOOKUP(BYT,'Předpis po mesici'!$A$3:$JQ$102,P27+183,FALSE),0)</f>
        <v>0</v>
      </c>
      <c r="AF27" s="486">
        <f>IF(AND(P27&gt;=$M$9,P27&lt;=$N$9),VLOOKUP(BYT,'Předpis po mesici'!$A$3:$JQ$102,P27+196,FALSE),0)</f>
        <v>0</v>
      </c>
      <c r="AG27" s="486">
        <f>IF(AND(P27&gt;=$M$9,P27&lt;=$N$9),VLOOKUP(BYT,'Předpis po mesici'!$A$3:$JQ$102,P27+209,FALSE),0)</f>
        <v>0</v>
      </c>
      <c r="AH27" s="486">
        <f>IF(AND(P27&gt;=$M$9,P27&lt;=$N$9),VLOOKUP(BYT,'Předpis po mesici'!$A$3:$JQ$102,P27+222,FALSE),0)</f>
        <v>0</v>
      </c>
      <c r="AI27" s="486">
        <f>IF(AND(P27&gt;=$M$9,P27&lt;=$N$9),VLOOKUP(BYT,'Předpis po mesici'!$A$3:$JQ$102,P27+157,FALSE),0)</f>
        <v>0</v>
      </c>
      <c r="AJ27" s="486">
        <f>IF(AND(P27&gt;=$M$9,P27&lt;=$N$9),VLOOKUP(BYT,'Počet osob'!$A$2:$JR$102,P27+2,FALSE),0)</f>
        <v>4</v>
      </c>
      <c r="AK27" s="486">
        <f>IF(AND(P27&gt;=$M$9,P27&lt;=$N$9),VLOOKUP(BYT,'Předpis po mesici'!$A$3:$JQ$102,P27+144,FALSE),0)</f>
        <v>0</v>
      </c>
      <c r="AL27" s="486">
        <f>IF(AND(P27&gt;=$M$9,P27&lt;=$N$9),VLOOKUP(BYT,'Předpis po mesici'!$A$3:$JQ$102,P27+248,FALSE),0)</f>
        <v>0</v>
      </c>
      <c r="AM27" s="486">
        <f>IF(AND(P27&gt;=$M$9,P27&lt;=$N$9),VLOOKUP(BYT,'Předpis po mesici'!$A$3:$JQ$102,P27+235,FALSE),0)</f>
        <v>0</v>
      </c>
      <c r="AN27" s="2">
        <f>IF(AND(P27&gt;=$M$9,P27&lt;=$N$9),VLOOKUP(BYT,'Předpis po mesici'!$A$3:$JQ$102,P27+235,FALSE),0)</f>
        <v>0</v>
      </c>
    </row>
    <row r="28" spans="1:40" s="27" customFormat="1" x14ac:dyDescent="0.25">
      <c r="A28" s="84" t="s">
        <v>196</v>
      </c>
      <c r="B28" s="229">
        <f>VLOOKUP(BYT,Evidence!$A:$Z,14,0)</f>
        <v>8.1029999999999998</v>
      </c>
      <c r="D28" s="2"/>
      <c r="H28" s="2"/>
      <c r="I28" s="2"/>
      <c r="J28" s="2"/>
      <c r="K28" s="2"/>
      <c r="L28" s="477"/>
      <c r="M28" s="485">
        <v>10</v>
      </c>
      <c r="N28" s="571">
        <f>IF(AND(M28&gt;=$M$9,M28&lt;=$O$9),VLOOKUP(BYT,uhrady!$A$2:$M$102,M28+1,FALSE),0)</f>
        <v>7626</v>
      </c>
      <c r="O28" s="477"/>
      <c r="P28" s="486">
        <v>10</v>
      </c>
      <c r="Q28" s="486">
        <f>IF(AND(P28&gt;=$M$9,P28&lt;=$O$9),VLOOKUP(BYT,'Předpis po mesici'!$A$3:$JQ$102,P28+262,FALSE),0)</f>
        <v>3813</v>
      </c>
      <c r="R28" s="486">
        <v>10</v>
      </c>
      <c r="S28" s="486">
        <f>IF(AND(P28&gt;=$M$9,P28&lt;=$N$9),VLOOKUP(BYT,'Předpis po mesici'!$A$3:$JQ$102,P28+79,FALSE),0)</f>
        <v>2663</v>
      </c>
      <c r="T28" s="486">
        <f>IF(AND(P28&gt;=$M$9,P28&lt;=$N$9),VLOOKUP(BYT,'Předpis po mesici'!$A$3:$JQ$102,P28+1,FALSE),0)</f>
        <v>45</v>
      </c>
      <c r="U28" s="486">
        <f>IF(AND(P28&gt;=$M$9,P28&lt;=$N$9),VLOOKUP(BYT,'Předpis po mesici'!$A$3:$JQ$102,P28+14,FALSE),0)</f>
        <v>250</v>
      </c>
      <c r="V28" s="486">
        <f>IF(AND(P28&gt;=$M$9,P28&lt;=$N$9),VLOOKUP(BYT,'Předpis po mesici'!$A$3:$JQ$102,P28+27,FALSE),0)</f>
        <v>45</v>
      </c>
      <c r="W28" s="486">
        <f>IF(AND(P28&gt;=$M$9,P28&lt;=$N$9),VLOOKUP(BYT,'Předpis po mesici'!$A$3:$JQ$102,P28+40,FALSE),0)</f>
        <v>0</v>
      </c>
      <c r="X28" s="486">
        <f>IF(AND(P28&gt;=$M$9,P28&lt;=$N$9),VLOOKUP(BYT,'Předpis po mesici'!$A$3:$JQ$102,P28+53,FALSE),0)</f>
        <v>690</v>
      </c>
      <c r="Y28" s="486">
        <f>IF(AND(P28&gt;=$M$9,P28&lt;=$N$9),VLOOKUP(BYT,'Předpis po mesici'!$A$3:$JQ$102,P28+66,FALSE),0)</f>
        <v>120</v>
      </c>
      <c r="Z28" s="486">
        <f>IF(AND(P28&gt;=$M$9,P28&lt;=$N$9),VLOOKUP(BYT,'Předpis po mesici'!$A$3:$JQ$102,P28+92,FALSE),0)</f>
        <v>0</v>
      </c>
      <c r="AA28" s="486">
        <f>IF(AND(P28&gt;=$M$9,P28&lt;=$N$9),VLOOKUP(BYT,'Předpis po mesici'!$A$3:$JQ$102,P28+105,FALSE),0)</f>
        <v>0</v>
      </c>
      <c r="AB28" s="486">
        <f>IF(AND(P28&gt;=$M$9,P28&lt;=$N$9),VLOOKUP(BYT,'Předpis po mesici'!$A$3:$JQ$102,P28+118,FALSE),0)</f>
        <v>0</v>
      </c>
      <c r="AC28" s="486">
        <f>IF(AND(P28&gt;=$M$9,P28&lt;=$N$9),VLOOKUP(BYT,'Předpis po mesici'!$A$3:$JQ$102,P28+131,FALSE),0)</f>
        <v>0</v>
      </c>
      <c r="AD28" s="486">
        <f>IF(AND(P28&gt;=$M$9,P28&lt;=$N$9),VLOOKUP(BYT,'Předpis po mesici'!$A$3:$JQ$102,P28+170,FALSE),0)</f>
        <v>0</v>
      </c>
      <c r="AE28" s="486">
        <f>IF(AND(P28&gt;=$M$9,P28&lt;=$N$9),VLOOKUP(BYT,'Předpis po mesici'!$A$3:$JQ$102,P28+183,FALSE),0)</f>
        <v>0</v>
      </c>
      <c r="AF28" s="486">
        <f>IF(AND(P28&gt;=$M$9,P28&lt;=$N$9),VLOOKUP(BYT,'Předpis po mesici'!$A$3:$JQ$102,P28+196,FALSE),0)</f>
        <v>0</v>
      </c>
      <c r="AG28" s="486">
        <f>IF(AND(P28&gt;=$M$9,P28&lt;=$N$9),VLOOKUP(BYT,'Předpis po mesici'!$A$3:$JQ$102,P28+209,FALSE),0)</f>
        <v>0</v>
      </c>
      <c r="AH28" s="486">
        <f>IF(AND(P28&gt;=$M$9,P28&lt;=$N$9),VLOOKUP(BYT,'Předpis po mesici'!$A$3:$JQ$102,P28+222,FALSE),0)</f>
        <v>0</v>
      </c>
      <c r="AI28" s="486">
        <f>IF(AND(P28&gt;=$M$9,P28&lt;=$N$9),VLOOKUP(BYT,'Předpis po mesici'!$A$3:$JQ$102,P28+157,FALSE),0)</f>
        <v>0</v>
      </c>
      <c r="AJ28" s="486">
        <f>IF(AND(P28&gt;=$M$9,P28&lt;=$N$9),VLOOKUP(BYT,'Počet osob'!$A$2:$JR$102,P28+2,FALSE),0)</f>
        <v>4</v>
      </c>
      <c r="AK28" s="486">
        <f>IF(AND(P28&gt;=$M$9,P28&lt;=$N$9),VLOOKUP(BYT,'Předpis po mesici'!$A$3:$JQ$102,P28+144,FALSE),0)</f>
        <v>0</v>
      </c>
      <c r="AL28" s="486">
        <f>IF(AND(P28&gt;=$M$9,P28&lt;=$N$9),VLOOKUP(BYT,'Předpis po mesici'!$A$3:$JQ$102,P28+248,FALSE),0)</f>
        <v>0</v>
      </c>
      <c r="AM28" s="486">
        <f>IF(AND(P28&gt;=$M$9,P28&lt;=$N$9),VLOOKUP(BYT,'Předpis po mesici'!$A$3:$JQ$102,P28+235,FALSE),0)</f>
        <v>0</v>
      </c>
      <c r="AN28" s="2">
        <f>IF(AND(P28&gt;=$M$9,P28&lt;=$N$9),VLOOKUP(BYT,'Předpis po mesici'!$A$3:$JQ$102,P28+235,FALSE),0)</f>
        <v>0</v>
      </c>
    </row>
    <row r="29" spans="1:40" s="27" customFormat="1" x14ac:dyDescent="0.25">
      <c r="A29" s="84" t="s">
        <v>197</v>
      </c>
      <c r="B29" s="230">
        <f>VLOOKUP(BYT,Teplo!$A:$J,10,0)</f>
        <v>0</v>
      </c>
      <c r="D29" s="35" t="s">
        <v>198</v>
      </c>
      <c r="H29" s="2"/>
      <c r="I29" s="2"/>
      <c r="J29" s="2"/>
      <c r="K29" s="2"/>
      <c r="L29" s="477"/>
      <c r="M29" s="485">
        <v>11</v>
      </c>
      <c r="N29" s="571">
        <f>IF(AND(M29&gt;=$M$9,M29&lt;=$O$9),VLOOKUP(BYT,uhrady!$A$2:$M$102,M29+1,FALSE),0)</f>
        <v>7626</v>
      </c>
      <c r="O29" s="484"/>
      <c r="P29" s="486">
        <v>11</v>
      </c>
      <c r="Q29" s="486">
        <f>IF(AND(P29&gt;=$M$9,P29&lt;=$O$9),VLOOKUP(BYT,'Předpis po mesici'!$A$3:$JQ$102,P29+262,FALSE),0)</f>
        <v>3813</v>
      </c>
      <c r="R29" s="486">
        <v>11</v>
      </c>
      <c r="S29" s="486">
        <f>IF(AND(P29&gt;=$M$9,P29&lt;=$N$9),VLOOKUP(BYT,'Předpis po mesici'!$A$3:$JQ$102,P29+79,FALSE),0)</f>
        <v>2663</v>
      </c>
      <c r="T29" s="486">
        <f>IF(AND(P29&gt;=$M$9,P29&lt;=$N$9),VLOOKUP(BYT,'Předpis po mesici'!$A$3:$JQ$102,P29+1,FALSE),0)</f>
        <v>45</v>
      </c>
      <c r="U29" s="486">
        <f>IF(AND(P29&gt;=$M$9,P29&lt;=$N$9),VLOOKUP(BYT,'Předpis po mesici'!$A$3:$JQ$102,P29+14,FALSE),0)</f>
        <v>250</v>
      </c>
      <c r="V29" s="486">
        <f>IF(AND(P29&gt;=$M$9,P29&lt;=$N$9),VLOOKUP(BYT,'Předpis po mesici'!$A$3:$JQ$102,P29+27,FALSE),0)</f>
        <v>45</v>
      </c>
      <c r="W29" s="486">
        <f>IF(AND(P29&gt;=$M$9,P29&lt;=$N$9),VLOOKUP(BYT,'Předpis po mesici'!$A$3:$JQ$102,P29+40,FALSE),0)</f>
        <v>0</v>
      </c>
      <c r="X29" s="486">
        <f>IF(AND(P29&gt;=$M$9,P29&lt;=$N$9),VLOOKUP(BYT,'Předpis po mesici'!$A$3:$JQ$102,P29+53,FALSE),0)</f>
        <v>690</v>
      </c>
      <c r="Y29" s="486">
        <f>IF(AND(P29&gt;=$M$9,P29&lt;=$N$9),VLOOKUP(BYT,'Předpis po mesici'!$A$3:$JQ$102,P29+66,FALSE),0)</f>
        <v>120</v>
      </c>
      <c r="Z29" s="486">
        <f>IF(AND(P29&gt;=$M$9,P29&lt;=$N$9),VLOOKUP(BYT,'Předpis po mesici'!$A$3:$JQ$102,P29+92,FALSE),0)</f>
        <v>0</v>
      </c>
      <c r="AA29" s="486">
        <f>IF(AND(P29&gt;=$M$9,P29&lt;=$N$9),VLOOKUP(BYT,'Předpis po mesici'!$A$3:$JQ$102,P29+105,FALSE),0)</f>
        <v>0</v>
      </c>
      <c r="AB29" s="486">
        <f>IF(AND(P29&gt;=$M$9,P29&lt;=$N$9),VLOOKUP(BYT,'Předpis po mesici'!$A$3:$JQ$102,P29+118,FALSE),0)</f>
        <v>0</v>
      </c>
      <c r="AC29" s="486">
        <f>IF(AND(P29&gt;=$M$9,P29&lt;=$N$9),VLOOKUP(BYT,'Předpis po mesici'!$A$3:$JQ$102,P29+131,FALSE),0)</f>
        <v>0</v>
      </c>
      <c r="AD29" s="486">
        <f>IF(AND(P29&gt;=$M$9,P29&lt;=$N$9),VLOOKUP(BYT,'Předpis po mesici'!$A$3:$JQ$102,P29+170,FALSE),0)</f>
        <v>0</v>
      </c>
      <c r="AE29" s="486">
        <f>IF(AND(P29&gt;=$M$9,P29&lt;=$N$9),VLOOKUP(BYT,'Předpis po mesici'!$A$3:$JQ$102,P29+183,FALSE),0)</f>
        <v>0</v>
      </c>
      <c r="AF29" s="486">
        <f>IF(AND(P29&gt;=$M$9,P29&lt;=$N$9),VLOOKUP(BYT,'Předpis po mesici'!$A$3:$JQ$102,P29+196,FALSE),0)</f>
        <v>0</v>
      </c>
      <c r="AG29" s="486">
        <f>IF(AND(P29&gt;=$M$9,P29&lt;=$N$9),VLOOKUP(BYT,'Předpis po mesici'!$A$3:$JQ$102,P29+209,FALSE),0)</f>
        <v>0</v>
      </c>
      <c r="AH29" s="486">
        <f>IF(AND(P29&gt;=$M$9,P29&lt;=$N$9),VLOOKUP(BYT,'Předpis po mesici'!$A$3:$JQ$102,P29+222,FALSE),0)</f>
        <v>0</v>
      </c>
      <c r="AI29" s="486">
        <f>IF(AND(P29&gt;=$M$9,P29&lt;=$N$9),VLOOKUP(BYT,'Předpis po mesici'!$A$3:$JQ$102,P29+157,FALSE),0)</f>
        <v>0</v>
      </c>
      <c r="AJ29" s="486">
        <f>IF(AND(P29&gt;=$M$9,P29&lt;=$N$9),VLOOKUP(BYT,'Počet osob'!$A$2:$JR$102,P29+2,FALSE),0)</f>
        <v>4</v>
      </c>
      <c r="AK29" s="486">
        <f>IF(AND(P29&gt;=$M$9,P29&lt;=$N$9),VLOOKUP(BYT,'Předpis po mesici'!$A$3:$JQ$102,P29+144,FALSE),0)</f>
        <v>0</v>
      </c>
      <c r="AL29" s="486">
        <f>IF(AND(P29&gt;=$M$9,P29&lt;=$N$9),VLOOKUP(BYT,'Předpis po mesici'!$A$3:$JQ$102,P29+248,FALSE),0)</f>
        <v>0</v>
      </c>
      <c r="AM29" s="486">
        <f>IF(AND(P29&gt;=$M$9,P29&lt;=$N$9),VLOOKUP(BYT,'Předpis po mesici'!$A$3:$JQ$102,P29+235,FALSE),0)</f>
        <v>0</v>
      </c>
      <c r="AN29" s="2">
        <f>IF(AND(P29&gt;=$M$9,P29&lt;=$N$9),VLOOKUP(BYT,'Předpis po mesici'!$A$3:$JQ$102,P29+235,FALSE),0)</f>
        <v>0</v>
      </c>
    </row>
    <row r="30" spans="1:40" s="27" customFormat="1" x14ac:dyDescent="0.25">
      <c r="A30" s="84" t="s">
        <v>199</v>
      </c>
      <c r="B30" s="230">
        <f>VLOOKUP(BYT,'Předpis po mesici'!1:1048576,92,0)</f>
        <v>31956</v>
      </c>
      <c r="D30" s="542">
        <f ca="1">VLOOKUP(BYT,'Předpis po mesici'!1:1048576,275,0)-'Vyúčtování byt - 1.část'!B35-'Vyúčtování byt - 1.část'!J31</f>
        <v>0</v>
      </c>
      <c r="E30" s="27" t="str">
        <f ca="1">IF(D30=0,"OK","Něco nevychází")</f>
        <v>OK</v>
      </c>
      <c r="H30" s="2"/>
      <c r="I30" s="2"/>
      <c r="J30" s="2"/>
      <c r="K30" s="2"/>
      <c r="L30" s="477"/>
      <c r="M30" s="485">
        <v>12</v>
      </c>
      <c r="N30" s="571">
        <f>IF(AND(M30&gt;=$M$9,M30&lt;=$O$9),VLOOKUP(BYT,uhrady!$A$2:$M$102,M30+1,FALSE),0)</f>
        <v>0</v>
      </c>
      <c r="O30" s="484"/>
      <c r="P30" s="486">
        <v>12</v>
      </c>
      <c r="Q30" s="486">
        <f>IF(AND(P30&gt;=$M$9,P30&lt;=$O$9),VLOOKUP(BYT,'Předpis po mesici'!$A$3:$JQ$102,P30+262,FALSE),0)</f>
        <v>3813</v>
      </c>
      <c r="R30" s="486">
        <v>12</v>
      </c>
      <c r="S30" s="486">
        <f>IF(AND(P30&gt;=$M$9,P30&lt;=$N$9),VLOOKUP(BYT,'Předpis po mesici'!$A$3:$JQ$102,P30+79,FALSE),0)</f>
        <v>2663</v>
      </c>
      <c r="T30" s="486">
        <f>IF(AND(P30&gt;=$M$9,P30&lt;=$N$9),VLOOKUP(BYT,'Předpis po mesici'!$A$3:$JQ$102,P30+1,FALSE),0)</f>
        <v>45</v>
      </c>
      <c r="U30" s="486">
        <f>IF(AND(P30&gt;=$M$9,P30&lt;=$N$9),VLOOKUP(BYT,'Předpis po mesici'!$A$3:$JQ$102,P30+14,FALSE),0)</f>
        <v>250</v>
      </c>
      <c r="V30" s="486">
        <f>IF(AND(P30&gt;=$M$9,P30&lt;=$N$9),VLOOKUP(BYT,'Předpis po mesici'!$A$3:$JQ$102,P30+27,FALSE),0)</f>
        <v>45</v>
      </c>
      <c r="W30" s="486">
        <f>IF(AND(P30&gt;=$M$9,P30&lt;=$N$9),VLOOKUP(BYT,'Předpis po mesici'!$A$3:$JQ$102,P30+40,FALSE),0)</f>
        <v>0</v>
      </c>
      <c r="X30" s="486">
        <f>IF(AND(P30&gt;=$M$9,P30&lt;=$N$9),VLOOKUP(BYT,'Předpis po mesici'!$A$3:$JQ$102,P30+53,FALSE),0)</f>
        <v>690</v>
      </c>
      <c r="Y30" s="486">
        <f>IF(AND(P30&gt;=$M$9,P30&lt;=$N$9),VLOOKUP(BYT,'Předpis po mesici'!$A$3:$JQ$102,P30+66,FALSE),0)</f>
        <v>120</v>
      </c>
      <c r="Z30" s="486">
        <f>IF(AND(P30&gt;=$M$9,P30&lt;=$N$9),VLOOKUP(BYT,'Předpis po mesici'!$A$3:$JQ$102,P30+92,FALSE),0)</f>
        <v>0</v>
      </c>
      <c r="AA30" s="486">
        <f>IF(AND(P30&gt;=$M$9,P30&lt;=$N$9),VLOOKUP(BYT,'Předpis po mesici'!$A$3:$JQ$102,P30+105,FALSE),0)</f>
        <v>0</v>
      </c>
      <c r="AB30" s="486">
        <f>IF(AND(P30&gt;=$M$9,P30&lt;=$N$9),VLOOKUP(BYT,'Předpis po mesici'!$A$3:$JQ$102,P30+118,FALSE),0)</f>
        <v>0</v>
      </c>
      <c r="AC30" s="486">
        <f>IF(AND(P30&gt;=$M$9,P30&lt;=$N$9),VLOOKUP(BYT,'Předpis po mesici'!$A$3:$JQ$102,P30+131,FALSE),0)</f>
        <v>0</v>
      </c>
      <c r="AD30" s="486">
        <f>IF(AND(P30&gt;=$M$9,P30&lt;=$N$9),VLOOKUP(BYT,'Předpis po mesici'!$A$3:$JQ$102,P30+170,FALSE),0)</f>
        <v>0</v>
      </c>
      <c r="AE30" s="486">
        <f>IF(AND(P30&gt;=$M$9,P30&lt;=$N$9),VLOOKUP(BYT,'Předpis po mesici'!$A$3:$JQ$102,P30+183,FALSE),0)</f>
        <v>0</v>
      </c>
      <c r="AF30" s="486">
        <f>IF(AND(P30&gt;=$M$9,P30&lt;=$N$9),VLOOKUP(BYT,'Předpis po mesici'!$A$3:$JQ$102,P30+196,FALSE),0)</f>
        <v>0</v>
      </c>
      <c r="AG30" s="486">
        <f>IF(AND(P30&gt;=$M$9,P30&lt;=$N$9),VLOOKUP(BYT,'Předpis po mesici'!$A$3:$JQ$102,P30+209,FALSE),0)</f>
        <v>0</v>
      </c>
      <c r="AH30" s="486">
        <f>IF(AND(P30&gt;=$M$9,P30&lt;=$N$9),VLOOKUP(BYT,'Předpis po mesici'!$A$3:$JQ$102,P30+222,FALSE),0)</f>
        <v>0</v>
      </c>
      <c r="AI30" s="486">
        <f>IF(AND(P30&gt;=$M$9,P30&lt;=$N$9),VLOOKUP(BYT,'Předpis po mesici'!$A$3:$JQ$102,P30+157,FALSE),0)</f>
        <v>0</v>
      </c>
      <c r="AJ30" s="486">
        <f>IF(AND(P30&gt;=$M$9,P30&lt;=$N$9),VLOOKUP(BYT,'Počet osob'!$A$2:$JR$102,P30+2,FALSE),0)</f>
        <v>4</v>
      </c>
      <c r="AK30" s="486">
        <f>IF(AND(P30&gt;=$M$9,P30&lt;=$N$9),VLOOKUP(BYT,'Předpis po mesici'!$A$3:$JQ$102,P30+144,FALSE),0)</f>
        <v>0</v>
      </c>
      <c r="AL30" s="486">
        <f>IF(AND(P30&gt;=$M$9,P30&lt;=$N$9),VLOOKUP(BYT,'Předpis po mesici'!$A$3:$JQ$102,P30+248,FALSE),0)</f>
        <v>0</v>
      </c>
      <c r="AM30" s="486">
        <f>IF(AND(P30&gt;=$M$9,P30&lt;=$N$9),VLOOKUP(BYT,'Předpis po mesici'!$A$3:$JQ$102,P30+235,FALSE),0)</f>
        <v>0</v>
      </c>
      <c r="AN30" s="2">
        <f>IF(AND(P30&gt;=$M$9,P30&lt;=$N$9),VLOOKUP(BYT,'Předpis po mesici'!$A$3:$JQ$102,P30+235,FALSE),0)</f>
        <v>0</v>
      </c>
    </row>
    <row r="31" spans="1:40" s="27" customFormat="1" x14ac:dyDescent="0.25">
      <c r="A31" s="84" t="s">
        <v>200</v>
      </c>
      <c r="B31" s="230" t="s">
        <v>201</v>
      </c>
      <c r="D31" s="2"/>
      <c r="H31" s="2"/>
      <c r="I31" s="2"/>
      <c r="J31" s="2"/>
      <c r="K31" s="2"/>
      <c r="L31" s="477"/>
      <c r="M31" s="477"/>
      <c r="N31" s="477"/>
      <c r="O31" s="477"/>
      <c r="P31" s="88" t="s">
        <v>202</v>
      </c>
      <c r="R31" s="2"/>
      <c r="S31" s="35">
        <f t="shared" ref="S31:AN31" si="0">SUM(S19:S30)</f>
        <v>31956</v>
      </c>
      <c r="T31" s="35">
        <f t="shared" si="0"/>
        <v>540</v>
      </c>
      <c r="U31" s="35">
        <f t="shared" si="0"/>
        <v>3000</v>
      </c>
      <c r="V31" s="35">
        <f t="shared" si="0"/>
        <v>540</v>
      </c>
      <c r="W31" s="35">
        <f t="shared" si="0"/>
        <v>0</v>
      </c>
      <c r="X31" s="35">
        <f t="shared" si="0"/>
        <v>8280</v>
      </c>
      <c r="Y31" s="35">
        <f t="shared" si="0"/>
        <v>1440</v>
      </c>
      <c r="Z31" s="35">
        <f t="shared" si="0"/>
        <v>0</v>
      </c>
      <c r="AA31" s="35">
        <f t="shared" si="0"/>
        <v>0</v>
      </c>
      <c r="AB31" s="35">
        <f t="shared" si="0"/>
        <v>0</v>
      </c>
      <c r="AC31" s="35">
        <f t="shared" si="0"/>
        <v>0</v>
      </c>
      <c r="AD31" s="35">
        <f t="shared" si="0"/>
        <v>0</v>
      </c>
      <c r="AE31" s="35">
        <f t="shared" si="0"/>
        <v>0</v>
      </c>
      <c r="AF31" s="35">
        <f t="shared" si="0"/>
        <v>0</v>
      </c>
      <c r="AG31" s="35">
        <f t="shared" si="0"/>
        <v>0</v>
      </c>
      <c r="AH31" s="35">
        <f t="shared" si="0"/>
        <v>0</v>
      </c>
      <c r="AI31" s="35">
        <f t="shared" si="0"/>
        <v>0</v>
      </c>
      <c r="AJ31" s="35">
        <f t="shared" si="0"/>
        <v>48</v>
      </c>
      <c r="AK31" s="35">
        <f t="shared" si="0"/>
        <v>0</v>
      </c>
      <c r="AL31" s="35">
        <f t="shared" si="0"/>
        <v>0</v>
      </c>
      <c r="AM31" s="35">
        <f t="shared" si="0"/>
        <v>0</v>
      </c>
      <c r="AN31" s="35">
        <f t="shared" si="0"/>
        <v>0</v>
      </c>
    </row>
    <row r="32" spans="1:40" s="27" customFormat="1" x14ac:dyDescent="0.25">
      <c r="A32" s="84" t="s">
        <v>203</v>
      </c>
      <c r="B32" s="230" t="s">
        <v>204</v>
      </c>
      <c r="D32" s="2"/>
      <c r="H32" s="2"/>
      <c r="I32" s="2"/>
      <c r="J32" s="2"/>
      <c r="K32" s="2"/>
      <c r="L32" s="2"/>
      <c r="M32" s="2"/>
      <c r="N32" s="2"/>
      <c r="O32" s="2"/>
      <c r="P32" s="2"/>
      <c r="Q32" s="682"/>
      <c r="R32" s="683" t="s">
        <v>205</v>
      </c>
      <c r="S32" s="684" t="s">
        <v>206</v>
      </c>
      <c r="T32" s="684" t="s">
        <v>207</v>
      </c>
      <c r="U32" s="684" t="s">
        <v>208</v>
      </c>
      <c r="V32" s="684" t="s">
        <v>209</v>
      </c>
      <c r="W32" s="684" t="s">
        <v>210</v>
      </c>
      <c r="X32" s="684" t="s">
        <v>211</v>
      </c>
      <c r="Y32" s="684" t="s">
        <v>212</v>
      </c>
      <c r="Z32" s="684" t="s">
        <v>213</v>
      </c>
      <c r="AA32" s="684" t="s">
        <v>214</v>
      </c>
      <c r="AB32" s="684" t="s">
        <v>215</v>
      </c>
      <c r="AC32" s="684" t="s">
        <v>215</v>
      </c>
      <c r="AD32" s="684" t="s">
        <v>216</v>
      </c>
      <c r="AE32" s="684" t="s">
        <v>217</v>
      </c>
      <c r="AF32" s="684" t="s">
        <v>218</v>
      </c>
      <c r="AG32" s="684" t="s">
        <v>219</v>
      </c>
      <c r="AH32" s="684" t="s">
        <v>220</v>
      </c>
      <c r="AI32" s="684" t="s">
        <v>221</v>
      </c>
      <c r="AJ32" s="684"/>
      <c r="AK32" s="684" t="s">
        <v>222</v>
      </c>
      <c r="AL32" s="684" t="s">
        <v>223</v>
      </c>
      <c r="AM32" s="684" t="s">
        <v>224</v>
      </c>
      <c r="AN32" s="2"/>
    </row>
    <row r="33" spans="1:40" s="27" customFormat="1" x14ac:dyDescent="0.25">
      <c r="A33" s="84" t="s">
        <v>225</v>
      </c>
      <c r="B33" s="230" t="s">
        <v>226</v>
      </c>
      <c r="D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25">
      <c r="A34" s="28" t="s">
        <v>227</v>
      </c>
      <c r="B34" s="225" t="s">
        <v>228</v>
      </c>
    </row>
    <row r="35" spans="1:40" x14ac:dyDescent="0.25">
      <c r="A35" s="28" t="s">
        <v>229</v>
      </c>
      <c r="B35" s="225" t="s">
        <v>230</v>
      </c>
    </row>
    <row r="36" spans="1:40" x14ac:dyDescent="0.25">
      <c r="A36" s="28" t="s">
        <v>231</v>
      </c>
      <c r="B36" s="225" t="s">
        <v>232</v>
      </c>
    </row>
    <row r="37" spans="1:40" x14ac:dyDescent="0.25">
      <c r="A37" s="28" t="s">
        <v>233</v>
      </c>
      <c r="B37" s="225">
        <v>2100704207</v>
      </c>
    </row>
    <row r="38" spans="1:40" x14ac:dyDescent="0.25">
      <c r="A38" s="28" t="s">
        <v>234</v>
      </c>
      <c r="B38" s="225">
        <v>2010</v>
      </c>
      <c r="C38" s="688"/>
      <c r="D38" s="688"/>
    </row>
    <row r="39" spans="1:40" x14ac:dyDescent="0.25">
      <c r="A39" s="28" t="s">
        <v>235</v>
      </c>
      <c r="B39" s="555">
        <v>0</v>
      </c>
    </row>
    <row r="40" spans="1:40" x14ac:dyDescent="0.25">
      <c r="A40" s="28" t="s">
        <v>236</v>
      </c>
      <c r="B40" s="555">
        <v>0</v>
      </c>
    </row>
    <row r="44" spans="1:40" x14ac:dyDescent="0.25">
      <c r="C44" s="2" t="str">
        <f>IF(VLOOKUP(BYT,'Vodoměry SV'!A1:J103,9,1)=0,"počet osob","odečet SV")</f>
        <v>počet osob</v>
      </c>
    </row>
    <row r="45" spans="1:40" ht="23.25" customHeight="1" x14ac:dyDescent="0.35">
      <c r="A45" s="757" t="s">
        <v>54</v>
      </c>
      <c r="B45" s="757"/>
      <c r="C45" s="757"/>
      <c r="D45" s="757"/>
      <c r="E45" s="757"/>
      <c r="F45" s="757"/>
      <c r="G45" s="757"/>
    </row>
    <row r="46" spans="1:40" ht="23.25" customHeight="1" x14ac:dyDescent="0.35">
      <c r="A46" s="589" t="s">
        <v>101</v>
      </c>
      <c r="B46" s="589" t="s">
        <v>102</v>
      </c>
      <c r="C46" s="589" t="s">
        <v>103</v>
      </c>
      <c r="D46" s="590"/>
      <c r="E46" s="589" t="s">
        <v>104</v>
      </c>
      <c r="F46" s="590"/>
      <c r="G46" s="590"/>
    </row>
    <row r="47" spans="1:40" ht="23.25" customHeight="1" x14ac:dyDescent="0.35">
      <c r="A47" s="591" t="s">
        <v>105</v>
      </c>
      <c r="B47" s="602" t="s">
        <v>106</v>
      </c>
      <c r="C47" s="591" t="s">
        <v>107</v>
      </c>
      <c r="D47" s="590"/>
      <c r="E47" s="591" t="s">
        <v>113</v>
      </c>
      <c r="F47" s="590"/>
      <c r="G47" s="591"/>
    </row>
    <row r="48" spans="1:40" ht="23.25" customHeight="1" x14ac:dyDescent="0.35">
      <c r="A48" s="602" t="s">
        <v>110</v>
      </c>
      <c r="B48" s="602" t="s">
        <v>111</v>
      </c>
      <c r="C48" s="591" t="s">
        <v>112</v>
      </c>
      <c r="D48" s="590"/>
      <c r="E48" s="591" t="s">
        <v>117</v>
      </c>
      <c r="F48" s="590"/>
      <c r="G48" s="591"/>
    </row>
    <row r="49" spans="1:7" ht="23.25" customHeight="1" x14ac:dyDescent="0.35">
      <c r="A49" s="591" t="s">
        <v>114</v>
      </c>
      <c r="B49" s="602" t="s">
        <v>115</v>
      </c>
      <c r="C49" s="591" t="s">
        <v>116</v>
      </c>
      <c r="D49" s="590"/>
      <c r="E49" s="591" t="s">
        <v>108</v>
      </c>
      <c r="F49" s="590"/>
      <c r="G49" s="591"/>
    </row>
    <row r="50" spans="1:7" ht="23.25" customHeight="1" x14ac:dyDescent="0.35">
      <c r="A50" s="591" t="s">
        <v>118</v>
      </c>
      <c r="B50" s="602" t="s">
        <v>119</v>
      </c>
      <c r="C50" s="602" t="s">
        <v>120</v>
      </c>
      <c r="D50" s="603"/>
      <c r="F50" s="590"/>
      <c r="G50" s="590"/>
    </row>
    <row r="51" spans="1:7" ht="23.25" customHeight="1" x14ac:dyDescent="0.35">
      <c r="A51" s="591" t="s">
        <v>121</v>
      </c>
      <c r="B51" s="591" t="s">
        <v>122</v>
      </c>
      <c r="C51" s="590"/>
      <c r="D51" s="590"/>
      <c r="E51" s="590"/>
      <c r="F51" s="590"/>
      <c r="G51" s="590"/>
    </row>
    <row r="52" spans="1:7" ht="23.25" customHeight="1" x14ac:dyDescent="0.35">
      <c r="A52" s="602" t="s">
        <v>123</v>
      </c>
      <c r="B52" s="602" t="s">
        <v>124</v>
      </c>
      <c r="C52" s="590"/>
      <c r="D52" s="590"/>
      <c r="E52" s="590"/>
      <c r="F52" s="590"/>
      <c r="G52" s="590"/>
    </row>
    <row r="53" spans="1:7" ht="23.25" customHeight="1" x14ac:dyDescent="0.35">
      <c r="A53" s="591" t="s">
        <v>125</v>
      </c>
      <c r="B53" s="591" t="s">
        <v>126</v>
      </c>
      <c r="C53" s="590"/>
      <c r="D53" s="590"/>
      <c r="E53" s="590"/>
      <c r="F53" s="590"/>
      <c r="G53" s="590"/>
    </row>
    <row r="54" spans="1:7" ht="23.25" customHeight="1" x14ac:dyDescent="0.35">
      <c r="A54" s="602" t="s">
        <v>127</v>
      </c>
      <c r="B54" s="591" t="s">
        <v>128</v>
      </c>
      <c r="C54" s="590"/>
      <c r="D54" s="590"/>
      <c r="E54" s="590"/>
      <c r="F54" s="590"/>
      <c r="G54" s="590"/>
    </row>
    <row r="58" spans="1:7" x14ac:dyDescent="0.25">
      <c r="A58" s="550" t="s">
        <v>237</v>
      </c>
      <c r="B58" s="550" t="s">
        <v>238</v>
      </c>
    </row>
    <row r="59" spans="1:7" ht="55.5" customHeight="1" x14ac:dyDescent="0.25">
      <c r="A59" s="551" t="s">
        <v>239</v>
      </c>
      <c r="B59" s="558" t="e" vm="3">
        <f>_xlfn.IMAGE("https://i.imgur.com/5Ij2NpI.png")</f>
        <v>#VALUE!</v>
      </c>
    </row>
    <row r="60" spans="1:7" ht="55.5" customHeight="1" x14ac:dyDescent="0.25">
      <c r="A60" s="553" t="s">
        <v>240</v>
      </c>
      <c r="B60" s="552" t="e" vm="4">
        <f>_xlfn.IMAGE("https://i.imgur.com/zfj1KPi.png")</f>
        <v>#VALUE!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C16:E16"/>
    <mergeCell ref="F16:H16"/>
    <mergeCell ref="L7:O7"/>
    <mergeCell ref="S18:AM18"/>
    <mergeCell ref="A45:G45"/>
    <mergeCell ref="C38:D38"/>
    <mergeCell ref="M18:N18"/>
    <mergeCell ref="P7:Q7"/>
    <mergeCell ref="R7:S7"/>
  </mergeCells>
  <dataValidations count="1">
    <dataValidation type="list" allowBlank="1" showInputMessage="1" showErrorMessage="1" sqref="D15" xr:uid="{00000000-0002-0000-0600-000000000000}">
      <formula1>#REF!</formula1>
    </dataValidation>
  </dataValidations>
  <hyperlinks>
    <hyperlink ref="A1" location="Seznam!A1" display="Vstupní data" xr:uid="{00000000-0004-0000-0600-000000000000}"/>
    <hyperlink ref="B1" location="Seznam!A1" display="Seznam!A1" xr:uid="{00000000-0004-0000-0600-000001000000}"/>
    <hyperlink ref="B50" location="Elektroměry!A1" display="Elektroměry" xr:uid="{00000000-0004-0000-0600-000002000000}"/>
    <hyperlink ref="A54" location="Parametry!A1" display="Parametry" xr:uid="{00000000-0004-0000-0600-000003000000}"/>
    <hyperlink ref="A53" location="'Rozpočet domu'!A1" display="Rozpočet domu" xr:uid="{00000000-0004-0000-0600-000004000000}"/>
    <hyperlink ref="A48" location="'Vyúčtování byt - 1.část'!A1" display="Vyúčtování" xr:uid="{00000000-0004-0000-0600-000005000000}"/>
    <hyperlink ref="A52" location="Faktury!A2" display="Faktury" xr:uid="{00000000-0004-0000-0600-000006000000}"/>
    <hyperlink ref="E48" location="'Odečty formular'!A1" display="Odečty formulář" xr:uid="{00000000-0004-0000-0600-000007000000}"/>
    <hyperlink ref="A50" location="'prijem SVJ bez vydaju'!A1" display="Příjem SVJ bez výdajů" xr:uid="{00000000-0004-0000-0600-000008000000}"/>
    <hyperlink ref="A49" location="'prijem SVJ'!A1" display="Příjem SVJ včetně výdajů" xr:uid="{00000000-0004-0000-0600-000009000000}"/>
    <hyperlink ref="C49" location="'Přeplatky nedoplatky'!A1" display="Přeplatky a nedoplatky" xr:uid="{00000000-0004-0000-0600-00000A000000}"/>
    <hyperlink ref="B51" location="Výtahy!A1" display="Výtahy" xr:uid="{00000000-0004-0000-0600-00000B000000}"/>
    <hyperlink ref="B52" location="'Počet osob'!A1" display="Počet osob" xr:uid="{00000000-0004-0000-0600-00000C000000}"/>
    <hyperlink ref="C48" location="Uhrady!A1" display="Úhrady" xr:uid="{00000000-0004-0000-0600-00000D000000}"/>
    <hyperlink ref="B49" location="Teplo!A1" display="Teplo" xr:uid="{00000000-0004-0000-0600-00000E000000}"/>
    <hyperlink ref="A51" location="'Náklady na dům'!A1" display="Náklady za dům" xr:uid="{00000000-0004-0000-0600-00000F000000}"/>
    <hyperlink ref="B54" location="'faktury za služby'!A1" display="Faktury za služby" xr:uid="{00000000-0004-0000-0600-000010000000}"/>
    <hyperlink ref="B53" location="'Předpis po mesici'!A1" display="Předpisy po měsící" xr:uid="{00000000-0004-0000-0600-000011000000}"/>
    <hyperlink ref="C47" location="EVIDENCE" display="Evidence" xr:uid="{00000000-0004-0000-0600-000012000000}"/>
    <hyperlink ref="B48" location="'Vodoměry SV'!A1" display="Vodoměry SV" xr:uid="{00000000-0004-0000-0600-000013000000}"/>
    <hyperlink ref="B47" location="'Vodoměry TUV'!A1" display="Vodoměry TUV" xr:uid="{00000000-0004-0000-0600-000014000000}"/>
    <hyperlink ref="E49" location="EXPORT_PRO_SEND_MAIL" display="Export send mail" xr:uid="{00000000-0004-0000-0600-000015000000}"/>
    <hyperlink ref="A47" location="'vstupní data'!A1" display="Vstupní data" xr:uid="{00000000-0004-0000-0600-000016000000}"/>
    <hyperlink ref="E47" location="BYTOVE_DOMY" display="Bytové domy" xr:uid="{00000000-0004-0000-0600-000017000000}"/>
    <hyperlink ref="C50" location="'Zálohy byt - měsíčně'!VYUCTOVANI" display="Předpisy - výpočet" xr:uid="{00000000-0004-0000-0600-000018000000}"/>
  </hyperlinks>
  <pageMargins left="0.25" right="0.25" top="0.75" bottom="0.75" header="0.51180555555554996" footer="0.51180555555554996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Chyba" error="Hodnota není v seznamu" promptTitle="Vyberte, prosím, ze seznamu." prompt="Prosím vyberte hodnotu ze seznamu." xr:uid="{00000000-0002-0000-0600-000001000000}">
          <x14:formula1>
            <xm:f>Evidence!$A$2:$A$22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4"/>
  <sheetViews>
    <sheetView showGridLines="0" zoomScale="115" zoomScaleNormal="115" workbookViewId="0"/>
  </sheetViews>
  <sheetFormatPr defaultColWidth="9.140625" defaultRowHeight="15" x14ac:dyDescent="0.25"/>
  <cols>
    <col min="1" max="1" width="22.28515625" style="668" customWidth="1"/>
    <col min="2" max="2" width="13.28515625" style="665" customWidth="1"/>
    <col min="3" max="24" width="13.28515625" style="664" customWidth="1"/>
    <col min="25" max="25" width="9.140625" style="664"/>
  </cols>
  <sheetData>
    <row r="1" spans="1:34" s="636" customFormat="1" ht="31.5" customHeight="1" x14ac:dyDescent="0.25">
      <c r="A1" s="681">
        <v>0</v>
      </c>
      <c r="B1" s="635"/>
    </row>
    <row r="2" spans="1:34" s="636" customFormat="1" ht="52.5" hidden="1" customHeight="1" x14ac:dyDescent="0.25">
      <c r="A2" s="634"/>
      <c r="B2" s="635"/>
    </row>
    <row r="3" spans="1:34" s="642" customFormat="1" x14ac:dyDescent="0.25">
      <c r="A3" s="637" t="s">
        <v>241</v>
      </c>
      <c r="B3" s="638" t="s">
        <v>242</v>
      </c>
      <c r="C3" s="639" t="s">
        <v>243</v>
      </c>
      <c r="D3" s="639" t="s">
        <v>244</v>
      </c>
      <c r="E3" s="639" t="s">
        <v>245</v>
      </c>
      <c r="F3" s="639" t="s">
        <v>246</v>
      </c>
      <c r="G3" s="639" t="s">
        <v>247</v>
      </c>
      <c r="H3" s="639" t="s">
        <v>248</v>
      </c>
      <c r="I3" s="639" t="s">
        <v>249</v>
      </c>
      <c r="J3" s="639" t="s">
        <v>250</v>
      </c>
      <c r="K3" s="639" t="s">
        <v>251</v>
      </c>
      <c r="L3" s="639" t="s">
        <v>252</v>
      </c>
      <c r="M3" s="639" t="s">
        <v>253</v>
      </c>
      <c r="N3" s="639" t="s">
        <v>254</v>
      </c>
      <c r="O3" s="639" t="s">
        <v>255</v>
      </c>
      <c r="P3" s="639" t="s">
        <v>256</v>
      </c>
      <c r="Q3" s="639" t="s">
        <v>257</v>
      </c>
      <c r="R3" s="639" t="s">
        <v>258</v>
      </c>
      <c r="S3" s="639" t="s">
        <v>259</v>
      </c>
      <c r="T3" s="639" t="s">
        <v>260</v>
      </c>
      <c r="U3" s="640" t="s">
        <v>261</v>
      </c>
      <c r="V3" s="640" t="s">
        <v>262</v>
      </c>
      <c r="W3" s="640" t="s">
        <v>263</v>
      </c>
      <c r="X3" s="641" t="s">
        <v>264</v>
      </c>
    </row>
    <row r="4" spans="1:34" s="648" customFormat="1" ht="30" customHeight="1" x14ac:dyDescent="0.25">
      <c r="A4" s="643" t="s">
        <v>265</v>
      </c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7"/>
    </row>
    <row r="5" spans="1:34" s="653" customFormat="1" x14ac:dyDescent="0.2">
      <c r="A5" s="649" t="s">
        <v>266</v>
      </c>
      <c r="B5" s="650">
        <f>ROUND(SUM(B7:B101),2)</f>
        <v>0</v>
      </c>
      <c r="C5" s="651">
        <f t="shared" ref="C5:X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51">
        <f t="shared" si="0"/>
        <v>0</v>
      </c>
      <c r="X5" s="652">
        <f t="shared" si="0"/>
        <v>0</v>
      </c>
    </row>
    <row r="6" spans="1:34" s="658" customFormat="1" x14ac:dyDescent="0.25">
      <c r="A6" s="654" t="s">
        <v>267</v>
      </c>
      <c r="B6" s="655" t="str">
        <f t="shared" ref="B6:X6" si="1">IF(B4-B5=0,"OK",B4-B5)</f>
        <v>OK</v>
      </c>
      <c r="C6" s="656" t="str">
        <f t="shared" si="1"/>
        <v>OK</v>
      </c>
      <c r="D6" s="656" t="str">
        <f t="shared" si="1"/>
        <v>OK</v>
      </c>
      <c r="E6" s="656" t="str">
        <f t="shared" si="1"/>
        <v>OK</v>
      </c>
      <c r="F6" s="656" t="str">
        <f t="shared" si="1"/>
        <v>OK</v>
      </c>
      <c r="G6" s="656" t="str">
        <f t="shared" si="1"/>
        <v>OK</v>
      </c>
      <c r="H6" s="656" t="str">
        <f t="shared" si="1"/>
        <v>OK</v>
      </c>
      <c r="I6" s="656" t="str">
        <f t="shared" si="1"/>
        <v>OK</v>
      </c>
      <c r="J6" s="656" t="str">
        <f t="shared" si="1"/>
        <v>OK</v>
      </c>
      <c r="K6" s="656" t="str">
        <f t="shared" si="1"/>
        <v>OK</v>
      </c>
      <c r="L6" s="656" t="str">
        <f t="shared" si="1"/>
        <v>OK</v>
      </c>
      <c r="M6" s="656" t="str">
        <f t="shared" si="1"/>
        <v>OK</v>
      </c>
      <c r="N6" s="656" t="str">
        <f t="shared" si="1"/>
        <v>OK</v>
      </c>
      <c r="O6" s="656" t="str">
        <f t="shared" si="1"/>
        <v>OK</v>
      </c>
      <c r="P6" s="656" t="str">
        <f t="shared" si="1"/>
        <v>OK</v>
      </c>
      <c r="Q6" s="656" t="str">
        <f t="shared" si="1"/>
        <v>OK</v>
      </c>
      <c r="R6" s="656" t="str">
        <f t="shared" si="1"/>
        <v>OK</v>
      </c>
      <c r="S6" s="656" t="str">
        <f t="shared" si="1"/>
        <v>OK</v>
      </c>
      <c r="T6" s="656" t="str">
        <f t="shared" si="1"/>
        <v>OK</v>
      </c>
      <c r="U6" s="656" t="str">
        <f t="shared" si="1"/>
        <v>OK</v>
      </c>
      <c r="V6" s="656" t="str">
        <f t="shared" si="1"/>
        <v>OK</v>
      </c>
      <c r="W6" s="656" t="str">
        <f t="shared" si="1"/>
        <v>OK</v>
      </c>
      <c r="X6" s="657" t="str">
        <f t="shared" si="1"/>
        <v>OK</v>
      </c>
    </row>
    <row r="7" spans="1:34" x14ac:dyDescent="0.25">
      <c r="A7" s="659"/>
      <c r="B7" s="660"/>
      <c r="C7" s="661"/>
      <c r="D7" s="661"/>
      <c r="E7" s="661"/>
      <c r="F7" s="661"/>
      <c r="G7" s="661"/>
      <c r="H7" s="661"/>
      <c r="I7" s="661"/>
      <c r="J7" s="661"/>
      <c r="K7" s="661"/>
      <c r="L7" s="661"/>
      <c r="M7" s="661"/>
      <c r="N7" s="661"/>
      <c r="O7" s="661"/>
      <c r="P7" s="661"/>
      <c r="Q7" s="661"/>
      <c r="R7" s="662"/>
      <c r="S7" s="661"/>
      <c r="T7" s="661"/>
      <c r="U7" s="661"/>
      <c r="V7" s="662"/>
      <c r="W7" s="662"/>
      <c r="X7" s="663"/>
    </row>
    <row r="8" spans="1:34" x14ac:dyDescent="0.25">
      <c r="A8" s="659"/>
      <c r="B8" s="660"/>
      <c r="C8" s="661"/>
      <c r="D8" s="661"/>
      <c r="E8" s="661"/>
      <c r="F8" s="661"/>
      <c r="G8" s="661"/>
      <c r="H8" s="661"/>
      <c r="I8" s="661"/>
      <c r="J8" s="661"/>
      <c r="K8" s="661"/>
      <c r="L8" s="661"/>
      <c r="M8" s="661"/>
      <c r="N8" s="661"/>
      <c r="O8" s="661"/>
      <c r="P8" s="661"/>
      <c r="Q8" s="661"/>
      <c r="R8" s="662"/>
      <c r="S8" s="661"/>
      <c r="T8" s="661"/>
      <c r="U8" s="661"/>
      <c r="V8" s="662"/>
      <c r="W8" s="662"/>
      <c r="X8" s="663"/>
    </row>
    <row r="9" spans="1:34" x14ac:dyDescent="0.25">
      <c r="A9" s="659"/>
      <c r="B9" s="660"/>
      <c r="C9" s="661"/>
      <c r="D9" s="661"/>
      <c r="E9" s="661"/>
      <c r="F9" s="661"/>
      <c r="G9" s="661"/>
      <c r="H9" s="661"/>
      <c r="I9" s="661"/>
      <c r="J9" s="661"/>
      <c r="K9" s="661"/>
      <c r="L9" s="661"/>
      <c r="M9" s="661"/>
      <c r="N9" s="661"/>
      <c r="O9" s="661"/>
      <c r="P9" s="661"/>
      <c r="Q9" s="661"/>
      <c r="R9" s="662"/>
      <c r="S9" s="661"/>
      <c r="T9" s="661"/>
      <c r="U9" s="661"/>
      <c r="V9" s="662"/>
      <c r="W9" s="662"/>
      <c r="X9" s="663"/>
    </row>
    <row r="10" spans="1:34" x14ac:dyDescent="0.25">
      <c r="A10" s="659"/>
      <c r="B10" s="660"/>
      <c r="C10" s="661"/>
      <c r="D10" s="661"/>
      <c r="E10" s="661"/>
      <c r="F10" s="661"/>
      <c r="G10" s="661"/>
      <c r="H10" s="661"/>
      <c r="I10" s="661"/>
      <c r="J10" s="661"/>
      <c r="K10" s="661"/>
      <c r="L10" s="661"/>
      <c r="M10" s="661"/>
      <c r="N10" s="661"/>
      <c r="O10" s="661"/>
      <c r="P10" s="661"/>
      <c r="Q10" s="661"/>
      <c r="R10" s="662"/>
      <c r="S10" s="661"/>
      <c r="T10" s="661"/>
      <c r="U10" s="661"/>
      <c r="V10" s="662"/>
      <c r="W10" s="662"/>
      <c r="X10" s="663"/>
    </row>
    <row r="11" spans="1:34" x14ac:dyDescent="0.25">
      <c r="A11" s="659"/>
      <c r="B11" s="660"/>
      <c r="C11" s="661"/>
      <c r="D11" s="661"/>
      <c r="E11" s="661"/>
      <c r="F11" s="661"/>
      <c r="G11" s="661"/>
      <c r="H11" s="661"/>
      <c r="I11" s="661"/>
      <c r="J11" s="661"/>
      <c r="K11" s="661"/>
      <c r="L11" s="661"/>
      <c r="M11" s="661"/>
      <c r="N11" s="661"/>
      <c r="O11" s="661"/>
      <c r="P11" s="661"/>
      <c r="Q11" s="661"/>
      <c r="R11" s="662"/>
      <c r="S11" s="661"/>
      <c r="T11" s="661"/>
      <c r="U11" s="661"/>
      <c r="V11" s="662"/>
      <c r="W11" s="662"/>
      <c r="X11" s="663"/>
      <c r="AH11" s="664" t="s">
        <v>268</v>
      </c>
    </row>
    <row r="12" spans="1:34" x14ac:dyDescent="0.25">
      <c r="A12" s="659"/>
      <c r="B12" s="660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  <c r="P12" s="661"/>
      <c r="Q12" s="661"/>
      <c r="R12" s="662"/>
      <c r="S12" s="661"/>
      <c r="T12" s="661"/>
      <c r="U12" s="661"/>
      <c r="V12" s="662"/>
      <c r="W12" s="662"/>
      <c r="X12" s="663"/>
      <c r="AH12" s="664" t="s">
        <v>269</v>
      </c>
    </row>
    <row r="13" spans="1:34" x14ac:dyDescent="0.25">
      <c r="A13" s="659"/>
      <c r="B13" s="660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61"/>
      <c r="N13" s="661"/>
      <c r="O13" s="661"/>
      <c r="P13" s="661"/>
      <c r="Q13" s="661"/>
      <c r="R13" s="662"/>
      <c r="S13" s="661"/>
      <c r="T13" s="661"/>
      <c r="U13" s="661"/>
      <c r="V13" s="662"/>
      <c r="W13" s="662"/>
      <c r="X13" s="663"/>
      <c r="AH13" s="664" t="s">
        <v>270</v>
      </c>
    </row>
    <row r="14" spans="1:34" x14ac:dyDescent="0.25">
      <c r="A14" s="659"/>
      <c r="B14" s="660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61"/>
      <c r="N14" s="661"/>
      <c r="O14" s="661"/>
      <c r="P14" s="661"/>
      <c r="Q14" s="661"/>
      <c r="R14" s="662"/>
      <c r="S14" s="661"/>
      <c r="T14" s="661"/>
      <c r="U14" s="661"/>
      <c r="V14" s="662"/>
      <c r="W14" s="662"/>
      <c r="X14" s="663"/>
      <c r="AH14" s="664" t="s">
        <v>271</v>
      </c>
    </row>
    <row r="15" spans="1:34" x14ac:dyDescent="0.25">
      <c r="A15" s="659"/>
      <c r="B15" s="660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61"/>
      <c r="N15" s="661"/>
      <c r="O15" s="661"/>
      <c r="P15" s="661"/>
      <c r="Q15" s="661"/>
      <c r="R15" s="662"/>
      <c r="S15" s="661"/>
      <c r="T15" s="661"/>
      <c r="U15" s="661"/>
      <c r="V15" s="662"/>
      <c r="W15" s="662"/>
      <c r="X15" s="663"/>
      <c r="AH15" s="664" t="s">
        <v>272</v>
      </c>
    </row>
    <row r="16" spans="1:34" x14ac:dyDescent="0.25">
      <c r="A16" s="659"/>
      <c r="B16" s="660"/>
      <c r="C16" s="661"/>
      <c r="D16" s="661"/>
      <c r="E16" s="661"/>
      <c r="F16" s="661"/>
      <c r="G16" s="661"/>
      <c r="H16" s="661"/>
      <c r="I16" s="661"/>
      <c r="J16" s="661"/>
      <c r="K16" s="661"/>
      <c r="L16" s="661"/>
      <c r="M16" s="661"/>
      <c r="N16" s="661"/>
      <c r="O16" s="661"/>
      <c r="P16" s="661"/>
      <c r="Q16" s="661"/>
      <c r="R16" s="662"/>
      <c r="S16" s="661"/>
      <c r="T16" s="661"/>
      <c r="U16" s="661"/>
      <c r="V16" s="662"/>
      <c r="W16" s="662"/>
      <c r="X16" s="663"/>
      <c r="AH16" s="664" t="s">
        <v>273</v>
      </c>
    </row>
    <row r="17" spans="1:34" x14ac:dyDescent="0.25">
      <c r="A17" s="659"/>
      <c r="B17" s="660"/>
      <c r="C17" s="661"/>
      <c r="D17" s="661"/>
      <c r="E17" s="661"/>
      <c r="F17" s="661"/>
      <c r="G17" s="661"/>
      <c r="H17" s="661"/>
      <c r="I17" s="661"/>
      <c r="J17" s="661"/>
      <c r="K17" s="661"/>
      <c r="L17" s="661"/>
      <c r="M17" s="661"/>
      <c r="N17" s="661"/>
      <c r="O17" s="661"/>
      <c r="P17" s="661"/>
      <c r="Q17" s="661"/>
      <c r="R17" s="662"/>
      <c r="S17" s="661"/>
      <c r="T17" s="661"/>
      <c r="U17" s="661"/>
      <c r="V17" s="662"/>
      <c r="W17" s="662"/>
      <c r="X17" s="663"/>
      <c r="AH17" s="664" t="s">
        <v>274</v>
      </c>
    </row>
    <row r="18" spans="1:34" x14ac:dyDescent="0.25">
      <c r="A18" s="659"/>
      <c r="B18" s="660"/>
      <c r="C18" s="661"/>
      <c r="D18" s="661"/>
      <c r="E18" s="661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661"/>
      <c r="Q18" s="661"/>
      <c r="R18" s="662"/>
      <c r="S18" s="661"/>
      <c r="T18" s="661"/>
      <c r="U18" s="661"/>
      <c r="V18" s="662"/>
      <c r="W18" s="662"/>
      <c r="X18" s="663"/>
      <c r="AH18" s="664" t="s">
        <v>275</v>
      </c>
    </row>
    <row r="19" spans="1:34" x14ac:dyDescent="0.25">
      <c r="A19" s="659"/>
      <c r="B19" s="660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2"/>
      <c r="S19" s="661"/>
      <c r="T19" s="661"/>
      <c r="U19" s="661"/>
      <c r="V19" s="662"/>
      <c r="W19" s="662"/>
      <c r="X19" s="663"/>
      <c r="AH19" s="664" t="s">
        <v>276</v>
      </c>
    </row>
    <row r="20" spans="1:34" x14ac:dyDescent="0.25">
      <c r="A20" s="659"/>
      <c r="B20" s="660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2"/>
      <c r="S20" s="661"/>
      <c r="T20" s="661"/>
      <c r="U20" s="661"/>
      <c r="V20" s="662"/>
      <c r="W20" s="662"/>
      <c r="X20" s="663"/>
      <c r="AH20" s="664" t="s">
        <v>277</v>
      </c>
    </row>
    <row r="21" spans="1:34" x14ac:dyDescent="0.25">
      <c r="A21" s="659"/>
      <c r="B21" s="660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2"/>
      <c r="S21" s="661"/>
      <c r="T21" s="661"/>
      <c r="U21" s="661"/>
      <c r="V21" s="662"/>
      <c r="W21" s="662"/>
      <c r="X21" s="663"/>
      <c r="AH21" s="664" t="s">
        <v>278</v>
      </c>
    </row>
    <row r="22" spans="1:34" x14ac:dyDescent="0.25">
      <c r="A22" s="659"/>
      <c r="B22" s="660"/>
      <c r="C22" s="661"/>
      <c r="D22" s="661"/>
      <c r="E22" s="661"/>
      <c r="F22" s="661"/>
      <c r="G22" s="661"/>
      <c r="H22" s="661"/>
      <c r="I22" s="661"/>
      <c r="J22" s="661"/>
      <c r="K22" s="661"/>
      <c r="L22" s="661"/>
      <c r="M22" s="661"/>
      <c r="N22" s="661"/>
      <c r="O22" s="661"/>
      <c r="P22" s="661"/>
      <c r="Q22" s="661"/>
      <c r="R22" s="662"/>
      <c r="S22" s="661"/>
      <c r="T22" s="661"/>
      <c r="U22" s="661"/>
      <c r="V22" s="662"/>
      <c r="W22" s="662"/>
      <c r="X22" s="663"/>
      <c r="AH22" s="664" t="s">
        <v>115</v>
      </c>
    </row>
    <row r="23" spans="1:34" x14ac:dyDescent="0.25">
      <c r="A23" s="659"/>
      <c r="B23" s="660"/>
      <c r="C23" s="661"/>
      <c r="D23" s="661"/>
      <c r="E23" s="661"/>
      <c r="F23" s="661"/>
      <c r="G23" s="661"/>
      <c r="H23" s="661"/>
      <c r="I23" s="661"/>
      <c r="J23" s="661"/>
      <c r="K23" s="661"/>
      <c r="L23" s="661"/>
      <c r="M23" s="661"/>
      <c r="N23" s="661"/>
      <c r="O23" s="661"/>
      <c r="P23" s="661"/>
      <c r="Q23" s="661"/>
      <c r="R23" s="662"/>
      <c r="S23" s="661"/>
      <c r="T23" s="661"/>
      <c r="U23" s="661"/>
      <c r="V23" s="662"/>
      <c r="W23" s="662"/>
      <c r="X23" s="663"/>
      <c r="AH23" s="664" t="s">
        <v>279</v>
      </c>
    </row>
    <row r="24" spans="1:34" x14ac:dyDescent="0.25">
      <c r="A24" s="659"/>
      <c r="B24" s="660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1"/>
      <c r="P24" s="661"/>
      <c r="Q24" s="661"/>
      <c r="R24" s="662"/>
      <c r="S24" s="661"/>
      <c r="T24" s="661"/>
      <c r="U24" s="661"/>
      <c r="V24" s="662"/>
      <c r="W24" s="662"/>
      <c r="X24" s="663"/>
      <c r="AH24" s="664" t="s">
        <v>280</v>
      </c>
    </row>
    <row r="25" spans="1:34" x14ac:dyDescent="0.25">
      <c r="A25" s="659"/>
      <c r="B25" s="660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1"/>
      <c r="P25" s="661"/>
      <c r="Q25" s="661"/>
      <c r="R25" s="662"/>
      <c r="S25" s="661"/>
      <c r="T25" s="661"/>
      <c r="U25" s="661"/>
      <c r="V25" s="662"/>
      <c r="W25" s="662"/>
      <c r="X25" s="663"/>
      <c r="AH25" s="664" t="s">
        <v>281</v>
      </c>
    </row>
    <row r="26" spans="1:34" x14ac:dyDescent="0.25">
      <c r="A26" s="659"/>
      <c r="B26" s="660"/>
      <c r="C26" s="661"/>
      <c r="D26" s="661"/>
      <c r="E26" s="661"/>
      <c r="F26" s="661"/>
      <c r="G26" s="661"/>
      <c r="H26" s="661"/>
      <c r="I26" s="661"/>
      <c r="J26" s="661"/>
      <c r="K26" s="661"/>
      <c r="L26" s="661"/>
      <c r="M26" s="661"/>
      <c r="N26" s="661"/>
      <c r="O26" s="661"/>
      <c r="P26" s="661"/>
      <c r="Q26" s="661"/>
      <c r="R26" s="662"/>
      <c r="S26" s="661"/>
      <c r="T26" s="661"/>
      <c r="U26" s="661"/>
      <c r="V26" s="662"/>
      <c r="W26" s="662"/>
      <c r="X26" s="663"/>
      <c r="AH26" s="664" t="s">
        <v>282</v>
      </c>
    </row>
    <row r="27" spans="1:34" x14ac:dyDescent="0.25">
      <c r="A27" s="659"/>
      <c r="B27" s="660"/>
      <c r="C27" s="661"/>
      <c r="D27" s="661"/>
      <c r="E27" s="661"/>
      <c r="F27" s="661"/>
      <c r="G27" s="661"/>
      <c r="H27" s="661"/>
      <c r="I27" s="661"/>
      <c r="J27" s="661"/>
      <c r="K27" s="661"/>
      <c r="L27" s="661"/>
      <c r="M27" s="661"/>
      <c r="N27" s="661"/>
      <c r="O27" s="661"/>
      <c r="P27" s="661"/>
      <c r="Q27" s="661"/>
      <c r="R27" s="662"/>
      <c r="S27" s="661"/>
      <c r="T27" s="661"/>
      <c r="U27" s="661"/>
      <c r="V27" s="662"/>
      <c r="W27" s="662"/>
      <c r="X27" s="663"/>
      <c r="AH27" s="664" t="s">
        <v>283</v>
      </c>
    </row>
    <row r="28" spans="1:34" x14ac:dyDescent="0.25">
      <c r="A28" s="659"/>
      <c r="B28" s="660"/>
      <c r="C28" s="661"/>
      <c r="D28" s="661"/>
      <c r="E28" s="661"/>
      <c r="F28" s="661"/>
      <c r="G28" s="661"/>
      <c r="H28" s="661"/>
      <c r="I28" s="661"/>
      <c r="J28" s="661"/>
      <c r="K28" s="661"/>
      <c r="L28" s="661"/>
      <c r="M28" s="661"/>
      <c r="N28" s="661"/>
      <c r="O28" s="661"/>
      <c r="P28" s="661"/>
      <c r="Q28" s="661"/>
      <c r="R28" s="662"/>
      <c r="S28" s="661"/>
      <c r="T28" s="661"/>
      <c r="U28" s="661"/>
      <c r="V28" s="662"/>
      <c r="W28" s="662"/>
      <c r="X28" s="663"/>
      <c r="AH28" s="664" t="s">
        <v>284</v>
      </c>
    </row>
    <row r="29" spans="1:34" x14ac:dyDescent="0.25">
      <c r="A29" s="659"/>
      <c r="B29" s="660"/>
      <c r="C29" s="661"/>
      <c r="D29" s="661"/>
      <c r="E29" s="661"/>
      <c r="F29" s="661"/>
      <c r="G29" s="661"/>
      <c r="H29" s="661"/>
      <c r="I29" s="661"/>
      <c r="J29" s="661"/>
      <c r="K29" s="661"/>
      <c r="L29" s="661"/>
      <c r="M29" s="661"/>
      <c r="N29" s="661"/>
      <c r="O29" s="661"/>
      <c r="P29" s="661"/>
      <c r="Q29" s="661"/>
      <c r="R29" s="662"/>
      <c r="S29" s="661"/>
      <c r="T29" s="661"/>
      <c r="U29" s="661"/>
      <c r="V29" s="662"/>
      <c r="W29" s="662"/>
      <c r="X29" s="663"/>
      <c r="AH29" s="664" t="s">
        <v>285</v>
      </c>
    </row>
    <row r="30" spans="1:34" x14ac:dyDescent="0.25">
      <c r="A30" s="659"/>
      <c r="B30" s="660"/>
      <c r="C30" s="661"/>
      <c r="D30" s="661"/>
      <c r="E30" s="661"/>
      <c r="F30" s="661"/>
      <c r="G30" s="661"/>
      <c r="H30" s="661"/>
      <c r="I30" s="661"/>
      <c r="J30" s="661"/>
      <c r="K30" s="661"/>
      <c r="L30" s="661"/>
      <c r="M30" s="661"/>
      <c r="N30" s="661"/>
      <c r="O30" s="661"/>
      <c r="P30" s="661"/>
      <c r="Q30" s="661"/>
      <c r="R30" s="662"/>
      <c r="S30" s="661"/>
      <c r="T30" s="661"/>
      <c r="U30" s="661"/>
      <c r="V30" s="662"/>
      <c r="W30" s="662"/>
      <c r="X30" s="663"/>
      <c r="AH30" s="664" t="s">
        <v>286</v>
      </c>
    </row>
    <row r="31" spans="1:34" x14ac:dyDescent="0.25">
      <c r="A31" s="659"/>
      <c r="B31" s="660"/>
      <c r="C31" s="661"/>
      <c r="D31" s="661"/>
      <c r="E31" s="661"/>
      <c r="F31" s="661"/>
      <c r="G31" s="661"/>
      <c r="H31" s="661"/>
      <c r="I31" s="661"/>
      <c r="J31" s="661"/>
      <c r="K31" s="661"/>
      <c r="L31" s="661"/>
      <c r="M31" s="661"/>
      <c r="N31" s="661"/>
      <c r="O31" s="661"/>
      <c r="P31" s="661"/>
      <c r="Q31" s="661"/>
      <c r="R31" s="662"/>
      <c r="S31" s="661"/>
      <c r="T31" s="661"/>
      <c r="U31" s="661"/>
      <c r="V31" s="662"/>
      <c r="W31" s="662"/>
      <c r="X31" s="663"/>
      <c r="AH31" s="664" t="s">
        <v>287</v>
      </c>
    </row>
    <row r="32" spans="1:34" x14ac:dyDescent="0.25">
      <c r="A32" s="659"/>
      <c r="B32" s="660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1"/>
      <c r="P32" s="661"/>
      <c r="Q32" s="661"/>
      <c r="R32" s="662"/>
      <c r="S32" s="661"/>
      <c r="T32" s="661"/>
      <c r="U32" s="661"/>
      <c r="V32" s="662"/>
      <c r="W32" s="662"/>
      <c r="X32" s="663"/>
      <c r="AH32" s="664" t="s">
        <v>288</v>
      </c>
    </row>
    <row r="33" spans="1:34" x14ac:dyDescent="0.25">
      <c r="A33" s="659"/>
      <c r="B33" s="660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1"/>
      <c r="P33" s="661"/>
      <c r="Q33" s="661"/>
      <c r="R33" s="662"/>
      <c r="S33" s="661"/>
      <c r="T33" s="661"/>
      <c r="U33" s="661"/>
      <c r="V33" s="662"/>
      <c r="W33" s="662"/>
      <c r="X33" s="663"/>
      <c r="AH33" s="664" t="s">
        <v>289</v>
      </c>
    </row>
    <row r="34" spans="1:34" x14ac:dyDescent="0.25">
      <c r="A34" s="659"/>
      <c r="B34" s="660"/>
      <c r="C34" s="661"/>
      <c r="D34" s="661"/>
      <c r="E34" s="661"/>
      <c r="F34" s="661"/>
      <c r="G34" s="661"/>
      <c r="H34" s="661"/>
      <c r="I34" s="661"/>
      <c r="J34" s="661"/>
      <c r="K34" s="661"/>
      <c r="L34" s="661"/>
      <c r="M34" s="661"/>
      <c r="N34" s="661"/>
      <c r="O34" s="661"/>
      <c r="P34" s="661"/>
      <c r="Q34" s="661"/>
      <c r="R34" s="662"/>
      <c r="S34" s="661"/>
      <c r="T34" s="661"/>
      <c r="U34" s="661"/>
      <c r="V34" s="662"/>
      <c r="W34" s="662"/>
      <c r="X34" s="663"/>
      <c r="AH34" s="664" t="s">
        <v>290</v>
      </c>
    </row>
    <row r="35" spans="1:34" x14ac:dyDescent="0.25">
      <c r="A35" s="659"/>
      <c r="B35" s="660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2"/>
      <c r="S35" s="661"/>
      <c r="T35" s="661"/>
      <c r="U35" s="661"/>
      <c r="V35" s="662"/>
      <c r="W35" s="662"/>
      <c r="X35" s="663"/>
    </row>
    <row r="36" spans="1:34" x14ac:dyDescent="0.25">
      <c r="A36" s="659"/>
      <c r="B36" s="660"/>
      <c r="C36" s="661"/>
      <c r="D36" s="661"/>
      <c r="E36" s="661"/>
      <c r="F36" s="661"/>
      <c r="G36" s="661"/>
      <c r="H36" s="661"/>
      <c r="I36" s="661"/>
      <c r="J36" s="661"/>
      <c r="K36" s="661"/>
      <c r="L36" s="661"/>
      <c r="M36" s="661"/>
      <c r="N36" s="661"/>
      <c r="O36" s="661"/>
      <c r="P36" s="661"/>
      <c r="Q36" s="661"/>
      <c r="R36" s="662"/>
      <c r="S36" s="661"/>
      <c r="T36" s="661"/>
      <c r="U36" s="661"/>
      <c r="V36" s="662"/>
      <c r="W36" s="662"/>
      <c r="X36" s="663"/>
    </row>
    <row r="37" spans="1:34" x14ac:dyDescent="0.25">
      <c r="A37" s="659"/>
      <c r="B37" s="660"/>
      <c r="C37" s="661"/>
      <c r="D37" s="661"/>
      <c r="E37" s="661"/>
      <c r="F37" s="661"/>
      <c r="G37" s="661"/>
      <c r="H37" s="661"/>
      <c r="I37" s="661"/>
      <c r="J37" s="661"/>
      <c r="K37" s="661"/>
      <c r="L37" s="661"/>
      <c r="M37" s="661"/>
      <c r="N37" s="661"/>
      <c r="O37" s="661"/>
      <c r="P37" s="661"/>
      <c r="Q37" s="661"/>
      <c r="R37" s="662"/>
      <c r="S37" s="661"/>
      <c r="T37" s="661"/>
      <c r="U37" s="661"/>
      <c r="V37" s="662"/>
      <c r="W37" s="662"/>
      <c r="X37" s="663"/>
    </row>
    <row r="38" spans="1:34" x14ac:dyDescent="0.25">
      <c r="A38" s="659"/>
      <c r="B38" s="660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2"/>
      <c r="S38" s="661"/>
      <c r="T38" s="661"/>
      <c r="U38" s="661"/>
      <c r="V38" s="662"/>
      <c r="W38" s="662"/>
      <c r="X38" s="663"/>
    </row>
    <row r="39" spans="1:34" x14ac:dyDescent="0.25">
      <c r="A39" s="659"/>
      <c r="B39" s="660"/>
      <c r="C39" s="661"/>
      <c r="D39" s="661"/>
      <c r="E39" s="661"/>
      <c r="F39" s="661"/>
      <c r="G39" s="661"/>
      <c r="H39" s="661"/>
      <c r="I39" s="661"/>
      <c r="J39" s="661"/>
      <c r="K39" s="661"/>
      <c r="L39" s="661"/>
      <c r="M39" s="661"/>
      <c r="N39" s="661"/>
      <c r="O39" s="661"/>
      <c r="P39" s="661"/>
      <c r="Q39" s="661"/>
      <c r="R39" s="662"/>
      <c r="S39" s="661"/>
      <c r="T39" s="661"/>
      <c r="U39" s="661"/>
      <c r="V39" s="662"/>
      <c r="W39" s="662"/>
      <c r="X39" s="663"/>
    </row>
    <row r="40" spans="1:34" x14ac:dyDescent="0.25">
      <c r="A40" s="659"/>
      <c r="B40" s="660"/>
      <c r="C40" s="661"/>
      <c r="D40" s="661"/>
      <c r="E40" s="661"/>
      <c r="F40" s="661"/>
      <c r="G40" s="661"/>
      <c r="H40" s="661"/>
      <c r="I40" s="661"/>
      <c r="J40" s="661"/>
      <c r="K40" s="661"/>
      <c r="L40" s="661"/>
      <c r="M40" s="661"/>
      <c r="N40" s="661"/>
      <c r="O40" s="661"/>
      <c r="P40" s="661"/>
      <c r="Q40" s="661"/>
      <c r="R40" s="662"/>
      <c r="S40" s="661"/>
      <c r="T40" s="661"/>
      <c r="U40" s="661"/>
      <c r="V40" s="662"/>
      <c r="W40" s="662"/>
      <c r="X40" s="663"/>
    </row>
    <row r="41" spans="1:34" x14ac:dyDescent="0.25">
      <c r="A41" s="659"/>
      <c r="B41" s="660"/>
      <c r="C41" s="661"/>
      <c r="D41" s="661"/>
      <c r="E41" s="661"/>
      <c r="F41" s="661"/>
      <c r="G41" s="661"/>
      <c r="H41" s="661"/>
      <c r="I41" s="661"/>
      <c r="J41" s="661"/>
      <c r="K41" s="661"/>
      <c r="L41" s="661"/>
      <c r="M41" s="661"/>
      <c r="N41" s="661"/>
      <c r="O41" s="661"/>
      <c r="P41" s="661"/>
      <c r="Q41" s="661"/>
      <c r="R41" s="662"/>
      <c r="S41" s="661"/>
      <c r="T41" s="661"/>
      <c r="U41" s="661"/>
      <c r="V41" s="662"/>
      <c r="W41" s="662"/>
      <c r="X41" s="663"/>
    </row>
    <row r="42" spans="1:34" x14ac:dyDescent="0.25">
      <c r="A42" s="659"/>
      <c r="B42" s="660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1"/>
      <c r="P42" s="661"/>
      <c r="Q42" s="661"/>
      <c r="R42" s="662"/>
      <c r="S42" s="661"/>
      <c r="T42" s="661"/>
      <c r="U42" s="661"/>
      <c r="V42" s="662"/>
      <c r="W42" s="662"/>
      <c r="X42" s="663"/>
    </row>
    <row r="43" spans="1:34" x14ac:dyDescent="0.25">
      <c r="A43" s="659"/>
      <c r="B43" s="660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1"/>
      <c r="P43" s="661"/>
      <c r="Q43" s="661"/>
      <c r="R43" s="662"/>
      <c r="S43" s="661"/>
      <c r="T43" s="661"/>
      <c r="U43" s="661"/>
      <c r="V43" s="662"/>
      <c r="W43" s="662"/>
      <c r="X43" s="663"/>
    </row>
    <row r="44" spans="1:34" x14ac:dyDescent="0.25">
      <c r="A44" s="659"/>
      <c r="B44" s="660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2"/>
      <c r="S44" s="661"/>
      <c r="T44" s="661"/>
      <c r="U44" s="661"/>
      <c r="V44" s="662"/>
      <c r="W44" s="662"/>
      <c r="X44" s="663"/>
    </row>
    <row r="45" spans="1:34" x14ac:dyDescent="0.25">
      <c r="A45" s="659"/>
      <c r="B45" s="660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2"/>
      <c r="S45" s="661"/>
      <c r="T45" s="661"/>
      <c r="U45" s="661"/>
      <c r="V45" s="662"/>
      <c r="W45" s="662"/>
      <c r="X45" s="663"/>
    </row>
    <row r="46" spans="1:34" x14ac:dyDescent="0.25">
      <c r="A46" s="659"/>
      <c r="B46" s="660"/>
      <c r="C46" s="661"/>
      <c r="D46" s="661"/>
      <c r="E46" s="661"/>
      <c r="F46" s="661"/>
      <c r="G46" s="661"/>
      <c r="H46" s="661"/>
      <c r="I46" s="661"/>
      <c r="J46" s="661"/>
      <c r="K46" s="661"/>
      <c r="L46" s="661"/>
      <c r="M46" s="661"/>
      <c r="N46" s="661"/>
      <c r="O46" s="661"/>
      <c r="P46" s="661"/>
      <c r="Q46" s="661"/>
      <c r="R46" s="662"/>
      <c r="S46" s="661"/>
      <c r="T46" s="661"/>
      <c r="U46" s="661"/>
      <c r="V46" s="662"/>
      <c r="W46" s="662"/>
      <c r="X46" s="663"/>
    </row>
    <row r="47" spans="1:34" x14ac:dyDescent="0.25">
      <c r="A47" s="659"/>
      <c r="B47" s="660"/>
      <c r="C47" s="661"/>
      <c r="D47" s="661"/>
      <c r="E47" s="661"/>
      <c r="F47" s="661"/>
      <c r="G47" s="661"/>
      <c r="H47" s="661"/>
      <c r="I47" s="661"/>
      <c r="J47" s="661"/>
      <c r="K47" s="661"/>
      <c r="L47" s="661"/>
      <c r="M47" s="661"/>
      <c r="N47" s="661"/>
      <c r="O47" s="661"/>
      <c r="P47" s="661"/>
      <c r="Q47" s="661"/>
      <c r="R47" s="662"/>
      <c r="S47" s="661"/>
      <c r="T47" s="661"/>
      <c r="U47" s="661"/>
      <c r="V47" s="662"/>
      <c r="W47" s="662"/>
      <c r="X47" s="663"/>
    </row>
    <row r="48" spans="1:34" x14ac:dyDescent="0.25">
      <c r="A48" s="659"/>
      <c r="B48" s="660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2"/>
      <c r="S48" s="661"/>
      <c r="T48" s="661"/>
      <c r="U48" s="661"/>
      <c r="V48" s="662"/>
      <c r="W48" s="662"/>
      <c r="X48" s="663"/>
    </row>
    <row r="49" spans="1:24" x14ac:dyDescent="0.25">
      <c r="A49" s="659"/>
      <c r="B49" s="660"/>
      <c r="C49" s="661"/>
      <c r="D49" s="661"/>
      <c r="E49" s="661"/>
      <c r="F49" s="661"/>
      <c r="G49" s="661"/>
      <c r="H49" s="661"/>
      <c r="I49" s="661"/>
      <c r="J49" s="661"/>
      <c r="K49" s="661"/>
      <c r="L49" s="661"/>
      <c r="M49" s="661"/>
      <c r="N49" s="661"/>
      <c r="O49" s="661"/>
      <c r="P49" s="661"/>
      <c r="Q49" s="661"/>
      <c r="R49" s="662"/>
      <c r="S49" s="661"/>
      <c r="T49" s="661"/>
      <c r="U49" s="661"/>
      <c r="V49" s="662"/>
      <c r="W49" s="662"/>
      <c r="X49" s="663"/>
    </row>
    <row r="50" spans="1:24" x14ac:dyDescent="0.25">
      <c r="A50" s="659"/>
      <c r="B50" s="660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2"/>
      <c r="S50" s="661"/>
      <c r="T50" s="661"/>
      <c r="U50" s="661"/>
      <c r="V50" s="662"/>
      <c r="W50" s="662"/>
      <c r="X50" s="663"/>
    </row>
    <row r="51" spans="1:24" x14ac:dyDescent="0.25">
      <c r="A51" s="659"/>
      <c r="B51" s="660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1"/>
      <c r="P51" s="661"/>
      <c r="Q51" s="661"/>
      <c r="R51" s="662"/>
      <c r="S51" s="661"/>
      <c r="T51" s="661"/>
      <c r="U51" s="661"/>
      <c r="V51" s="662"/>
      <c r="W51" s="662"/>
      <c r="X51" s="663"/>
    </row>
    <row r="52" spans="1:24" x14ac:dyDescent="0.25">
      <c r="A52" s="659"/>
      <c r="B52" s="660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1"/>
      <c r="P52" s="661"/>
      <c r="Q52" s="661"/>
      <c r="R52" s="662"/>
      <c r="S52" s="661"/>
      <c r="T52" s="661"/>
      <c r="U52" s="661"/>
      <c r="V52" s="662"/>
      <c r="W52" s="662"/>
      <c r="X52" s="663"/>
    </row>
    <row r="53" spans="1:24" x14ac:dyDescent="0.25">
      <c r="A53" s="659"/>
      <c r="B53" s="660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2"/>
      <c r="S53" s="661"/>
      <c r="T53" s="661"/>
      <c r="U53" s="661"/>
      <c r="V53" s="662"/>
      <c r="W53" s="662"/>
      <c r="X53" s="663"/>
    </row>
    <row r="54" spans="1:24" x14ac:dyDescent="0.25">
      <c r="A54" s="659"/>
      <c r="B54" s="660"/>
      <c r="C54" s="661"/>
      <c r="D54" s="661"/>
      <c r="E54" s="661"/>
      <c r="F54" s="661"/>
      <c r="G54" s="661"/>
      <c r="H54" s="661"/>
      <c r="I54" s="661"/>
      <c r="J54" s="661"/>
      <c r="K54" s="661"/>
      <c r="L54" s="661"/>
      <c r="M54" s="661"/>
      <c r="N54" s="661"/>
      <c r="O54" s="661"/>
      <c r="P54" s="661"/>
      <c r="Q54" s="661"/>
      <c r="R54" s="662"/>
      <c r="S54" s="661"/>
      <c r="T54" s="661"/>
      <c r="U54" s="661"/>
      <c r="V54" s="662"/>
      <c r="W54" s="662"/>
      <c r="X54" s="663"/>
    </row>
    <row r="55" spans="1:24" x14ac:dyDescent="0.25">
      <c r="A55" s="659"/>
      <c r="B55" s="660"/>
      <c r="C55" s="661"/>
      <c r="D55" s="661"/>
      <c r="E55" s="661"/>
      <c r="F55" s="661"/>
      <c r="G55" s="661"/>
      <c r="H55" s="661"/>
      <c r="I55" s="661"/>
      <c r="J55" s="661"/>
      <c r="K55" s="661"/>
      <c r="L55" s="661"/>
      <c r="M55" s="661"/>
      <c r="N55" s="661"/>
      <c r="O55" s="661"/>
      <c r="P55" s="661"/>
      <c r="Q55" s="661"/>
      <c r="R55" s="662"/>
      <c r="S55" s="661"/>
      <c r="T55" s="661"/>
      <c r="U55" s="661"/>
      <c r="V55" s="661"/>
      <c r="W55" s="662"/>
      <c r="X55" s="663"/>
    </row>
    <row r="56" spans="1:24" x14ac:dyDescent="0.25">
      <c r="A56" s="659"/>
      <c r="B56" s="660"/>
      <c r="C56" s="661"/>
      <c r="D56" s="661"/>
      <c r="E56" s="661"/>
      <c r="F56" s="661"/>
      <c r="G56" s="661"/>
      <c r="H56" s="661"/>
      <c r="I56" s="661"/>
      <c r="J56" s="661"/>
      <c r="K56" s="661"/>
      <c r="L56" s="661"/>
      <c r="M56" s="661"/>
      <c r="N56" s="661"/>
      <c r="O56" s="661"/>
      <c r="P56" s="661"/>
      <c r="Q56" s="661"/>
      <c r="R56" s="662"/>
      <c r="S56" s="661"/>
      <c r="T56" s="661"/>
      <c r="U56" s="661"/>
      <c r="V56" s="661"/>
      <c r="W56" s="662"/>
      <c r="X56" s="663"/>
    </row>
    <row r="57" spans="1:24" x14ac:dyDescent="0.25">
      <c r="A57" s="659"/>
      <c r="B57" s="660"/>
      <c r="C57" s="661"/>
      <c r="D57" s="661"/>
      <c r="E57" s="661"/>
      <c r="F57" s="661"/>
      <c r="G57" s="661"/>
      <c r="H57" s="661"/>
      <c r="I57" s="661"/>
      <c r="J57" s="661"/>
      <c r="K57" s="661"/>
      <c r="L57" s="661"/>
      <c r="M57" s="661"/>
      <c r="N57" s="661"/>
      <c r="O57" s="661"/>
      <c r="P57" s="661"/>
      <c r="Q57" s="661"/>
      <c r="R57" s="662"/>
      <c r="S57" s="661"/>
      <c r="T57" s="661"/>
      <c r="U57" s="661"/>
      <c r="V57" s="661"/>
      <c r="W57" s="662"/>
      <c r="X57" s="663"/>
    </row>
    <row r="58" spans="1:24" x14ac:dyDescent="0.25">
      <c r="A58" s="659"/>
      <c r="B58" s="660"/>
      <c r="C58" s="661"/>
      <c r="D58" s="661"/>
      <c r="E58" s="661"/>
      <c r="F58" s="661"/>
      <c r="G58" s="661"/>
      <c r="H58" s="661"/>
      <c r="I58" s="661"/>
      <c r="J58" s="661"/>
      <c r="K58" s="661"/>
      <c r="L58" s="661"/>
      <c r="M58" s="661"/>
      <c r="N58" s="661"/>
      <c r="O58" s="661"/>
      <c r="P58" s="661"/>
      <c r="Q58" s="661"/>
      <c r="R58" s="662"/>
      <c r="S58" s="661"/>
      <c r="T58" s="661"/>
      <c r="U58" s="661"/>
      <c r="V58" s="661"/>
      <c r="W58" s="662"/>
      <c r="X58" s="663"/>
    </row>
    <row r="59" spans="1:24" x14ac:dyDescent="0.25">
      <c r="A59" s="659"/>
      <c r="B59" s="660"/>
      <c r="C59" s="661"/>
      <c r="D59" s="661"/>
      <c r="E59" s="661"/>
      <c r="F59" s="661"/>
      <c r="G59" s="661"/>
      <c r="H59" s="661"/>
      <c r="I59" s="661"/>
      <c r="J59" s="661"/>
      <c r="K59" s="661"/>
      <c r="L59" s="661"/>
      <c r="M59" s="661"/>
      <c r="N59" s="661"/>
      <c r="O59" s="661"/>
      <c r="P59" s="661"/>
      <c r="Q59" s="661"/>
      <c r="R59" s="662"/>
      <c r="S59" s="661"/>
      <c r="T59" s="661"/>
      <c r="U59" s="661"/>
      <c r="V59" s="661"/>
      <c r="W59" s="662"/>
      <c r="X59" s="663"/>
    </row>
    <row r="60" spans="1:24" x14ac:dyDescent="0.25">
      <c r="A60" s="659"/>
      <c r="B60" s="660"/>
      <c r="C60" s="661"/>
      <c r="D60" s="661"/>
      <c r="E60" s="661"/>
      <c r="F60" s="661"/>
      <c r="G60" s="661"/>
      <c r="H60" s="661"/>
      <c r="I60" s="661"/>
      <c r="J60" s="661"/>
      <c r="K60" s="661"/>
      <c r="L60" s="661"/>
      <c r="M60" s="661"/>
      <c r="N60" s="661"/>
      <c r="O60" s="661"/>
      <c r="P60" s="661"/>
      <c r="Q60" s="661"/>
      <c r="R60" s="662"/>
      <c r="S60" s="661"/>
      <c r="T60" s="661"/>
      <c r="U60" s="661"/>
      <c r="V60" s="661"/>
      <c r="W60" s="662"/>
      <c r="X60" s="663"/>
    </row>
    <row r="61" spans="1:24" x14ac:dyDescent="0.25">
      <c r="A61" s="659"/>
      <c r="B61" s="660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1"/>
      <c r="P61" s="661"/>
      <c r="Q61" s="661"/>
      <c r="R61" s="662"/>
      <c r="S61" s="661"/>
      <c r="T61" s="661"/>
      <c r="U61" s="661"/>
      <c r="V61" s="661"/>
      <c r="W61" s="662"/>
      <c r="X61" s="663"/>
    </row>
    <row r="62" spans="1:24" x14ac:dyDescent="0.25">
      <c r="A62" s="659"/>
      <c r="B62" s="660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1"/>
      <c r="P62" s="661"/>
      <c r="Q62" s="661"/>
      <c r="R62" s="662"/>
      <c r="S62" s="661"/>
      <c r="T62" s="661"/>
      <c r="U62" s="661"/>
      <c r="V62" s="661"/>
      <c r="W62" s="662"/>
      <c r="X62" s="663"/>
    </row>
    <row r="63" spans="1:24" x14ac:dyDescent="0.25">
      <c r="A63" s="659"/>
      <c r="B63" s="660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2"/>
      <c r="S63" s="661"/>
      <c r="T63" s="661"/>
      <c r="U63" s="661"/>
      <c r="V63" s="661"/>
      <c r="W63" s="662"/>
      <c r="X63" s="663"/>
    </row>
    <row r="64" spans="1:24" x14ac:dyDescent="0.25">
      <c r="A64" s="659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  <c r="P64" s="661"/>
      <c r="Q64" s="661"/>
      <c r="R64" s="662"/>
      <c r="S64" s="661"/>
      <c r="T64" s="661"/>
      <c r="U64" s="661"/>
      <c r="V64" s="661"/>
      <c r="W64" s="662"/>
      <c r="X64" s="663"/>
    </row>
    <row r="65" spans="1:24" x14ac:dyDescent="0.25">
      <c r="A65" s="659"/>
      <c r="B65" s="660"/>
      <c r="C65" s="661"/>
      <c r="D65" s="661"/>
      <c r="E65" s="661"/>
      <c r="F65" s="661"/>
      <c r="G65" s="661"/>
      <c r="H65" s="661"/>
      <c r="I65" s="661"/>
      <c r="J65" s="661"/>
      <c r="K65" s="661"/>
      <c r="L65" s="661"/>
      <c r="M65" s="661"/>
      <c r="N65" s="661"/>
      <c r="O65" s="661"/>
      <c r="P65" s="661"/>
      <c r="Q65" s="661"/>
      <c r="R65" s="661"/>
      <c r="S65" s="661"/>
      <c r="T65" s="661"/>
      <c r="U65" s="661"/>
      <c r="V65" s="661"/>
      <c r="W65" s="662"/>
      <c r="X65" s="663"/>
    </row>
    <row r="66" spans="1:24" x14ac:dyDescent="0.25">
      <c r="A66" s="659"/>
      <c r="B66" s="660"/>
      <c r="C66" s="661"/>
      <c r="D66" s="661"/>
      <c r="E66" s="661"/>
      <c r="F66" s="661"/>
      <c r="G66" s="661"/>
      <c r="H66" s="661"/>
      <c r="I66" s="661"/>
      <c r="J66" s="661"/>
      <c r="K66" s="661"/>
      <c r="L66" s="661"/>
      <c r="M66" s="661"/>
      <c r="N66" s="661"/>
      <c r="O66" s="661"/>
      <c r="P66" s="661"/>
      <c r="Q66" s="661"/>
      <c r="R66" s="661"/>
      <c r="S66" s="661"/>
      <c r="T66" s="661"/>
      <c r="U66" s="661"/>
      <c r="V66" s="661"/>
      <c r="W66" s="662"/>
      <c r="X66" s="663"/>
    </row>
    <row r="67" spans="1:24" x14ac:dyDescent="0.25">
      <c r="A67" s="659"/>
      <c r="B67" s="660"/>
      <c r="C67" s="661"/>
      <c r="D67" s="661"/>
      <c r="E67" s="661"/>
      <c r="F67" s="661"/>
      <c r="G67" s="661"/>
      <c r="H67" s="661"/>
      <c r="I67" s="661"/>
      <c r="J67" s="661"/>
      <c r="K67" s="661"/>
      <c r="L67" s="661"/>
      <c r="M67" s="661"/>
      <c r="N67" s="661"/>
      <c r="O67" s="661"/>
      <c r="P67" s="661"/>
      <c r="Q67" s="661"/>
      <c r="R67" s="661"/>
      <c r="S67" s="661"/>
      <c r="T67" s="661"/>
      <c r="U67" s="661"/>
      <c r="V67" s="661"/>
      <c r="W67" s="662"/>
      <c r="X67" s="663"/>
    </row>
    <row r="68" spans="1:24" x14ac:dyDescent="0.25">
      <c r="A68" s="659"/>
      <c r="B68" s="660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2"/>
      <c r="X68" s="663"/>
    </row>
    <row r="69" spans="1:24" x14ac:dyDescent="0.25">
      <c r="A69" s="659"/>
      <c r="B69" s="660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1"/>
      <c r="Q69" s="661"/>
      <c r="R69" s="661"/>
      <c r="S69" s="661"/>
      <c r="T69" s="661"/>
      <c r="U69" s="661"/>
      <c r="V69" s="661"/>
      <c r="W69" s="662"/>
      <c r="X69" s="663"/>
    </row>
    <row r="70" spans="1:24" x14ac:dyDescent="0.25">
      <c r="A70" s="659"/>
      <c r="B70" s="660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1"/>
      <c r="P70" s="661"/>
      <c r="Q70" s="661"/>
      <c r="R70" s="661"/>
      <c r="S70" s="661"/>
      <c r="T70" s="661"/>
      <c r="U70" s="661"/>
      <c r="V70" s="661"/>
      <c r="W70" s="662"/>
      <c r="X70" s="663"/>
    </row>
    <row r="71" spans="1:24" x14ac:dyDescent="0.25">
      <c r="A71" s="659"/>
      <c r="B71" s="660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1"/>
      <c r="Q71" s="661"/>
      <c r="R71" s="661"/>
      <c r="S71" s="661"/>
      <c r="T71" s="661"/>
      <c r="U71" s="661"/>
      <c r="V71" s="661"/>
      <c r="W71" s="662"/>
      <c r="X71" s="663"/>
    </row>
    <row r="72" spans="1:24" x14ac:dyDescent="0.25">
      <c r="A72" s="659"/>
      <c r="B72" s="660"/>
      <c r="C72" s="661"/>
      <c r="D72" s="661"/>
      <c r="E72" s="661"/>
      <c r="F72" s="661"/>
      <c r="G72" s="661"/>
      <c r="H72" s="661"/>
      <c r="I72" s="661"/>
      <c r="J72" s="661"/>
      <c r="K72" s="661"/>
      <c r="L72" s="661"/>
      <c r="M72" s="661"/>
      <c r="N72" s="661"/>
      <c r="O72" s="661"/>
      <c r="P72" s="661"/>
      <c r="Q72" s="661"/>
      <c r="R72" s="661"/>
      <c r="S72" s="661"/>
      <c r="T72" s="661"/>
      <c r="U72" s="661"/>
      <c r="V72" s="661"/>
      <c r="W72" s="662"/>
      <c r="X72" s="663"/>
    </row>
    <row r="73" spans="1:24" x14ac:dyDescent="0.25">
      <c r="A73" s="659"/>
      <c r="B73" s="660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1"/>
      <c r="Q73" s="661"/>
      <c r="R73" s="661"/>
      <c r="S73" s="661"/>
      <c r="T73" s="661"/>
      <c r="U73" s="661"/>
      <c r="V73" s="661"/>
      <c r="W73" s="662"/>
      <c r="X73" s="663"/>
    </row>
    <row r="74" spans="1:24" x14ac:dyDescent="0.25">
      <c r="A74" s="659"/>
      <c r="B74" s="660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1"/>
      <c r="P74" s="661"/>
      <c r="Q74" s="661"/>
      <c r="R74" s="661"/>
      <c r="S74" s="661"/>
      <c r="T74" s="661"/>
      <c r="U74" s="661"/>
      <c r="V74" s="661"/>
      <c r="W74" s="662"/>
      <c r="X74" s="663"/>
    </row>
    <row r="75" spans="1:24" x14ac:dyDescent="0.25">
      <c r="A75" s="659"/>
      <c r="B75" s="660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1"/>
      <c r="R75" s="661"/>
      <c r="S75" s="661"/>
      <c r="T75" s="661"/>
      <c r="U75" s="661"/>
      <c r="V75" s="661"/>
      <c r="W75" s="662"/>
      <c r="X75" s="663"/>
    </row>
    <row r="76" spans="1:24" x14ac:dyDescent="0.25">
      <c r="A76" s="659"/>
      <c r="B76" s="660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1"/>
      <c r="P76" s="661"/>
      <c r="Q76" s="661"/>
      <c r="R76" s="661"/>
      <c r="S76" s="661"/>
      <c r="T76" s="661"/>
      <c r="U76" s="661"/>
      <c r="V76" s="661"/>
      <c r="W76" s="662"/>
      <c r="X76" s="663"/>
    </row>
    <row r="77" spans="1:24" x14ac:dyDescent="0.25">
      <c r="A77" s="659"/>
      <c r="B77" s="660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1"/>
      <c r="Q77" s="661"/>
      <c r="R77" s="661"/>
      <c r="S77" s="661"/>
      <c r="T77" s="661"/>
      <c r="U77" s="661"/>
      <c r="V77" s="661"/>
      <c r="W77" s="662"/>
      <c r="X77" s="663"/>
    </row>
    <row r="78" spans="1:24" x14ac:dyDescent="0.25">
      <c r="A78" s="659"/>
      <c r="B78" s="660"/>
      <c r="C78" s="661"/>
      <c r="D78" s="661"/>
      <c r="E78" s="661"/>
      <c r="F78" s="661"/>
      <c r="G78" s="661"/>
      <c r="H78" s="661"/>
      <c r="I78" s="661"/>
      <c r="J78" s="661"/>
      <c r="K78" s="661"/>
      <c r="L78" s="661"/>
      <c r="M78" s="661"/>
      <c r="N78" s="661"/>
      <c r="O78" s="661"/>
      <c r="P78" s="661"/>
      <c r="Q78" s="661"/>
      <c r="R78" s="661"/>
      <c r="S78" s="661"/>
      <c r="T78" s="661"/>
      <c r="U78" s="661"/>
      <c r="V78" s="661"/>
      <c r="W78" s="662"/>
      <c r="X78" s="663"/>
    </row>
    <row r="79" spans="1:24" x14ac:dyDescent="0.25">
      <c r="A79" s="659"/>
      <c r="B79" s="660"/>
      <c r="C79" s="661"/>
      <c r="D79" s="661"/>
      <c r="E79" s="661"/>
      <c r="F79" s="661"/>
      <c r="G79" s="661"/>
      <c r="H79" s="661"/>
      <c r="I79" s="661"/>
      <c r="J79" s="661"/>
      <c r="K79" s="661"/>
      <c r="L79" s="661"/>
      <c r="M79" s="661"/>
      <c r="N79" s="661"/>
      <c r="O79" s="661"/>
      <c r="P79" s="661"/>
      <c r="Q79" s="661"/>
      <c r="R79" s="661"/>
      <c r="S79" s="661"/>
      <c r="T79" s="661"/>
      <c r="U79" s="661"/>
      <c r="V79" s="661"/>
      <c r="W79" s="662"/>
      <c r="X79" s="663"/>
    </row>
    <row r="80" spans="1:24" x14ac:dyDescent="0.25">
      <c r="A80" s="659"/>
      <c r="B80" s="660"/>
      <c r="C80" s="661"/>
      <c r="D80" s="661"/>
      <c r="E80" s="661"/>
      <c r="F80" s="661"/>
      <c r="G80" s="661"/>
      <c r="H80" s="661"/>
      <c r="I80" s="661"/>
      <c r="J80" s="661"/>
      <c r="K80" s="661"/>
      <c r="L80" s="661"/>
      <c r="M80" s="661"/>
      <c r="N80" s="661"/>
      <c r="O80" s="661"/>
      <c r="P80" s="661"/>
      <c r="Q80" s="661"/>
      <c r="R80" s="661"/>
      <c r="S80" s="661"/>
      <c r="T80" s="661"/>
      <c r="U80" s="661"/>
      <c r="V80" s="661"/>
      <c r="W80" s="662"/>
      <c r="X80" s="663"/>
    </row>
    <row r="81" spans="1:24" x14ac:dyDescent="0.25">
      <c r="A81" s="659"/>
      <c r="B81" s="660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1"/>
      <c r="P81" s="661"/>
      <c r="Q81" s="661"/>
      <c r="R81" s="661"/>
      <c r="S81" s="661"/>
      <c r="T81" s="661"/>
      <c r="U81" s="661"/>
      <c r="V81" s="661"/>
      <c r="W81" s="662"/>
      <c r="X81" s="663"/>
    </row>
    <row r="82" spans="1:24" x14ac:dyDescent="0.25">
      <c r="A82" s="659"/>
      <c r="B82" s="660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2"/>
      <c r="X82" s="663"/>
    </row>
    <row r="83" spans="1:24" x14ac:dyDescent="0.25">
      <c r="A83" s="659"/>
      <c r="B83" s="660"/>
      <c r="C83" s="661"/>
      <c r="D83" s="661"/>
      <c r="E83" s="661"/>
      <c r="F83" s="661"/>
      <c r="G83" s="661"/>
      <c r="H83" s="661"/>
      <c r="I83" s="661"/>
      <c r="J83" s="661"/>
      <c r="K83" s="661"/>
      <c r="L83" s="661"/>
      <c r="M83" s="661"/>
      <c r="N83" s="661"/>
      <c r="O83" s="661"/>
      <c r="P83" s="661"/>
      <c r="Q83" s="661"/>
      <c r="R83" s="661"/>
      <c r="S83" s="661"/>
      <c r="T83" s="661"/>
      <c r="U83" s="661"/>
      <c r="V83" s="661"/>
      <c r="W83" s="662"/>
      <c r="X83" s="663"/>
    </row>
    <row r="84" spans="1:24" x14ac:dyDescent="0.25">
      <c r="A84" s="659"/>
      <c r="B84" s="660"/>
      <c r="C84" s="661"/>
      <c r="D84" s="661"/>
      <c r="E84" s="661"/>
      <c r="F84" s="661"/>
      <c r="G84" s="661"/>
      <c r="H84" s="661"/>
      <c r="I84" s="661"/>
      <c r="J84" s="661"/>
      <c r="K84" s="661"/>
      <c r="L84" s="661"/>
      <c r="M84" s="661"/>
      <c r="N84" s="661"/>
      <c r="O84" s="661"/>
      <c r="P84" s="661"/>
      <c r="Q84" s="661"/>
      <c r="R84" s="661"/>
      <c r="S84" s="661"/>
      <c r="T84" s="661"/>
      <c r="U84" s="661"/>
      <c r="V84" s="661"/>
      <c r="W84" s="662"/>
      <c r="X84" s="663"/>
    </row>
    <row r="85" spans="1:24" x14ac:dyDescent="0.25">
      <c r="A85" s="659"/>
      <c r="B85" s="660"/>
      <c r="C85" s="661"/>
      <c r="D85" s="661"/>
      <c r="E85" s="661"/>
      <c r="F85" s="661"/>
      <c r="G85" s="661"/>
      <c r="H85" s="661"/>
      <c r="I85" s="661"/>
      <c r="J85" s="661"/>
      <c r="K85" s="661"/>
      <c r="L85" s="661"/>
      <c r="M85" s="661"/>
      <c r="N85" s="661"/>
      <c r="O85" s="661"/>
      <c r="P85" s="661"/>
      <c r="Q85" s="661"/>
      <c r="R85" s="661"/>
      <c r="S85" s="661"/>
      <c r="T85" s="661"/>
      <c r="U85" s="661"/>
      <c r="V85" s="661"/>
      <c r="W85" s="662"/>
      <c r="X85" s="663"/>
    </row>
    <row r="86" spans="1:24" x14ac:dyDescent="0.25">
      <c r="A86" s="659"/>
      <c r="B86" s="660"/>
      <c r="C86" s="661"/>
      <c r="D86" s="661"/>
      <c r="E86" s="661"/>
      <c r="F86" s="661"/>
      <c r="G86" s="661"/>
      <c r="H86" s="661"/>
      <c r="I86" s="661"/>
      <c r="J86" s="661"/>
      <c r="K86" s="661"/>
      <c r="L86" s="661"/>
      <c r="M86" s="661"/>
      <c r="N86" s="661"/>
      <c r="O86" s="661"/>
      <c r="P86" s="661"/>
      <c r="Q86" s="661"/>
      <c r="R86" s="661"/>
      <c r="S86" s="661"/>
      <c r="T86" s="661"/>
      <c r="U86" s="661"/>
      <c r="V86" s="661"/>
      <c r="W86" s="662"/>
      <c r="X86" s="663"/>
    </row>
    <row r="87" spans="1:24" x14ac:dyDescent="0.25">
      <c r="A87" s="659"/>
      <c r="B87" s="660"/>
      <c r="C87" s="661"/>
      <c r="D87" s="661"/>
      <c r="E87" s="661"/>
      <c r="F87" s="661"/>
      <c r="G87" s="661"/>
      <c r="H87" s="661"/>
      <c r="I87" s="661"/>
      <c r="J87" s="661"/>
      <c r="K87" s="661"/>
      <c r="L87" s="661"/>
      <c r="M87" s="661"/>
      <c r="N87" s="661"/>
      <c r="O87" s="661"/>
      <c r="P87" s="661"/>
      <c r="Q87" s="661"/>
      <c r="R87" s="661"/>
      <c r="S87" s="661"/>
      <c r="T87" s="661"/>
      <c r="U87" s="661"/>
      <c r="V87" s="661"/>
      <c r="W87" s="662"/>
      <c r="X87" s="663"/>
    </row>
    <row r="88" spans="1:24" x14ac:dyDescent="0.25">
      <c r="A88" s="659"/>
      <c r="B88" s="660"/>
      <c r="C88" s="661"/>
      <c r="D88" s="661"/>
      <c r="E88" s="661"/>
      <c r="F88" s="661"/>
      <c r="G88" s="661"/>
      <c r="H88" s="661"/>
      <c r="I88" s="661"/>
      <c r="J88" s="661"/>
      <c r="K88" s="661"/>
      <c r="L88" s="661"/>
      <c r="M88" s="661"/>
      <c r="N88" s="661"/>
      <c r="O88" s="661"/>
      <c r="P88" s="661"/>
      <c r="Q88" s="661"/>
      <c r="R88" s="661"/>
      <c r="S88" s="661"/>
      <c r="T88" s="661"/>
      <c r="U88" s="661"/>
      <c r="V88" s="661"/>
      <c r="W88" s="662"/>
      <c r="X88" s="663"/>
    </row>
    <row r="89" spans="1:24" x14ac:dyDescent="0.25">
      <c r="A89" s="659"/>
      <c r="B89" s="660"/>
      <c r="C89" s="661"/>
      <c r="D89" s="661"/>
      <c r="E89" s="661"/>
      <c r="F89" s="661"/>
      <c r="G89" s="661"/>
      <c r="H89" s="661"/>
      <c r="I89" s="661"/>
      <c r="J89" s="661"/>
      <c r="K89" s="661"/>
      <c r="L89" s="661"/>
      <c r="M89" s="661"/>
      <c r="N89" s="661"/>
      <c r="O89" s="661"/>
      <c r="P89" s="661"/>
      <c r="Q89" s="661"/>
      <c r="R89" s="661"/>
      <c r="S89" s="661"/>
      <c r="T89" s="661"/>
      <c r="U89" s="661"/>
      <c r="V89" s="661"/>
      <c r="W89" s="662"/>
      <c r="X89" s="663"/>
    </row>
    <row r="90" spans="1:24" x14ac:dyDescent="0.25">
      <c r="A90" s="659"/>
      <c r="B90" s="66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61"/>
      <c r="R90" s="661"/>
      <c r="S90" s="661"/>
      <c r="T90" s="661"/>
      <c r="U90" s="661"/>
      <c r="V90" s="661"/>
      <c r="W90" s="662"/>
      <c r="X90" s="663"/>
    </row>
    <row r="91" spans="1:24" x14ac:dyDescent="0.25">
      <c r="A91" s="659"/>
      <c r="B91" s="660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1"/>
      <c r="P91" s="661"/>
      <c r="Q91" s="661"/>
      <c r="R91" s="661"/>
      <c r="S91" s="661"/>
      <c r="T91" s="661"/>
      <c r="U91" s="661"/>
      <c r="V91" s="661"/>
      <c r="W91" s="662"/>
      <c r="X91" s="663"/>
    </row>
    <row r="92" spans="1:24" x14ac:dyDescent="0.25">
      <c r="A92" s="659"/>
      <c r="B92" s="660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661"/>
      <c r="P92" s="661"/>
      <c r="Q92" s="661"/>
      <c r="R92" s="661"/>
      <c r="S92" s="661"/>
      <c r="T92" s="661"/>
      <c r="U92" s="661"/>
      <c r="V92" s="661"/>
      <c r="W92" s="662"/>
      <c r="X92" s="663"/>
    </row>
    <row r="93" spans="1:24" x14ac:dyDescent="0.25">
      <c r="A93" s="659"/>
      <c r="B93" s="660"/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1"/>
      <c r="R93" s="661"/>
      <c r="S93" s="661"/>
      <c r="T93" s="661"/>
      <c r="U93" s="661"/>
      <c r="V93" s="661"/>
      <c r="W93" s="662"/>
      <c r="X93" s="663"/>
    </row>
    <row r="94" spans="1:24" x14ac:dyDescent="0.25">
      <c r="A94" s="659"/>
      <c r="B94" s="660"/>
      <c r="C94" s="661"/>
      <c r="D94" s="661"/>
      <c r="E94" s="661"/>
      <c r="F94" s="661"/>
      <c r="G94" s="661"/>
      <c r="H94" s="661"/>
      <c r="I94" s="661"/>
      <c r="J94" s="661"/>
      <c r="K94" s="661"/>
      <c r="L94" s="661"/>
      <c r="M94" s="661"/>
      <c r="N94" s="661"/>
      <c r="O94" s="661"/>
      <c r="P94" s="661"/>
      <c r="Q94" s="661"/>
      <c r="R94" s="661"/>
      <c r="S94" s="661"/>
      <c r="T94" s="661"/>
      <c r="U94" s="661"/>
      <c r="V94" s="661"/>
      <c r="W94" s="662"/>
      <c r="X94" s="663"/>
    </row>
    <row r="95" spans="1:24" x14ac:dyDescent="0.25">
      <c r="A95" s="659"/>
      <c r="W95" s="666"/>
      <c r="X95" s="667"/>
    </row>
    <row r="96" spans="1:24" x14ac:dyDescent="0.25">
      <c r="A96" s="659"/>
      <c r="W96" s="666"/>
      <c r="X96" s="667"/>
    </row>
    <row r="97" spans="1:24" x14ac:dyDescent="0.25">
      <c r="A97" s="659"/>
      <c r="W97" s="666"/>
      <c r="X97" s="667"/>
    </row>
    <row r="98" spans="1:24" x14ac:dyDescent="0.25">
      <c r="A98" s="659"/>
      <c r="W98" s="666"/>
      <c r="X98" s="667"/>
    </row>
    <row r="99" spans="1:24" x14ac:dyDescent="0.25">
      <c r="A99" s="659"/>
      <c r="W99" s="666"/>
      <c r="X99" s="667"/>
    </row>
    <row r="100" spans="1:24" x14ac:dyDescent="0.25">
      <c r="A100" s="659"/>
      <c r="W100" s="666"/>
      <c r="X100" s="667"/>
    </row>
    <row r="101" spans="1:24" x14ac:dyDescent="0.25">
      <c r="W101" s="666"/>
      <c r="X101" s="666"/>
    </row>
    <row r="102" spans="1:24" x14ac:dyDescent="0.25">
      <c r="W102" s="666"/>
      <c r="X102" s="666"/>
    </row>
    <row r="103" spans="1:24" x14ac:dyDescent="0.25">
      <c r="W103" s="666"/>
      <c r="X103" s="666"/>
    </row>
    <row r="104" spans="1:24" x14ac:dyDescent="0.25">
      <c r="W104" s="666"/>
      <c r="X104" s="666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A1" location="Seznam!A1" display="Seznam!A1" xr:uid="{00000000-0004-0000-0700-000000000000}"/>
  </hyperlinks>
  <pageMargins left="0.25" right="0.25" top="0.75" bottom="0.75" header="0.3" footer="0.3"/>
  <pageSetup paperSize="9" scale="4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J100"/>
  <sheetViews>
    <sheetView showGridLines="0" zoomScale="115" zoomScaleNormal="115" workbookViewId="0">
      <selection activeCell="W7" sqref="W7"/>
    </sheetView>
  </sheetViews>
  <sheetFormatPr defaultColWidth="15.7109375"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15.7109375" style="664"/>
  </cols>
  <sheetData>
    <row r="3" spans="1:36" s="674" customFormat="1" x14ac:dyDescent="0.25">
      <c r="A3" s="669" t="s">
        <v>241</v>
      </c>
      <c r="B3" s="670" t="s">
        <v>242</v>
      </c>
      <c r="C3" s="671" t="s">
        <v>243</v>
      </c>
      <c r="D3" s="671" t="s">
        <v>244</v>
      </c>
      <c r="E3" s="671" t="s">
        <v>245</v>
      </c>
      <c r="F3" s="671" t="s">
        <v>246</v>
      </c>
      <c r="G3" s="671" t="s">
        <v>247</v>
      </c>
      <c r="H3" s="671" t="s">
        <v>248</v>
      </c>
      <c r="I3" s="671" t="s">
        <v>249</v>
      </c>
      <c r="J3" s="671" t="s">
        <v>250</v>
      </c>
      <c r="K3" s="671" t="s">
        <v>251</v>
      </c>
      <c r="L3" s="671" t="s">
        <v>252</v>
      </c>
      <c r="M3" s="671" t="s">
        <v>253</v>
      </c>
      <c r="N3" s="671" t="s">
        <v>254</v>
      </c>
      <c r="O3" s="671" t="s">
        <v>255</v>
      </c>
      <c r="P3" s="671" t="s">
        <v>256</v>
      </c>
      <c r="Q3" s="671" t="s">
        <v>257</v>
      </c>
      <c r="R3" s="671" t="s">
        <v>258</v>
      </c>
      <c r="S3" s="671" t="s">
        <v>259</v>
      </c>
      <c r="T3" s="671" t="s">
        <v>260</v>
      </c>
      <c r="U3" s="672" t="s">
        <v>261</v>
      </c>
      <c r="V3" s="672" t="s">
        <v>262</v>
      </c>
      <c r="W3" s="672" t="s">
        <v>263</v>
      </c>
      <c r="X3" s="672" t="s">
        <v>264</v>
      </c>
      <c r="Y3" s="672" t="s">
        <v>291</v>
      </c>
      <c r="Z3" s="673" t="s">
        <v>292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266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x14ac:dyDescent="0.25">
      <c r="A6" s="676" t="s">
        <v>293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268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269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270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271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272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273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274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275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276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277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278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115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279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280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281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282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283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284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285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286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287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288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289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290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4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00"/>
  <sheetViews>
    <sheetView zoomScale="115" zoomScaleNormal="115" workbookViewId="0">
      <selection activeCell="W7" sqref="W7"/>
    </sheetView>
  </sheetViews>
  <sheetFormatPr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9.140625" style="664" customWidth="1"/>
  </cols>
  <sheetData>
    <row r="1" spans="1:36" x14ac:dyDescent="0.25">
      <c r="A1" s="668">
        <v>0</v>
      </c>
    </row>
    <row r="3" spans="1:36" s="674" customFormat="1" ht="39" customHeight="1" x14ac:dyDescent="0.25">
      <c r="A3" s="669" t="s">
        <v>241</v>
      </c>
      <c r="B3" s="670" t="s">
        <v>268</v>
      </c>
      <c r="C3" s="671" t="s">
        <v>269</v>
      </c>
      <c r="D3" s="671" t="s">
        <v>270</v>
      </c>
      <c r="E3" s="671" t="s">
        <v>271</v>
      </c>
      <c r="F3" s="671" t="s">
        <v>294</v>
      </c>
      <c r="G3" s="671" t="s">
        <v>273</v>
      </c>
      <c r="H3" s="671" t="s">
        <v>295</v>
      </c>
      <c r="I3" s="671" t="s">
        <v>199</v>
      </c>
      <c r="J3" s="671" t="s">
        <v>275</v>
      </c>
      <c r="K3" s="671" t="s">
        <v>278</v>
      </c>
      <c r="L3" s="671" t="s">
        <v>296</v>
      </c>
      <c r="M3" s="671" t="s">
        <v>274</v>
      </c>
      <c r="N3" s="671" t="s">
        <v>115</v>
      </c>
      <c r="O3" s="671" t="s">
        <v>279</v>
      </c>
      <c r="P3" s="671" t="s">
        <v>297</v>
      </c>
      <c r="Q3" s="671" t="s">
        <v>298</v>
      </c>
      <c r="R3" s="671" t="s">
        <v>299</v>
      </c>
      <c r="S3" s="671" t="s">
        <v>285</v>
      </c>
      <c r="T3" s="671" t="s">
        <v>286</v>
      </c>
      <c r="U3" s="672" t="s">
        <v>282</v>
      </c>
      <c r="V3" s="672" t="s">
        <v>300</v>
      </c>
      <c r="W3" s="672" t="s">
        <v>301</v>
      </c>
      <c r="X3" s="672" t="s">
        <v>302</v>
      </c>
      <c r="Y3" s="672" t="s">
        <v>303</v>
      </c>
      <c r="Z3" s="673" t="s">
        <v>304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266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ht="15.75" customHeight="1" x14ac:dyDescent="0.25">
      <c r="A6" s="676" t="s">
        <v>293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ht="15.75" customHeight="1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268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269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270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271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272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273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274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275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276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277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278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115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279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280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281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282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283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284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285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286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287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288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289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290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3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J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ColWidth="87.7109375" defaultRowHeight="15" x14ac:dyDescent="0.25"/>
  <cols>
    <col min="1" max="1" width="4.85546875" style="632" customWidth="1"/>
    <col min="2" max="2" width="36.5703125" style="631" customWidth="1"/>
    <col min="3" max="3" width="7.28515625" style="631" customWidth="1"/>
    <col min="4" max="4" width="10.42578125" style="631" customWidth="1"/>
    <col min="5" max="5" width="39.140625" style="633" customWidth="1"/>
    <col min="6" max="6" width="25.28515625" style="633" customWidth="1"/>
    <col min="7" max="7" width="9.5703125" style="633" customWidth="1"/>
    <col min="8" max="8" width="53.5703125" style="633" customWidth="1"/>
    <col min="9" max="9" width="22.140625" style="631" customWidth="1"/>
    <col min="10" max="10" width="87.7109375" style="631"/>
  </cols>
  <sheetData>
    <row r="3" spans="2:9" s="629" customFormat="1" ht="15" customHeight="1" x14ac:dyDescent="0.25">
      <c r="B3" s="629" t="s">
        <v>305</v>
      </c>
      <c r="C3" s="629" t="s">
        <v>4</v>
      </c>
      <c r="D3" s="629" t="s">
        <v>5</v>
      </c>
      <c r="E3" s="630" t="s">
        <v>7</v>
      </c>
      <c r="F3" s="630" t="s">
        <v>0</v>
      </c>
      <c r="G3" s="630" t="s">
        <v>3</v>
      </c>
      <c r="H3" s="630" t="s">
        <v>8</v>
      </c>
      <c r="I3" s="629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3"/>
  <sheetViews>
    <sheetView workbookViewId="0">
      <selection activeCell="D48" sqref="D48"/>
    </sheetView>
  </sheetViews>
  <sheetFormatPr defaultRowHeight="15" x14ac:dyDescent="0.25"/>
  <cols>
    <col min="1" max="1" width="9.140625" style="679" customWidth="1"/>
    <col min="2" max="2" width="35.140625" style="631" customWidth="1"/>
    <col min="3" max="4" width="18.28515625" style="631" customWidth="1"/>
    <col min="5" max="5" width="35.7109375" style="633" customWidth="1"/>
    <col min="6" max="6" width="25.7109375" style="633" customWidth="1"/>
    <col min="7" max="7" width="15.7109375" style="633" customWidth="1"/>
    <col min="8" max="8" width="30.7109375" style="633" customWidth="1"/>
    <col min="9" max="10" width="13.28515625" style="631" customWidth="1"/>
    <col min="11" max="11" width="9.140625" style="631" customWidth="1"/>
  </cols>
  <sheetData>
    <row r="3" spans="2:9" s="678" customFormat="1" ht="15" customHeight="1" x14ac:dyDescent="0.25">
      <c r="B3" s="678" t="s">
        <v>305</v>
      </c>
      <c r="C3" s="678" t="s">
        <v>4</v>
      </c>
      <c r="D3" s="678" t="s">
        <v>5</v>
      </c>
      <c r="E3" s="680" t="s">
        <v>7</v>
      </c>
      <c r="F3" s="680" t="s">
        <v>0</v>
      </c>
      <c r="G3" s="680" t="s">
        <v>3</v>
      </c>
      <c r="H3" s="680" t="s">
        <v>8</v>
      </c>
      <c r="I3" s="678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1"/>
  <sheetViews>
    <sheetView tabSelected="1" workbookViewId="0">
      <selection activeCell="M6" sqref="M6"/>
    </sheetView>
  </sheetViews>
  <sheetFormatPr defaultRowHeight="15" x14ac:dyDescent="0.25"/>
  <cols>
    <col min="1" max="1" width="35.42578125" bestFit="1" customWidth="1"/>
    <col min="2" max="2" width="3.28515625" customWidth="1"/>
    <col min="3" max="3" width="18.42578125" style="212" bestFit="1" customWidth="1"/>
    <col min="4" max="4" width="5.5703125" style="212" bestFit="1" customWidth="1"/>
    <col min="5" max="5" width="12.7109375" style="372" bestFit="1" customWidth="1"/>
    <col min="6" max="6" width="15.140625" style="212" bestFit="1" customWidth="1"/>
    <col min="7" max="7" width="13.85546875" style="212" bestFit="1" customWidth="1"/>
    <col min="8" max="8" width="18.28515625" style="212" bestFit="1" customWidth="1"/>
    <col min="9" max="9" width="16.140625" style="212" bestFit="1" customWidth="1"/>
    <col min="10" max="10" width="15.85546875" style="212" bestFit="1" customWidth="1"/>
    <col min="11" max="11" width="20.5703125" style="212" bestFit="1" customWidth="1"/>
    <col min="12" max="12" width="35.42578125" style="212" customWidth="1"/>
    <col min="13" max="13" width="15.140625" style="27" customWidth="1"/>
  </cols>
  <sheetData>
    <row r="1" spans="1:13" x14ac:dyDescent="0.25">
      <c r="A1" s="396" t="str">
        <f>BYT</f>
        <v>Byt č. 939/01</v>
      </c>
      <c r="B1" s="338"/>
      <c r="C1" s="338" t="s">
        <v>306</v>
      </c>
      <c r="D1" s="338" t="s">
        <v>69</v>
      </c>
      <c r="E1" s="370" t="s">
        <v>75</v>
      </c>
      <c r="F1" s="338" t="s">
        <v>307</v>
      </c>
      <c r="G1" s="338" t="s">
        <v>308</v>
      </c>
      <c r="H1" s="338" t="s">
        <v>309</v>
      </c>
      <c r="I1" s="338" t="s">
        <v>310</v>
      </c>
      <c r="J1" s="338" t="s">
        <v>311</v>
      </c>
      <c r="K1" s="338" t="s">
        <v>312</v>
      </c>
      <c r="L1" s="214" t="s">
        <v>313</v>
      </c>
      <c r="M1" s="166" t="s">
        <v>314</v>
      </c>
    </row>
    <row r="2" spans="1:13" x14ac:dyDescent="0.25">
      <c r="A2" s="219" t="s">
        <v>199</v>
      </c>
      <c r="B2" s="339"/>
      <c r="C2" s="65" t="s">
        <v>315</v>
      </c>
      <c r="D2" s="65"/>
      <c r="E2" s="371">
        <v>0</v>
      </c>
      <c r="F2" s="65"/>
      <c r="G2" s="65"/>
      <c r="H2" s="65"/>
      <c r="I2" s="65"/>
      <c r="J2" s="65"/>
      <c r="K2" s="65"/>
      <c r="M2" s="27" t="str">
        <f>IF(OR(J2=0, J2=""), "", INDEX('vstupní data'!$32:$32, MATCH(J2, 'vstupní data'!$31:$31, 0)))</f>
        <v/>
      </c>
    </row>
    <row r="3" spans="1:13" x14ac:dyDescent="0.25">
      <c r="A3" s="219" t="s">
        <v>316</v>
      </c>
      <c r="B3" s="339"/>
      <c r="C3" s="65" t="str">
        <f>'vstupní data'!C44</f>
        <v>počet osob</v>
      </c>
      <c r="D3" s="65">
        <v>100</v>
      </c>
      <c r="E3" s="371">
        <f>IF(C3="odečet SV",'faktury za služby'!J43,'faktury za služby'!J42)</f>
        <v>75347.329999999987</v>
      </c>
      <c r="F3" s="65">
        <f>ROUND(IF(C3="odečet SV",'faktury za služby'!J40,'faktury za služby'!J39),3)</f>
        <v>868</v>
      </c>
      <c r="G3" s="65">
        <f>ROUND(IF(E3=0,0,E3/F3),2)</f>
        <v>86.81</v>
      </c>
      <c r="H3" s="65">
        <f>ROUND(IF(C3="počet osob",VLOOKUP(BYT,'Počet osob'!A1:V33,20,0),'Vyúčtování byt - 1.část'!F47),3)</f>
        <v>35</v>
      </c>
      <c r="I3" s="65">
        <f>ROUND(IF(C3="počet osob",VLOOKUP(BYT,'Počet osob'!A1:W33,23,0),G3*H3),2)</f>
        <v>9618.74</v>
      </c>
      <c r="J3" s="65">
        <f>'vstupní data'!X31</f>
        <v>8280</v>
      </c>
      <c r="K3" s="65">
        <f>ROUND(J3-I3,2)</f>
        <v>-1338.74</v>
      </c>
      <c r="M3" s="27" t="str">
        <f>IF(OR(J3=0, J3=""), "", INDEX('vstupní data'!$32:$32, MATCH(J3, 'vstupní data'!$31:$31, 0)))</f>
        <v>BN</v>
      </c>
    </row>
    <row r="4" spans="1:13" x14ac:dyDescent="0.25">
      <c r="A4" s="219" t="s">
        <v>317</v>
      </c>
      <c r="B4" s="339"/>
      <c r="C4" s="65" t="s">
        <v>318</v>
      </c>
      <c r="D4" s="65">
        <v>100</v>
      </c>
      <c r="E4" s="371">
        <v>8663.77</v>
      </c>
      <c r="F4" s="65">
        <f>'Počet osob'!Q104</f>
        <v>439</v>
      </c>
      <c r="G4" s="65">
        <f>ROUND(IF(E4=0,0,E4/F4),2)</f>
        <v>19.739999999999998</v>
      </c>
      <c r="H4" s="65">
        <f>'vstupní data'!AJ31</f>
        <v>48</v>
      </c>
      <c r="I4" s="65">
        <f>ROUND(G4*H4,2)</f>
        <v>947.52</v>
      </c>
      <c r="J4" s="65">
        <f>'vstupní data'!T31</f>
        <v>540</v>
      </c>
      <c r="K4" s="65">
        <f>ROUND(J4-I4,2)</f>
        <v>-407.52</v>
      </c>
      <c r="M4" s="27" t="str">
        <f>IF(OR(J4=0, J4=""), "", INDEX('vstupní data'!$32:$32, MATCH(J4, 'vstupní data'!$31:$31, 0)))</f>
        <v>N</v>
      </c>
    </row>
    <row r="5" spans="1:13" x14ac:dyDescent="0.25">
      <c r="A5" s="219" t="s">
        <v>269</v>
      </c>
      <c r="B5" s="339"/>
      <c r="C5" s="65" t="s">
        <v>318</v>
      </c>
      <c r="D5" s="65">
        <v>100</v>
      </c>
      <c r="E5" s="371">
        <v>25800</v>
      </c>
      <c r="F5" s="65">
        <f>'Počet osob'!Q104</f>
        <v>439</v>
      </c>
      <c r="G5" s="65">
        <f>ROUND(IF(E5=0,0,E5/F5),2)</f>
        <v>58.77</v>
      </c>
      <c r="H5" s="65">
        <f>'vstupní data'!AJ31</f>
        <v>48</v>
      </c>
      <c r="I5" s="65">
        <f>ROUND(G5*H5,2)</f>
        <v>2820.96</v>
      </c>
      <c r="J5" s="65">
        <f>'vstupní data'!U31</f>
        <v>3000</v>
      </c>
      <c r="K5" s="65">
        <f>ROUND(J5-I5,2)</f>
        <v>179.04</v>
      </c>
      <c r="M5" s="27" t="str">
        <f>IF(OR(J5=0, J5=""), "", INDEX('vstupní data'!$32:$32, MATCH(J5, 'vstupní data'!$31:$31, 0)))</f>
        <v>AA</v>
      </c>
    </row>
    <row r="6" spans="1:13" x14ac:dyDescent="0.25">
      <c r="A6" s="219" t="s">
        <v>270</v>
      </c>
      <c r="B6" s="339"/>
      <c r="C6" s="65" t="s">
        <v>319</v>
      </c>
      <c r="D6" s="65">
        <v>100</v>
      </c>
      <c r="E6" s="371">
        <v>7502</v>
      </c>
      <c r="F6" s="65">
        <v>12</v>
      </c>
      <c r="G6" s="65">
        <f>ROUND(IF(E6=0,0,E6/F6),2)</f>
        <v>625.16999999999996</v>
      </c>
      <c r="H6" s="65">
        <f>VLOOKUP(BYT,Parametry!$A:$G,3,0)/12*VD_počet_měsíců_úžívání</f>
        <v>1</v>
      </c>
      <c r="I6" s="65">
        <f>ROUND(G6*H6,2)</f>
        <v>625.16999999999996</v>
      </c>
      <c r="J6" s="65">
        <f>'vstupní data'!V31</f>
        <v>540</v>
      </c>
      <c r="K6" s="65">
        <f>ROUND(J6-I6,2)</f>
        <v>-85.17</v>
      </c>
      <c r="M6" s="27" t="str">
        <f>IF(OR(J6=0, J6=""), "", INDEX('vstupní data'!$32:$32, MATCH(J6, 'vstupní data'!$31:$31, 0)))</f>
        <v>N</v>
      </c>
    </row>
    <row r="7" spans="1:13" x14ac:dyDescent="0.25">
      <c r="A7" s="219" t="s">
        <v>320</v>
      </c>
      <c r="B7" s="339"/>
      <c r="C7" s="65" t="s">
        <v>318</v>
      </c>
      <c r="D7" s="65">
        <v>100</v>
      </c>
      <c r="E7" s="371">
        <v>43616.12</v>
      </c>
      <c r="F7" s="65">
        <f>'Počet osob'!P104</f>
        <v>307</v>
      </c>
      <c r="G7" s="65">
        <f>ROUND(IF(E7=0,0,E7/F7),2)</f>
        <v>142.07</v>
      </c>
      <c r="H7" s="65">
        <f>LOOKUP('vstupní data'!$B$4,'Počet osob'!A:A,'Počet osob'!P:P)</f>
        <v>0</v>
      </c>
      <c r="I7" s="65">
        <f>ROUND(G7*H7,2)</f>
        <v>0</v>
      </c>
      <c r="J7" s="65">
        <f>'vstupní data'!W31</f>
        <v>0</v>
      </c>
      <c r="K7" s="65">
        <f>ROUND(J7-I7,2)</f>
        <v>0</v>
      </c>
      <c r="M7" s="27" t="str">
        <f>IF(OR(J7=0, J7=""), "", INDEX('vstupní data'!$32:$32, MATCH(J7, 'vstupní data'!$31:$31, 0)))</f>
        <v/>
      </c>
    </row>
    <row r="8" spans="1:13" x14ac:dyDescent="0.25">
      <c r="A8" s="219" t="s">
        <v>321</v>
      </c>
      <c r="B8" s="339"/>
      <c r="C8" s="65">
        <v>0</v>
      </c>
      <c r="D8" s="65">
        <v>0</v>
      </c>
      <c r="E8" s="371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M8" s="27" t="str">
        <f>IF(OR(J8=0, J8=""), "", INDEX('vstupní data'!$32:$32, MATCH(J8, 'vstupní data'!$31:$31, 0)))</f>
        <v/>
      </c>
    </row>
    <row r="9" spans="1:13" x14ac:dyDescent="0.25">
      <c r="A9" s="219" t="s">
        <v>295</v>
      </c>
      <c r="B9" s="339"/>
      <c r="C9" s="65">
        <v>0</v>
      </c>
      <c r="D9" s="65">
        <v>0</v>
      </c>
      <c r="E9" s="371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M9" s="27" t="str">
        <f>IF(OR(J9=0, J9=""), "", INDEX('vstupní data'!$32:$32, MATCH(J9, 'vstupní data'!$31:$31, 0)))</f>
        <v/>
      </c>
    </row>
    <row r="10" spans="1:13" x14ac:dyDescent="0.25">
      <c r="A10" s="219"/>
      <c r="B10" s="339"/>
      <c r="C10" s="65">
        <v>0</v>
      </c>
      <c r="D10" s="65">
        <v>0</v>
      </c>
      <c r="E10" s="371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M10" s="27" t="str">
        <f>IF(OR(J10=0, J10=""), "", INDEX('vstupní data'!$32:$32, MATCH(J10, 'vstupní data'!$31:$31, 0)))</f>
        <v/>
      </c>
    </row>
    <row r="11" spans="1:13" x14ac:dyDescent="0.25">
      <c r="A11" s="219" t="s">
        <v>282</v>
      </c>
      <c r="B11" s="339"/>
      <c r="C11" s="65" t="s">
        <v>322</v>
      </c>
      <c r="D11" s="65">
        <v>100</v>
      </c>
      <c r="E11" s="371">
        <v>42566</v>
      </c>
      <c r="F11" s="65">
        <f>VD_Počet_jednotek</f>
        <v>19</v>
      </c>
      <c r="G11" s="65">
        <f>ROUND(IF(E11=0,0,E11/F11),2)</f>
        <v>2240.3200000000002</v>
      </c>
      <c r="H11" s="65">
        <f>ROUND(1/12*VD_počet_měsíců_úžívání,2)</f>
        <v>1</v>
      </c>
      <c r="I11" s="65">
        <f>ROUND(G11*H11,2)</f>
        <v>2240.3200000000002</v>
      </c>
      <c r="J11" s="65">
        <f>'vstupní data'!Y31</f>
        <v>1440</v>
      </c>
      <c r="K11" s="65">
        <f>ROUND(J11-I11,2)</f>
        <v>-800.32</v>
      </c>
      <c r="M11" s="27" t="str">
        <f>IF(OR(J11=0, J11=""), "", INDEX('vstupní data'!$32:$32, MATCH(J11, 'vstupní data'!$31:$31, 0)))</f>
        <v>CA</v>
      </c>
    </row>
    <row r="12" spans="1:13" x14ac:dyDescent="0.25">
      <c r="A12" s="219" t="s">
        <v>273</v>
      </c>
      <c r="B12" s="339"/>
      <c r="C12" s="65">
        <v>0</v>
      </c>
      <c r="D12" s="65">
        <v>0</v>
      </c>
      <c r="E12" s="371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M12" s="27" t="str">
        <f>IF(OR(J12=0, J12=""), "", INDEX('vstupní data'!$32:$32, MATCH(J12, 'vstupní data'!$31:$31, 0)))</f>
        <v/>
      </c>
    </row>
    <row r="13" spans="1:13" x14ac:dyDescent="0.25">
      <c r="A13" s="219" t="s">
        <v>285</v>
      </c>
      <c r="B13" s="339"/>
      <c r="C13" s="65">
        <v>0</v>
      </c>
      <c r="D13" s="65">
        <v>0</v>
      </c>
      <c r="E13" s="371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M13" s="27" t="str">
        <f>IF(OR(J13=0, J13=""), "", INDEX('vstupní data'!$32:$32, MATCH(J13, 'vstupní data'!$31:$31, 0)))</f>
        <v/>
      </c>
    </row>
    <row r="14" spans="1:13" x14ac:dyDescent="0.25">
      <c r="A14" s="219" t="s">
        <v>286</v>
      </c>
      <c r="B14" s="339"/>
      <c r="C14" s="65">
        <v>0</v>
      </c>
      <c r="D14" s="65">
        <v>0</v>
      </c>
      <c r="E14" s="371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M14" s="27" t="str">
        <f>IF(OR(J14=0, J14=""), "", INDEX('vstupní data'!$32:$32, MATCH(J14, 'vstupní data'!$31:$31, 0)))</f>
        <v/>
      </c>
    </row>
    <row r="15" spans="1:13" x14ac:dyDescent="0.25">
      <c r="A15" s="219" t="s">
        <v>323</v>
      </c>
      <c r="B15" s="339"/>
      <c r="C15" s="65">
        <v>0</v>
      </c>
      <c r="D15" s="65">
        <v>0</v>
      </c>
      <c r="E15" s="371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M15" s="27" t="str">
        <f>IF(OR(J15=0, J15=""), "", INDEX('vstupní data'!$32:$32, MATCH(J15, 'vstupní data'!$31:$31, 0)))</f>
        <v/>
      </c>
    </row>
    <row r="16" spans="1:13" x14ac:dyDescent="0.25">
      <c r="A16" s="219" t="s">
        <v>279</v>
      </c>
      <c r="B16" s="339"/>
      <c r="C16" s="65">
        <v>0</v>
      </c>
      <c r="D16" s="65">
        <v>0</v>
      </c>
      <c r="E16" s="371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M16" s="27" t="str">
        <f>IF(OR(J16=0, J16=""), "", INDEX('vstupní data'!$32:$32, MATCH(J16, 'vstupní data'!$31:$31, 0)))</f>
        <v/>
      </c>
    </row>
    <row r="17" spans="1:13" x14ac:dyDescent="0.25">
      <c r="A17" s="219" t="s">
        <v>294</v>
      </c>
      <c r="B17" s="339"/>
      <c r="C17" s="65">
        <v>0</v>
      </c>
      <c r="D17" s="65">
        <v>0</v>
      </c>
      <c r="E17" s="371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M17" s="27" t="str">
        <f>IF(OR(J17=0, J17=""), "", INDEX('vstupní data'!$32:$32, MATCH(J17, 'vstupní data'!$31:$31, 0)))</f>
        <v/>
      </c>
    </row>
    <row r="18" spans="1:13" x14ac:dyDescent="0.25">
      <c r="A18" s="219" t="s">
        <v>296</v>
      </c>
      <c r="B18" s="339"/>
      <c r="C18" s="65">
        <v>0</v>
      </c>
      <c r="D18" s="65">
        <v>0</v>
      </c>
      <c r="E18" s="371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M18" s="27" t="str">
        <f>IF(OR(J18=0, J18=""), "", INDEX('vstupní data'!$32:$32, MATCH(J18, 'vstupní data'!$31:$31, 0)))</f>
        <v/>
      </c>
    </row>
    <row r="19" spans="1:13" x14ac:dyDescent="0.25">
      <c r="A19" s="219" t="s">
        <v>278</v>
      </c>
      <c r="B19" s="339"/>
      <c r="C19" s="65" t="s">
        <v>322</v>
      </c>
      <c r="D19" s="65">
        <v>100</v>
      </c>
      <c r="E19" s="371">
        <v>57999</v>
      </c>
      <c r="F19" s="65">
        <f>COUNTIF('Předpis po mesici'!FN3:FN103,"&gt;0")</f>
        <v>9</v>
      </c>
      <c r="G19" s="65">
        <f>ROUND(IF(E19=0,0,E19/F19),2)</f>
        <v>6444.33</v>
      </c>
      <c r="H19" s="65">
        <f>'vstupní data'!G47</f>
        <v>0</v>
      </c>
      <c r="I19" s="65">
        <f>ROUND('vstupní data'!AI31,0)</f>
        <v>0</v>
      </c>
      <c r="J19" s="65">
        <f>'vstupní data'!AI31</f>
        <v>0</v>
      </c>
      <c r="K19" s="65">
        <f>ROUND(J19-I19,2)</f>
        <v>0</v>
      </c>
      <c r="M19" s="27" t="str">
        <f>IF(OR(J19=0, J19=""), "", INDEX('vstupní data'!$32:$32, MATCH(J19, 'vstupní data'!$31:$31, 0)))</f>
        <v/>
      </c>
    </row>
    <row r="20" spans="1:13" x14ac:dyDescent="0.25">
      <c r="A20" s="219" t="s">
        <v>324</v>
      </c>
      <c r="B20" s="339"/>
      <c r="C20" s="65">
        <v>0</v>
      </c>
      <c r="D20" s="65">
        <v>0</v>
      </c>
      <c r="E20" s="371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M20" s="27" t="str">
        <f>IF(OR(J20=0, J20=""), "", INDEX('vstupní data'!$32:$32, MATCH(J20, 'vstupní data'!$31:$31, 0)))</f>
        <v/>
      </c>
    </row>
    <row r="21" spans="1:13" x14ac:dyDescent="0.25">
      <c r="A21" s="219" t="s">
        <v>325</v>
      </c>
      <c r="B21" s="339"/>
      <c r="C21" s="65">
        <v>0</v>
      </c>
      <c r="D21" s="65">
        <v>0</v>
      </c>
      <c r="E21" s="371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M21" s="27" t="str">
        <f>IF(OR(J21=0, J21=""), "", INDEX('vstupní data'!$32:$32, MATCH(J21, 'vstupní data'!$31:$31, 0)))</f>
        <v/>
      </c>
    </row>
    <row r="22" spans="1:13" x14ac:dyDescent="0.25">
      <c r="A22" t="s">
        <v>326</v>
      </c>
      <c r="C22" s="212" t="s">
        <v>315</v>
      </c>
      <c r="E22" s="372">
        <v>0</v>
      </c>
      <c r="M22" s="27" t="str">
        <f>IF(OR(J22=0, J22=""), "", INDEX('vstupní data'!$32:$32, MATCH(J22, 'vstupní data'!$31:$31, 0)))</f>
        <v/>
      </c>
    </row>
    <row r="23" spans="1:13" x14ac:dyDescent="0.25">
      <c r="M23" s="27" t="str">
        <f>IF(OR(J23=0, J23=""), "", INDEX('vstupní data'!$32:$32, MATCH(J23, 'vstupní data'!$31:$31, 0)))</f>
        <v/>
      </c>
    </row>
    <row r="24" spans="1:13" x14ac:dyDescent="0.25">
      <c r="M24" s="27" t="str">
        <f>IF(OR(J24=0, J24=""), "", INDEX('vstupní data'!$32:$32, MATCH(J24, 'vstupní data'!$31:$31, 0)))</f>
        <v/>
      </c>
    </row>
    <row r="25" spans="1:13" x14ac:dyDescent="0.25">
      <c r="M25" s="27" t="str">
        <f>IF(OR(J25=0, J25=""), "", INDEX('vstupní data'!$32:$32, MATCH(J25, 'vstupní data'!$31:$31, 0)))</f>
        <v/>
      </c>
    </row>
    <row r="26" spans="1:13" x14ac:dyDescent="0.25">
      <c r="M26" s="27" t="str">
        <f>IF(OR(J26=0, J26=""), "", INDEX('vstupní data'!$32:$32, MATCH(J26, 'vstupní data'!$31:$31, 0)))</f>
        <v/>
      </c>
    </row>
    <row r="27" spans="1:13" x14ac:dyDescent="0.25">
      <c r="M27" s="27" t="str">
        <f>IF(OR(J27=0, J27=""), "", INDEX('vstupní data'!$32:$32, MATCH(J27, 'vstupní data'!$31:$31, 0)))</f>
        <v/>
      </c>
    </row>
    <row r="28" spans="1:13" x14ac:dyDescent="0.25">
      <c r="M28" s="27" t="str">
        <f>IF(OR(J28=0, J28=""), "", INDEX('vstupní data'!$32:$32, MATCH(J28, 'vstupní data'!$31:$31, 0)))</f>
        <v/>
      </c>
    </row>
    <row r="29" spans="1:13" x14ac:dyDescent="0.25">
      <c r="M29" s="27" t="str">
        <f>IF(OR(J29=0, J29=""), "", INDEX('vstupní data'!$32:$32, MATCH(J29, 'vstupní data'!$31:$31, 0)))</f>
        <v/>
      </c>
    </row>
    <row r="30" spans="1:13" x14ac:dyDescent="0.25">
      <c r="M30" s="27" t="str">
        <f>IF(OR(J30=0, J30=""), "", INDEX('vstupní data'!$32:$32, MATCH(J30, 'vstupní data'!$31:$31, 0)))</f>
        <v/>
      </c>
    </row>
    <row r="31" spans="1:13" x14ac:dyDescent="0.25">
      <c r="M31" s="27" t="str">
        <f>IF(OR(J31=0, J31=""), "", INDEX('vstupní data'!$32:$32, MATCH(J31, 'vstupní data'!$31:$31, 0)))</f>
        <v/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Seznam!A1" xr:uid="{00000000-0004-0000-0C00-000000000000}"/>
  </hyperlinks>
  <pageMargins left="0.7" right="0.7" top="0.78740157499999996" bottom="0.78740157499999996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04"/>
  <sheetViews>
    <sheetView zoomScale="115" zoomScaleNormal="115" workbookViewId="0">
      <selection activeCell="B104" sqref="B104"/>
    </sheetView>
  </sheetViews>
  <sheetFormatPr defaultColWidth="65" defaultRowHeight="15" x14ac:dyDescent="0.25"/>
  <cols>
    <col min="1" max="1" width="23.85546875" style="365" customWidth="1"/>
    <col min="2" max="2" width="39.7109375" style="172" customWidth="1"/>
    <col min="3" max="3" width="38.5703125" style="70" customWidth="1"/>
    <col min="4" max="4" width="31.5703125" style="70" customWidth="1"/>
    <col min="5" max="5" width="31.85546875" style="70" customWidth="1"/>
    <col min="6" max="6" width="13.28515625" style="70" customWidth="1"/>
    <col min="7" max="7" width="19.7109375" style="70" customWidth="1"/>
    <col min="8" max="8" width="24.85546875" style="70" customWidth="1"/>
    <col min="9" max="9" width="16.5703125" style="172" customWidth="1"/>
    <col min="10" max="10" width="23" style="172" customWidth="1"/>
    <col min="11" max="11" width="65" style="172"/>
    <col min="12" max="12" width="28.7109375" style="27" customWidth="1"/>
    <col min="13" max="13" width="49.85546875" style="27" customWidth="1"/>
    <col min="14" max="14" width="12.7109375" style="27" customWidth="1"/>
    <col min="15" max="15" width="16.7109375" style="27" customWidth="1"/>
    <col min="16" max="17" width="14.28515625" style="207" customWidth="1"/>
    <col min="18" max="18" width="19.7109375" style="473" customWidth="1"/>
    <col min="19" max="19" width="14.7109375" style="471" customWidth="1"/>
    <col min="20" max="20" width="26.42578125" style="471" customWidth="1"/>
    <col min="21" max="21" width="27.85546875" customWidth="1"/>
    <col min="22" max="22" width="30.5703125" style="27" customWidth="1"/>
    <col min="23" max="23" width="65" style="27"/>
  </cols>
  <sheetData>
    <row r="1" spans="1:23" x14ac:dyDescent="0.25">
      <c r="A1" s="361" t="s">
        <v>327</v>
      </c>
      <c r="B1" s="344" t="s">
        <v>328</v>
      </c>
      <c r="C1" s="71" t="s">
        <v>7</v>
      </c>
      <c r="D1" s="71" t="s">
        <v>0</v>
      </c>
      <c r="E1" s="71" t="s">
        <v>329</v>
      </c>
      <c r="F1" s="344" t="s">
        <v>186</v>
      </c>
      <c r="G1" s="344" t="s">
        <v>330</v>
      </c>
      <c r="H1" s="344" t="s">
        <v>331</v>
      </c>
      <c r="I1" s="344" t="s">
        <v>332</v>
      </c>
      <c r="J1" s="160" t="s">
        <v>146</v>
      </c>
      <c r="K1" s="200" t="s">
        <v>333</v>
      </c>
      <c r="L1" s="28" t="s">
        <v>334</v>
      </c>
      <c r="M1" s="28" t="s">
        <v>335</v>
      </c>
      <c r="N1" s="84" t="s">
        <v>69</v>
      </c>
      <c r="O1" s="166" t="s">
        <v>336</v>
      </c>
      <c r="P1" s="474" t="s">
        <v>337</v>
      </c>
      <c r="Q1" s="474" t="s">
        <v>338</v>
      </c>
      <c r="R1" s="468" t="s">
        <v>339</v>
      </c>
      <c r="S1" s="469"/>
      <c r="T1" s="469"/>
      <c r="V1" s="88" t="s">
        <v>340</v>
      </c>
      <c r="W1" s="334" t="s">
        <v>341</v>
      </c>
    </row>
    <row r="2" spans="1:23" x14ac:dyDescent="0.25">
      <c r="A2" s="362" t="s">
        <v>342</v>
      </c>
      <c r="B2" s="233" t="s">
        <v>343</v>
      </c>
      <c r="C2" s="345" t="s">
        <v>344</v>
      </c>
      <c r="D2" s="346" t="s">
        <v>345</v>
      </c>
      <c r="E2" s="346">
        <v>607252477</v>
      </c>
      <c r="F2" s="347">
        <v>1</v>
      </c>
      <c r="G2" s="345">
        <v>115.53</v>
      </c>
      <c r="H2" s="345">
        <v>104.51</v>
      </c>
      <c r="I2" s="233" t="s">
        <v>346</v>
      </c>
      <c r="J2" s="348">
        <v>109390001</v>
      </c>
      <c r="K2" s="233" t="s">
        <v>347</v>
      </c>
      <c r="L2" s="63" t="str">
        <f t="shared" ref="L2:L33" si="0">IF(I2=0,0,RIGHT(I2,LEN(I2)-SEARCH("/",I2,1)))</f>
        <v>131476</v>
      </c>
      <c r="M2" s="155" t="str">
        <f t="shared" ref="M2:M33" si="1">SUBSTITUTE(O2,L2,"")</f>
        <v>10653</v>
      </c>
      <c r="N2" s="63">
        <f t="shared" ref="N2:N33" si="2">IF(L2=0,0,ROUND(M2/L2,5)*100)</f>
        <v>8.1029999999999998</v>
      </c>
      <c r="O2" s="27" t="str">
        <f t="shared" ref="O2:O33" si="3">SUBSTITUTE(I2,"/","")</f>
        <v>10653131476</v>
      </c>
      <c r="P2" s="207" t="s">
        <v>348</v>
      </c>
      <c r="Q2" s="207" t="s">
        <v>349</v>
      </c>
      <c r="R2" s="470" t="s">
        <v>350</v>
      </c>
      <c r="V2" s="27">
        <v>1093900019</v>
      </c>
    </row>
    <row r="3" spans="1:23" x14ac:dyDescent="0.25">
      <c r="A3" s="362" t="s">
        <v>351</v>
      </c>
      <c r="B3" s="233" t="s">
        <v>352</v>
      </c>
      <c r="C3" s="346" t="s">
        <v>353</v>
      </c>
      <c r="D3" s="346" t="s">
        <v>354</v>
      </c>
      <c r="E3" s="346">
        <v>776425566</v>
      </c>
      <c r="F3" s="349">
        <v>1</v>
      </c>
      <c r="G3" s="346">
        <v>65.760000000000005</v>
      </c>
      <c r="H3" s="346">
        <v>53.37</v>
      </c>
      <c r="I3" s="233" t="s">
        <v>355</v>
      </c>
      <c r="J3" s="348">
        <v>109390002</v>
      </c>
      <c r="K3" s="233" t="s">
        <v>356</v>
      </c>
      <c r="L3" s="63" t="str">
        <f t="shared" si="0"/>
        <v>131476</v>
      </c>
      <c r="M3" s="155" t="str">
        <f t="shared" si="1"/>
        <v>5576</v>
      </c>
      <c r="N3" s="63">
        <f t="shared" si="2"/>
        <v>4.2410000000000005</v>
      </c>
      <c r="O3" s="27" t="str">
        <f t="shared" si="3"/>
        <v>5576131476</v>
      </c>
      <c r="P3" s="207" t="s">
        <v>348</v>
      </c>
      <c r="Q3" s="207" t="s">
        <v>349</v>
      </c>
      <c r="R3" s="470" t="s">
        <v>350</v>
      </c>
      <c r="V3" s="27">
        <v>1093900029</v>
      </c>
    </row>
    <row r="4" spans="1:23" x14ac:dyDescent="0.25">
      <c r="A4" s="362" t="s">
        <v>357</v>
      </c>
      <c r="B4" s="233" t="s">
        <v>358</v>
      </c>
      <c r="C4" s="346" t="s">
        <v>359</v>
      </c>
      <c r="D4" s="346" t="s">
        <v>360</v>
      </c>
      <c r="E4" s="346">
        <v>728608587</v>
      </c>
      <c r="F4" s="349">
        <v>0</v>
      </c>
      <c r="G4" s="346">
        <v>74.599999999999994</v>
      </c>
      <c r="H4" s="346">
        <v>74.599999999999994</v>
      </c>
      <c r="I4" s="233" t="s">
        <v>361</v>
      </c>
      <c r="J4" s="348">
        <v>109390003</v>
      </c>
      <c r="K4" s="233" t="s">
        <v>362</v>
      </c>
      <c r="L4" s="63" t="str">
        <f t="shared" si="0"/>
        <v>131476</v>
      </c>
      <c r="M4" s="155" t="str">
        <f t="shared" si="1"/>
        <v>7460</v>
      </c>
      <c r="N4" s="63">
        <f t="shared" si="2"/>
        <v>5.6739999999999995</v>
      </c>
      <c r="O4" s="27" t="str">
        <f t="shared" si="3"/>
        <v>7460131476</v>
      </c>
      <c r="P4" s="207" t="s">
        <v>348</v>
      </c>
      <c r="Q4" s="207" t="s">
        <v>349</v>
      </c>
      <c r="R4" s="470" t="s">
        <v>350</v>
      </c>
      <c r="V4" s="27">
        <v>1093900039</v>
      </c>
    </row>
    <row r="5" spans="1:23" x14ac:dyDescent="0.25">
      <c r="A5" s="362" t="s">
        <v>363</v>
      </c>
      <c r="B5" s="233" t="s">
        <v>364</v>
      </c>
      <c r="C5" s="346" t="s">
        <v>365</v>
      </c>
      <c r="D5" s="346" t="s">
        <v>366</v>
      </c>
      <c r="E5" s="346" t="s">
        <v>367</v>
      </c>
      <c r="F5" s="349">
        <v>0</v>
      </c>
      <c r="G5" s="346">
        <v>82.88</v>
      </c>
      <c r="H5" s="346">
        <v>72.08</v>
      </c>
      <c r="I5" s="233" t="s">
        <v>368</v>
      </c>
      <c r="J5" s="348">
        <v>109390004</v>
      </c>
      <c r="K5" s="233" t="s">
        <v>369</v>
      </c>
      <c r="L5" s="63" t="str">
        <f t="shared" si="0"/>
        <v>131476</v>
      </c>
      <c r="M5" s="155" t="str">
        <f t="shared" si="1"/>
        <v>7208</v>
      </c>
      <c r="N5" s="63">
        <f t="shared" si="2"/>
        <v>5.4820000000000002</v>
      </c>
      <c r="O5" s="27" t="str">
        <f t="shared" si="3"/>
        <v>7208131476</v>
      </c>
      <c r="P5" s="207" t="s">
        <v>348</v>
      </c>
      <c r="Q5" s="207" t="s">
        <v>349</v>
      </c>
      <c r="R5" s="470" t="s">
        <v>350</v>
      </c>
      <c r="V5" s="27">
        <v>1093900049</v>
      </c>
    </row>
    <row r="6" spans="1:23" x14ac:dyDescent="0.25">
      <c r="A6" s="362" t="s">
        <v>370</v>
      </c>
      <c r="B6" s="233" t="s">
        <v>371</v>
      </c>
      <c r="C6" s="346" t="s">
        <v>372</v>
      </c>
      <c r="D6" s="346" t="s">
        <v>373</v>
      </c>
      <c r="E6" s="346">
        <v>774229922</v>
      </c>
      <c r="F6" s="349">
        <v>1</v>
      </c>
      <c r="G6" s="346">
        <v>73.5</v>
      </c>
      <c r="H6" s="346">
        <v>62.3</v>
      </c>
      <c r="I6" s="233" t="s">
        <v>374</v>
      </c>
      <c r="J6" s="348">
        <v>109390005</v>
      </c>
      <c r="K6" s="233" t="s">
        <v>375</v>
      </c>
      <c r="L6" s="63" t="str">
        <f t="shared" si="0"/>
        <v>131476</v>
      </c>
      <c r="M6" s="155" t="str">
        <f t="shared" si="1"/>
        <v>6350</v>
      </c>
      <c r="N6" s="63">
        <f t="shared" si="2"/>
        <v>4.83</v>
      </c>
      <c r="O6" s="27" t="str">
        <f t="shared" si="3"/>
        <v>6350131476</v>
      </c>
      <c r="P6" s="207" t="s">
        <v>348</v>
      </c>
      <c r="Q6" s="207" t="s">
        <v>349</v>
      </c>
      <c r="R6" s="470" t="s">
        <v>350</v>
      </c>
      <c r="V6" s="27">
        <v>1093900059</v>
      </c>
    </row>
    <row r="7" spans="1:23" x14ac:dyDescent="0.25">
      <c r="A7" s="362" t="s">
        <v>376</v>
      </c>
      <c r="B7" s="233" t="s">
        <v>377</v>
      </c>
      <c r="C7" s="346" t="s">
        <v>378</v>
      </c>
      <c r="D7" s="346" t="s">
        <v>379</v>
      </c>
      <c r="E7" s="346">
        <v>777338203</v>
      </c>
      <c r="F7" s="349">
        <v>0</v>
      </c>
      <c r="G7" s="346">
        <v>75.3</v>
      </c>
      <c r="H7" s="346">
        <v>74.099999999999994</v>
      </c>
      <c r="I7" s="233" t="s">
        <v>380</v>
      </c>
      <c r="J7" s="348">
        <v>9390601</v>
      </c>
      <c r="K7" s="233" t="s">
        <v>381</v>
      </c>
      <c r="L7" s="63" t="str">
        <f t="shared" si="0"/>
        <v>131476</v>
      </c>
      <c r="M7" s="155" t="str">
        <f t="shared" si="1"/>
        <v>6610</v>
      </c>
      <c r="N7" s="63">
        <f t="shared" si="2"/>
        <v>5.0279999999999996</v>
      </c>
      <c r="O7" s="27" t="str">
        <f t="shared" si="3"/>
        <v>6610131476</v>
      </c>
      <c r="P7" s="207" t="s">
        <v>348</v>
      </c>
      <c r="Q7" s="207" t="s">
        <v>349</v>
      </c>
      <c r="R7" s="470" t="s">
        <v>350</v>
      </c>
      <c r="V7" s="27">
        <v>93906019</v>
      </c>
    </row>
    <row r="8" spans="1:23" x14ac:dyDescent="0.25">
      <c r="A8" s="362" t="s">
        <v>382</v>
      </c>
      <c r="B8" s="233" t="s">
        <v>383</v>
      </c>
      <c r="C8" s="346" t="s">
        <v>384</v>
      </c>
      <c r="D8" s="346" t="s">
        <v>385</v>
      </c>
      <c r="E8" s="346" t="s">
        <v>386</v>
      </c>
      <c r="F8" s="349">
        <v>0</v>
      </c>
      <c r="G8" s="346">
        <v>75.3</v>
      </c>
      <c r="H8" s="346">
        <v>65.3</v>
      </c>
      <c r="I8" s="233" t="s">
        <v>387</v>
      </c>
      <c r="J8" s="348">
        <v>109390007</v>
      </c>
      <c r="K8" s="233" t="s">
        <v>388</v>
      </c>
      <c r="L8" s="63" t="str">
        <f t="shared" si="0"/>
        <v>131476</v>
      </c>
      <c r="M8" s="155" t="str">
        <f t="shared" si="1"/>
        <v>6530</v>
      </c>
      <c r="N8" s="63">
        <f t="shared" si="2"/>
        <v>4.9669999999999996</v>
      </c>
      <c r="O8" s="27" t="str">
        <f t="shared" si="3"/>
        <v>6530131476</v>
      </c>
      <c r="P8" s="207" t="s">
        <v>348</v>
      </c>
      <c r="Q8" s="207" t="s">
        <v>349</v>
      </c>
      <c r="R8" s="470" t="s">
        <v>350</v>
      </c>
      <c r="V8" s="27">
        <v>1093900079</v>
      </c>
    </row>
    <row r="9" spans="1:23" x14ac:dyDescent="0.25">
      <c r="A9" s="362" t="s">
        <v>389</v>
      </c>
      <c r="B9" s="233" t="s">
        <v>390</v>
      </c>
      <c r="C9" s="346" t="s">
        <v>391</v>
      </c>
      <c r="D9" s="346" t="s">
        <v>392</v>
      </c>
      <c r="E9" s="346">
        <v>608632338</v>
      </c>
      <c r="F9" s="349">
        <v>1</v>
      </c>
      <c r="G9" s="346">
        <v>72.08</v>
      </c>
      <c r="H9" s="346">
        <v>72.08</v>
      </c>
      <c r="I9" s="233" t="s">
        <v>368</v>
      </c>
      <c r="J9" s="350">
        <v>109390008</v>
      </c>
      <c r="K9" s="233" t="s">
        <v>393</v>
      </c>
      <c r="L9" s="63" t="str">
        <f t="shared" si="0"/>
        <v>131476</v>
      </c>
      <c r="M9" s="155" t="str">
        <f t="shared" si="1"/>
        <v>7208</v>
      </c>
      <c r="N9" s="63">
        <f t="shared" si="2"/>
        <v>5.4820000000000002</v>
      </c>
      <c r="O9" s="27" t="str">
        <f t="shared" si="3"/>
        <v>7208131476</v>
      </c>
      <c r="P9" s="207" t="s">
        <v>348</v>
      </c>
      <c r="Q9" s="207" t="s">
        <v>349</v>
      </c>
      <c r="R9" s="470" t="s">
        <v>350</v>
      </c>
      <c r="V9" s="27">
        <v>1093900089</v>
      </c>
    </row>
    <row r="10" spans="1:23" x14ac:dyDescent="0.25">
      <c r="A10" s="362" t="s">
        <v>394</v>
      </c>
      <c r="B10" s="233" t="s">
        <v>377</v>
      </c>
      <c r="C10" s="346" t="s">
        <v>378</v>
      </c>
      <c r="D10" s="346" t="s">
        <v>379</v>
      </c>
      <c r="E10" s="346">
        <v>777338203</v>
      </c>
      <c r="F10" s="349">
        <v>1</v>
      </c>
      <c r="G10" s="346">
        <v>72.5</v>
      </c>
      <c r="H10" s="346">
        <v>62.05</v>
      </c>
      <c r="I10" s="233" t="s">
        <v>374</v>
      </c>
      <c r="J10" s="348">
        <v>109390009</v>
      </c>
      <c r="K10" s="233" t="s">
        <v>381</v>
      </c>
      <c r="L10" s="63" t="str">
        <f t="shared" si="0"/>
        <v>131476</v>
      </c>
      <c r="M10" s="155" t="str">
        <f t="shared" si="1"/>
        <v>6350</v>
      </c>
      <c r="N10" s="63">
        <f t="shared" si="2"/>
        <v>4.83</v>
      </c>
      <c r="O10" s="27" t="str">
        <f t="shared" si="3"/>
        <v>6350131476</v>
      </c>
      <c r="P10" s="207" t="s">
        <v>348</v>
      </c>
      <c r="Q10" s="207" t="s">
        <v>349</v>
      </c>
      <c r="R10" s="470" t="s">
        <v>350</v>
      </c>
      <c r="V10" s="27">
        <v>1093900099</v>
      </c>
    </row>
    <row r="11" spans="1:23" x14ac:dyDescent="0.25">
      <c r="A11" s="362" t="s">
        <v>395</v>
      </c>
      <c r="B11" s="233" t="s">
        <v>396</v>
      </c>
      <c r="C11" s="346" t="s">
        <v>397</v>
      </c>
      <c r="D11" s="346" t="s">
        <v>398</v>
      </c>
      <c r="E11" s="346">
        <v>721334220</v>
      </c>
      <c r="F11" s="349">
        <v>0</v>
      </c>
      <c r="G11" s="346">
        <v>74.099999999999994</v>
      </c>
      <c r="H11" s="346">
        <v>65</v>
      </c>
      <c r="I11" s="233" t="s">
        <v>380</v>
      </c>
      <c r="J11" s="348">
        <v>109390010</v>
      </c>
      <c r="K11" s="233" t="s">
        <v>399</v>
      </c>
      <c r="L11" s="63" t="str">
        <f t="shared" si="0"/>
        <v>131476</v>
      </c>
      <c r="M11" s="155" t="str">
        <f t="shared" si="1"/>
        <v>6610</v>
      </c>
      <c r="N11" s="63">
        <f t="shared" si="2"/>
        <v>5.0279999999999996</v>
      </c>
      <c r="O11" s="27" t="str">
        <f t="shared" si="3"/>
        <v>6610131476</v>
      </c>
      <c r="P11" s="207" t="s">
        <v>348</v>
      </c>
      <c r="Q11" s="207" t="s">
        <v>349</v>
      </c>
      <c r="R11" s="470" t="s">
        <v>350</v>
      </c>
      <c r="V11" s="27">
        <v>1093900109</v>
      </c>
    </row>
    <row r="12" spans="1:23" x14ac:dyDescent="0.25">
      <c r="A12" s="362" t="s">
        <v>400</v>
      </c>
      <c r="B12" s="233" t="s">
        <v>401</v>
      </c>
      <c r="C12" s="346" t="s">
        <v>402</v>
      </c>
      <c r="D12" s="346" t="s">
        <v>403</v>
      </c>
      <c r="E12" s="346">
        <v>724672451</v>
      </c>
      <c r="F12" s="349">
        <v>0</v>
      </c>
      <c r="G12" s="346">
        <v>70.55</v>
      </c>
      <c r="H12" s="346">
        <v>65.3</v>
      </c>
      <c r="I12" s="233" t="s">
        <v>387</v>
      </c>
      <c r="J12" s="348">
        <v>19390011</v>
      </c>
      <c r="K12" s="233" t="s">
        <v>404</v>
      </c>
      <c r="L12" s="63" t="str">
        <f t="shared" si="0"/>
        <v>131476</v>
      </c>
      <c r="M12" s="155" t="str">
        <f t="shared" si="1"/>
        <v>6530</v>
      </c>
      <c r="N12" s="63">
        <f t="shared" si="2"/>
        <v>4.9669999999999996</v>
      </c>
      <c r="O12" s="27" t="str">
        <f t="shared" si="3"/>
        <v>6530131476</v>
      </c>
      <c r="P12" s="207" t="s">
        <v>348</v>
      </c>
      <c r="Q12" s="207" t="s">
        <v>349</v>
      </c>
      <c r="R12" s="470" t="s">
        <v>350</v>
      </c>
      <c r="V12" s="27">
        <v>193900119</v>
      </c>
    </row>
    <row r="13" spans="1:23" x14ac:dyDescent="0.25">
      <c r="A13" s="362" t="s">
        <v>405</v>
      </c>
      <c r="B13" s="233" t="s">
        <v>406</v>
      </c>
      <c r="C13" s="346" t="s">
        <v>407</v>
      </c>
      <c r="D13" s="346" t="s">
        <v>408</v>
      </c>
      <c r="E13" s="346">
        <v>773963451</v>
      </c>
      <c r="F13" s="349">
        <v>1</v>
      </c>
      <c r="G13" s="346">
        <v>83.33</v>
      </c>
      <c r="H13" s="346">
        <v>72.08</v>
      </c>
      <c r="I13" s="233" t="s">
        <v>368</v>
      </c>
      <c r="J13" s="348">
        <v>109390012</v>
      </c>
      <c r="K13" s="233" t="s">
        <v>409</v>
      </c>
      <c r="L13" s="63" t="str">
        <f t="shared" si="0"/>
        <v>131476</v>
      </c>
      <c r="M13" s="155" t="str">
        <f t="shared" si="1"/>
        <v>7208</v>
      </c>
      <c r="N13" s="63">
        <f t="shared" si="2"/>
        <v>5.4820000000000002</v>
      </c>
      <c r="O13" s="27" t="str">
        <f t="shared" si="3"/>
        <v>7208131476</v>
      </c>
      <c r="P13" s="207" t="s">
        <v>348</v>
      </c>
      <c r="Q13" s="207" t="s">
        <v>349</v>
      </c>
      <c r="R13" s="470" t="s">
        <v>350</v>
      </c>
      <c r="V13" s="27">
        <v>1093900129</v>
      </c>
    </row>
    <row r="14" spans="1:23" x14ac:dyDescent="0.25">
      <c r="A14" s="362" t="s">
        <v>410</v>
      </c>
      <c r="B14" s="233" t="s">
        <v>411</v>
      </c>
      <c r="C14" s="346" t="s">
        <v>412</v>
      </c>
      <c r="D14" s="346" t="s">
        <v>413</v>
      </c>
      <c r="E14" s="346">
        <v>776033159</v>
      </c>
      <c r="F14" s="349">
        <v>0</v>
      </c>
      <c r="G14" s="346">
        <v>71.5</v>
      </c>
      <c r="H14" s="346">
        <v>67.39</v>
      </c>
      <c r="I14" s="233" t="s">
        <v>374</v>
      </c>
      <c r="J14" s="348">
        <v>109390013</v>
      </c>
      <c r="K14" s="233" t="s">
        <v>414</v>
      </c>
      <c r="L14" s="63" t="str">
        <f t="shared" si="0"/>
        <v>131476</v>
      </c>
      <c r="M14" s="155" t="str">
        <f t="shared" si="1"/>
        <v>6350</v>
      </c>
      <c r="N14" s="63">
        <f t="shared" si="2"/>
        <v>4.83</v>
      </c>
      <c r="O14" s="27" t="str">
        <f t="shared" si="3"/>
        <v>6350131476</v>
      </c>
      <c r="P14" s="207" t="s">
        <v>348</v>
      </c>
      <c r="Q14" s="207" t="s">
        <v>349</v>
      </c>
      <c r="R14" s="470" t="s">
        <v>350</v>
      </c>
      <c r="V14" s="27">
        <v>1093900139</v>
      </c>
    </row>
    <row r="15" spans="1:23" x14ac:dyDescent="0.25">
      <c r="A15" s="362" t="s">
        <v>415</v>
      </c>
      <c r="B15" s="233" t="s">
        <v>416</v>
      </c>
      <c r="C15" s="346" t="s">
        <v>344</v>
      </c>
      <c r="D15" s="346" t="s">
        <v>417</v>
      </c>
      <c r="E15" s="346">
        <v>734853708</v>
      </c>
      <c r="F15" s="349">
        <v>1</v>
      </c>
      <c r="G15" s="346">
        <v>70.599999999999994</v>
      </c>
      <c r="H15" s="346">
        <v>60.9</v>
      </c>
      <c r="I15" s="233" t="s">
        <v>380</v>
      </c>
      <c r="J15" s="348">
        <v>109390014</v>
      </c>
      <c r="K15" s="233" t="s">
        <v>418</v>
      </c>
      <c r="L15" s="63" t="str">
        <f t="shared" si="0"/>
        <v>131476</v>
      </c>
      <c r="M15" s="155" t="str">
        <f t="shared" si="1"/>
        <v>6610</v>
      </c>
      <c r="N15" s="63">
        <f t="shared" si="2"/>
        <v>5.0279999999999996</v>
      </c>
      <c r="O15" s="27" t="str">
        <f t="shared" si="3"/>
        <v>6610131476</v>
      </c>
      <c r="P15" s="207" t="s">
        <v>348</v>
      </c>
      <c r="Q15" s="207" t="s">
        <v>349</v>
      </c>
      <c r="R15" s="470" t="s">
        <v>350</v>
      </c>
      <c r="V15" s="27">
        <v>1093900149</v>
      </c>
    </row>
    <row r="16" spans="1:23" x14ac:dyDescent="0.25">
      <c r="A16" s="362" t="s">
        <v>419</v>
      </c>
      <c r="B16" s="233" t="s">
        <v>420</v>
      </c>
      <c r="C16" s="346" t="s">
        <v>412</v>
      </c>
      <c r="D16" s="346" t="s">
        <v>421</v>
      </c>
      <c r="E16" s="346">
        <v>776842176</v>
      </c>
      <c r="F16" s="349">
        <v>1</v>
      </c>
      <c r="G16" s="346">
        <v>76.3</v>
      </c>
      <c r="H16" s="346">
        <v>65.3</v>
      </c>
      <c r="I16" s="233" t="s">
        <v>387</v>
      </c>
      <c r="J16" s="348">
        <v>109390015</v>
      </c>
      <c r="K16" s="233" t="s">
        <v>422</v>
      </c>
      <c r="L16" s="63" t="str">
        <f t="shared" si="0"/>
        <v>131476</v>
      </c>
      <c r="M16" s="155" t="str">
        <f t="shared" si="1"/>
        <v>6530</v>
      </c>
      <c r="N16" s="63">
        <f t="shared" si="2"/>
        <v>4.9669999999999996</v>
      </c>
      <c r="O16" s="27" t="str">
        <f t="shared" si="3"/>
        <v>6530131476</v>
      </c>
      <c r="P16" s="207" t="s">
        <v>348</v>
      </c>
      <c r="Q16" s="207" t="s">
        <v>349</v>
      </c>
      <c r="R16" s="470" t="s">
        <v>350</v>
      </c>
      <c r="V16" s="27">
        <v>1093900159</v>
      </c>
    </row>
    <row r="17" spans="1:22" ht="25.5" x14ac:dyDescent="0.25">
      <c r="A17" s="362" t="s">
        <v>423</v>
      </c>
      <c r="B17" s="233" t="s">
        <v>424</v>
      </c>
      <c r="C17" s="346" t="s">
        <v>425</v>
      </c>
      <c r="D17" s="346" t="s">
        <v>426</v>
      </c>
      <c r="E17" s="346">
        <v>732958743</v>
      </c>
      <c r="F17" s="349">
        <v>2</v>
      </c>
      <c r="G17" s="346">
        <v>48.33</v>
      </c>
      <c r="H17" s="346">
        <v>0</v>
      </c>
      <c r="I17" s="233" t="s">
        <v>427</v>
      </c>
      <c r="J17" s="348">
        <v>109390016</v>
      </c>
      <c r="K17" s="233" t="s">
        <v>428</v>
      </c>
      <c r="L17" s="63" t="str">
        <f t="shared" si="0"/>
        <v>131476</v>
      </c>
      <c r="M17" s="155" t="str">
        <f t="shared" si="1"/>
        <v>4833</v>
      </c>
      <c r="N17" s="63">
        <f t="shared" si="2"/>
        <v>3.6760000000000002</v>
      </c>
      <c r="O17" s="27" t="str">
        <f t="shared" si="3"/>
        <v>4833131476</v>
      </c>
      <c r="P17" s="207" t="s">
        <v>348</v>
      </c>
      <c r="Q17" s="207" t="s">
        <v>349</v>
      </c>
      <c r="R17" s="470" t="s">
        <v>350</v>
      </c>
      <c r="V17" s="27">
        <v>1093900169</v>
      </c>
    </row>
    <row r="18" spans="1:22" x14ac:dyDescent="0.25">
      <c r="A18" s="362" t="s">
        <v>429</v>
      </c>
      <c r="B18" s="233" t="s">
        <v>430</v>
      </c>
      <c r="C18" s="346" t="s">
        <v>344</v>
      </c>
      <c r="D18" s="346" t="s">
        <v>431</v>
      </c>
      <c r="E18" s="346">
        <v>721528606</v>
      </c>
      <c r="F18" s="349">
        <v>1</v>
      </c>
      <c r="G18" s="346">
        <v>54.55</v>
      </c>
      <c r="H18" s="346">
        <v>0</v>
      </c>
      <c r="I18" s="233" t="s">
        <v>432</v>
      </c>
      <c r="J18" s="348">
        <v>93917002</v>
      </c>
      <c r="K18" s="233"/>
      <c r="L18" s="63" t="str">
        <f t="shared" si="0"/>
        <v>131476</v>
      </c>
      <c r="M18" s="155" t="str">
        <f t="shared" si="1"/>
        <v>5455</v>
      </c>
      <c r="N18" s="63">
        <f t="shared" si="2"/>
        <v>4.149</v>
      </c>
      <c r="O18" s="27" t="str">
        <f t="shared" si="3"/>
        <v>5455131476</v>
      </c>
      <c r="P18" s="207" t="s">
        <v>433</v>
      </c>
      <c r="Q18" s="207" t="s">
        <v>349</v>
      </c>
      <c r="R18" s="470" t="s">
        <v>434</v>
      </c>
      <c r="V18" s="27">
        <v>939170029</v>
      </c>
    </row>
    <row r="19" spans="1:22" x14ac:dyDescent="0.25">
      <c r="A19" s="362" t="s">
        <v>435</v>
      </c>
      <c r="B19" s="233" t="s">
        <v>436</v>
      </c>
      <c r="C19" s="346" t="s">
        <v>437</v>
      </c>
      <c r="D19" s="346" t="s">
        <v>438</v>
      </c>
      <c r="E19" s="346" t="s">
        <v>439</v>
      </c>
      <c r="F19" s="349">
        <v>1</v>
      </c>
      <c r="G19" s="346">
        <v>54.55</v>
      </c>
      <c r="H19" s="346">
        <v>0</v>
      </c>
      <c r="I19" s="233" t="s">
        <v>432</v>
      </c>
      <c r="J19" s="348">
        <v>109390017</v>
      </c>
      <c r="K19" s="233" t="s">
        <v>440</v>
      </c>
      <c r="L19" s="63" t="str">
        <f t="shared" si="0"/>
        <v>131476</v>
      </c>
      <c r="M19" s="155" t="str">
        <f t="shared" si="1"/>
        <v>5455</v>
      </c>
      <c r="N19" s="63">
        <f t="shared" si="2"/>
        <v>4.149</v>
      </c>
      <c r="O19" s="27" t="str">
        <f t="shared" si="3"/>
        <v>5455131476</v>
      </c>
      <c r="P19" s="207" t="s">
        <v>348</v>
      </c>
      <c r="Q19" s="207" t="s">
        <v>441</v>
      </c>
      <c r="R19" s="470" t="s">
        <v>442</v>
      </c>
      <c r="V19" s="27">
        <v>1093900179</v>
      </c>
    </row>
    <row r="20" spans="1:22" x14ac:dyDescent="0.25">
      <c r="A20" s="362" t="s">
        <v>443</v>
      </c>
      <c r="B20" s="233" t="s">
        <v>444</v>
      </c>
      <c r="C20" s="346" t="s">
        <v>445</v>
      </c>
      <c r="D20" s="346" t="s">
        <v>446</v>
      </c>
      <c r="E20" s="346">
        <v>702243800</v>
      </c>
      <c r="F20" s="349">
        <v>1</v>
      </c>
      <c r="G20" s="346">
        <v>32</v>
      </c>
      <c r="H20" s="346">
        <v>0</v>
      </c>
      <c r="I20" s="233" t="s">
        <v>447</v>
      </c>
      <c r="J20" s="348">
        <v>109390018</v>
      </c>
      <c r="K20" s="233" t="s">
        <v>448</v>
      </c>
      <c r="L20" s="63" t="str">
        <f t="shared" si="0"/>
        <v>131476</v>
      </c>
      <c r="M20" s="155" t="str">
        <f t="shared" si="1"/>
        <v>3200</v>
      </c>
      <c r="N20" s="63">
        <f t="shared" si="2"/>
        <v>2.4340000000000002</v>
      </c>
      <c r="O20" s="27" t="str">
        <f t="shared" si="3"/>
        <v>3200131476</v>
      </c>
      <c r="P20" s="207" t="s">
        <v>348</v>
      </c>
      <c r="Q20" s="207" t="s">
        <v>349</v>
      </c>
      <c r="R20" s="470" t="s">
        <v>350</v>
      </c>
      <c r="V20" s="27">
        <v>1093900189</v>
      </c>
    </row>
    <row r="21" spans="1:22" x14ac:dyDescent="0.25">
      <c r="A21" s="362" t="s">
        <v>449</v>
      </c>
      <c r="B21" s="233" t="s">
        <v>450</v>
      </c>
      <c r="C21" s="346" t="s">
        <v>344</v>
      </c>
      <c r="D21" s="346" t="s">
        <v>451</v>
      </c>
      <c r="E21" s="346">
        <v>605860810</v>
      </c>
      <c r="F21" s="349">
        <v>1</v>
      </c>
      <c r="G21" s="346">
        <v>151.65</v>
      </c>
      <c r="H21" s="346">
        <v>0</v>
      </c>
      <c r="I21" s="233" t="s">
        <v>452</v>
      </c>
      <c r="J21" s="350">
        <v>109390019</v>
      </c>
      <c r="K21" s="233" t="s">
        <v>453</v>
      </c>
      <c r="L21" s="63" t="str">
        <f t="shared" si="0"/>
        <v>131476</v>
      </c>
      <c r="M21" s="155" t="str">
        <f t="shared" si="1"/>
        <v>14205</v>
      </c>
      <c r="N21" s="63">
        <f t="shared" si="2"/>
        <v>10.804</v>
      </c>
      <c r="O21" s="27" t="str">
        <f t="shared" si="3"/>
        <v>14205131476</v>
      </c>
      <c r="P21" s="207" t="s">
        <v>348</v>
      </c>
      <c r="Q21" s="207" t="s">
        <v>349</v>
      </c>
      <c r="R21" s="470" t="s">
        <v>350</v>
      </c>
      <c r="V21" s="27">
        <v>1093900199</v>
      </c>
    </row>
    <row r="22" spans="1:22" x14ac:dyDescent="0.25">
      <c r="A22" s="362"/>
      <c r="B22" s="233"/>
      <c r="C22" s="233"/>
      <c r="D22" s="233"/>
      <c r="E22" s="233"/>
      <c r="F22" s="351"/>
      <c r="G22" s="233"/>
      <c r="H22" s="233"/>
      <c r="I22" s="233"/>
      <c r="J22" s="348"/>
      <c r="K22" s="233"/>
      <c r="L22" s="63">
        <f t="shared" si="0"/>
        <v>0</v>
      </c>
      <c r="M22" s="155" t="str">
        <f t="shared" si="1"/>
        <v/>
      </c>
      <c r="N22" s="63">
        <f t="shared" si="2"/>
        <v>0</v>
      </c>
      <c r="O22" s="27" t="str">
        <f t="shared" si="3"/>
        <v/>
      </c>
      <c r="R22" s="470"/>
      <c r="V22" s="27">
        <v>427219</v>
      </c>
    </row>
    <row r="23" spans="1:22" x14ac:dyDescent="0.25">
      <c r="A23" s="362"/>
      <c r="B23" s="233"/>
      <c r="C23" s="345"/>
      <c r="D23" s="346"/>
      <c r="E23" s="346"/>
      <c r="F23" s="347"/>
      <c r="G23" s="345"/>
      <c r="H23" s="345"/>
      <c r="I23" s="233"/>
      <c r="J23" s="348"/>
      <c r="K23" s="233"/>
      <c r="L23" s="63">
        <f t="shared" si="0"/>
        <v>0</v>
      </c>
      <c r="M23" s="155" t="str">
        <f t="shared" si="1"/>
        <v/>
      </c>
      <c r="N23" s="63">
        <f t="shared" si="2"/>
        <v>0</v>
      </c>
      <c r="O23" s="27" t="str">
        <f t="shared" si="3"/>
        <v/>
      </c>
      <c r="R23" s="470"/>
      <c r="V23" s="27">
        <v>427229</v>
      </c>
    </row>
    <row r="24" spans="1:22" x14ac:dyDescent="0.25">
      <c r="A24" s="362"/>
      <c r="B24" s="233"/>
      <c r="C24" s="346"/>
      <c r="D24" s="346"/>
      <c r="E24" s="346"/>
      <c r="F24" s="349"/>
      <c r="G24" s="346"/>
      <c r="H24" s="346"/>
      <c r="I24" s="233"/>
      <c r="J24" s="348"/>
      <c r="K24" s="233"/>
      <c r="L24" s="63">
        <f t="shared" si="0"/>
        <v>0</v>
      </c>
      <c r="M24" s="155" t="str">
        <f t="shared" si="1"/>
        <v/>
      </c>
      <c r="N24" s="63">
        <f t="shared" si="2"/>
        <v>0</v>
      </c>
      <c r="O24" s="27" t="str">
        <f t="shared" si="3"/>
        <v/>
      </c>
      <c r="R24" s="470"/>
      <c r="V24" s="27">
        <v>427239</v>
      </c>
    </row>
    <row r="25" spans="1:22" x14ac:dyDescent="0.25">
      <c r="A25" s="362"/>
      <c r="B25" s="233"/>
      <c r="C25" s="346"/>
      <c r="D25" s="346"/>
      <c r="E25" s="346"/>
      <c r="F25" s="349"/>
      <c r="G25" s="346"/>
      <c r="H25" s="346"/>
      <c r="I25" s="233"/>
      <c r="J25" s="348"/>
      <c r="K25" s="233"/>
      <c r="L25" s="63">
        <f t="shared" si="0"/>
        <v>0</v>
      </c>
      <c r="M25" s="155" t="str">
        <f t="shared" si="1"/>
        <v/>
      </c>
      <c r="N25" s="63">
        <f t="shared" si="2"/>
        <v>0</v>
      </c>
      <c r="O25" s="27" t="str">
        <f t="shared" si="3"/>
        <v/>
      </c>
      <c r="R25" s="470"/>
      <c r="V25" s="27">
        <v>427249</v>
      </c>
    </row>
    <row r="26" spans="1:22" x14ac:dyDescent="0.25">
      <c r="A26" s="362"/>
      <c r="B26" s="233"/>
      <c r="C26" s="346"/>
      <c r="D26" s="346"/>
      <c r="E26" s="346"/>
      <c r="F26" s="349"/>
      <c r="G26" s="346"/>
      <c r="H26" s="346"/>
      <c r="I26" s="233"/>
      <c r="J26" s="348"/>
      <c r="K26" s="233"/>
      <c r="L26" s="63">
        <f t="shared" si="0"/>
        <v>0</v>
      </c>
      <c r="M26" s="155" t="str">
        <f t="shared" si="1"/>
        <v/>
      </c>
      <c r="N26" s="63">
        <f t="shared" si="2"/>
        <v>0</v>
      </c>
      <c r="O26" s="27" t="str">
        <f t="shared" si="3"/>
        <v/>
      </c>
      <c r="R26" s="470"/>
      <c r="V26" s="27">
        <v>427259</v>
      </c>
    </row>
    <row r="27" spans="1:22" x14ac:dyDescent="0.25">
      <c r="A27" s="362"/>
      <c r="B27" s="233"/>
      <c r="C27" s="346"/>
      <c r="D27" s="346"/>
      <c r="E27" s="346"/>
      <c r="F27" s="349"/>
      <c r="G27" s="346"/>
      <c r="H27" s="346"/>
      <c r="I27" s="233"/>
      <c r="J27" s="348"/>
      <c r="K27" s="233"/>
      <c r="L27" s="63">
        <f t="shared" si="0"/>
        <v>0</v>
      </c>
      <c r="M27" s="155" t="str">
        <f t="shared" si="1"/>
        <v/>
      </c>
      <c r="N27" s="63">
        <f t="shared" si="2"/>
        <v>0</v>
      </c>
      <c r="O27" s="27" t="str">
        <f t="shared" si="3"/>
        <v/>
      </c>
      <c r="R27" s="470"/>
      <c r="V27" s="27">
        <v>427269</v>
      </c>
    </row>
    <row r="28" spans="1:22" x14ac:dyDescent="0.25">
      <c r="A28" s="362"/>
      <c r="B28" s="233"/>
      <c r="C28" s="346"/>
      <c r="D28" s="346"/>
      <c r="E28" s="346"/>
      <c r="F28" s="349"/>
      <c r="G28" s="346"/>
      <c r="H28" s="346"/>
      <c r="I28" s="233"/>
      <c r="J28" s="348"/>
      <c r="K28" s="233"/>
      <c r="L28" s="63">
        <f t="shared" si="0"/>
        <v>0</v>
      </c>
      <c r="M28" s="155" t="str">
        <f t="shared" si="1"/>
        <v/>
      </c>
      <c r="N28" s="63">
        <f t="shared" si="2"/>
        <v>0</v>
      </c>
      <c r="O28" s="27" t="str">
        <f t="shared" si="3"/>
        <v/>
      </c>
      <c r="R28" s="470"/>
      <c r="V28" s="27">
        <v>428019</v>
      </c>
    </row>
    <row r="29" spans="1:22" x14ac:dyDescent="0.25">
      <c r="A29" s="362"/>
      <c r="B29" s="233"/>
      <c r="C29" s="346"/>
      <c r="D29" s="346"/>
      <c r="E29" s="346"/>
      <c r="F29" s="352"/>
      <c r="G29" s="346"/>
      <c r="H29" s="346"/>
      <c r="I29" s="233"/>
      <c r="J29" s="348"/>
      <c r="K29" s="233"/>
      <c r="L29" s="63">
        <f t="shared" si="0"/>
        <v>0</v>
      </c>
      <c r="M29" s="155" t="str">
        <f t="shared" si="1"/>
        <v/>
      </c>
      <c r="N29" s="63">
        <f t="shared" si="2"/>
        <v>0</v>
      </c>
      <c r="O29" s="27" t="str">
        <f t="shared" si="3"/>
        <v/>
      </c>
      <c r="R29" s="470"/>
      <c r="V29" s="27">
        <v>428029</v>
      </c>
    </row>
    <row r="30" spans="1:22" x14ac:dyDescent="0.25">
      <c r="A30" s="362"/>
      <c r="B30" s="233"/>
      <c r="C30" s="346"/>
      <c r="D30" s="346"/>
      <c r="E30" s="346"/>
      <c r="F30" s="352"/>
      <c r="G30" s="346"/>
      <c r="H30" s="346"/>
      <c r="I30" s="233"/>
      <c r="J30" s="350"/>
      <c r="K30" s="233"/>
      <c r="L30" s="63">
        <f t="shared" si="0"/>
        <v>0</v>
      </c>
      <c r="M30" s="155" t="str">
        <f t="shared" si="1"/>
        <v/>
      </c>
      <c r="N30" s="63">
        <f t="shared" si="2"/>
        <v>0</v>
      </c>
      <c r="O30" s="27" t="str">
        <f t="shared" si="3"/>
        <v/>
      </c>
      <c r="R30" s="470"/>
      <c r="V30" s="27">
        <v>428039</v>
      </c>
    </row>
    <row r="31" spans="1:22" x14ac:dyDescent="0.25">
      <c r="A31" s="362"/>
      <c r="B31" s="233"/>
      <c r="C31" s="346"/>
      <c r="D31" s="346"/>
      <c r="E31" s="346"/>
      <c r="F31" s="352"/>
      <c r="G31" s="346"/>
      <c r="H31" s="346"/>
      <c r="I31" s="233"/>
      <c r="J31" s="348"/>
      <c r="K31" s="233"/>
      <c r="L31" s="63">
        <f t="shared" si="0"/>
        <v>0</v>
      </c>
      <c r="M31" s="155" t="str">
        <f t="shared" si="1"/>
        <v/>
      </c>
      <c r="N31" s="63">
        <f t="shared" si="2"/>
        <v>0</v>
      </c>
      <c r="O31" s="27" t="str">
        <f t="shared" si="3"/>
        <v/>
      </c>
      <c r="R31" s="470"/>
      <c r="V31" s="27">
        <v>428049</v>
      </c>
    </row>
    <row r="32" spans="1:22" x14ac:dyDescent="0.25">
      <c r="A32" s="362"/>
      <c r="B32" s="233"/>
      <c r="C32" s="346"/>
      <c r="D32" s="346"/>
      <c r="E32" s="346"/>
      <c r="F32" s="352"/>
      <c r="G32" s="346"/>
      <c r="H32" s="346"/>
      <c r="I32" s="233"/>
      <c r="J32" s="348"/>
      <c r="K32" s="233"/>
      <c r="L32" s="63">
        <f t="shared" si="0"/>
        <v>0</v>
      </c>
      <c r="M32" s="155" t="str">
        <f t="shared" si="1"/>
        <v/>
      </c>
      <c r="N32" s="63">
        <f t="shared" si="2"/>
        <v>0</v>
      </c>
      <c r="O32" s="27" t="str">
        <f t="shared" si="3"/>
        <v/>
      </c>
      <c r="R32" s="470"/>
      <c r="V32" s="27">
        <v>428059</v>
      </c>
    </row>
    <row r="33" spans="1:22" x14ac:dyDescent="0.25">
      <c r="A33" s="362"/>
      <c r="B33" s="233"/>
      <c r="C33" s="346"/>
      <c r="D33" s="346"/>
      <c r="E33" s="346"/>
      <c r="F33" s="352"/>
      <c r="G33" s="346"/>
      <c r="H33" s="346"/>
      <c r="I33" s="233"/>
      <c r="J33" s="348"/>
      <c r="K33" s="233"/>
      <c r="L33" s="63">
        <f t="shared" si="0"/>
        <v>0</v>
      </c>
      <c r="M33" s="155" t="str">
        <f t="shared" si="1"/>
        <v/>
      </c>
      <c r="N33" s="63">
        <f t="shared" si="2"/>
        <v>0</v>
      </c>
      <c r="O33" s="27" t="str">
        <f t="shared" si="3"/>
        <v/>
      </c>
      <c r="R33" s="470"/>
      <c r="V33" s="27">
        <v>428069</v>
      </c>
    </row>
    <row r="34" spans="1:22" x14ac:dyDescent="0.25">
      <c r="A34" s="362"/>
      <c r="B34" s="233"/>
      <c r="C34" s="346"/>
      <c r="D34" s="346"/>
      <c r="E34" s="346"/>
      <c r="F34" s="352"/>
      <c r="G34" s="346"/>
      <c r="H34" s="346"/>
      <c r="I34" s="233"/>
      <c r="J34" s="348"/>
      <c r="K34" s="233"/>
      <c r="L34" s="63">
        <f t="shared" ref="L34:L65" si="4">IF(I34=0,0,RIGHT(I34,LEN(I34)-SEARCH("/",I34,1)))</f>
        <v>0</v>
      </c>
      <c r="M34" s="155" t="str">
        <f t="shared" ref="M34:M65" si="5">SUBSTITUTE(O34,L34,"")</f>
        <v/>
      </c>
      <c r="N34" s="63">
        <f t="shared" ref="N34:N65" si="6">IF(L34=0,0,ROUND(M34/L34,5)*100)</f>
        <v>0</v>
      </c>
      <c r="O34" s="27" t="str">
        <f t="shared" ref="O34:O65" si="7">SUBSTITUTE(I34,"/","")</f>
        <v/>
      </c>
      <c r="R34" s="470"/>
      <c r="V34" s="27">
        <v>428079</v>
      </c>
    </row>
    <row r="35" spans="1:22" x14ac:dyDescent="0.25">
      <c r="A35" s="362"/>
      <c r="B35" s="233"/>
      <c r="C35" s="346"/>
      <c r="D35" s="346"/>
      <c r="E35" s="346"/>
      <c r="F35" s="352"/>
      <c r="G35" s="346"/>
      <c r="H35" s="346"/>
      <c r="I35" s="233"/>
      <c r="J35" s="348"/>
      <c r="K35" s="233"/>
      <c r="L35" s="63">
        <f t="shared" si="4"/>
        <v>0</v>
      </c>
      <c r="M35" s="155" t="str">
        <f t="shared" si="5"/>
        <v/>
      </c>
      <c r="N35" s="63">
        <f t="shared" si="6"/>
        <v>0</v>
      </c>
      <c r="O35" s="27" t="str">
        <f t="shared" si="7"/>
        <v/>
      </c>
      <c r="R35" s="470"/>
      <c r="V35" s="27">
        <v>4285908019</v>
      </c>
    </row>
    <row r="36" spans="1:22" x14ac:dyDescent="0.25">
      <c r="A36" s="362"/>
      <c r="B36" s="233"/>
      <c r="C36" s="346"/>
      <c r="D36" s="346"/>
      <c r="E36" s="346"/>
      <c r="F36" s="352"/>
      <c r="G36" s="346"/>
      <c r="H36" s="346"/>
      <c r="I36" s="233"/>
      <c r="J36" s="348"/>
      <c r="K36" s="233"/>
      <c r="L36" s="63">
        <f t="shared" si="4"/>
        <v>0</v>
      </c>
      <c r="M36" s="155" t="str">
        <f t="shared" si="5"/>
        <v/>
      </c>
      <c r="N36" s="63">
        <f t="shared" si="6"/>
        <v>0</v>
      </c>
      <c r="O36" s="27" t="str">
        <f t="shared" si="7"/>
        <v/>
      </c>
      <c r="R36" s="470"/>
      <c r="V36" s="27">
        <v>428099</v>
      </c>
    </row>
    <row r="37" spans="1:22" x14ac:dyDescent="0.25">
      <c r="A37" s="362"/>
      <c r="B37" s="233"/>
      <c r="C37" s="346"/>
      <c r="D37" s="346"/>
      <c r="E37" s="346"/>
      <c r="F37" s="352"/>
      <c r="G37" s="346"/>
      <c r="H37" s="346"/>
      <c r="I37" s="233"/>
      <c r="J37" s="348"/>
      <c r="K37" s="233"/>
      <c r="L37" s="63">
        <f t="shared" si="4"/>
        <v>0</v>
      </c>
      <c r="M37" s="155" t="str">
        <f t="shared" si="5"/>
        <v/>
      </c>
      <c r="N37" s="63">
        <f t="shared" si="6"/>
        <v>0</v>
      </c>
      <c r="O37" s="27" t="str">
        <f t="shared" si="7"/>
        <v/>
      </c>
      <c r="R37" s="470"/>
      <c r="V37" s="27">
        <v>428109</v>
      </c>
    </row>
    <row r="38" spans="1:22" x14ac:dyDescent="0.25">
      <c r="A38" s="362"/>
      <c r="B38" s="233"/>
      <c r="C38" s="346"/>
      <c r="D38" s="346"/>
      <c r="E38" s="346"/>
      <c r="F38" s="352"/>
      <c r="G38" s="346"/>
      <c r="H38" s="346"/>
      <c r="I38" s="233"/>
      <c r="J38" s="348"/>
      <c r="K38" s="233"/>
      <c r="L38" s="63">
        <f t="shared" si="4"/>
        <v>0</v>
      </c>
      <c r="M38" s="155" t="str">
        <f t="shared" si="5"/>
        <v/>
      </c>
      <c r="N38" s="63">
        <f t="shared" si="6"/>
        <v>0</v>
      </c>
      <c r="O38" s="27" t="str">
        <f t="shared" si="7"/>
        <v/>
      </c>
      <c r="R38" s="470"/>
      <c r="U38" s="212"/>
      <c r="V38" s="27">
        <v>428119</v>
      </c>
    </row>
    <row r="39" spans="1:22" x14ac:dyDescent="0.25">
      <c r="A39" s="362"/>
      <c r="B39" s="233"/>
      <c r="C39" s="346"/>
      <c r="D39" s="346"/>
      <c r="E39" s="346"/>
      <c r="F39" s="352"/>
      <c r="G39" s="346"/>
      <c r="H39" s="346"/>
      <c r="I39" s="233"/>
      <c r="J39" s="348"/>
      <c r="K39" s="233"/>
      <c r="L39" s="63">
        <f t="shared" si="4"/>
        <v>0</v>
      </c>
      <c r="M39" s="155" t="str">
        <f t="shared" si="5"/>
        <v/>
      </c>
      <c r="N39" s="63">
        <f t="shared" si="6"/>
        <v>0</v>
      </c>
      <c r="O39" s="27" t="str">
        <f t="shared" si="7"/>
        <v/>
      </c>
      <c r="R39" s="470"/>
      <c r="U39" s="472"/>
      <c r="V39" s="27">
        <v>428129</v>
      </c>
    </row>
    <row r="40" spans="1:22" x14ac:dyDescent="0.25">
      <c r="A40" s="362"/>
      <c r="B40" s="233"/>
      <c r="C40" s="346"/>
      <c r="D40" s="346"/>
      <c r="E40" s="346"/>
      <c r="F40" s="352"/>
      <c r="G40" s="346"/>
      <c r="H40" s="346"/>
      <c r="I40" s="233"/>
      <c r="J40" s="348"/>
      <c r="K40" s="233"/>
      <c r="L40" s="63">
        <f t="shared" si="4"/>
        <v>0</v>
      </c>
      <c r="M40" s="155" t="str">
        <f t="shared" si="5"/>
        <v/>
      </c>
      <c r="N40" s="63">
        <f t="shared" si="6"/>
        <v>0</v>
      </c>
      <c r="O40" s="27" t="str">
        <f t="shared" si="7"/>
        <v/>
      </c>
      <c r="R40" s="470"/>
      <c r="V40" s="27">
        <v>428139</v>
      </c>
    </row>
    <row r="41" spans="1:22" x14ac:dyDescent="0.25">
      <c r="A41" s="363"/>
      <c r="B41" s="21"/>
      <c r="C41" s="353"/>
      <c r="D41" s="353"/>
      <c r="E41" s="353"/>
      <c r="F41" s="354"/>
      <c r="G41" s="353"/>
      <c r="H41" s="353"/>
      <c r="I41" s="21"/>
      <c r="J41" s="199"/>
      <c r="K41" s="355"/>
      <c r="L41" s="63">
        <f t="shared" si="4"/>
        <v>0</v>
      </c>
      <c r="M41" s="155" t="str">
        <f t="shared" si="5"/>
        <v/>
      </c>
      <c r="N41" s="63">
        <f t="shared" si="6"/>
        <v>0</v>
      </c>
      <c r="O41" s="27" t="str">
        <f t="shared" si="7"/>
        <v/>
      </c>
      <c r="R41" s="470"/>
      <c r="V41" s="27">
        <v>428149</v>
      </c>
    </row>
    <row r="42" spans="1:22" x14ac:dyDescent="0.25">
      <c r="A42" s="363"/>
      <c r="B42" s="21"/>
      <c r="C42" s="353"/>
      <c r="D42" s="353"/>
      <c r="E42" s="353"/>
      <c r="F42" s="354"/>
      <c r="G42" s="353"/>
      <c r="H42" s="353"/>
      <c r="I42" s="21"/>
      <c r="J42" s="356"/>
      <c r="K42" s="355"/>
      <c r="L42" s="63">
        <f t="shared" si="4"/>
        <v>0</v>
      </c>
      <c r="M42" s="155" t="str">
        <f t="shared" si="5"/>
        <v/>
      </c>
      <c r="N42" s="63">
        <f t="shared" si="6"/>
        <v>0</v>
      </c>
      <c r="O42" s="27" t="str">
        <f t="shared" si="7"/>
        <v/>
      </c>
      <c r="R42" s="470"/>
      <c r="V42" s="27">
        <v>428159</v>
      </c>
    </row>
    <row r="43" spans="1:22" x14ac:dyDescent="0.25">
      <c r="A43" s="363"/>
      <c r="B43" s="21"/>
      <c r="C43" s="21"/>
      <c r="D43" s="21"/>
      <c r="E43" s="21"/>
      <c r="F43" s="21"/>
      <c r="G43" s="21"/>
      <c r="H43" s="21"/>
      <c r="I43" s="21"/>
      <c r="J43" s="199"/>
      <c r="K43" s="355"/>
      <c r="L43" s="63">
        <f t="shared" si="4"/>
        <v>0</v>
      </c>
      <c r="M43" s="155" t="str">
        <f t="shared" si="5"/>
        <v/>
      </c>
      <c r="N43" s="63">
        <f t="shared" si="6"/>
        <v>0</v>
      </c>
      <c r="O43" s="27" t="str">
        <f t="shared" si="7"/>
        <v/>
      </c>
      <c r="V43" s="27">
        <v>428169</v>
      </c>
    </row>
    <row r="44" spans="1:22" x14ac:dyDescent="0.25">
      <c r="A44" s="363"/>
      <c r="B44" s="21"/>
      <c r="C44" s="353"/>
      <c r="D44" s="353"/>
      <c r="E44" s="353"/>
      <c r="F44" s="354"/>
      <c r="G44" s="353"/>
      <c r="H44" s="353"/>
      <c r="I44" s="21"/>
      <c r="J44" s="199"/>
      <c r="K44" s="355"/>
      <c r="L44" s="63">
        <f t="shared" si="4"/>
        <v>0</v>
      </c>
      <c r="M44" s="155" t="str">
        <f t="shared" si="5"/>
        <v/>
      </c>
      <c r="N44" s="63">
        <f t="shared" si="6"/>
        <v>0</v>
      </c>
      <c r="O44" s="27" t="str">
        <f t="shared" si="7"/>
        <v/>
      </c>
      <c r="V44" s="27">
        <v>428179</v>
      </c>
    </row>
    <row r="45" spans="1:22" x14ac:dyDescent="0.25">
      <c r="A45" s="363"/>
      <c r="B45" s="21"/>
      <c r="C45" s="353"/>
      <c r="D45" s="353"/>
      <c r="E45" s="353"/>
      <c r="F45" s="354"/>
      <c r="G45" s="353"/>
      <c r="H45" s="353"/>
      <c r="I45" s="21"/>
      <c r="J45" s="199"/>
      <c r="K45" s="355"/>
      <c r="L45" s="63">
        <f t="shared" si="4"/>
        <v>0</v>
      </c>
      <c r="M45" s="155" t="str">
        <f t="shared" si="5"/>
        <v/>
      </c>
      <c r="N45" s="63">
        <f t="shared" si="6"/>
        <v>0</v>
      </c>
      <c r="O45" s="27" t="str">
        <f t="shared" si="7"/>
        <v/>
      </c>
      <c r="V45" s="27">
        <v>428189</v>
      </c>
    </row>
    <row r="46" spans="1:22" x14ac:dyDescent="0.25">
      <c r="A46" s="363"/>
      <c r="B46" s="21"/>
      <c r="C46" s="353"/>
      <c r="D46" s="353"/>
      <c r="E46" s="353"/>
      <c r="F46" s="354"/>
      <c r="G46" s="353"/>
      <c r="H46" s="353"/>
      <c r="I46" s="21"/>
      <c r="J46" s="199"/>
      <c r="K46" s="355"/>
      <c r="L46" s="63">
        <f t="shared" si="4"/>
        <v>0</v>
      </c>
      <c r="M46" s="155" t="str">
        <f t="shared" si="5"/>
        <v/>
      </c>
      <c r="N46" s="63">
        <f t="shared" si="6"/>
        <v>0</v>
      </c>
      <c r="O46" s="27" t="str">
        <f t="shared" si="7"/>
        <v/>
      </c>
      <c r="V46" s="27">
        <v>428199</v>
      </c>
    </row>
    <row r="47" spans="1:22" x14ac:dyDescent="0.25">
      <c r="A47" s="363"/>
      <c r="B47" s="21"/>
      <c r="C47" s="353"/>
      <c r="D47" s="353"/>
      <c r="E47" s="353"/>
      <c r="F47" s="354"/>
      <c r="G47" s="353"/>
      <c r="H47" s="353"/>
      <c r="I47" s="21"/>
      <c r="J47" s="199"/>
      <c r="K47" s="355"/>
      <c r="L47" s="63">
        <f t="shared" si="4"/>
        <v>0</v>
      </c>
      <c r="M47" s="155" t="str">
        <f t="shared" si="5"/>
        <v/>
      </c>
      <c r="N47" s="63">
        <f t="shared" si="6"/>
        <v>0</v>
      </c>
      <c r="O47" s="27" t="str">
        <f t="shared" si="7"/>
        <v/>
      </c>
      <c r="V47" s="27">
        <v>428209</v>
      </c>
    </row>
    <row r="48" spans="1:22" x14ac:dyDescent="0.25">
      <c r="A48" s="363"/>
      <c r="B48" s="21"/>
      <c r="C48" s="353"/>
      <c r="D48" s="353"/>
      <c r="E48" s="353"/>
      <c r="F48" s="354"/>
      <c r="G48" s="353"/>
      <c r="H48" s="353"/>
      <c r="I48" s="21"/>
      <c r="J48" s="199"/>
      <c r="K48" s="355"/>
      <c r="L48" s="63">
        <f t="shared" si="4"/>
        <v>0</v>
      </c>
      <c r="M48" s="155" t="str">
        <f t="shared" si="5"/>
        <v/>
      </c>
      <c r="N48" s="63">
        <f t="shared" si="6"/>
        <v>0</v>
      </c>
      <c r="O48" s="27" t="str">
        <f t="shared" si="7"/>
        <v/>
      </c>
      <c r="V48" s="27">
        <v>428219</v>
      </c>
    </row>
    <row r="49" spans="1:22" x14ac:dyDescent="0.25">
      <c r="A49" s="363"/>
      <c r="B49" s="21"/>
      <c r="C49" s="353"/>
      <c r="D49" s="353"/>
      <c r="E49" s="353"/>
      <c r="F49" s="354"/>
      <c r="G49" s="353"/>
      <c r="H49" s="353"/>
      <c r="I49" s="21"/>
      <c r="J49" s="199"/>
      <c r="K49" s="355"/>
      <c r="L49" s="63">
        <f t="shared" si="4"/>
        <v>0</v>
      </c>
      <c r="M49" s="155" t="str">
        <f t="shared" si="5"/>
        <v/>
      </c>
      <c r="N49" s="63">
        <f t="shared" si="6"/>
        <v>0</v>
      </c>
      <c r="O49" s="27" t="str">
        <f t="shared" si="7"/>
        <v/>
      </c>
      <c r="V49" s="27">
        <v>428229</v>
      </c>
    </row>
    <row r="50" spans="1:22" x14ac:dyDescent="0.25">
      <c r="A50" s="363"/>
      <c r="B50" s="21"/>
      <c r="C50" s="353"/>
      <c r="D50" s="353"/>
      <c r="E50" s="353"/>
      <c r="F50" s="354"/>
      <c r="G50" s="353"/>
      <c r="H50" s="353"/>
      <c r="I50" s="21"/>
      <c r="J50" s="199"/>
      <c r="K50" s="355"/>
      <c r="L50" s="63">
        <f t="shared" si="4"/>
        <v>0</v>
      </c>
      <c r="M50" s="155" t="str">
        <f t="shared" si="5"/>
        <v/>
      </c>
      <c r="N50" s="63">
        <f t="shared" si="6"/>
        <v>0</v>
      </c>
      <c r="O50" s="27" t="str">
        <f t="shared" si="7"/>
        <v/>
      </c>
      <c r="V50" s="27">
        <v>428239</v>
      </c>
    </row>
    <row r="51" spans="1:22" x14ac:dyDescent="0.25">
      <c r="A51" s="363"/>
      <c r="B51" s="21"/>
      <c r="C51" s="353"/>
      <c r="D51" s="353"/>
      <c r="E51" s="353"/>
      <c r="F51" s="354"/>
      <c r="G51" s="353"/>
      <c r="H51" s="353"/>
      <c r="I51" s="21"/>
      <c r="J51" s="199"/>
      <c r="K51" s="355"/>
      <c r="L51" s="63">
        <f t="shared" si="4"/>
        <v>0</v>
      </c>
      <c r="M51" s="155" t="str">
        <f t="shared" si="5"/>
        <v/>
      </c>
      <c r="N51" s="63">
        <f t="shared" si="6"/>
        <v>0</v>
      </c>
      <c r="O51" s="27" t="str">
        <f t="shared" si="7"/>
        <v/>
      </c>
      <c r="V51" s="27">
        <v>428249</v>
      </c>
    </row>
    <row r="52" spans="1:22" x14ac:dyDescent="0.25">
      <c r="A52" s="363"/>
      <c r="B52" s="21"/>
      <c r="C52" s="353"/>
      <c r="D52" s="353"/>
      <c r="E52" s="353"/>
      <c r="F52" s="354"/>
      <c r="G52" s="353"/>
      <c r="H52" s="353"/>
      <c r="I52" s="21"/>
      <c r="J52" s="199"/>
      <c r="K52" s="355"/>
      <c r="L52" s="63">
        <f t="shared" si="4"/>
        <v>0</v>
      </c>
      <c r="M52" s="155" t="str">
        <f t="shared" si="5"/>
        <v/>
      </c>
      <c r="N52" s="63">
        <f t="shared" si="6"/>
        <v>0</v>
      </c>
      <c r="O52" s="27" t="str">
        <f t="shared" si="7"/>
        <v/>
      </c>
      <c r="V52" s="27">
        <v>428259</v>
      </c>
    </row>
    <row r="53" spans="1:22" x14ac:dyDescent="0.25">
      <c r="A53" s="363"/>
      <c r="B53" s="21"/>
      <c r="C53" s="353"/>
      <c r="D53" s="353"/>
      <c r="E53" s="353"/>
      <c r="F53" s="354"/>
      <c r="G53" s="353"/>
      <c r="H53" s="353"/>
      <c r="I53" s="21"/>
      <c r="J53" s="199"/>
      <c r="K53" s="355"/>
      <c r="L53" s="63">
        <f t="shared" si="4"/>
        <v>0</v>
      </c>
      <c r="M53" s="155" t="str">
        <f t="shared" si="5"/>
        <v/>
      </c>
      <c r="N53" s="63">
        <f t="shared" si="6"/>
        <v>0</v>
      </c>
      <c r="O53" s="27" t="str">
        <f t="shared" si="7"/>
        <v/>
      </c>
      <c r="V53" s="27">
        <v>428269</v>
      </c>
    </row>
    <row r="54" spans="1:22" x14ac:dyDescent="0.25">
      <c r="A54" s="363"/>
      <c r="B54" s="21"/>
      <c r="C54" s="353"/>
      <c r="D54" s="353"/>
      <c r="E54" s="353"/>
      <c r="F54" s="354"/>
      <c r="G54" s="353"/>
      <c r="H54" s="353"/>
      <c r="I54" s="21"/>
      <c r="J54" s="199"/>
      <c r="K54" s="355"/>
      <c r="L54" s="63">
        <f t="shared" si="4"/>
        <v>0</v>
      </c>
      <c r="M54" s="155" t="str">
        <f t="shared" si="5"/>
        <v/>
      </c>
      <c r="N54" s="63">
        <f t="shared" si="6"/>
        <v>0</v>
      </c>
      <c r="O54" s="27" t="str">
        <f t="shared" si="7"/>
        <v/>
      </c>
      <c r="V54" s="27">
        <v>428279</v>
      </c>
    </row>
    <row r="55" spans="1:22" x14ac:dyDescent="0.25">
      <c r="A55" s="363"/>
      <c r="B55" s="21"/>
      <c r="C55" s="353"/>
      <c r="D55" s="353"/>
      <c r="E55" s="353"/>
      <c r="F55" s="354"/>
      <c r="G55" s="353"/>
      <c r="H55" s="353"/>
      <c r="I55" s="21"/>
      <c r="J55" s="199"/>
      <c r="K55" s="355"/>
      <c r="L55" s="63">
        <f t="shared" si="4"/>
        <v>0</v>
      </c>
      <c r="M55" s="155" t="str">
        <f t="shared" si="5"/>
        <v/>
      </c>
      <c r="N55" s="63">
        <f t="shared" si="6"/>
        <v>0</v>
      </c>
      <c r="O55" s="27" t="str">
        <f t="shared" si="7"/>
        <v/>
      </c>
      <c r="V55" s="27">
        <v>428289</v>
      </c>
    </row>
    <row r="56" spans="1:22" x14ac:dyDescent="0.25">
      <c r="A56" s="363"/>
      <c r="B56" s="21"/>
      <c r="C56" s="353"/>
      <c r="D56" s="353"/>
      <c r="E56" s="353"/>
      <c r="F56" s="354"/>
      <c r="G56" s="353"/>
      <c r="H56" s="353"/>
      <c r="I56" s="21"/>
      <c r="J56" s="199"/>
      <c r="K56" s="355"/>
      <c r="L56" s="63">
        <f t="shared" si="4"/>
        <v>0</v>
      </c>
      <c r="M56" s="155" t="str">
        <f t="shared" si="5"/>
        <v/>
      </c>
      <c r="N56" s="63">
        <f t="shared" si="6"/>
        <v>0</v>
      </c>
      <c r="O56" s="27" t="str">
        <f t="shared" si="7"/>
        <v/>
      </c>
      <c r="V56" s="27">
        <v>428299</v>
      </c>
    </row>
    <row r="57" spans="1:22" x14ac:dyDescent="0.25">
      <c r="A57" s="363"/>
      <c r="B57" s="21"/>
      <c r="C57" s="353"/>
      <c r="D57" s="353"/>
      <c r="E57" s="353"/>
      <c r="F57" s="354"/>
      <c r="G57" s="353"/>
      <c r="H57" s="353"/>
      <c r="I57" s="21"/>
      <c r="J57" s="199"/>
      <c r="K57" s="355"/>
      <c r="L57" s="63">
        <f t="shared" si="4"/>
        <v>0</v>
      </c>
      <c r="M57" s="155" t="str">
        <f t="shared" si="5"/>
        <v/>
      </c>
      <c r="N57" s="63">
        <f t="shared" si="6"/>
        <v>0</v>
      </c>
      <c r="O57" s="27" t="str">
        <f t="shared" si="7"/>
        <v/>
      </c>
      <c r="V57" s="27">
        <v>428309</v>
      </c>
    </row>
    <row r="58" spans="1:22" x14ac:dyDescent="0.25">
      <c r="A58" s="363"/>
      <c r="B58" s="21"/>
      <c r="C58" s="353"/>
      <c r="D58" s="353"/>
      <c r="E58" s="353"/>
      <c r="F58" s="354"/>
      <c r="G58" s="353"/>
      <c r="H58" s="353"/>
      <c r="I58" s="21"/>
      <c r="J58" s="199"/>
      <c r="K58" s="355"/>
      <c r="L58" s="63">
        <f t="shared" si="4"/>
        <v>0</v>
      </c>
      <c r="M58" s="155" t="str">
        <f t="shared" si="5"/>
        <v/>
      </c>
      <c r="N58" s="63">
        <f t="shared" si="6"/>
        <v>0</v>
      </c>
      <c r="O58" s="27" t="str">
        <f t="shared" si="7"/>
        <v/>
      </c>
      <c r="V58" s="27">
        <v>428319</v>
      </c>
    </row>
    <row r="59" spans="1:22" x14ac:dyDescent="0.25">
      <c r="A59" s="363"/>
      <c r="B59" s="21"/>
      <c r="C59" s="353"/>
      <c r="D59" s="353"/>
      <c r="E59" s="353"/>
      <c r="F59" s="354"/>
      <c r="G59" s="353"/>
      <c r="H59" s="353"/>
      <c r="I59" s="21"/>
      <c r="J59" s="199"/>
      <c r="K59" s="355"/>
      <c r="L59" s="63">
        <f t="shared" si="4"/>
        <v>0</v>
      </c>
      <c r="M59" s="155" t="str">
        <f t="shared" si="5"/>
        <v/>
      </c>
      <c r="N59" s="63">
        <f t="shared" si="6"/>
        <v>0</v>
      </c>
      <c r="O59" s="27" t="str">
        <f t="shared" si="7"/>
        <v/>
      </c>
      <c r="V59" s="27">
        <v>428329</v>
      </c>
    </row>
    <row r="60" spans="1:22" x14ac:dyDescent="0.25">
      <c r="A60" s="363"/>
      <c r="B60" s="21"/>
      <c r="C60" s="353"/>
      <c r="D60" s="353"/>
      <c r="E60" s="353"/>
      <c r="F60" s="354"/>
      <c r="G60" s="353"/>
      <c r="H60" s="353"/>
      <c r="I60" s="21"/>
      <c r="J60" s="199"/>
      <c r="K60" s="355"/>
      <c r="L60" s="63">
        <f t="shared" si="4"/>
        <v>0</v>
      </c>
      <c r="M60" s="155" t="str">
        <f t="shared" si="5"/>
        <v/>
      </c>
      <c r="N60" s="63">
        <f t="shared" si="6"/>
        <v>0</v>
      </c>
      <c r="O60" s="27" t="str">
        <f t="shared" si="7"/>
        <v/>
      </c>
    </row>
    <row r="61" spans="1:22" x14ac:dyDescent="0.25">
      <c r="A61" s="363"/>
      <c r="B61" s="21"/>
      <c r="C61" s="353"/>
      <c r="D61" s="353"/>
      <c r="E61" s="353"/>
      <c r="F61" s="354"/>
      <c r="G61" s="353"/>
      <c r="H61" s="353"/>
      <c r="I61" s="21"/>
      <c r="J61" s="199"/>
      <c r="K61" s="355"/>
      <c r="L61" s="63">
        <f t="shared" si="4"/>
        <v>0</v>
      </c>
      <c r="M61" s="155" t="str">
        <f t="shared" si="5"/>
        <v/>
      </c>
      <c r="N61" s="63">
        <f t="shared" si="6"/>
        <v>0</v>
      </c>
      <c r="O61" s="27" t="str">
        <f t="shared" si="7"/>
        <v/>
      </c>
    </row>
    <row r="62" spans="1:22" x14ac:dyDescent="0.25">
      <c r="A62" s="363"/>
      <c r="B62" s="21"/>
      <c r="C62" s="353"/>
      <c r="D62" s="353"/>
      <c r="E62" s="353"/>
      <c r="F62" s="354"/>
      <c r="G62" s="353"/>
      <c r="H62" s="353"/>
      <c r="I62" s="21"/>
      <c r="J62" s="199"/>
      <c r="K62" s="355"/>
      <c r="L62" s="63">
        <f t="shared" si="4"/>
        <v>0</v>
      </c>
      <c r="M62" s="155" t="str">
        <f t="shared" si="5"/>
        <v/>
      </c>
      <c r="N62" s="63">
        <f t="shared" si="6"/>
        <v>0</v>
      </c>
      <c r="O62" s="27" t="str">
        <f t="shared" si="7"/>
        <v/>
      </c>
    </row>
    <row r="63" spans="1:22" x14ac:dyDescent="0.25">
      <c r="A63" s="363"/>
      <c r="B63" s="21"/>
      <c r="C63" s="353"/>
      <c r="D63" s="353"/>
      <c r="E63" s="353"/>
      <c r="F63" s="354"/>
      <c r="G63" s="353"/>
      <c r="H63" s="353"/>
      <c r="I63" s="21"/>
      <c r="J63" s="199"/>
      <c r="K63" s="355"/>
      <c r="L63" s="63">
        <f t="shared" si="4"/>
        <v>0</v>
      </c>
      <c r="M63" s="155" t="str">
        <f t="shared" si="5"/>
        <v/>
      </c>
      <c r="N63" s="63">
        <f t="shared" si="6"/>
        <v>0</v>
      </c>
      <c r="O63" s="27" t="str">
        <f t="shared" si="7"/>
        <v/>
      </c>
    </row>
    <row r="64" spans="1:22" x14ac:dyDescent="0.25">
      <c r="A64" s="363"/>
      <c r="B64" s="21"/>
      <c r="C64" s="353"/>
      <c r="D64" s="353"/>
      <c r="E64" s="353"/>
      <c r="F64" s="354"/>
      <c r="G64" s="353"/>
      <c r="H64" s="353"/>
      <c r="I64" s="21"/>
      <c r="J64" s="199"/>
      <c r="K64" s="355"/>
      <c r="L64" s="63">
        <f t="shared" si="4"/>
        <v>0</v>
      </c>
      <c r="M64" s="155" t="str">
        <f t="shared" si="5"/>
        <v/>
      </c>
      <c r="N64" s="63">
        <f t="shared" si="6"/>
        <v>0</v>
      </c>
      <c r="O64" s="27" t="str">
        <f t="shared" si="7"/>
        <v/>
      </c>
    </row>
    <row r="65" spans="1:15" x14ac:dyDescent="0.25">
      <c r="A65" s="363"/>
      <c r="B65" s="21"/>
      <c r="C65" s="353"/>
      <c r="D65" s="353"/>
      <c r="E65" s="353"/>
      <c r="F65" s="354"/>
      <c r="G65" s="353"/>
      <c r="H65" s="353"/>
      <c r="I65" s="21"/>
      <c r="J65" s="199"/>
      <c r="K65" s="355"/>
      <c r="L65" s="63">
        <f t="shared" si="4"/>
        <v>0</v>
      </c>
      <c r="M65" s="155" t="str">
        <f t="shared" si="5"/>
        <v/>
      </c>
      <c r="N65" s="63">
        <f t="shared" si="6"/>
        <v>0</v>
      </c>
      <c r="O65" s="27" t="str">
        <f t="shared" si="7"/>
        <v/>
      </c>
    </row>
    <row r="66" spans="1:15" x14ac:dyDescent="0.25">
      <c r="A66" s="363"/>
      <c r="B66" s="21"/>
      <c r="C66" s="353"/>
      <c r="D66" s="353"/>
      <c r="E66" s="353"/>
      <c r="F66" s="354"/>
      <c r="G66" s="353"/>
      <c r="H66" s="353"/>
      <c r="I66" s="21"/>
      <c r="J66" s="199"/>
      <c r="K66" s="355"/>
      <c r="L66" s="63">
        <f t="shared" ref="L66:L97" si="8">IF(I66=0,0,RIGHT(I66,LEN(I66)-SEARCH("/",I66,1)))</f>
        <v>0</v>
      </c>
      <c r="M66" s="155" t="str">
        <f t="shared" ref="M66:M97" si="9">SUBSTITUTE(O66,L66,"")</f>
        <v/>
      </c>
      <c r="N66" s="63">
        <f t="shared" ref="N66:N97" si="10">IF(L66=0,0,ROUND(M66/L66,5)*100)</f>
        <v>0</v>
      </c>
      <c r="O66" s="27" t="str">
        <f t="shared" ref="O66:O97" si="11">SUBSTITUTE(I66,"/","")</f>
        <v/>
      </c>
    </row>
    <row r="67" spans="1:15" x14ac:dyDescent="0.25">
      <c r="A67" s="363"/>
      <c r="B67" s="21"/>
      <c r="C67" s="353"/>
      <c r="D67" s="353"/>
      <c r="E67" s="353"/>
      <c r="F67" s="354"/>
      <c r="G67" s="353"/>
      <c r="H67" s="353"/>
      <c r="I67" s="21"/>
      <c r="J67" s="199"/>
      <c r="K67" s="355"/>
      <c r="L67" s="63">
        <f t="shared" si="8"/>
        <v>0</v>
      </c>
      <c r="M67" s="155" t="str">
        <f t="shared" si="9"/>
        <v/>
      </c>
      <c r="N67" s="63">
        <f t="shared" si="10"/>
        <v>0</v>
      </c>
      <c r="O67" s="27" t="str">
        <f t="shared" si="11"/>
        <v/>
      </c>
    </row>
    <row r="68" spans="1:15" x14ac:dyDescent="0.25">
      <c r="A68" s="363"/>
      <c r="B68" s="21"/>
      <c r="C68" s="353"/>
      <c r="D68" s="353"/>
      <c r="E68" s="353"/>
      <c r="F68" s="354"/>
      <c r="G68" s="353"/>
      <c r="H68" s="353"/>
      <c r="I68" s="21"/>
      <c r="J68" s="199"/>
      <c r="K68" s="355"/>
      <c r="L68" s="63">
        <f t="shared" si="8"/>
        <v>0</v>
      </c>
      <c r="M68" s="155" t="str">
        <f t="shared" si="9"/>
        <v/>
      </c>
      <c r="N68" s="63">
        <f t="shared" si="10"/>
        <v>0</v>
      </c>
      <c r="O68" s="27" t="str">
        <f t="shared" si="11"/>
        <v/>
      </c>
    </row>
    <row r="69" spans="1:15" x14ac:dyDescent="0.25">
      <c r="A69" s="363"/>
      <c r="B69" s="21"/>
      <c r="C69" s="353"/>
      <c r="D69" s="353"/>
      <c r="E69" s="353"/>
      <c r="F69" s="354"/>
      <c r="G69" s="353"/>
      <c r="H69" s="353"/>
      <c r="I69" s="21"/>
      <c r="J69" s="199"/>
      <c r="K69" s="355"/>
      <c r="L69" s="63">
        <f t="shared" si="8"/>
        <v>0</v>
      </c>
      <c r="M69" s="155" t="str">
        <f t="shared" si="9"/>
        <v/>
      </c>
      <c r="N69" s="63">
        <f t="shared" si="10"/>
        <v>0</v>
      </c>
      <c r="O69" s="27" t="str">
        <f t="shared" si="11"/>
        <v/>
      </c>
    </row>
    <row r="70" spans="1:15" x14ac:dyDescent="0.25">
      <c r="A70" s="363"/>
      <c r="B70" s="21"/>
      <c r="C70" s="353"/>
      <c r="D70" s="353"/>
      <c r="E70" s="353"/>
      <c r="F70" s="354"/>
      <c r="G70" s="353"/>
      <c r="H70" s="353"/>
      <c r="I70" s="21"/>
      <c r="J70" s="199"/>
      <c r="K70" s="355"/>
      <c r="L70" s="63">
        <f t="shared" si="8"/>
        <v>0</v>
      </c>
      <c r="M70" s="155" t="str">
        <f t="shared" si="9"/>
        <v/>
      </c>
      <c r="N70" s="63">
        <f t="shared" si="10"/>
        <v>0</v>
      </c>
      <c r="O70" s="27" t="str">
        <f t="shared" si="11"/>
        <v/>
      </c>
    </row>
    <row r="71" spans="1:15" x14ac:dyDescent="0.25">
      <c r="A71" s="363"/>
      <c r="B71" s="21"/>
      <c r="C71" s="353"/>
      <c r="D71" s="353"/>
      <c r="E71" s="353"/>
      <c r="F71" s="354"/>
      <c r="G71" s="353"/>
      <c r="H71" s="353"/>
      <c r="I71" s="21"/>
      <c r="J71" s="199"/>
      <c r="K71" s="355"/>
      <c r="L71" s="63">
        <f t="shared" si="8"/>
        <v>0</v>
      </c>
      <c r="M71" s="155" t="str">
        <f t="shared" si="9"/>
        <v/>
      </c>
      <c r="N71" s="63">
        <f t="shared" si="10"/>
        <v>0</v>
      </c>
      <c r="O71" s="27" t="str">
        <f t="shared" si="11"/>
        <v/>
      </c>
    </row>
    <row r="72" spans="1:15" x14ac:dyDescent="0.25">
      <c r="A72" s="363"/>
      <c r="B72" s="21"/>
      <c r="C72" s="353"/>
      <c r="D72" s="353"/>
      <c r="E72" s="353"/>
      <c r="F72" s="354"/>
      <c r="G72" s="353"/>
      <c r="H72" s="353"/>
      <c r="I72" s="21"/>
      <c r="J72" s="199"/>
      <c r="K72" s="355"/>
      <c r="L72" s="63">
        <f t="shared" si="8"/>
        <v>0</v>
      </c>
      <c r="M72" s="155" t="str">
        <f t="shared" si="9"/>
        <v/>
      </c>
      <c r="N72" s="63">
        <f t="shared" si="10"/>
        <v>0</v>
      </c>
      <c r="O72" s="27" t="str">
        <f t="shared" si="11"/>
        <v/>
      </c>
    </row>
    <row r="73" spans="1:15" x14ac:dyDescent="0.25">
      <c r="A73" s="363"/>
      <c r="B73" s="21"/>
      <c r="C73" s="353"/>
      <c r="D73" s="353"/>
      <c r="E73" s="353"/>
      <c r="F73" s="354"/>
      <c r="G73" s="353"/>
      <c r="H73" s="353"/>
      <c r="I73" s="21"/>
      <c r="J73" s="199"/>
      <c r="K73" s="355"/>
      <c r="L73" s="63">
        <f t="shared" si="8"/>
        <v>0</v>
      </c>
      <c r="M73" s="155" t="str">
        <f t="shared" si="9"/>
        <v/>
      </c>
      <c r="N73" s="63">
        <f t="shared" si="10"/>
        <v>0</v>
      </c>
      <c r="O73" s="27" t="str">
        <f t="shared" si="11"/>
        <v/>
      </c>
    </row>
    <row r="74" spans="1:15" x14ac:dyDescent="0.25">
      <c r="A74" s="363"/>
      <c r="B74" s="21"/>
      <c r="C74" s="353"/>
      <c r="D74" s="353"/>
      <c r="E74" s="353"/>
      <c r="F74" s="354"/>
      <c r="G74" s="353"/>
      <c r="H74" s="353"/>
      <c r="I74" s="21"/>
      <c r="J74" s="199"/>
      <c r="K74" s="355"/>
      <c r="L74" s="63">
        <f t="shared" si="8"/>
        <v>0</v>
      </c>
      <c r="M74" s="155" t="str">
        <f t="shared" si="9"/>
        <v/>
      </c>
      <c r="N74" s="63">
        <f t="shared" si="10"/>
        <v>0</v>
      </c>
      <c r="O74" s="27" t="str">
        <f t="shared" si="11"/>
        <v/>
      </c>
    </row>
    <row r="75" spans="1:15" x14ac:dyDescent="0.25">
      <c r="A75" s="363"/>
      <c r="B75" s="21"/>
      <c r="C75" s="353"/>
      <c r="D75" s="353"/>
      <c r="E75" s="353"/>
      <c r="F75" s="354"/>
      <c r="G75" s="353"/>
      <c r="H75" s="353"/>
      <c r="I75" s="21"/>
      <c r="J75" s="199"/>
      <c r="K75" s="355"/>
      <c r="L75" s="63">
        <f t="shared" si="8"/>
        <v>0</v>
      </c>
      <c r="M75" s="155" t="str">
        <f t="shared" si="9"/>
        <v/>
      </c>
      <c r="N75" s="63">
        <f t="shared" si="10"/>
        <v>0</v>
      </c>
      <c r="O75" s="27" t="str">
        <f t="shared" si="11"/>
        <v/>
      </c>
    </row>
    <row r="76" spans="1:15" x14ac:dyDescent="0.25">
      <c r="A76" s="363"/>
      <c r="B76" s="21"/>
      <c r="C76" s="353"/>
      <c r="D76" s="353"/>
      <c r="E76" s="353"/>
      <c r="F76" s="354"/>
      <c r="G76" s="353"/>
      <c r="H76" s="353"/>
      <c r="I76" s="21"/>
      <c r="J76" s="199"/>
      <c r="K76" s="355"/>
      <c r="L76" s="63">
        <f t="shared" si="8"/>
        <v>0</v>
      </c>
      <c r="M76" s="155" t="str">
        <f t="shared" si="9"/>
        <v/>
      </c>
      <c r="N76" s="63">
        <f t="shared" si="10"/>
        <v>0</v>
      </c>
      <c r="O76" s="27" t="str">
        <f t="shared" si="11"/>
        <v/>
      </c>
    </row>
    <row r="77" spans="1:15" x14ac:dyDescent="0.25">
      <c r="A77" s="363"/>
      <c r="B77" s="21"/>
      <c r="C77" s="353"/>
      <c r="D77" s="353"/>
      <c r="E77" s="353"/>
      <c r="F77" s="354"/>
      <c r="G77" s="353"/>
      <c r="H77" s="353"/>
      <c r="I77" s="21"/>
      <c r="J77" s="199"/>
      <c r="K77" s="355"/>
      <c r="L77" s="63">
        <f t="shared" si="8"/>
        <v>0</v>
      </c>
      <c r="M77" s="155" t="str">
        <f t="shared" si="9"/>
        <v/>
      </c>
      <c r="N77" s="63">
        <f t="shared" si="10"/>
        <v>0</v>
      </c>
      <c r="O77" s="27" t="str">
        <f t="shared" si="11"/>
        <v/>
      </c>
    </row>
    <row r="78" spans="1:15" x14ac:dyDescent="0.25">
      <c r="A78" s="363"/>
      <c r="B78" s="21"/>
      <c r="C78" s="353"/>
      <c r="D78" s="353"/>
      <c r="E78" s="353"/>
      <c r="F78" s="354"/>
      <c r="G78" s="353"/>
      <c r="H78" s="353"/>
      <c r="I78" s="21"/>
      <c r="J78" s="199"/>
      <c r="K78" s="355"/>
      <c r="L78" s="63">
        <f t="shared" si="8"/>
        <v>0</v>
      </c>
      <c r="M78" s="155" t="str">
        <f t="shared" si="9"/>
        <v/>
      </c>
      <c r="N78" s="63">
        <f t="shared" si="10"/>
        <v>0</v>
      </c>
      <c r="O78" s="27" t="str">
        <f t="shared" si="11"/>
        <v/>
      </c>
    </row>
    <row r="79" spans="1:15" x14ac:dyDescent="0.25">
      <c r="A79" s="363"/>
      <c r="B79" s="21"/>
      <c r="C79" s="353"/>
      <c r="D79" s="353"/>
      <c r="E79" s="353"/>
      <c r="F79" s="354"/>
      <c r="G79" s="353"/>
      <c r="H79" s="353"/>
      <c r="I79" s="21"/>
      <c r="J79" s="199"/>
      <c r="K79" s="355"/>
      <c r="L79" s="63">
        <f t="shared" si="8"/>
        <v>0</v>
      </c>
      <c r="M79" s="155" t="str">
        <f t="shared" si="9"/>
        <v/>
      </c>
      <c r="N79" s="63">
        <f t="shared" si="10"/>
        <v>0</v>
      </c>
      <c r="O79" s="27" t="str">
        <f t="shared" si="11"/>
        <v/>
      </c>
    </row>
    <row r="80" spans="1:15" x14ac:dyDescent="0.25">
      <c r="A80" s="363"/>
      <c r="B80" s="21"/>
      <c r="C80" s="353"/>
      <c r="D80" s="353"/>
      <c r="E80" s="353"/>
      <c r="F80" s="354"/>
      <c r="G80" s="353"/>
      <c r="H80" s="353"/>
      <c r="I80" s="21"/>
      <c r="J80" s="199"/>
      <c r="K80" s="355"/>
      <c r="L80" s="63">
        <f t="shared" si="8"/>
        <v>0</v>
      </c>
      <c r="M80" s="155" t="str">
        <f t="shared" si="9"/>
        <v/>
      </c>
      <c r="N80" s="63">
        <f t="shared" si="10"/>
        <v>0</v>
      </c>
      <c r="O80" s="27" t="str">
        <f t="shared" si="11"/>
        <v/>
      </c>
    </row>
    <row r="81" spans="1:15" x14ac:dyDescent="0.25">
      <c r="A81" s="363"/>
      <c r="B81" s="21"/>
      <c r="C81" s="353"/>
      <c r="D81" s="353"/>
      <c r="E81" s="353"/>
      <c r="F81" s="354"/>
      <c r="G81" s="353"/>
      <c r="H81" s="353"/>
      <c r="I81" s="21"/>
      <c r="J81" s="199"/>
      <c r="K81" s="355"/>
      <c r="L81" s="63">
        <f t="shared" si="8"/>
        <v>0</v>
      </c>
      <c r="M81" s="155" t="str">
        <f t="shared" si="9"/>
        <v/>
      </c>
      <c r="N81" s="63">
        <f t="shared" si="10"/>
        <v>0</v>
      </c>
      <c r="O81" s="27" t="str">
        <f t="shared" si="11"/>
        <v/>
      </c>
    </row>
    <row r="82" spans="1:15" x14ac:dyDescent="0.25">
      <c r="A82" s="363"/>
      <c r="B82" s="21"/>
      <c r="C82" s="353"/>
      <c r="D82" s="353"/>
      <c r="E82" s="353"/>
      <c r="F82" s="354"/>
      <c r="G82" s="353"/>
      <c r="H82" s="353"/>
      <c r="I82" s="21"/>
      <c r="J82" s="199"/>
      <c r="K82" s="355"/>
      <c r="L82" s="63">
        <f t="shared" si="8"/>
        <v>0</v>
      </c>
      <c r="M82" s="155" t="str">
        <f t="shared" si="9"/>
        <v/>
      </c>
      <c r="N82" s="63">
        <f t="shared" si="10"/>
        <v>0</v>
      </c>
      <c r="O82" s="27" t="str">
        <f t="shared" si="11"/>
        <v/>
      </c>
    </row>
    <row r="83" spans="1:15" x14ac:dyDescent="0.25">
      <c r="A83" s="363"/>
      <c r="B83" s="21"/>
      <c r="C83" s="353"/>
      <c r="D83" s="353"/>
      <c r="E83" s="353"/>
      <c r="F83" s="354"/>
      <c r="G83" s="353"/>
      <c r="H83" s="353"/>
      <c r="I83" s="21"/>
      <c r="J83" s="199"/>
      <c r="K83" s="355"/>
      <c r="L83" s="63">
        <f t="shared" si="8"/>
        <v>0</v>
      </c>
      <c r="M83" s="155" t="str">
        <f t="shared" si="9"/>
        <v/>
      </c>
      <c r="N83" s="63">
        <f t="shared" si="10"/>
        <v>0</v>
      </c>
      <c r="O83" s="27" t="str">
        <f t="shared" si="11"/>
        <v/>
      </c>
    </row>
    <row r="84" spans="1:15" x14ac:dyDescent="0.25">
      <c r="A84" s="363"/>
      <c r="B84" s="21"/>
      <c r="C84" s="353"/>
      <c r="D84" s="353"/>
      <c r="E84" s="353"/>
      <c r="F84" s="354"/>
      <c r="G84" s="353"/>
      <c r="H84" s="353"/>
      <c r="I84" s="21"/>
      <c r="J84" s="199"/>
      <c r="K84" s="355"/>
      <c r="L84" s="63">
        <f t="shared" si="8"/>
        <v>0</v>
      </c>
      <c r="M84" s="155" t="str">
        <f t="shared" si="9"/>
        <v/>
      </c>
      <c r="N84" s="63">
        <f t="shared" si="10"/>
        <v>0</v>
      </c>
      <c r="O84" s="27" t="str">
        <f t="shared" si="11"/>
        <v/>
      </c>
    </row>
    <row r="85" spans="1:15" x14ac:dyDescent="0.25">
      <c r="A85" s="363"/>
      <c r="B85" s="21"/>
      <c r="C85" s="353"/>
      <c r="D85" s="353"/>
      <c r="E85" s="353"/>
      <c r="F85" s="354"/>
      <c r="G85" s="353"/>
      <c r="H85" s="353"/>
      <c r="I85" s="21"/>
      <c r="J85" s="199"/>
      <c r="K85" s="355"/>
      <c r="L85" s="63">
        <f t="shared" si="8"/>
        <v>0</v>
      </c>
      <c r="M85" s="155" t="str">
        <f t="shared" si="9"/>
        <v/>
      </c>
      <c r="N85" s="63">
        <f t="shared" si="10"/>
        <v>0</v>
      </c>
      <c r="O85" s="27" t="str">
        <f t="shared" si="11"/>
        <v/>
      </c>
    </row>
    <row r="86" spans="1:15" x14ac:dyDescent="0.25">
      <c r="A86" s="363"/>
      <c r="B86" s="21"/>
      <c r="C86" s="353"/>
      <c r="D86" s="353"/>
      <c r="E86" s="353"/>
      <c r="F86" s="354"/>
      <c r="G86" s="353"/>
      <c r="H86" s="353"/>
      <c r="I86" s="21"/>
      <c r="J86" s="199"/>
      <c r="K86" s="355"/>
      <c r="L86" s="63">
        <f t="shared" si="8"/>
        <v>0</v>
      </c>
      <c r="M86" s="155" t="str">
        <f t="shared" si="9"/>
        <v/>
      </c>
      <c r="N86" s="63">
        <f t="shared" si="10"/>
        <v>0</v>
      </c>
      <c r="O86" s="27" t="str">
        <f t="shared" si="11"/>
        <v/>
      </c>
    </row>
    <row r="87" spans="1:15" x14ac:dyDescent="0.25">
      <c r="A87" s="363"/>
      <c r="B87" s="21"/>
      <c r="C87" s="353"/>
      <c r="D87" s="353"/>
      <c r="E87" s="353"/>
      <c r="F87" s="354"/>
      <c r="G87" s="353"/>
      <c r="H87" s="353"/>
      <c r="I87" s="21"/>
      <c r="J87" s="199"/>
      <c r="K87" s="355"/>
      <c r="L87" s="63">
        <f t="shared" si="8"/>
        <v>0</v>
      </c>
      <c r="M87" s="155" t="str">
        <f t="shared" si="9"/>
        <v/>
      </c>
      <c r="N87" s="63">
        <f t="shared" si="10"/>
        <v>0</v>
      </c>
      <c r="O87" s="27" t="str">
        <f t="shared" si="11"/>
        <v/>
      </c>
    </row>
    <row r="88" spans="1:15" x14ac:dyDescent="0.25">
      <c r="A88" s="363"/>
      <c r="B88" s="21"/>
      <c r="C88" s="353"/>
      <c r="D88" s="353"/>
      <c r="E88" s="353"/>
      <c r="F88" s="354"/>
      <c r="G88" s="353"/>
      <c r="H88" s="353"/>
      <c r="I88" s="21"/>
      <c r="J88" s="199"/>
      <c r="K88" s="355"/>
      <c r="L88" s="63">
        <f t="shared" si="8"/>
        <v>0</v>
      </c>
      <c r="M88" s="155" t="str">
        <f t="shared" si="9"/>
        <v/>
      </c>
      <c r="N88" s="63">
        <f t="shared" si="10"/>
        <v>0</v>
      </c>
      <c r="O88" s="27" t="str">
        <f t="shared" si="11"/>
        <v/>
      </c>
    </row>
    <row r="89" spans="1:15" x14ac:dyDescent="0.25">
      <c r="A89" s="363"/>
      <c r="B89" s="21"/>
      <c r="C89" s="353"/>
      <c r="D89" s="353"/>
      <c r="E89" s="353"/>
      <c r="F89" s="354"/>
      <c r="G89" s="353"/>
      <c r="H89" s="353"/>
      <c r="I89" s="21"/>
      <c r="J89" s="199"/>
      <c r="K89" s="355"/>
      <c r="L89" s="63">
        <f t="shared" si="8"/>
        <v>0</v>
      </c>
      <c r="M89" s="155" t="str">
        <f t="shared" si="9"/>
        <v/>
      </c>
      <c r="N89" s="63">
        <f t="shared" si="10"/>
        <v>0</v>
      </c>
      <c r="O89" s="27" t="str">
        <f t="shared" si="11"/>
        <v/>
      </c>
    </row>
    <row r="90" spans="1:15" x14ac:dyDescent="0.25">
      <c r="A90" s="363"/>
      <c r="B90" s="21"/>
      <c r="C90" s="353"/>
      <c r="D90" s="353"/>
      <c r="E90" s="353"/>
      <c r="F90" s="354"/>
      <c r="G90" s="353"/>
      <c r="H90" s="353"/>
      <c r="I90" s="21"/>
      <c r="J90" s="199"/>
      <c r="K90" s="355"/>
      <c r="L90" s="63">
        <f t="shared" si="8"/>
        <v>0</v>
      </c>
      <c r="M90" s="155" t="str">
        <f t="shared" si="9"/>
        <v/>
      </c>
      <c r="N90" s="63">
        <f t="shared" si="10"/>
        <v>0</v>
      </c>
      <c r="O90" s="27" t="str">
        <f t="shared" si="11"/>
        <v/>
      </c>
    </row>
    <row r="91" spans="1:15" x14ac:dyDescent="0.25">
      <c r="A91" s="363"/>
      <c r="B91" s="21"/>
      <c r="C91" s="353"/>
      <c r="D91" s="353"/>
      <c r="E91" s="353"/>
      <c r="F91" s="354"/>
      <c r="G91" s="353"/>
      <c r="H91" s="353"/>
      <c r="I91" s="21"/>
      <c r="J91" s="199"/>
      <c r="K91" s="355"/>
      <c r="L91" s="63">
        <f t="shared" si="8"/>
        <v>0</v>
      </c>
      <c r="M91" s="155" t="str">
        <f t="shared" si="9"/>
        <v/>
      </c>
      <c r="N91" s="63">
        <f t="shared" si="10"/>
        <v>0</v>
      </c>
      <c r="O91" s="27" t="str">
        <f t="shared" si="11"/>
        <v/>
      </c>
    </row>
    <row r="92" spans="1:15" x14ac:dyDescent="0.25">
      <c r="A92" s="363"/>
      <c r="B92" s="21"/>
      <c r="C92" s="353"/>
      <c r="D92" s="353"/>
      <c r="E92" s="353"/>
      <c r="F92" s="354"/>
      <c r="G92" s="353"/>
      <c r="H92" s="353"/>
      <c r="I92" s="21"/>
      <c r="J92" s="199"/>
      <c r="K92" s="355"/>
      <c r="L92" s="63">
        <f t="shared" si="8"/>
        <v>0</v>
      </c>
      <c r="M92" s="155" t="str">
        <f t="shared" si="9"/>
        <v/>
      </c>
      <c r="N92" s="63">
        <f t="shared" si="10"/>
        <v>0</v>
      </c>
      <c r="O92" s="27" t="str">
        <f t="shared" si="11"/>
        <v/>
      </c>
    </row>
    <row r="93" spans="1:15" x14ac:dyDescent="0.25">
      <c r="A93" s="363"/>
      <c r="B93" s="21"/>
      <c r="C93" s="353"/>
      <c r="D93" s="353"/>
      <c r="E93" s="353"/>
      <c r="F93" s="354"/>
      <c r="G93" s="353"/>
      <c r="H93" s="353"/>
      <c r="I93" s="21"/>
      <c r="J93" s="199"/>
      <c r="K93" s="355"/>
      <c r="L93" s="63">
        <f t="shared" si="8"/>
        <v>0</v>
      </c>
      <c r="M93" s="155" t="str">
        <f t="shared" si="9"/>
        <v/>
      </c>
      <c r="N93" s="63">
        <f t="shared" si="10"/>
        <v>0</v>
      </c>
      <c r="O93" s="27" t="str">
        <f t="shared" si="11"/>
        <v/>
      </c>
    </row>
    <row r="94" spans="1:15" x14ac:dyDescent="0.25">
      <c r="A94" s="363"/>
      <c r="B94" s="21"/>
      <c r="C94" s="353"/>
      <c r="D94" s="353"/>
      <c r="E94" s="353"/>
      <c r="F94" s="354"/>
      <c r="G94" s="353"/>
      <c r="H94" s="353"/>
      <c r="I94" s="21"/>
      <c r="J94" s="199"/>
      <c r="K94" s="355"/>
      <c r="L94" s="63">
        <f t="shared" si="8"/>
        <v>0</v>
      </c>
      <c r="M94" s="155" t="str">
        <f t="shared" si="9"/>
        <v/>
      </c>
      <c r="N94" s="63">
        <f t="shared" si="10"/>
        <v>0</v>
      </c>
      <c r="O94" s="27" t="str">
        <f t="shared" si="11"/>
        <v/>
      </c>
    </row>
    <row r="95" spans="1:15" x14ac:dyDescent="0.25">
      <c r="A95" s="363"/>
      <c r="B95" s="21"/>
      <c r="C95" s="353"/>
      <c r="D95" s="353"/>
      <c r="E95" s="353"/>
      <c r="F95" s="354"/>
      <c r="G95" s="353"/>
      <c r="H95" s="353"/>
      <c r="I95" s="21"/>
      <c r="J95" s="199"/>
      <c r="K95" s="355"/>
      <c r="L95" s="63">
        <f t="shared" si="8"/>
        <v>0</v>
      </c>
      <c r="M95" s="155" t="str">
        <f t="shared" si="9"/>
        <v/>
      </c>
      <c r="N95" s="63">
        <f t="shared" si="10"/>
        <v>0</v>
      </c>
      <c r="O95" s="27" t="str">
        <f t="shared" si="11"/>
        <v/>
      </c>
    </row>
    <row r="96" spans="1:15" x14ac:dyDescent="0.25">
      <c r="A96" s="363"/>
      <c r="B96" s="21"/>
      <c r="C96" s="353"/>
      <c r="D96" s="353"/>
      <c r="E96" s="353"/>
      <c r="F96" s="354"/>
      <c r="G96" s="353"/>
      <c r="H96" s="353"/>
      <c r="I96" s="21"/>
      <c r="J96" s="199"/>
      <c r="K96" s="355"/>
      <c r="L96" s="63">
        <f t="shared" si="8"/>
        <v>0</v>
      </c>
      <c r="M96" s="155" t="str">
        <f t="shared" si="9"/>
        <v/>
      </c>
      <c r="N96" s="63">
        <f t="shared" si="10"/>
        <v>0</v>
      </c>
      <c r="O96" s="27" t="str">
        <f t="shared" si="11"/>
        <v/>
      </c>
    </row>
    <row r="97" spans="1:23" x14ac:dyDescent="0.25">
      <c r="A97" s="363"/>
      <c r="B97" s="21"/>
      <c r="C97" s="353"/>
      <c r="D97" s="353"/>
      <c r="E97" s="353"/>
      <c r="F97" s="354"/>
      <c r="G97" s="353"/>
      <c r="H97" s="353"/>
      <c r="I97" s="21"/>
      <c r="J97" s="199"/>
      <c r="K97" s="355"/>
      <c r="L97" s="63">
        <f t="shared" si="8"/>
        <v>0</v>
      </c>
      <c r="M97" s="155" t="str">
        <f t="shared" si="9"/>
        <v/>
      </c>
      <c r="N97" s="63">
        <f t="shared" si="10"/>
        <v>0</v>
      </c>
      <c r="O97" s="27" t="str">
        <f t="shared" si="11"/>
        <v/>
      </c>
    </row>
    <row r="98" spans="1:23" x14ac:dyDescent="0.25">
      <c r="A98" s="363"/>
      <c r="B98" s="21"/>
      <c r="C98" s="353"/>
      <c r="D98" s="353"/>
      <c r="E98" s="353"/>
      <c r="F98" s="354"/>
      <c r="G98" s="353"/>
      <c r="H98" s="353"/>
      <c r="I98" s="21"/>
      <c r="J98" s="199"/>
      <c r="K98" s="355"/>
      <c r="L98" s="63">
        <f t="shared" ref="L98:L103" si="12">IF(I98=0,0,RIGHT(I98,LEN(I98)-SEARCH("/",I98,1)))</f>
        <v>0</v>
      </c>
      <c r="M98" s="155" t="str">
        <f t="shared" ref="M98:M129" si="13">SUBSTITUTE(O98,L98,"")</f>
        <v/>
      </c>
      <c r="N98" s="63">
        <f t="shared" ref="N98:N129" si="14">IF(L98=0,0,ROUND(M98/L98,5)*100)</f>
        <v>0</v>
      </c>
      <c r="O98" s="27" t="str">
        <f t="shared" ref="O98:O103" si="15">SUBSTITUTE(I98,"/","")</f>
        <v/>
      </c>
    </row>
    <row r="99" spans="1:23" x14ac:dyDescent="0.25">
      <c r="A99" s="363"/>
      <c r="B99" s="21"/>
      <c r="C99" s="353"/>
      <c r="D99" s="353"/>
      <c r="E99" s="353"/>
      <c r="F99" s="354"/>
      <c r="G99" s="353"/>
      <c r="H99" s="353"/>
      <c r="I99" s="21"/>
      <c r="J99" s="199"/>
      <c r="K99" s="355"/>
      <c r="L99" s="63">
        <f t="shared" si="12"/>
        <v>0</v>
      </c>
      <c r="M99" s="155" t="str">
        <f t="shared" si="13"/>
        <v/>
      </c>
      <c r="N99" s="63">
        <f t="shared" si="14"/>
        <v>0</v>
      </c>
      <c r="O99" s="27" t="str">
        <f t="shared" si="15"/>
        <v/>
      </c>
    </row>
    <row r="100" spans="1:23" x14ac:dyDescent="0.25">
      <c r="A100" s="363"/>
      <c r="B100" s="21"/>
      <c r="C100" s="353"/>
      <c r="D100" s="353"/>
      <c r="E100" s="353"/>
      <c r="F100" s="354"/>
      <c r="G100" s="353"/>
      <c r="H100" s="353"/>
      <c r="I100" s="21"/>
      <c r="J100" s="199"/>
      <c r="K100" s="355"/>
      <c r="L100" s="63">
        <f t="shared" si="12"/>
        <v>0</v>
      </c>
      <c r="M100" s="155" t="str">
        <f t="shared" si="13"/>
        <v/>
      </c>
      <c r="N100" s="63">
        <f t="shared" si="14"/>
        <v>0</v>
      </c>
      <c r="O100" s="27" t="str">
        <f t="shared" si="15"/>
        <v/>
      </c>
    </row>
    <row r="101" spans="1:23" x14ac:dyDescent="0.25">
      <c r="A101" s="363"/>
      <c r="B101" s="21"/>
      <c r="C101" s="353"/>
      <c r="D101" s="353"/>
      <c r="E101" s="353"/>
      <c r="F101" s="354"/>
      <c r="G101" s="353"/>
      <c r="H101" s="353"/>
      <c r="I101" s="21"/>
      <c r="J101" s="199"/>
      <c r="K101" s="355"/>
      <c r="L101" s="63">
        <f t="shared" si="12"/>
        <v>0</v>
      </c>
      <c r="M101" s="155" t="str">
        <f t="shared" si="13"/>
        <v/>
      </c>
      <c r="N101" s="63">
        <f t="shared" si="14"/>
        <v>0</v>
      </c>
      <c r="O101" s="27" t="str">
        <f t="shared" si="15"/>
        <v/>
      </c>
    </row>
    <row r="102" spans="1:23" x14ac:dyDescent="0.25">
      <c r="A102" s="363"/>
      <c r="B102" s="21"/>
      <c r="C102" s="353"/>
      <c r="D102" s="353"/>
      <c r="E102" s="353"/>
      <c r="F102" s="354"/>
      <c r="G102" s="353"/>
      <c r="H102" s="353"/>
      <c r="I102" s="21"/>
      <c r="J102" s="356"/>
      <c r="K102" s="355"/>
      <c r="L102" s="63">
        <f t="shared" si="12"/>
        <v>0</v>
      </c>
      <c r="M102" s="155" t="str">
        <f t="shared" si="13"/>
        <v/>
      </c>
      <c r="N102" s="63">
        <f t="shared" si="14"/>
        <v>0</v>
      </c>
      <c r="O102" s="27" t="str">
        <f t="shared" si="15"/>
        <v/>
      </c>
    </row>
    <row r="103" spans="1:23" ht="15.95" customHeight="1" x14ac:dyDescent="0.25">
      <c r="A103" s="364"/>
      <c r="B103" s="73"/>
      <c r="C103" s="73"/>
      <c r="D103" s="73"/>
      <c r="E103" s="73"/>
      <c r="F103" s="73"/>
      <c r="G103" s="73"/>
      <c r="H103" s="73"/>
      <c r="I103" s="73"/>
      <c r="J103" s="340"/>
      <c r="K103" s="357"/>
      <c r="L103" s="63">
        <f t="shared" si="12"/>
        <v>0</v>
      </c>
      <c r="M103" s="341" t="str">
        <f t="shared" si="13"/>
        <v/>
      </c>
      <c r="N103" s="63">
        <f t="shared" si="14"/>
        <v>0</v>
      </c>
      <c r="O103" s="27" t="str">
        <f t="shared" si="15"/>
        <v/>
      </c>
    </row>
    <row r="104" spans="1:23" s="212" customFormat="1" ht="15.95" customHeight="1" x14ac:dyDescent="0.25">
      <c r="A104" s="90">
        <f>COUNTA(A2:A103)</f>
        <v>20</v>
      </c>
      <c r="B104" s="90"/>
      <c r="C104" s="358"/>
      <c r="D104" s="358"/>
      <c r="E104" s="358"/>
      <c r="F104" s="358">
        <f>SUM(F2:F103)</f>
        <v>14</v>
      </c>
      <c r="G104" s="359">
        <f>SUM(G2:G103)</f>
        <v>1494.9099999999999</v>
      </c>
      <c r="H104" s="359">
        <f>SUM(H2:H103)</f>
        <v>1036.3599999999999</v>
      </c>
      <c r="I104" s="90"/>
      <c r="J104" s="90"/>
      <c r="K104" s="360"/>
      <c r="L104" s="342">
        <f>SUM(L2:L103)</f>
        <v>0</v>
      </c>
      <c r="M104" s="343"/>
      <c r="N104" s="342">
        <f>SUM(N2:N103)</f>
        <v>104.151</v>
      </c>
      <c r="O104" s="80"/>
      <c r="P104" s="207"/>
      <c r="Q104" s="207"/>
      <c r="R104" s="473"/>
      <c r="S104" s="471"/>
      <c r="T104" s="471"/>
      <c r="V104" s="80"/>
      <c r="W104" s="80"/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y" xr:uid="{00000000-0004-0000-0D00-000000000000}"/>
  </hyperlinks>
  <pageMargins left="0.7" right="0.7" top="0.78740157499999996" bottom="0.78740157499999996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6"/>
  <sheetViews>
    <sheetView topLeftCell="A16" workbookViewId="0">
      <selection activeCell="A17" sqref="A17"/>
    </sheetView>
  </sheetViews>
  <sheetFormatPr defaultColWidth="9.140625" defaultRowHeight="15" x14ac:dyDescent="0.25"/>
  <cols>
    <col min="1" max="1" width="10.140625" style="27" customWidth="1"/>
    <col min="2" max="2" width="5" style="27" customWidth="1"/>
    <col min="3" max="3" width="23.7109375" style="80" customWidth="1"/>
    <col min="4" max="4" width="17.5703125" style="80" customWidth="1"/>
    <col min="5" max="5" width="37" style="80" customWidth="1"/>
    <col min="6" max="6" width="20.140625" style="80" customWidth="1"/>
    <col min="7" max="8" width="4" style="80" customWidth="1"/>
    <col min="9" max="9" width="22.85546875" style="80" customWidth="1"/>
    <col min="10" max="11" width="20.42578125" style="80" customWidth="1"/>
    <col min="12" max="12" width="20" style="80" customWidth="1"/>
    <col min="13" max="13" width="20.28515625" style="80" customWidth="1"/>
    <col min="14" max="14" width="36.42578125" style="80" customWidth="1"/>
    <col min="15" max="15" width="27.140625" style="27" customWidth="1"/>
    <col min="16" max="16" width="22.7109375" style="80" customWidth="1"/>
    <col min="17" max="17" width="22.7109375" style="27" customWidth="1"/>
    <col min="18" max="18" width="24.140625" style="27" customWidth="1"/>
    <col min="19" max="19" width="12.42578125" style="27" customWidth="1"/>
    <col min="20" max="20" width="11.42578125" style="27" customWidth="1"/>
    <col min="21" max="21" width="15.5703125" style="27" customWidth="1"/>
    <col min="22" max="22" width="14.85546875" style="27" customWidth="1"/>
    <col min="23" max="23" width="29.140625" style="27" customWidth="1"/>
    <col min="24" max="24" width="9.140625" style="27"/>
  </cols>
  <sheetData>
    <row r="1" spans="1:24" hidden="1" x14ac:dyDescent="0.25">
      <c r="A1" s="373" t="s">
        <v>454</v>
      </c>
      <c r="B1" s="72" t="s">
        <v>455</v>
      </c>
      <c r="C1" s="72" t="e">
        <f>'vstupní data'!#REF!</f>
        <v>#REF!</v>
      </c>
      <c r="D1" s="72" t="e">
        <f>'vstupní data'!#REF!</f>
        <v>#REF!</v>
      </c>
      <c r="E1" s="72" t="e">
        <f>'vstupní data'!#REF!</f>
        <v>#REF!</v>
      </c>
      <c r="F1" s="72" t="e">
        <f>'vstupní data'!#REF!</f>
        <v>#REF!</v>
      </c>
      <c r="G1" s="72" t="e">
        <f>'vstupní data'!#REF!</f>
        <v>#REF!</v>
      </c>
      <c r="H1" s="72" t="e">
        <f>'vstupní data'!#REF!</f>
        <v>#REF!</v>
      </c>
      <c r="I1" s="72" t="e">
        <f>'vstupní data'!#REF!</f>
        <v>#REF!</v>
      </c>
      <c r="J1" s="72" t="e">
        <f>'vstupní data'!#REF!</f>
        <v>#REF!</v>
      </c>
      <c r="K1" s="72" t="e">
        <f>'vstupní data'!#REF!</f>
        <v>#REF!</v>
      </c>
      <c r="L1" s="72" t="e">
        <f>'vstupní data'!#REF!</f>
        <v>#REF!</v>
      </c>
      <c r="M1" s="72" t="e">
        <f>'vstupní data'!#REF!</f>
        <v>#REF!</v>
      </c>
      <c r="N1" s="72" t="e">
        <f>'vstupní data'!#REF!</f>
        <v>#REF!</v>
      </c>
      <c r="O1" s="81" t="e">
        <f>'vstupní data'!#REF!</f>
        <v>#REF!</v>
      </c>
      <c r="P1" s="72" t="e">
        <f>'vstupní data'!#REF!</f>
        <v>#REF!</v>
      </c>
      <c r="Q1" s="81" t="e">
        <f>'vstupní data'!#REF!</f>
        <v>#REF!</v>
      </c>
      <c r="R1" s="72" t="e">
        <f>'vstupní data'!#REF!</f>
        <v>#REF!</v>
      </c>
      <c r="S1" s="81" t="s">
        <v>456</v>
      </c>
      <c r="T1" s="81" t="s">
        <v>457</v>
      </c>
      <c r="U1" s="81" t="e">
        <f>'vstupní data'!#REF!</f>
        <v>#REF!</v>
      </c>
      <c r="V1" s="81" t="e">
        <f>'vstupní data'!#REF!</f>
        <v>#REF!</v>
      </c>
      <c r="W1" s="72" t="s">
        <v>90</v>
      </c>
    </row>
    <row r="2" spans="1:24" hidden="1" x14ac:dyDescent="0.25">
      <c r="A2" s="425" t="str">
        <f>'Bytové domy'!A2</f>
        <v>Společenství pro dům č.p. 629, Lidická 39</v>
      </c>
      <c r="B2" s="306">
        <f t="shared" ref="B2:B15" si="0">VD_za_rok</f>
        <v>2024</v>
      </c>
      <c r="C2" s="380">
        <v>12423.11</v>
      </c>
      <c r="D2" s="380">
        <v>22886</v>
      </c>
      <c r="E2" s="380">
        <v>2250</v>
      </c>
      <c r="F2" s="380">
        <v>16437</v>
      </c>
      <c r="G2" s="380">
        <v>0</v>
      </c>
      <c r="H2" s="380">
        <v>68956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08">
        <f>SUM(C2:V2)</f>
        <v>122952.11</v>
      </c>
    </row>
    <row r="3" spans="1:24" hidden="1" x14ac:dyDescent="0.25">
      <c r="A3" s="425" t="str">
        <f>'Bytové domy'!A3</f>
        <v>Společenství pro dům Zborovská 939/2, Brno</v>
      </c>
      <c r="B3" s="306">
        <f t="shared" si="0"/>
        <v>2024</v>
      </c>
      <c r="C3" s="380">
        <v>6612.58</v>
      </c>
      <c r="D3" s="380">
        <v>26000</v>
      </c>
      <c r="E3" s="380">
        <v>6766</v>
      </c>
      <c r="F3" s="380">
        <v>18644</v>
      </c>
      <c r="G3" s="82"/>
      <c r="H3" s="380">
        <v>79773</v>
      </c>
      <c r="I3" s="82"/>
      <c r="J3" s="82"/>
      <c r="K3" s="82"/>
      <c r="L3" s="82"/>
      <c r="M3" s="380">
        <f>2280*12</f>
        <v>27360</v>
      </c>
      <c r="N3" s="82"/>
      <c r="O3" s="380">
        <v>44839</v>
      </c>
      <c r="P3" s="82"/>
      <c r="Q3" s="82"/>
      <c r="R3" s="82"/>
      <c r="S3" s="82"/>
      <c r="T3" s="82"/>
      <c r="U3" s="82"/>
      <c r="V3" s="82"/>
      <c r="W3" s="308">
        <f>SUM(C3:V3)</f>
        <v>209994.58000000002</v>
      </c>
    </row>
    <row r="4" spans="1:24" hidden="1" x14ac:dyDescent="0.25">
      <c r="A4" s="425" t="str">
        <f>'Bytové domy'!A4</f>
        <v>Společenství vlastníků domu Provazníkova č. p. 1655, obec Brno</v>
      </c>
      <c r="B4" s="306">
        <f t="shared" si="0"/>
        <v>2024</v>
      </c>
      <c r="C4" s="380">
        <v>29932.15</v>
      </c>
      <c r="D4" s="380">
        <v>36360</v>
      </c>
      <c r="E4" s="82"/>
      <c r="F4" s="380">
        <v>18434</v>
      </c>
      <c r="G4" s="82"/>
      <c r="H4" s="308">
        <f>I31</f>
        <v>0</v>
      </c>
      <c r="I4" s="82"/>
      <c r="J4" s="82"/>
      <c r="K4" s="82"/>
      <c r="L4" s="380">
        <v>333447.09000000003</v>
      </c>
      <c r="M4" s="380">
        <v>51480</v>
      </c>
      <c r="N4" s="380">
        <v>16514</v>
      </c>
      <c r="O4" s="82"/>
      <c r="P4" s="308">
        <f>O27</f>
        <v>2260.06</v>
      </c>
      <c r="Q4" s="308">
        <f>O26</f>
        <v>2260.06</v>
      </c>
      <c r="R4" s="82"/>
      <c r="S4" s="82"/>
      <c r="T4" s="82"/>
      <c r="U4" s="82"/>
      <c r="V4" s="82"/>
      <c r="W4" s="308">
        <f>SUM(C4:V4)</f>
        <v>490687.36</v>
      </c>
    </row>
    <row r="5" spans="1:24" hidden="1" x14ac:dyDescent="0.25">
      <c r="A5" s="425" t="str">
        <f>'Bytové domy'!A5</f>
        <v>Společenství vlastníků domu Uzbecká 4, Brno</v>
      </c>
      <c r="B5" s="306">
        <f t="shared" si="0"/>
        <v>2024</v>
      </c>
      <c r="C5" s="380">
        <f>2349.67+3759.85</f>
        <v>6109.52</v>
      </c>
      <c r="D5" s="380">
        <v>13858</v>
      </c>
      <c r="E5" s="82"/>
      <c r="F5" s="82"/>
      <c r="G5" s="82"/>
      <c r="H5" s="308">
        <f>D20</f>
        <v>98157</v>
      </c>
      <c r="I5" s="308">
        <f>E20</f>
        <v>0</v>
      </c>
      <c r="J5" s="308">
        <f>F24*1.15</f>
        <v>39696.50499999999</v>
      </c>
      <c r="K5" s="308">
        <f>F25*1.15</f>
        <v>92625.864499999981</v>
      </c>
      <c r="L5" s="380" t="s">
        <v>458</v>
      </c>
      <c r="M5" s="380">
        <f>16*120*12</f>
        <v>23040</v>
      </c>
      <c r="N5" s="82"/>
      <c r="O5" s="82"/>
      <c r="P5" s="82"/>
      <c r="Q5" s="82"/>
      <c r="R5" s="82"/>
      <c r="S5" s="82"/>
      <c r="T5" s="82"/>
      <c r="U5" s="82"/>
      <c r="V5" s="82"/>
      <c r="W5" s="308">
        <f>IFERROR(SUM(C5:V5),0)</f>
        <v>273486.88949999999</v>
      </c>
    </row>
    <row r="6" spans="1:24" hidden="1" x14ac:dyDescent="0.25">
      <c r="A6" s="425" t="str">
        <f>'Bytové domy'!A6</f>
        <v>Společenství vlastníků jednotek Brno, Stojanova 368/4</v>
      </c>
      <c r="B6" s="306">
        <f t="shared" si="0"/>
        <v>2024</v>
      </c>
      <c r="C6" s="380">
        <v>3806.08</v>
      </c>
      <c r="D6" s="380">
        <v>14160</v>
      </c>
      <c r="E6" s="82"/>
      <c r="F6" s="380">
        <v>18487.3</v>
      </c>
      <c r="G6" s="82"/>
      <c r="H6" s="308">
        <f>C38</f>
        <v>106211.71</v>
      </c>
      <c r="I6" s="308">
        <f>D48</f>
        <v>29501.41</v>
      </c>
      <c r="J6" s="308">
        <f>F43</f>
        <v>24363.25</v>
      </c>
      <c r="K6" s="308">
        <f>F44</f>
        <v>56847.59</v>
      </c>
      <c r="L6" s="380">
        <v>118041.22</v>
      </c>
      <c r="M6" s="380">
        <v>28880</v>
      </c>
      <c r="N6" s="380">
        <v>16446</v>
      </c>
      <c r="O6" s="82"/>
      <c r="P6" s="82"/>
      <c r="Q6" s="82"/>
      <c r="R6" s="380">
        <v>28800</v>
      </c>
      <c r="S6" s="82"/>
      <c r="T6" s="82"/>
      <c r="U6" s="82"/>
      <c r="V6" s="380">
        <f>3600+4102</f>
        <v>7702</v>
      </c>
      <c r="W6" s="308">
        <f>SUM(C6:V6)-J6-K6</f>
        <v>372035.72000000009</v>
      </c>
    </row>
    <row r="7" spans="1:24" hidden="1" x14ac:dyDescent="0.25">
      <c r="A7" s="425" t="str">
        <f>'Bytové domy'!A7</f>
        <v>Společenství vlastníků jednotek domu Zborovská 32, 34, č. p. 2080, 2081, Brno</v>
      </c>
      <c r="B7" s="306">
        <f t="shared" si="0"/>
        <v>2024</v>
      </c>
      <c r="C7" s="380">
        <v>10065.219999999999</v>
      </c>
      <c r="D7" s="380">
        <v>19440</v>
      </c>
      <c r="E7" s="82"/>
      <c r="F7" s="82"/>
      <c r="G7" s="82"/>
      <c r="H7" s="380">
        <v>58696.09</v>
      </c>
      <c r="I7" s="380">
        <v>31197.38</v>
      </c>
      <c r="J7" s="267"/>
      <c r="K7" s="267"/>
      <c r="L7" s="380">
        <v>46796.07</v>
      </c>
      <c r="M7" s="380">
        <v>31680</v>
      </c>
      <c r="N7" s="380">
        <v>0</v>
      </c>
      <c r="O7" s="82"/>
      <c r="P7" s="82"/>
      <c r="Q7" s="82"/>
      <c r="R7" s="82"/>
      <c r="S7" s="82"/>
      <c r="T7" s="82"/>
      <c r="U7" s="82"/>
      <c r="V7" s="82"/>
      <c r="W7" s="308">
        <f>SUM(C7:V7)-J7-K7</f>
        <v>197874.76</v>
      </c>
    </row>
    <row r="8" spans="1:24" hidden="1" x14ac:dyDescent="0.25">
      <c r="A8" s="426" t="str">
        <f>'Bytové domy'!A8</f>
        <v>Společenství vlastníků jednotek pro dům Kotlářská 23, Brno</v>
      </c>
      <c r="B8" s="307">
        <f t="shared" si="0"/>
        <v>2024</v>
      </c>
      <c r="C8" s="381">
        <v>9421.24</v>
      </c>
      <c r="D8" s="381">
        <v>84399</v>
      </c>
      <c r="E8" s="269"/>
      <c r="F8" s="381">
        <v>9427.73</v>
      </c>
      <c r="G8" s="269"/>
      <c r="H8" s="381">
        <v>135028.97</v>
      </c>
      <c r="I8" s="381">
        <v>54399.99</v>
      </c>
      <c r="J8" s="381">
        <v>341476.35</v>
      </c>
      <c r="K8" s="268"/>
      <c r="L8" s="381">
        <v>279864</v>
      </c>
      <c r="M8" s="381">
        <v>97440</v>
      </c>
      <c r="N8" s="381">
        <v>32756</v>
      </c>
      <c r="O8" s="269"/>
      <c r="P8" s="269"/>
      <c r="Q8" s="269"/>
      <c r="R8" s="381">
        <f>48029+12006</f>
        <v>60035</v>
      </c>
      <c r="S8" s="382">
        <v>0</v>
      </c>
      <c r="T8" s="382">
        <v>0</v>
      </c>
      <c r="U8" s="382">
        <v>252684.53</v>
      </c>
      <c r="V8" s="382">
        <v>62534</v>
      </c>
      <c r="W8" s="330">
        <f>SUM(C8:V8)</f>
        <v>1419466.81</v>
      </c>
    </row>
    <row r="9" spans="1:24" s="219" customFormat="1" hidden="1" x14ac:dyDescent="0.25">
      <c r="A9" s="425" t="str">
        <f>'Bytové domy'!A9</f>
        <v>Společenství vlastníků jednotek Vídeňská 842/34, Brno</v>
      </c>
      <c r="B9" s="307">
        <f t="shared" si="0"/>
        <v>2024</v>
      </c>
      <c r="C9" s="380">
        <v>2640.96</v>
      </c>
      <c r="D9" s="380">
        <v>14400</v>
      </c>
      <c r="E9" s="82"/>
      <c r="F9" s="380">
        <v>12624</v>
      </c>
      <c r="G9" s="82"/>
      <c r="H9" s="380">
        <v>122155.55</v>
      </c>
      <c r="I9" s="380">
        <v>98648.23</v>
      </c>
      <c r="J9" s="380">
        <v>102254.65</v>
      </c>
      <c r="K9" s="267"/>
      <c r="L9" s="380">
        <v>148507.57</v>
      </c>
      <c r="M9" s="380">
        <v>31200</v>
      </c>
      <c r="N9" s="380">
        <v>4504</v>
      </c>
      <c r="O9" s="380">
        <v>13920</v>
      </c>
      <c r="P9" s="82"/>
      <c r="Q9" s="82"/>
      <c r="R9" s="82"/>
      <c r="S9" s="386">
        <v>672000</v>
      </c>
      <c r="T9" s="383">
        <v>0</v>
      </c>
      <c r="U9" s="82"/>
      <c r="V9" s="82"/>
      <c r="W9" s="308">
        <f>SUM(C9:V9)-J9-K9</f>
        <v>1120600.31</v>
      </c>
      <c r="X9" s="155"/>
    </row>
    <row r="10" spans="1:24" s="219" customFormat="1" hidden="1" x14ac:dyDescent="0.25">
      <c r="A10" s="425" t="str">
        <f>'Bytové domy'!A10</f>
        <v>Společenství vlastníků Kotlářská 38, Brno</v>
      </c>
      <c r="B10" s="307">
        <f t="shared" si="0"/>
        <v>2024</v>
      </c>
      <c r="C10" s="380">
        <v>61059.44</v>
      </c>
      <c r="D10" s="380">
        <v>14400</v>
      </c>
      <c r="E10" s="82"/>
      <c r="F10" s="380">
        <v>11674.02</v>
      </c>
      <c r="G10" s="82"/>
      <c r="H10" s="79">
        <v>70272.479999999996</v>
      </c>
      <c r="I10" s="79">
        <v>44699.56</v>
      </c>
      <c r="J10" s="79">
        <v>102251.44</v>
      </c>
      <c r="K10" s="267"/>
      <c r="L10" s="79">
        <v>153377.47</v>
      </c>
      <c r="M10" s="79">
        <f>2600*3+9*110*20</f>
        <v>27600</v>
      </c>
      <c r="N10" s="79">
        <v>4504</v>
      </c>
      <c r="O10" s="79">
        <v>14400</v>
      </c>
      <c r="P10" s="82"/>
      <c r="Q10" s="82"/>
      <c r="R10" s="82"/>
      <c r="S10" s="270">
        <v>0</v>
      </c>
      <c r="T10" s="270">
        <v>0</v>
      </c>
      <c r="U10" s="82"/>
      <c r="V10" s="82"/>
      <c r="W10" s="79">
        <f>SUM(C10:V10)-J10-K10</f>
        <v>401986.97000000003</v>
      </c>
      <c r="X10" s="155"/>
    </row>
    <row r="11" spans="1:24" hidden="1" x14ac:dyDescent="0.25">
      <c r="A11" s="425" t="str">
        <f>'Bytové domy'!A11</f>
        <v>Společenství vlastníků Listnatá 4, Lišejníková 3, Brno</v>
      </c>
      <c r="B11" s="307">
        <f t="shared" si="0"/>
        <v>2024</v>
      </c>
      <c r="C11" s="380">
        <v>115521</v>
      </c>
      <c r="D11" s="380">
        <v>45000</v>
      </c>
      <c r="E11" s="380">
        <v>47768</v>
      </c>
      <c r="F11" s="380">
        <v>6027</v>
      </c>
      <c r="G11" s="82"/>
      <c r="H11" s="380">
        <v>127870.02</v>
      </c>
      <c r="I11" s="380">
        <v>181127</v>
      </c>
      <c r="J11" s="79"/>
      <c r="K11" s="267"/>
      <c r="L11" s="380">
        <v>271690</v>
      </c>
      <c r="M11" s="380">
        <v>44330</v>
      </c>
      <c r="N11" s="380">
        <v>25534</v>
      </c>
      <c r="O11" s="380"/>
      <c r="P11" s="82"/>
      <c r="Q11" s="82"/>
      <c r="R11" s="82"/>
      <c r="S11" s="386">
        <v>62400</v>
      </c>
      <c r="T11" s="386">
        <v>22039</v>
      </c>
      <c r="U11" s="383">
        <v>4219</v>
      </c>
      <c r="V11" s="383">
        <v>595</v>
      </c>
      <c r="W11" s="308">
        <f>SUM(C11:V11)-J10-K10</f>
        <v>851868.58000000007</v>
      </c>
    </row>
    <row r="12" spans="1:24" hidden="1" x14ac:dyDescent="0.25">
      <c r="A12" s="425" t="str">
        <f>'Bytové domy'!A12</f>
        <v>Společenství vlastníků Mikšíčkova 20, Brno - společenství vlastníků</v>
      </c>
      <c r="B12" s="307">
        <f t="shared" si="0"/>
        <v>2024</v>
      </c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5"/>
      <c r="S12" s="335"/>
      <c r="T12" s="335"/>
      <c r="U12" s="335"/>
      <c r="V12" s="335"/>
      <c r="W12" s="335"/>
    </row>
    <row r="13" spans="1:24" hidden="1" x14ac:dyDescent="0.25">
      <c r="A13" s="425" t="str">
        <f>'Bytové domy'!A13</f>
        <v>Společenství vlastníků pro dům Neptun</v>
      </c>
      <c r="B13" s="428">
        <f t="shared" si="0"/>
        <v>2024</v>
      </c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</row>
    <row r="14" spans="1:24" hidden="1" x14ac:dyDescent="0.25">
      <c r="A14" s="425" t="str">
        <f>'Bytové domy'!A14</f>
        <v>Společenství vlastníků pro dům Poříčí 615/13 v Brně</v>
      </c>
      <c r="B14" s="428">
        <f t="shared" si="0"/>
        <v>2024</v>
      </c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</row>
    <row r="15" spans="1:24" hidden="1" x14ac:dyDescent="0.25">
      <c r="A15" s="425" t="str">
        <f>'Bytové domy'!A15</f>
        <v>Společenství vlastníků U Leskavy 26-E, Brno</v>
      </c>
      <c r="B15" s="428">
        <f t="shared" si="0"/>
        <v>2024</v>
      </c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</row>
    <row r="16" spans="1:24" s="212" customFormat="1" ht="15.75" customHeight="1" x14ac:dyDescent="0.25">
      <c r="A16" s="80">
        <v>1</v>
      </c>
      <c r="B16" s="80">
        <v>2</v>
      </c>
      <c r="C16" s="80">
        <v>3</v>
      </c>
      <c r="D16" s="80">
        <v>4</v>
      </c>
      <c r="E16" s="80">
        <v>5</v>
      </c>
      <c r="F16" s="80">
        <v>6</v>
      </c>
      <c r="G16" s="80">
        <v>7</v>
      </c>
      <c r="H16" s="80">
        <v>8</v>
      </c>
      <c r="I16" s="80">
        <v>9</v>
      </c>
      <c r="J16" s="80">
        <v>10</v>
      </c>
      <c r="K16" s="80">
        <v>11</v>
      </c>
      <c r="L16" s="80">
        <v>12</v>
      </c>
      <c r="M16" s="80">
        <v>13</v>
      </c>
      <c r="N16" s="80">
        <v>14</v>
      </c>
      <c r="O16" s="80">
        <v>15</v>
      </c>
      <c r="P16" s="80">
        <v>16</v>
      </c>
      <c r="Q16" s="80">
        <v>17</v>
      </c>
      <c r="R16" s="80">
        <v>18</v>
      </c>
      <c r="S16" s="80">
        <v>19</v>
      </c>
      <c r="T16" s="80">
        <v>20</v>
      </c>
      <c r="U16" s="80">
        <v>21</v>
      </c>
      <c r="V16" s="80">
        <v>22</v>
      </c>
      <c r="W16" s="80">
        <v>23</v>
      </c>
    </row>
    <row r="17" spans="1:19" ht="21" customHeight="1" x14ac:dyDescent="0.35">
      <c r="A17" s="586" t="s">
        <v>54</v>
      </c>
      <c r="B17" s="2"/>
      <c r="C17" s="773" t="str">
        <f>("Zborovská 32 a 34 rozpočítání vody "&amp;'vstupní data'!B12&amp;"")</f>
        <v>Zborovská 32 a 34 rozpočítání vody 2024</v>
      </c>
      <c r="D17" s="774"/>
      <c r="E17" s="774"/>
      <c r="F17" s="775"/>
      <c r="I17" s="790" t="s">
        <v>459</v>
      </c>
      <c r="J17" s="791"/>
      <c r="K17" s="791"/>
      <c r="L17" s="791"/>
      <c r="M17" s="792"/>
      <c r="N17" s="399" t="s">
        <v>460</v>
      </c>
      <c r="P17" s="172"/>
      <c r="Q17" s="80"/>
      <c r="S17" s="80"/>
    </row>
    <row r="18" spans="1:19" x14ac:dyDescent="0.25">
      <c r="A18" s="2"/>
      <c r="B18" s="2"/>
      <c r="C18" s="193" t="s">
        <v>461</v>
      </c>
      <c r="D18" s="88" t="s">
        <v>462</v>
      </c>
      <c r="E18" s="88" t="s">
        <v>463</v>
      </c>
      <c r="F18" s="218" t="s">
        <v>464</v>
      </c>
      <c r="I18" s="220" t="s">
        <v>465</v>
      </c>
      <c r="J18" s="191" t="s">
        <v>466</v>
      </c>
      <c r="K18" s="191" t="s">
        <v>467</v>
      </c>
      <c r="L18" s="191" t="s">
        <v>139</v>
      </c>
      <c r="M18" s="221" t="s">
        <v>468</v>
      </c>
      <c r="N18" s="563">
        <f>51098+43449+13973</f>
        <v>108520</v>
      </c>
      <c r="Q18" s="80"/>
      <c r="S18" s="80"/>
    </row>
    <row r="19" spans="1:19" x14ac:dyDescent="0.25">
      <c r="A19" s="2"/>
      <c r="B19" s="2"/>
      <c r="C19" s="456">
        <v>98157</v>
      </c>
      <c r="D19" s="519">
        <f>'Vodoměry SV'!I104</f>
        <v>146.67899999999997</v>
      </c>
      <c r="E19" s="519">
        <f>'Vodoměry TUV'!I115</f>
        <v>0</v>
      </c>
      <c r="F19" s="520">
        <f>D19+E19</f>
        <v>146.67899999999997</v>
      </c>
      <c r="I19" s="222" t="s">
        <v>469</v>
      </c>
      <c r="J19" s="559">
        <v>9.8230000000000004</v>
      </c>
      <c r="K19" s="559">
        <v>10.247999999999999</v>
      </c>
      <c r="L19" s="560">
        <f>K19-J19</f>
        <v>0.42499999999999893</v>
      </c>
      <c r="M19" s="561">
        <f>L19</f>
        <v>0.42499999999999893</v>
      </c>
      <c r="N19" s="80" t="s">
        <v>470</v>
      </c>
    </row>
    <row r="20" spans="1:19" x14ac:dyDescent="0.25">
      <c r="A20" s="2"/>
      <c r="B20" s="2"/>
      <c r="C20" s="795" t="s">
        <v>471</v>
      </c>
      <c r="D20" s="521">
        <f>ROUND(D19/$F$19*$C$19,2)</f>
        <v>98157</v>
      </c>
      <c r="E20" s="521">
        <f>ROUND(E19/$F$19*$C$19,2)</f>
        <v>0</v>
      </c>
      <c r="F20" s="194"/>
      <c r="I20" s="222" t="s">
        <v>472</v>
      </c>
      <c r="J20" s="559" t="s">
        <v>473</v>
      </c>
      <c r="K20" s="559" t="s">
        <v>473</v>
      </c>
      <c r="L20" s="560">
        <v>1064</v>
      </c>
      <c r="M20" s="561">
        <f>'faktury za služby'!L20-'Vodoměry SV'!I104</f>
        <v>917.32100000000003</v>
      </c>
      <c r="N20" s="400">
        <f>N18-Faktury!E10</f>
        <v>108520</v>
      </c>
    </row>
    <row r="21" spans="1:19" ht="15.75" customHeight="1" x14ac:dyDescent="0.25">
      <c r="A21" s="2"/>
      <c r="B21" s="2"/>
      <c r="C21" s="795"/>
      <c r="F21" s="194"/>
      <c r="I21" s="793" t="s">
        <v>474</v>
      </c>
      <c r="J21" s="794"/>
      <c r="K21" s="794"/>
      <c r="L21" s="794"/>
      <c r="M21" s="562">
        <f>M20</f>
        <v>917.32100000000003</v>
      </c>
    </row>
    <row r="22" spans="1:19" x14ac:dyDescent="0.25">
      <c r="A22" s="2"/>
      <c r="B22" s="2"/>
      <c r="C22" s="776" t="s">
        <v>475</v>
      </c>
      <c r="D22" s="777"/>
      <c r="E22" s="777"/>
      <c r="F22" s="778"/>
    </row>
    <row r="23" spans="1:19" ht="15.75" customHeight="1" x14ac:dyDescent="0.25">
      <c r="A23" s="70"/>
      <c r="B23" s="70"/>
      <c r="C23" s="195"/>
      <c r="D23" s="88" t="s">
        <v>476</v>
      </c>
      <c r="E23" s="88" t="s">
        <v>477</v>
      </c>
      <c r="F23" s="80" t="s">
        <v>478</v>
      </c>
    </row>
    <row r="24" spans="1:19" x14ac:dyDescent="0.25">
      <c r="A24" s="70"/>
      <c r="B24" s="70"/>
      <c r="C24" s="522" t="s">
        <v>479</v>
      </c>
      <c r="D24" s="453">
        <f>25220.68+6159.96</f>
        <v>31380.639999999999</v>
      </c>
      <c r="E24" s="88">
        <v>10</v>
      </c>
      <c r="F24" s="524">
        <f>ROUND(D24*(E24/100+1),2)</f>
        <v>34518.699999999997</v>
      </c>
      <c r="I24" s="790" t="s">
        <v>480</v>
      </c>
      <c r="J24" s="791"/>
      <c r="K24" s="791"/>
      <c r="L24" s="791"/>
      <c r="M24" s="791"/>
      <c r="N24" s="791"/>
      <c r="O24" s="792"/>
    </row>
    <row r="25" spans="1:19" x14ac:dyDescent="0.25">
      <c r="A25" s="70"/>
      <c r="B25" s="70"/>
      <c r="C25" s="523" t="s">
        <v>481</v>
      </c>
      <c r="D25" s="453">
        <v>73222.03</v>
      </c>
      <c r="E25" s="88">
        <v>10</v>
      </c>
      <c r="F25" s="524">
        <f>ROUND(D25*(E25/100+1),2)</f>
        <v>80544.23</v>
      </c>
      <c r="I25" s="447"/>
      <c r="J25" s="448" t="s">
        <v>482</v>
      </c>
      <c r="K25" s="448" t="s">
        <v>483</v>
      </c>
      <c r="L25" s="449" t="s">
        <v>484</v>
      </c>
      <c r="M25" s="448" t="s">
        <v>485</v>
      </c>
      <c r="N25" s="448" t="s">
        <v>486</v>
      </c>
      <c r="O25" s="450" t="s">
        <v>487</v>
      </c>
    </row>
    <row r="26" spans="1:19" ht="15" customHeight="1" x14ac:dyDescent="0.25">
      <c r="A26" s="70"/>
      <c r="B26" s="70"/>
      <c r="C26" s="770" t="s">
        <v>488</v>
      </c>
      <c r="D26" s="771"/>
      <c r="E26" s="771"/>
      <c r="F26" s="772"/>
      <c r="I26" s="451" t="s">
        <v>489</v>
      </c>
      <c r="J26" s="515">
        <f>Faktury!G4</f>
        <v>19.739999999999998</v>
      </c>
      <c r="K26" s="515">
        <f>Faktury!G11</f>
        <v>2240.3200000000002</v>
      </c>
      <c r="L26" s="509">
        <v>3.75</v>
      </c>
      <c r="M26" s="515">
        <f>Faktury!E12*L26/100</f>
        <v>0</v>
      </c>
      <c r="N26" s="310">
        <v>0</v>
      </c>
      <c r="O26" s="517">
        <f>K26+M26+N26+J26</f>
        <v>2260.06</v>
      </c>
    </row>
    <row r="27" spans="1:19" ht="15.75" customHeight="1" x14ac:dyDescent="0.25">
      <c r="A27" s="70"/>
      <c r="B27" s="70"/>
      <c r="C27" s="770"/>
      <c r="D27" s="771"/>
      <c r="E27" s="771"/>
      <c r="F27" s="772"/>
      <c r="I27" s="452" t="s">
        <v>490</v>
      </c>
      <c r="J27" s="516">
        <f>Faktury!G4</f>
        <v>19.739999999999998</v>
      </c>
      <c r="K27" s="516">
        <f>Faktury!G11</f>
        <v>2240.3200000000002</v>
      </c>
      <c r="L27" s="526">
        <v>8.6300000000000008</v>
      </c>
      <c r="M27" s="516">
        <f>Faktury!E12*L27/100</f>
        <v>0</v>
      </c>
      <c r="N27" s="311">
        <v>0</v>
      </c>
      <c r="O27" s="518">
        <f>K27+M27+N27+J27</f>
        <v>2260.06</v>
      </c>
    </row>
    <row r="28" spans="1:19" ht="15.75" customHeight="1" x14ac:dyDescent="0.25">
      <c r="A28" s="70"/>
      <c r="B28" s="70"/>
      <c r="C28" s="195"/>
      <c r="F28" s="194"/>
      <c r="O28" s="2"/>
    </row>
    <row r="29" spans="1:19" x14ac:dyDescent="0.25">
      <c r="C29" s="195"/>
      <c r="F29" s="194"/>
      <c r="I29" s="773" t="s">
        <v>491</v>
      </c>
      <c r="J29" s="774"/>
      <c r="K29" s="774"/>
      <c r="L29" s="775"/>
      <c r="O29" s="2"/>
    </row>
    <row r="30" spans="1:19" x14ac:dyDescent="0.25">
      <c r="C30" s="195"/>
      <c r="F30" s="194"/>
      <c r="I30" s="193" t="s">
        <v>461</v>
      </c>
      <c r="J30" s="88" t="s">
        <v>462</v>
      </c>
      <c r="K30" s="88" t="s">
        <v>463</v>
      </c>
      <c r="L30" s="218" t="s">
        <v>464</v>
      </c>
      <c r="O30" s="2"/>
    </row>
    <row r="31" spans="1:19" x14ac:dyDescent="0.25">
      <c r="C31" s="195"/>
      <c r="F31" s="194"/>
      <c r="I31" s="309"/>
      <c r="J31" s="453">
        <f>'Vodoměry SV'!I123</f>
        <v>0</v>
      </c>
      <c r="K31" s="453">
        <f>'Vodoměry TUV'!I123</f>
        <v>0</v>
      </c>
      <c r="L31" s="454">
        <f>J31+K31</f>
        <v>0</v>
      </c>
      <c r="O31" s="2"/>
    </row>
    <row r="32" spans="1:19" x14ac:dyDescent="0.25">
      <c r="C32" s="195"/>
      <c r="F32" s="194"/>
      <c r="I32" s="195"/>
      <c r="J32" s="453">
        <f>J31/$F$38*$C$38</f>
        <v>0</v>
      </c>
      <c r="K32" s="453">
        <f>K31/$F$38*$C$38</f>
        <v>0</v>
      </c>
      <c r="L32" s="194"/>
      <c r="O32" s="2"/>
    </row>
    <row r="34" spans="3:15" ht="15.75" customHeight="1" x14ac:dyDescent="0.25">
      <c r="C34" s="196"/>
      <c r="D34" s="197"/>
      <c r="E34" s="197"/>
      <c r="F34" s="198"/>
      <c r="I34" s="784" t="str">
        <f>("Faktury zaplacané za rok "&amp;'vstupní data'!B12&amp;"")</f>
        <v>Faktury zaplacané za rok 2024</v>
      </c>
      <c r="J34" s="785"/>
      <c r="K34" s="785"/>
      <c r="L34" s="786"/>
    </row>
    <row r="35" spans="3:15" ht="15.75" customHeight="1" x14ac:dyDescent="0.25">
      <c r="I35" s="195" t="s">
        <v>492</v>
      </c>
      <c r="J35" s="377">
        <v>153503</v>
      </c>
      <c r="K35" s="779" t="s">
        <v>493</v>
      </c>
      <c r="L35" s="780"/>
    </row>
    <row r="36" spans="3:15" ht="15.75" customHeight="1" x14ac:dyDescent="0.25">
      <c r="C36" s="773" t="str">
        <f>("Kotlářská 38 "&amp;'vstupní data'!B12&amp;"")</f>
        <v>Kotlářská 38 2024</v>
      </c>
      <c r="D36" s="774"/>
      <c r="E36" s="774"/>
      <c r="F36" s="775"/>
      <c r="I36" s="196"/>
      <c r="J36" s="378"/>
      <c r="K36" s="379"/>
      <c r="L36" s="198"/>
    </row>
    <row r="37" spans="3:15" ht="15.75" customHeight="1" x14ac:dyDescent="0.25">
      <c r="C37" s="193" t="s">
        <v>494</v>
      </c>
      <c r="D37" s="88" t="s">
        <v>462</v>
      </c>
      <c r="E37" s="88" t="s">
        <v>463</v>
      </c>
      <c r="F37" s="218" t="s">
        <v>464</v>
      </c>
    </row>
    <row r="38" spans="3:15" x14ac:dyDescent="0.25">
      <c r="C38" s="455">
        <f>SUM(D42:D47)</f>
        <v>106211.71</v>
      </c>
      <c r="D38" s="519">
        <f>'Vodoměry SV'!I104</f>
        <v>146.67899999999997</v>
      </c>
      <c r="E38" s="519">
        <f>'Vodoměry TUV'!I115</f>
        <v>0</v>
      </c>
      <c r="F38" s="520">
        <f>D38+E38</f>
        <v>146.67899999999997</v>
      </c>
      <c r="I38" s="781" t="s">
        <v>495</v>
      </c>
      <c r="J38" s="782"/>
      <c r="K38" s="782"/>
      <c r="L38" s="782"/>
      <c r="M38" s="782"/>
      <c r="N38" s="783"/>
    </row>
    <row r="39" spans="3:15" x14ac:dyDescent="0.25">
      <c r="C39" s="195"/>
      <c r="D39" s="519">
        <f>D38/$F$38*$C$38</f>
        <v>106211.71</v>
      </c>
      <c r="E39" s="519">
        <f>E38/$F$38*$C$38</f>
        <v>0</v>
      </c>
      <c r="F39" s="194"/>
      <c r="I39" s="253" t="s">
        <v>496</v>
      </c>
      <c r="J39" s="511">
        <v>868</v>
      </c>
      <c r="K39" s="251" t="s">
        <v>497</v>
      </c>
      <c r="L39" s="252"/>
      <c r="M39" s="251" t="s">
        <v>498</v>
      </c>
      <c r="N39" s="254"/>
      <c r="O39" s="334" t="s">
        <v>499</v>
      </c>
    </row>
    <row r="40" spans="3:15" ht="15.75" customHeight="1" x14ac:dyDescent="0.25">
      <c r="C40" s="195"/>
      <c r="F40" s="194"/>
      <c r="I40" s="255" t="s">
        <v>500</v>
      </c>
      <c r="J40" s="443">
        <f>'Vodoměry SV'!I104</f>
        <v>146.67899999999997</v>
      </c>
      <c r="K40" s="444">
        <f>J40*1.05</f>
        <v>154.01294999999999</v>
      </c>
      <c r="L40" s="256"/>
      <c r="M40" s="512">
        <f>J39-K40</f>
        <v>713.98704999999995</v>
      </c>
      <c r="N40" s="257"/>
    </row>
    <row r="41" spans="3:15" ht="15.75" customHeight="1" x14ac:dyDescent="0.25">
      <c r="C41" s="776" t="e">
        <f>("Faktury zaplacané za rok "&amp;'vstupní data'!#REF!&amp;"")</f>
        <v>#REF!</v>
      </c>
      <c r="D41" s="777"/>
      <c r="E41" s="777"/>
      <c r="F41" s="778"/>
      <c r="I41" s="255" t="s">
        <v>501</v>
      </c>
      <c r="J41" s="513">
        <v>88529</v>
      </c>
      <c r="K41" s="34" t="s">
        <v>502</v>
      </c>
      <c r="L41" s="212"/>
      <c r="M41" s="212"/>
      <c r="N41" s="5"/>
      <c r="O41" s="334" t="s">
        <v>499</v>
      </c>
    </row>
    <row r="42" spans="3:15" x14ac:dyDescent="0.25">
      <c r="C42" s="195" t="s">
        <v>492</v>
      </c>
      <c r="D42" s="398">
        <v>106211.71</v>
      </c>
      <c r="E42" s="779" t="s">
        <v>493</v>
      </c>
      <c r="F42" s="780"/>
      <c r="I42" s="201" t="s">
        <v>503</v>
      </c>
      <c r="J42" s="445">
        <f>'Počet osob'!W29</f>
        <v>75347.329999999987</v>
      </c>
      <c r="K42" s="211"/>
    </row>
    <row r="43" spans="3:15" x14ac:dyDescent="0.25">
      <c r="C43" s="195"/>
      <c r="E43" s="27" t="s">
        <v>504</v>
      </c>
      <c r="F43" s="525">
        <f>ROUND(F45*0.3,2)</f>
        <v>24363.25</v>
      </c>
      <c r="I43" s="201" t="s">
        <v>505</v>
      </c>
      <c r="J43" s="446">
        <f>J41-J42</f>
        <v>13181.670000000013</v>
      </c>
    </row>
    <row r="44" spans="3:15" x14ac:dyDescent="0.25">
      <c r="C44" s="195"/>
      <c r="E44" s="27" t="s">
        <v>506</v>
      </c>
      <c r="F44" s="525">
        <f>ROUND(F45*0.7,2)</f>
        <v>56847.59</v>
      </c>
      <c r="I44" s="201" t="s">
        <v>507</v>
      </c>
      <c r="J44" s="445">
        <f>J43+J42</f>
        <v>88529</v>
      </c>
    </row>
    <row r="45" spans="3:15" ht="15.75" customHeight="1" x14ac:dyDescent="0.25">
      <c r="C45" s="195"/>
      <c r="E45" s="80" t="s">
        <v>464</v>
      </c>
      <c r="F45" s="525">
        <f>ROUND(70618.12*1.15,2)</f>
        <v>81210.84</v>
      </c>
      <c r="I45" s="202" t="s">
        <v>464</v>
      </c>
      <c r="J45" s="514">
        <f>J41</f>
        <v>88529</v>
      </c>
    </row>
    <row r="46" spans="3:15" x14ac:dyDescent="0.25">
      <c r="C46" s="195"/>
      <c r="F46" s="258" t="s">
        <v>508</v>
      </c>
    </row>
    <row r="47" spans="3:15" x14ac:dyDescent="0.25">
      <c r="C47" s="195"/>
      <c r="F47" s="194"/>
    </row>
    <row r="48" spans="3:15" x14ac:dyDescent="0.25">
      <c r="C48" s="195" t="s">
        <v>509</v>
      </c>
      <c r="D48" s="376">
        <v>29501.41</v>
      </c>
      <c r="F48" s="194"/>
    </row>
    <row r="51" spans="3:14" x14ac:dyDescent="0.25">
      <c r="C51" s="773" t="s">
        <v>510</v>
      </c>
      <c r="D51" s="774"/>
      <c r="E51" s="774"/>
      <c r="F51" s="775"/>
      <c r="I51" s="787" t="s">
        <v>511</v>
      </c>
      <c r="J51" s="788"/>
      <c r="K51" s="788"/>
      <c r="L51" s="788"/>
      <c r="M51" s="789"/>
    </row>
    <row r="52" spans="3:14" ht="30" customHeight="1" x14ac:dyDescent="0.25">
      <c r="C52" s="387" t="s">
        <v>134</v>
      </c>
      <c r="D52" s="154" t="s">
        <v>512</v>
      </c>
      <c r="E52" s="388" t="s">
        <v>513</v>
      </c>
      <c r="F52" s="389" t="s">
        <v>71</v>
      </c>
      <c r="I52" s="422" t="s">
        <v>514</v>
      </c>
      <c r="J52" s="420" t="s">
        <v>515</v>
      </c>
      <c r="K52" s="420" t="s">
        <v>516</v>
      </c>
      <c r="L52" s="420" t="s">
        <v>517</v>
      </c>
      <c r="M52" s="421" t="s">
        <v>518</v>
      </c>
    </row>
    <row r="53" spans="3:14" ht="15.75" customHeight="1" x14ac:dyDescent="0.25">
      <c r="C53" s="201" t="s">
        <v>519</v>
      </c>
      <c r="D53" s="410">
        <f>25377.69-14988.92</f>
        <v>10388.769999999999</v>
      </c>
      <c r="E53" s="390" t="s">
        <v>520</v>
      </c>
      <c r="F53" s="391">
        <v>1577.41</v>
      </c>
      <c r="G53" s="574" t="s">
        <v>499</v>
      </c>
      <c r="H53" s="564"/>
      <c r="I53" s="507">
        <v>6053</v>
      </c>
      <c r="J53" s="508">
        <v>60267</v>
      </c>
      <c r="K53" s="417">
        <f>ROUND(J53/I53,2)</f>
        <v>9.9600000000000009</v>
      </c>
      <c r="L53" s="509">
        <v>717.71</v>
      </c>
      <c r="M53" s="509">
        <f>ROUND(I53-L53,2)</f>
        <v>5335.29</v>
      </c>
      <c r="N53" s="564" t="s">
        <v>499</v>
      </c>
    </row>
    <row r="54" spans="3:14" x14ac:dyDescent="0.25">
      <c r="C54" s="201" t="s">
        <v>521</v>
      </c>
      <c r="D54" s="410">
        <v>12424.46</v>
      </c>
      <c r="E54" s="390"/>
      <c r="F54" s="391">
        <v>2035.11</v>
      </c>
      <c r="G54" s="574" t="s">
        <v>499</v>
      </c>
      <c r="H54" s="564"/>
      <c r="K54" s="458" t="s">
        <v>522</v>
      </c>
      <c r="L54" s="410">
        <v>11897</v>
      </c>
      <c r="M54" s="510"/>
      <c r="N54" s="564" t="s">
        <v>499</v>
      </c>
    </row>
    <row r="55" spans="3:14" ht="15.75" customHeight="1" x14ac:dyDescent="0.25">
      <c r="C55" s="201" t="s">
        <v>523</v>
      </c>
      <c r="D55" s="410">
        <v>12085.17</v>
      </c>
      <c r="E55" s="390" t="s">
        <v>524</v>
      </c>
      <c r="F55" s="391">
        <v>1577.41</v>
      </c>
      <c r="G55" s="574" t="s">
        <v>499</v>
      </c>
      <c r="H55" s="564"/>
      <c r="K55" s="418" t="s">
        <v>525</v>
      </c>
      <c r="L55" s="419">
        <f>ROUND(L53*K53+L54,2)</f>
        <v>19045.39</v>
      </c>
      <c r="M55" s="419">
        <f>ROUND(M53*K53,2)</f>
        <v>53139.49</v>
      </c>
      <c r="N55" s="564" t="s">
        <v>499</v>
      </c>
    </row>
    <row r="56" spans="3:14" ht="16.5" customHeight="1" x14ac:dyDescent="0.25">
      <c r="C56" s="202" t="s">
        <v>526</v>
      </c>
      <c r="D56" s="411">
        <v>6924.72</v>
      </c>
      <c r="E56" s="392"/>
      <c r="F56" s="393">
        <v>2035.11</v>
      </c>
      <c r="G56" s="574" t="s">
        <v>499</v>
      </c>
      <c r="H56" s="564"/>
    </row>
  </sheetData>
  <sheetProtection formatCells="0" formatColumns="0" formatRows="0" insertColumns="0" insertRows="0" insertHyperlinks="0" deleteColumns="0" deleteRows="0" sort="0" autoFilter="0" pivotTables="0"/>
  <mergeCells count="16">
    <mergeCell ref="I24:O24"/>
    <mergeCell ref="I17:M17"/>
    <mergeCell ref="C17:F17"/>
    <mergeCell ref="C22:F22"/>
    <mergeCell ref="I21:L21"/>
    <mergeCell ref="C20:C21"/>
    <mergeCell ref="C26:F27"/>
    <mergeCell ref="C51:F51"/>
    <mergeCell ref="C41:F41"/>
    <mergeCell ref="E42:F42"/>
    <mergeCell ref="I38:N38"/>
    <mergeCell ref="I29:L29"/>
    <mergeCell ref="I34:L34"/>
    <mergeCell ref="K35:L35"/>
    <mergeCell ref="C36:F36"/>
    <mergeCell ref="I51:M51"/>
  </mergeCells>
  <hyperlinks>
    <hyperlink ref="A1" location="Seznam!A1" display="název" xr:uid="{00000000-0004-0000-0E00-000000000000}"/>
    <hyperlink ref="I51" r:id="rId1" xr:uid="{00000000-0004-0000-0E00-000001000000}"/>
    <hyperlink ref="J51" r:id="rId2" display="https://1drv.ms/b/s!AnnUQWVRKRY8jM8GRW-mbzUFyh1iuQ?e=KufTVZ" xr:uid="{00000000-0004-0000-0E00-000002000000}"/>
    <hyperlink ref="K51" r:id="rId3" display="https://1drv.ms/b/s!AnnUQWVRKRY8jM8GRW-mbzUFyh1iuQ?e=KufTVZ" xr:uid="{00000000-0004-0000-0E00-000003000000}"/>
    <hyperlink ref="L51" r:id="rId4" display="https://1drv.ms/b/s!AnnUQWVRKRY8jM8GRW-mbzUFyh1iuQ?e=KufTVZ" xr:uid="{00000000-0004-0000-0E00-000004000000}"/>
    <hyperlink ref="M51" r:id="rId5" display="https://1drv.ms/b/s!AnnUQWVRKRY8jM8GRW-mbzUFyh1iuQ?e=KufTVZ" xr:uid="{00000000-0004-0000-0E00-000005000000}"/>
    <hyperlink ref="A17" location="Seznam!A1" display="MENU" xr:uid="{00000000-0004-0000-0E00-000006000000}"/>
  </hyperlinks>
  <pageMargins left="0.7" right="0.7" top="0.78740157499999996" bottom="0.78740157499999996" header="0.3" footer="0.3"/>
  <pageSetup paperSize="9" orientation="portrait"/>
  <legacy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workbookViewId="0"/>
  </sheetViews>
  <sheetFormatPr defaultColWidth="24.42578125" defaultRowHeight="15" x14ac:dyDescent="0.25"/>
  <cols>
    <col min="1" max="1" width="20.85546875" customWidth="1"/>
    <col min="2" max="8" width="24.42578125" style="416"/>
  </cols>
  <sheetData>
    <row r="1" spans="1:3" s="313" customFormat="1" ht="15.95" customHeight="1" x14ac:dyDescent="0.25">
      <c r="A1" s="415" t="s">
        <v>68</v>
      </c>
      <c r="B1" s="313" t="s">
        <v>527</v>
      </c>
      <c r="C1" s="313" t="s">
        <v>528</v>
      </c>
    </row>
    <row r="2" spans="1:3" x14ac:dyDescent="0.25">
      <c r="A2" t="s">
        <v>342</v>
      </c>
      <c r="B2" s="416">
        <v>0</v>
      </c>
      <c r="C2" s="416">
        <v>1</v>
      </c>
    </row>
    <row r="3" spans="1:3" x14ac:dyDescent="0.25">
      <c r="A3" t="s">
        <v>351</v>
      </c>
      <c r="B3" s="416">
        <v>0</v>
      </c>
      <c r="C3" s="416">
        <v>1</v>
      </c>
    </row>
    <row r="4" spans="1:3" x14ac:dyDescent="0.25">
      <c r="A4" t="s">
        <v>357</v>
      </c>
      <c r="B4" s="416">
        <v>0</v>
      </c>
      <c r="C4" s="416">
        <v>0</v>
      </c>
    </row>
    <row r="5" spans="1:3" x14ac:dyDescent="0.25">
      <c r="A5" t="s">
        <v>363</v>
      </c>
      <c r="B5" s="416">
        <v>0</v>
      </c>
      <c r="C5" s="416">
        <v>0</v>
      </c>
    </row>
    <row r="6" spans="1:3" x14ac:dyDescent="0.25">
      <c r="A6" t="s">
        <v>370</v>
      </c>
      <c r="B6" s="416">
        <v>3540</v>
      </c>
      <c r="C6" s="416">
        <v>1</v>
      </c>
    </row>
    <row r="7" spans="1:3" x14ac:dyDescent="0.25">
      <c r="A7" t="s">
        <v>376</v>
      </c>
      <c r="B7" s="416">
        <v>1344</v>
      </c>
      <c r="C7" s="416">
        <v>0</v>
      </c>
    </row>
    <row r="8" spans="1:3" x14ac:dyDescent="0.25">
      <c r="A8" t="s">
        <v>382</v>
      </c>
      <c r="B8" s="416">
        <v>8952</v>
      </c>
      <c r="C8" s="416">
        <v>0</v>
      </c>
    </row>
    <row r="9" spans="1:3" x14ac:dyDescent="0.25">
      <c r="A9" t="s">
        <v>389</v>
      </c>
      <c r="B9" s="416">
        <v>5544</v>
      </c>
      <c r="C9" s="416">
        <v>1</v>
      </c>
    </row>
    <row r="10" spans="1:3" x14ac:dyDescent="0.25">
      <c r="A10" t="s">
        <v>394</v>
      </c>
      <c r="B10" s="416">
        <v>6456</v>
      </c>
      <c r="C10" s="416">
        <v>1</v>
      </c>
    </row>
    <row r="11" spans="1:3" x14ac:dyDescent="0.25">
      <c r="A11" t="s">
        <v>395</v>
      </c>
      <c r="B11" s="416">
        <v>0</v>
      </c>
      <c r="C11" s="416">
        <v>0</v>
      </c>
    </row>
    <row r="12" spans="1:3" x14ac:dyDescent="0.25">
      <c r="A12" t="s">
        <v>400</v>
      </c>
      <c r="B12" s="416">
        <v>0</v>
      </c>
      <c r="C12" s="416">
        <v>0</v>
      </c>
    </row>
    <row r="13" spans="1:3" x14ac:dyDescent="0.25">
      <c r="A13" t="s">
        <v>405</v>
      </c>
      <c r="B13" s="416">
        <v>5544</v>
      </c>
      <c r="C13" s="416">
        <v>1</v>
      </c>
    </row>
    <row r="14" spans="1:3" x14ac:dyDescent="0.25">
      <c r="A14" t="s">
        <v>410</v>
      </c>
      <c r="B14" s="416">
        <v>7764</v>
      </c>
      <c r="C14" s="416">
        <v>0</v>
      </c>
    </row>
    <row r="15" spans="1:3" x14ac:dyDescent="0.25">
      <c r="A15" t="s">
        <v>415</v>
      </c>
      <c r="B15" s="416">
        <v>4788</v>
      </c>
      <c r="C15" s="416">
        <v>1</v>
      </c>
    </row>
    <row r="16" spans="1:3" x14ac:dyDescent="0.25">
      <c r="A16" t="s">
        <v>419</v>
      </c>
      <c r="B16" s="416">
        <v>3540</v>
      </c>
      <c r="C16" s="416">
        <v>0</v>
      </c>
    </row>
    <row r="17" spans="1:3" x14ac:dyDescent="0.25">
      <c r="A17" t="s">
        <v>423</v>
      </c>
      <c r="B17" s="416">
        <v>0</v>
      </c>
      <c r="C17" s="416">
        <v>2</v>
      </c>
    </row>
    <row r="18" spans="1:3" x14ac:dyDescent="0.25">
      <c r="A18" t="s">
        <v>429</v>
      </c>
      <c r="B18" s="416">
        <v>0</v>
      </c>
      <c r="C18" s="416">
        <v>1</v>
      </c>
    </row>
    <row r="19" spans="1:3" x14ac:dyDescent="0.25">
      <c r="A19" t="s">
        <v>435</v>
      </c>
      <c r="B19" s="416">
        <v>0</v>
      </c>
      <c r="C19" s="416">
        <v>1</v>
      </c>
    </row>
    <row r="20" spans="1:3" x14ac:dyDescent="0.25">
      <c r="A20" t="s">
        <v>443</v>
      </c>
      <c r="B20" s="416">
        <v>0</v>
      </c>
      <c r="C20" s="416">
        <v>1</v>
      </c>
    </row>
    <row r="21" spans="1:3" x14ac:dyDescent="0.25">
      <c r="A21" t="s">
        <v>449</v>
      </c>
      <c r="B21" s="416">
        <v>0</v>
      </c>
      <c r="C21" s="416">
        <v>1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0F00-000000000000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05"/>
  <sheetViews>
    <sheetView workbookViewId="0"/>
  </sheetViews>
  <sheetFormatPr defaultColWidth="16.28515625" defaultRowHeight="15" x14ac:dyDescent="0.25"/>
  <cols>
    <col min="1" max="1" width="17.7109375" style="27" customWidth="1"/>
    <col min="2" max="2" width="28.42578125" style="27" customWidth="1"/>
    <col min="3" max="14" width="5.5703125" style="27" customWidth="1"/>
    <col min="15" max="15" width="6.85546875" style="27" customWidth="1"/>
    <col min="16" max="16" width="29" style="27" customWidth="1"/>
    <col min="17" max="17" width="18.140625" style="27" customWidth="1"/>
    <col min="18" max="18" width="16.28515625" style="27"/>
    <col min="19" max="19" width="17.28515625" style="27" customWidth="1"/>
    <col min="20" max="20" width="23.28515625" style="213" customWidth="1"/>
    <col min="21" max="21" width="17.28515625" style="212" customWidth="1"/>
    <col min="22" max="23" width="16.28515625" style="212"/>
    <col min="24" max="24" width="42.85546875" style="369" customWidth="1"/>
    <col min="25" max="25" width="19.42578125" style="212" customWidth="1"/>
    <col min="26" max="26" width="16.28515625" style="212"/>
    <col min="28" max="28" width="40.5703125" customWidth="1"/>
  </cols>
  <sheetData>
    <row r="1" spans="1:30" x14ac:dyDescent="0.25">
      <c r="A1" s="601" t="s">
        <v>529</v>
      </c>
      <c r="B1" s="575" t="s">
        <v>530</v>
      </c>
      <c r="C1" s="575">
        <v>1</v>
      </c>
      <c r="D1" s="575">
        <v>2</v>
      </c>
      <c r="E1" s="575">
        <v>3</v>
      </c>
      <c r="F1" s="575">
        <v>4</v>
      </c>
      <c r="G1" s="575">
        <v>5</v>
      </c>
      <c r="H1" s="575">
        <v>6</v>
      </c>
      <c r="I1" s="575">
        <v>7</v>
      </c>
      <c r="J1" s="575">
        <v>8</v>
      </c>
      <c r="K1" s="575">
        <v>9</v>
      </c>
      <c r="L1" s="575">
        <v>10</v>
      </c>
      <c r="M1" s="575">
        <v>11</v>
      </c>
      <c r="N1" s="575">
        <v>12</v>
      </c>
      <c r="O1" s="575" t="s">
        <v>531</v>
      </c>
      <c r="P1" s="63" t="s">
        <v>532</v>
      </c>
      <c r="Q1" s="63" t="s">
        <v>533</v>
      </c>
      <c r="S1" s="166" t="s">
        <v>534</v>
      </c>
      <c r="T1" s="213" t="s">
        <v>535</v>
      </c>
      <c r="U1" s="212" t="s">
        <v>536</v>
      </c>
      <c r="V1" s="212" t="s">
        <v>537</v>
      </c>
      <c r="W1" s="212" t="s">
        <v>139</v>
      </c>
      <c r="X1" s="368" t="s">
        <v>538</v>
      </c>
      <c r="Y1" s="366" t="s">
        <v>539</v>
      </c>
      <c r="AB1" s="263" t="s">
        <v>540</v>
      </c>
      <c r="AC1" s="263">
        <f>'faktury za služby'!E11</f>
        <v>47768</v>
      </c>
      <c r="AD1">
        <v>100</v>
      </c>
    </row>
    <row r="2" spans="1:30" x14ac:dyDescent="0.25">
      <c r="A2" s="99" t="s">
        <v>342</v>
      </c>
      <c r="B2" s="99" t="s">
        <v>541</v>
      </c>
      <c r="C2" s="63">
        <v>4</v>
      </c>
      <c r="D2" s="63">
        <v>4</v>
      </c>
      <c r="E2" s="63">
        <v>4</v>
      </c>
      <c r="F2" s="63">
        <v>4</v>
      </c>
      <c r="G2" s="63">
        <v>4</v>
      </c>
      <c r="H2" s="63">
        <v>4</v>
      </c>
      <c r="I2" s="63">
        <v>4</v>
      </c>
      <c r="J2" s="63">
        <v>4</v>
      </c>
      <c r="K2" s="63">
        <v>4</v>
      </c>
      <c r="L2" s="63">
        <v>4</v>
      </c>
      <c r="M2" s="63">
        <v>4</v>
      </c>
      <c r="N2" s="63">
        <v>4</v>
      </c>
      <c r="O2" s="154">
        <f t="shared" ref="O2:O33" si="0">SUM(C2:N2)</f>
        <v>48</v>
      </c>
      <c r="P2" s="154">
        <f>IF(Výtahy!B2="ano",O2,0)</f>
        <v>0</v>
      </c>
      <c r="Q2" s="154">
        <f t="shared" ref="Q2:Q33" si="1">O2</f>
        <v>48</v>
      </c>
      <c r="R2" s="27" t="s">
        <v>542</v>
      </c>
      <c r="S2" s="27">
        <f t="shared" ref="S2:S28" si="2">IF(OR(ISNUMBER(SEARCH("Byt č. 939/16", A2)), ISNUMBER(SEARCH("Byt č. 939/17", A2)), ISNUMBER(SEARCH("Byt č. 939/18", A2)), ISNUMBER(SEARCH("Byt č. 939/19", A2))),  "vodomer",0)</f>
        <v>0</v>
      </c>
      <c r="T2" s="796">
        <v>35</v>
      </c>
      <c r="U2" s="212">
        <f t="shared" ref="U2:U28" si="3">ROUND(IF(S2=0,O2/12*$T$2,0),2)</f>
        <v>140</v>
      </c>
      <c r="V2" s="212">
        <f>ROUND(U2*'faktury za služby'!$M$40/$U$29,3)</f>
        <v>91.147000000000006</v>
      </c>
      <c r="W2" s="212">
        <f t="shared" ref="W2:W28" si="4">ROUND(V2*VD_Cena_BVak,2)</f>
        <v>9618.74</v>
      </c>
      <c r="X2" s="369">
        <v>10</v>
      </c>
      <c r="Y2" s="212">
        <f>X2*Evidence!N2/100</f>
        <v>0.81030000000000002</v>
      </c>
      <c r="Z2" s="212">
        <f t="shared" ref="Z2:Z33" si="5">ROUND(Y2/$Y$104*100,2)</f>
        <v>7.77</v>
      </c>
      <c r="AA2">
        <f t="shared" ref="AA2:AA33" si="6">ROUND($AC$1*Z2/100,2)</f>
        <v>3711.57</v>
      </c>
      <c r="AB2" s="263" t="s">
        <v>543</v>
      </c>
      <c r="AC2">
        <v>11</v>
      </c>
    </row>
    <row r="3" spans="1:30" x14ac:dyDescent="0.25">
      <c r="A3" s="99" t="s">
        <v>351</v>
      </c>
      <c r="B3" s="99" t="s">
        <v>544</v>
      </c>
      <c r="C3" s="63">
        <v>4</v>
      </c>
      <c r="D3" s="63">
        <v>4</v>
      </c>
      <c r="E3" s="63">
        <v>4</v>
      </c>
      <c r="F3" s="63">
        <v>4</v>
      </c>
      <c r="G3" s="63">
        <v>4</v>
      </c>
      <c r="H3" s="63">
        <v>4</v>
      </c>
      <c r="I3" s="63">
        <v>4</v>
      </c>
      <c r="J3" s="63">
        <v>4</v>
      </c>
      <c r="K3" s="63">
        <v>4</v>
      </c>
      <c r="L3" s="63">
        <v>4</v>
      </c>
      <c r="M3" s="63">
        <v>4</v>
      </c>
      <c r="N3" s="63">
        <v>4</v>
      </c>
      <c r="O3" s="154">
        <f t="shared" si="0"/>
        <v>48</v>
      </c>
      <c r="P3" s="154">
        <f>IF(Výtahy!B3="ano",O3,0)</f>
        <v>0</v>
      </c>
      <c r="Q3" s="154">
        <f t="shared" si="1"/>
        <v>48</v>
      </c>
      <c r="R3" s="27" t="s">
        <v>542</v>
      </c>
      <c r="S3" s="27">
        <f t="shared" si="2"/>
        <v>0</v>
      </c>
      <c r="T3" s="796"/>
      <c r="U3" s="212">
        <f t="shared" si="3"/>
        <v>140</v>
      </c>
      <c r="V3" s="212">
        <f>ROUND(U3*'faktury za služby'!$M$40/$U$29,3)</f>
        <v>91.147000000000006</v>
      </c>
      <c r="W3" s="212">
        <f t="shared" si="4"/>
        <v>9618.74</v>
      </c>
      <c r="X3" s="369">
        <v>7</v>
      </c>
      <c r="Y3" s="212">
        <f>X3*Evidence!N3/100</f>
        <v>0.29687000000000002</v>
      </c>
      <c r="Z3" s="212">
        <f t="shared" si="5"/>
        <v>2.85</v>
      </c>
      <c r="AA3">
        <f t="shared" si="6"/>
        <v>1361.39</v>
      </c>
    </row>
    <row r="4" spans="1:30" x14ac:dyDescent="0.25">
      <c r="A4" s="99" t="s">
        <v>357</v>
      </c>
      <c r="B4" s="99" t="s">
        <v>545</v>
      </c>
      <c r="C4" s="63">
        <v>3</v>
      </c>
      <c r="D4" s="63">
        <v>3</v>
      </c>
      <c r="E4" s="63">
        <v>3</v>
      </c>
      <c r="F4" s="63">
        <v>3</v>
      </c>
      <c r="G4" s="63">
        <v>3</v>
      </c>
      <c r="H4" s="63">
        <v>3</v>
      </c>
      <c r="I4" s="63">
        <v>3</v>
      </c>
      <c r="J4" s="63">
        <v>3</v>
      </c>
      <c r="K4" s="63">
        <v>3</v>
      </c>
      <c r="L4" s="63">
        <v>3</v>
      </c>
      <c r="M4" s="63">
        <v>3</v>
      </c>
      <c r="N4" s="63">
        <v>3</v>
      </c>
      <c r="O4" s="154">
        <f t="shared" si="0"/>
        <v>36</v>
      </c>
      <c r="P4" s="154">
        <f>IF(Výtahy!B4="ano",O4,0)</f>
        <v>0</v>
      </c>
      <c r="Q4" s="154">
        <f t="shared" si="1"/>
        <v>36</v>
      </c>
      <c r="R4" s="27" t="s">
        <v>542</v>
      </c>
      <c r="S4" s="27">
        <f t="shared" si="2"/>
        <v>0</v>
      </c>
      <c r="T4" s="796"/>
      <c r="U4" s="212">
        <f t="shared" si="3"/>
        <v>105</v>
      </c>
      <c r="V4" s="212">
        <f>ROUND(U4*'faktury za služby'!$M$40/$U$29,3)</f>
        <v>68.36</v>
      </c>
      <c r="W4" s="212">
        <f t="shared" si="4"/>
        <v>7214.03</v>
      </c>
      <c r="X4" s="369">
        <v>10</v>
      </c>
      <c r="Y4" s="212">
        <f>X4*Evidence!N4/100</f>
        <v>0.5673999999999999</v>
      </c>
      <c r="Z4" s="212">
        <f t="shared" si="5"/>
        <v>5.44</v>
      </c>
      <c r="AA4">
        <f t="shared" si="6"/>
        <v>2598.58</v>
      </c>
    </row>
    <row r="5" spans="1:30" x14ac:dyDescent="0.25">
      <c r="A5" s="99" t="s">
        <v>363</v>
      </c>
      <c r="B5" s="99" t="s">
        <v>546</v>
      </c>
      <c r="C5" s="63">
        <v>1</v>
      </c>
      <c r="D5" s="63">
        <v>1</v>
      </c>
      <c r="E5" s="63">
        <v>1</v>
      </c>
      <c r="F5" s="63">
        <v>1</v>
      </c>
      <c r="G5" s="63">
        <v>1</v>
      </c>
      <c r="H5" s="63">
        <v>1</v>
      </c>
      <c r="I5" s="63">
        <v>1</v>
      </c>
      <c r="J5" s="63">
        <v>1</v>
      </c>
      <c r="K5" s="63">
        <v>1</v>
      </c>
      <c r="L5" s="63">
        <v>1</v>
      </c>
      <c r="M5" s="63">
        <v>1</v>
      </c>
      <c r="N5" s="63">
        <v>1</v>
      </c>
      <c r="O5" s="154">
        <f t="shared" si="0"/>
        <v>12</v>
      </c>
      <c r="P5" s="154">
        <f>IF(Výtahy!B5="ano",O5,0)</f>
        <v>12</v>
      </c>
      <c r="Q5" s="154">
        <f t="shared" si="1"/>
        <v>12</v>
      </c>
      <c r="S5" s="27">
        <f t="shared" si="2"/>
        <v>0</v>
      </c>
      <c r="T5" s="796"/>
      <c r="U5" s="212">
        <f t="shared" si="3"/>
        <v>35</v>
      </c>
      <c r="V5" s="212">
        <f>ROUND(U5*'faktury za služby'!$M$40/$U$29,3)</f>
        <v>22.786999999999999</v>
      </c>
      <c r="W5" s="212">
        <f t="shared" si="4"/>
        <v>2404.71</v>
      </c>
      <c r="X5" s="369">
        <v>9</v>
      </c>
      <c r="Y5" s="212">
        <f>X5*Evidence!N5/100</f>
        <v>0.49337999999999999</v>
      </c>
      <c r="Z5" s="212">
        <f t="shared" si="5"/>
        <v>4.7300000000000004</v>
      </c>
      <c r="AA5">
        <f t="shared" si="6"/>
        <v>2259.4299999999998</v>
      </c>
    </row>
    <row r="6" spans="1:30" x14ac:dyDescent="0.25">
      <c r="A6" s="99" t="s">
        <v>370</v>
      </c>
      <c r="B6" s="99" t="s">
        <v>547</v>
      </c>
      <c r="C6" s="63">
        <v>1</v>
      </c>
      <c r="D6" s="63">
        <v>1</v>
      </c>
      <c r="E6" s="63">
        <v>1</v>
      </c>
      <c r="F6" s="63">
        <v>1</v>
      </c>
      <c r="G6" s="63">
        <v>1</v>
      </c>
      <c r="H6" s="63">
        <v>1</v>
      </c>
      <c r="I6" s="63">
        <v>1</v>
      </c>
      <c r="J6" s="63">
        <v>1</v>
      </c>
      <c r="K6" s="63">
        <v>1</v>
      </c>
      <c r="L6" s="63">
        <v>1</v>
      </c>
      <c r="M6" s="63">
        <v>1</v>
      </c>
      <c r="N6" s="63">
        <v>1</v>
      </c>
      <c r="O6" s="154">
        <f t="shared" si="0"/>
        <v>12</v>
      </c>
      <c r="P6" s="154">
        <f>IF(Výtahy!B6="ano",O6,0)</f>
        <v>12</v>
      </c>
      <c r="Q6" s="154">
        <f t="shared" si="1"/>
        <v>12</v>
      </c>
      <c r="S6" s="27">
        <f t="shared" si="2"/>
        <v>0</v>
      </c>
      <c r="T6" s="796"/>
      <c r="U6" s="212">
        <f t="shared" si="3"/>
        <v>35</v>
      </c>
      <c r="V6" s="212">
        <f>ROUND(U6*'faktury za služby'!$M$40/$U$29,3)</f>
        <v>22.786999999999999</v>
      </c>
      <c r="W6" s="212">
        <f t="shared" si="4"/>
        <v>2404.71</v>
      </c>
      <c r="X6" s="369">
        <v>10</v>
      </c>
      <c r="Y6" s="212">
        <f>X6*Evidence!N6/100</f>
        <v>0.48299999999999998</v>
      </c>
      <c r="Z6" s="212">
        <f t="shared" si="5"/>
        <v>4.63</v>
      </c>
      <c r="AA6">
        <f t="shared" si="6"/>
        <v>2211.66</v>
      </c>
    </row>
    <row r="7" spans="1:30" x14ac:dyDescent="0.25">
      <c r="A7" s="99" t="s">
        <v>376</v>
      </c>
      <c r="B7" s="99" t="s">
        <v>377</v>
      </c>
      <c r="C7" s="63">
        <v>1</v>
      </c>
      <c r="D7" s="63">
        <v>1</v>
      </c>
      <c r="E7" s="63">
        <v>1</v>
      </c>
      <c r="F7" s="63">
        <v>1</v>
      </c>
      <c r="G7" s="63">
        <v>1</v>
      </c>
      <c r="H7" s="63">
        <v>1</v>
      </c>
      <c r="I7" s="63">
        <v>1</v>
      </c>
      <c r="J7" s="63">
        <v>1</v>
      </c>
      <c r="K7" s="63">
        <v>4</v>
      </c>
      <c r="L7" s="63">
        <v>4</v>
      </c>
      <c r="M7" s="63">
        <v>4</v>
      </c>
      <c r="N7" s="63">
        <v>4</v>
      </c>
      <c r="O7" s="154">
        <f t="shared" si="0"/>
        <v>24</v>
      </c>
      <c r="P7" s="154">
        <f>IF(Výtahy!B7="ano",O7,0)</f>
        <v>24</v>
      </c>
      <c r="Q7" s="154">
        <f t="shared" si="1"/>
        <v>24</v>
      </c>
      <c r="S7" s="27">
        <f t="shared" si="2"/>
        <v>0</v>
      </c>
      <c r="T7" s="796"/>
      <c r="U7" s="212">
        <f t="shared" si="3"/>
        <v>70</v>
      </c>
      <c r="V7" s="212">
        <f>ROUND(U7*'faktury za služby'!$M$40/$U$29,3)</f>
        <v>45.573999999999998</v>
      </c>
      <c r="W7" s="212">
        <f t="shared" si="4"/>
        <v>4809.42</v>
      </c>
      <c r="X7" s="369">
        <v>7</v>
      </c>
      <c r="Y7" s="212">
        <f>X7*Evidence!N7/100</f>
        <v>0.35196</v>
      </c>
      <c r="Z7" s="212">
        <f t="shared" si="5"/>
        <v>3.38</v>
      </c>
      <c r="AA7">
        <f t="shared" si="6"/>
        <v>1614.56</v>
      </c>
    </row>
    <row r="8" spans="1:30" x14ac:dyDescent="0.25">
      <c r="A8" s="99" t="s">
        <v>382</v>
      </c>
      <c r="B8" s="99" t="s">
        <v>383</v>
      </c>
      <c r="C8" s="63">
        <v>1</v>
      </c>
      <c r="D8" s="63">
        <v>1</v>
      </c>
      <c r="E8" s="63">
        <v>1</v>
      </c>
      <c r="F8" s="63">
        <v>1</v>
      </c>
      <c r="G8" s="63">
        <v>1</v>
      </c>
      <c r="H8" s="63">
        <v>1</v>
      </c>
      <c r="I8" s="63">
        <v>2</v>
      </c>
      <c r="J8" s="63">
        <v>2</v>
      </c>
      <c r="K8" s="63">
        <v>2</v>
      </c>
      <c r="L8" s="63">
        <v>2</v>
      </c>
      <c r="M8" s="63">
        <v>2</v>
      </c>
      <c r="N8" s="63">
        <v>2</v>
      </c>
      <c r="O8" s="154">
        <f t="shared" si="0"/>
        <v>18</v>
      </c>
      <c r="P8" s="154">
        <f>IF(Výtahy!B8="ano",O8,0)</f>
        <v>18</v>
      </c>
      <c r="Q8" s="154">
        <f t="shared" si="1"/>
        <v>18</v>
      </c>
      <c r="S8" s="27">
        <f t="shared" si="2"/>
        <v>0</v>
      </c>
      <c r="T8" s="796"/>
      <c r="U8" s="212">
        <f t="shared" si="3"/>
        <v>52.5</v>
      </c>
      <c r="V8" s="212">
        <f>ROUND(U8*'faktury za služby'!$M$40/$U$29,3)</f>
        <v>34.18</v>
      </c>
      <c r="W8" s="212">
        <f t="shared" si="4"/>
        <v>3607.02</v>
      </c>
      <c r="X8" s="369">
        <v>11</v>
      </c>
      <c r="Y8" s="212">
        <f>X8*Evidence!N8/100</f>
        <v>0.54636999999999991</v>
      </c>
      <c r="Z8" s="212">
        <f t="shared" si="5"/>
        <v>5.24</v>
      </c>
      <c r="AA8">
        <f t="shared" si="6"/>
        <v>2503.04</v>
      </c>
    </row>
    <row r="9" spans="1:30" x14ac:dyDescent="0.25">
      <c r="A9" s="99" t="s">
        <v>389</v>
      </c>
      <c r="B9" s="99" t="s">
        <v>390</v>
      </c>
      <c r="C9" s="63">
        <v>1</v>
      </c>
      <c r="D9" s="63">
        <v>1</v>
      </c>
      <c r="E9" s="63">
        <v>1</v>
      </c>
      <c r="F9" s="63">
        <v>1</v>
      </c>
      <c r="G9" s="63">
        <v>1</v>
      </c>
      <c r="H9" s="63">
        <v>1</v>
      </c>
      <c r="I9" s="63">
        <v>1</v>
      </c>
      <c r="J9" s="63">
        <v>1</v>
      </c>
      <c r="K9" s="63">
        <v>1</v>
      </c>
      <c r="L9" s="63">
        <v>1</v>
      </c>
      <c r="M9" s="63">
        <v>1</v>
      </c>
      <c r="N9" s="63">
        <v>1</v>
      </c>
      <c r="O9" s="154">
        <f t="shared" si="0"/>
        <v>12</v>
      </c>
      <c r="P9" s="154">
        <f>IF(Výtahy!B9="ano",O9,0)</f>
        <v>12</v>
      </c>
      <c r="Q9" s="154">
        <f t="shared" si="1"/>
        <v>12</v>
      </c>
      <c r="S9" s="27">
        <f t="shared" si="2"/>
        <v>0</v>
      </c>
      <c r="T9" s="796"/>
      <c r="U9" s="212">
        <f t="shared" si="3"/>
        <v>35</v>
      </c>
      <c r="V9" s="212">
        <f>ROUND(U9*'faktury za služby'!$M$40/$U$29,3)</f>
        <v>22.786999999999999</v>
      </c>
      <c r="W9" s="212">
        <f t="shared" si="4"/>
        <v>2404.71</v>
      </c>
      <c r="X9" s="369">
        <v>11</v>
      </c>
      <c r="Y9" s="212">
        <f>X9*Evidence!N9/100</f>
        <v>0.60302</v>
      </c>
      <c r="Z9" s="212">
        <f t="shared" si="5"/>
        <v>5.78</v>
      </c>
      <c r="AA9">
        <f t="shared" si="6"/>
        <v>2760.99</v>
      </c>
    </row>
    <row r="10" spans="1:30" x14ac:dyDescent="0.25">
      <c r="A10" s="99" t="s">
        <v>394</v>
      </c>
      <c r="B10" s="99" t="s">
        <v>377</v>
      </c>
      <c r="C10" s="63">
        <v>2</v>
      </c>
      <c r="D10" s="63">
        <v>2</v>
      </c>
      <c r="E10" s="63">
        <v>2</v>
      </c>
      <c r="F10" s="63">
        <v>2</v>
      </c>
      <c r="G10" s="63">
        <v>2</v>
      </c>
      <c r="H10" s="63">
        <v>2</v>
      </c>
      <c r="I10" s="63">
        <v>2</v>
      </c>
      <c r="J10" s="63">
        <v>2</v>
      </c>
      <c r="K10" s="63">
        <v>2</v>
      </c>
      <c r="L10" s="63">
        <v>2</v>
      </c>
      <c r="M10" s="63">
        <v>2</v>
      </c>
      <c r="N10" s="63">
        <v>2</v>
      </c>
      <c r="O10" s="154">
        <f t="shared" si="0"/>
        <v>24</v>
      </c>
      <c r="P10" s="154">
        <f>IF(Výtahy!B10="ano",O10,0)</f>
        <v>24</v>
      </c>
      <c r="Q10" s="154">
        <f t="shared" si="1"/>
        <v>24</v>
      </c>
      <c r="S10" s="27">
        <f t="shared" si="2"/>
        <v>0</v>
      </c>
      <c r="T10" s="796"/>
      <c r="U10" s="212">
        <f t="shared" si="3"/>
        <v>70</v>
      </c>
      <c r="V10" s="212">
        <f>ROUND(U10*'faktury za služby'!$M$40/$U$29,3)</f>
        <v>45.573999999999998</v>
      </c>
      <c r="W10" s="212">
        <f t="shared" si="4"/>
        <v>4809.42</v>
      </c>
      <c r="X10" s="369">
        <v>11</v>
      </c>
      <c r="Y10" s="212">
        <f>X10*Evidence!N10/100</f>
        <v>0.53129999999999999</v>
      </c>
      <c r="Z10" s="212">
        <f t="shared" si="5"/>
        <v>5.0999999999999996</v>
      </c>
      <c r="AA10">
        <f t="shared" si="6"/>
        <v>2436.17</v>
      </c>
    </row>
    <row r="11" spans="1:30" x14ac:dyDescent="0.25">
      <c r="A11" s="99" t="s">
        <v>395</v>
      </c>
      <c r="B11" s="99" t="s">
        <v>548</v>
      </c>
      <c r="C11" s="63">
        <v>1</v>
      </c>
      <c r="D11" s="63">
        <v>1</v>
      </c>
      <c r="E11" s="63">
        <v>2</v>
      </c>
      <c r="F11" s="63">
        <v>2</v>
      </c>
      <c r="G11" s="63">
        <v>2</v>
      </c>
      <c r="H11" s="63">
        <v>2</v>
      </c>
      <c r="I11" s="63">
        <v>2</v>
      </c>
      <c r="J11" s="63">
        <v>2</v>
      </c>
      <c r="K11" s="63">
        <v>2</v>
      </c>
      <c r="L11" s="63">
        <v>2</v>
      </c>
      <c r="M11" s="63">
        <v>2</v>
      </c>
      <c r="N11" s="63">
        <v>2</v>
      </c>
      <c r="O11" s="154">
        <f t="shared" si="0"/>
        <v>22</v>
      </c>
      <c r="P11" s="154">
        <f>IF(Výtahy!B11="ano",O11,0)</f>
        <v>22</v>
      </c>
      <c r="Q11" s="154">
        <f t="shared" si="1"/>
        <v>22</v>
      </c>
      <c r="S11" s="27">
        <f t="shared" si="2"/>
        <v>0</v>
      </c>
      <c r="T11" s="796"/>
      <c r="U11" s="212">
        <f t="shared" si="3"/>
        <v>64.17</v>
      </c>
      <c r="V11" s="212">
        <f>ROUND(U11*'faktury za služby'!$M$40/$U$29,3)</f>
        <v>41.777999999999999</v>
      </c>
      <c r="W11" s="212">
        <f t="shared" si="4"/>
        <v>4408.83</v>
      </c>
      <c r="X11" s="369">
        <v>11</v>
      </c>
      <c r="Y11" s="212">
        <f>X11*Evidence!N11/100</f>
        <v>0.55307999999999991</v>
      </c>
      <c r="Z11" s="212">
        <f t="shared" si="5"/>
        <v>5.3</v>
      </c>
      <c r="AA11">
        <f t="shared" si="6"/>
        <v>2531.6999999999998</v>
      </c>
    </row>
    <row r="12" spans="1:30" x14ac:dyDescent="0.25">
      <c r="A12" s="99" t="s">
        <v>400</v>
      </c>
      <c r="B12" s="99" t="s">
        <v>549</v>
      </c>
      <c r="C12" s="63">
        <v>1</v>
      </c>
      <c r="D12" s="63">
        <v>1</v>
      </c>
      <c r="E12" s="63">
        <v>1</v>
      </c>
      <c r="F12" s="63">
        <v>1</v>
      </c>
      <c r="G12" s="63">
        <v>1</v>
      </c>
      <c r="H12" s="63">
        <v>1</v>
      </c>
      <c r="I12" s="63">
        <v>1</v>
      </c>
      <c r="J12" s="63">
        <v>1</v>
      </c>
      <c r="K12" s="63">
        <v>1</v>
      </c>
      <c r="L12" s="63">
        <v>1</v>
      </c>
      <c r="M12" s="63">
        <v>1</v>
      </c>
      <c r="N12" s="63">
        <v>1</v>
      </c>
      <c r="O12" s="154">
        <f t="shared" si="0"/>
        <v>12</v>
      </c>
      <c r="P12" s="154">
        <f>IF(Výtahy!B12="ano",O12,0)</f>
        <v>12</v>
      </c>
      <c r="Q12" s="154">
        <f t="shared" si="1"/>
        <v>12</v>
      </c>
      <c r="S12" s="27">
        <f t="shared" si="2"/>
        <v>0</v>
      </c>
      <c r="T12" s="796"/>
      <c r="U12" s="212">
        <f t="shared" si="3"/>
        <v>35</v>
      </c>
      <c r="V12" s="212">
        <f>ROUND(U12*'faktury za služby'!$M$40/$U$29,3)</f>
        <v>22.786999999999999</v>
      </c>
      <c r="W12" s="212">
        <f t="shared" si="4"/>
        <v>2404.71</v>
      </c>
      <c r="X12" s="369">
        <v>11</v>
      </c>
      <c r="Y12" s="212">
        <f>X12*Evidence!N12/100</f>
        <v>0.54636999999999991</v>
      </c>
      <c r="Z12" s="212">
        <f t="shared" si="5"/>
        <v>5.24</v>
      </c>
      <c r="AA12">
        <f t="shared" si="6"/>
        <v>2503.04</v>
      </c>
    </row>
    <row r="13" spans="1:30" x14ac:dyDescent="0.25">
      <c r="A13" s="99" t="s">
        <v>405</v>
      </c>
      <c r="B13" s="99" t="s">
        <v>550</v>
      </c>
      <c r="C13" s="63">
        <v>1</v>
      </c>
      <c r="D13" s="63">
        <v>1</v>
      </c>
      <c r="E13" s="63">
        <v>1</v>
      </c>
      <c r="F13" s="63">
        <v>1</v>
      </c>
      <c r="G13" s="63">
        <v>1</v>
      </c>
      <c r="H13" s="63">
        <v>1</v>
      </c>
      <c r="I13" s="63">
        <v>1</v>
      </c>
      <c r="J13" s="63">
        <v>1</v>
      </c>
      <c r="K13" s="63">
        <v>1</v>
      </c>
      <c r="L13" s="63">
        <v>1</v>
      </c>
      <c r="M13" s="63">
        <v>1</v>
      </c>
      <c r="N13" s="63">
        <v>1</v>
      </c>
      <c r="O13" s="154">
        <f t="shared" si="0"/>
        <v>12</v>
      </c>
      <c r="P13" s="154">
        <f>IF(Výtahy!B13="ano",O13,0)</f>
        <v>12</v>
      </c>
      <c r="Q13" s="154">
        <f t="shared" si="1"/>
        <v>12</v>
      </c>
      <c r="S13" s="27">
        <f t="shared" si="2"/>
        <v>0</v>
      </c>
      <c r="T13" s="796"/>
      <c r="U13" s="212">
        <f t="shared" si="3"/>
        <v>35</v>
      </c>
      <c r="V13" s="212">
        <f>ROUND(U13*'faktury za služby'!$M$40/$U$29,3)</f>
        <v>22.786999999999999</v>
      </c>
      <c r="W13" s="212">
        <f t="shared" si="4"/>
        <v>2404.71</v>
      </c>
      <c r="X13" s="369">
        <v>10</v>
      </c>
      <c r="Y13" s="212">
        <f>X13*Evidence!N13/100</f>
        <v>0.54820000000000002</v>
      </c>
      <c r="Z13" s="212">
        <f t="shared" si="5"/>
        <v>5.26</v>
      </c>
      <c r="AA13">
        <f t="shared" si="6"/>
        <v>2512.6</v>
      </c>
    </row>
    <row r="14" spans="1:30" x14ac:dyDescent="0.25">
      <c r="A14" s="99" t="s">
        <v>410</v>
      </c>
      <c r="B14" s="99" t="s">
        <v>551</v>
      </c>
      <c r="C14" s="63">
        <v>2</v>
      </c>
      <c r="D14" s="63">
        <v>2</v>
      </c>
      <c r="E14" s="63">
        <v>2</v>
      </c>
      <c r="F14" s="63">
        <v>2</v>
      </c>
      <c r="G14" s="63">
        <v>2</v>
      </c>
      <c r="H14" s="63">
        <v>2</v>
      </c>
      <c r="I14" s="63">
        <v>2</v>
      </c>
      <c r="J14" s="63">
        <v>2</v>
      </c>
      <c r="K14" s="63">
        <v>2</v>
      </c>
      <c r="L14" s="63">
        <v>2</v>
      </c>
      <c r="M14" s="63">
        <v>2</v>
      </c>
      <c r="N14" s="63">
        <v>2</v>
      </c>
      <c r="O14" s="154">
        <f t="shared" si="0"/>
        <v>24</v>
      </c>
      <c r="P14" s="154">
        <f>IF(Výtahy!B14="ano",O14,0)</f>
        <v>24</v>
      </c>
      <c r="Q14" s="154">
        <f t="shared" si="1"/>
        <v>24</v>
      </c>
      <c r="S14" s="27">
        <f t="shared" si="2"/>
        <v>0</v>
      </c>
      <c r="T14" s="796"/>
      <c r="U14" s="212">
        <f t="shared" si="3"/>
        <v>70</v>
      </c>
      <c r="V14" s="212">
        <f>ROUND(U14*'faktury za služby'!$M$40/$U$29,3)</f>
        <v>45.573999999999998</v>
      </c>
      <c r="W14" s="212">
        <f t="shared" si="4"/>
        <v>4809.42</v>
      </c>
      <c r="X14" s="369">
        <v>10</v>
      </c>
      <c r="Y14" s="212">
        <f>X14*Evidence!N14/100</f>
        <v>0.48299999999999998</v>
      </c>
      <c r="Z14" s="212">
        <f t="shared" si="5"/>
        <v>4.63</v>
      </c>
      <c r="AA14">
        <f t="shared" si="6"/>
        <v>2211.66</v>
      </c>
    </row>
    <row r="15" spans="1:30" x14ac:dyDescent="0.25">
      <c r="A15" s="99" t="s">
        <v>415</v>
      </c>
      <c r="B15" s="99" t="s">
        <v>416</v>
      </c>
      <c r="C15" s="63">
        <v>4</v>
      </c>
      <c r="D15" s="63">
        <v>4</v>
      </c>
      <c r="E15" s="63">
        <v>4</v>
      </c>
      <c r="F15" s="63">
        <v>4</v>
      </c>
      <c r="G15" s="63">
        <v>4</v>
      </c>
      <c r="H15" s="63">
        <v>4</v>
      </c>
      <c r="I15" s="63">
        <v>4</v>
      </c>
      <c r="J15" s="63">
        <v>4</v>
      </c>
      <c r="K15" s="63">
        <v>4</v>
      </c>
      <c r="L15" s="63">
        <v>4</v>
      </c>
      <c r="M15" s="63">
        <v>4</v>
      </c>
      <c r="N15" s="63">
        <v>4</v>
      </c>
      <c r="O15" s="154">
        <f t="shared" si="0"/>
        <v>48</v>
      </c>
      <c r="P15" s="154">
        <f>IF(Výtahy!B15="ano",O15,0)</f>
        <v>48</v>
      </c>
      <c r="Q15" s="154">
        <f t="shared" si="1"/>
        <v>48</v>
      </c>
      <c r="S15" s="27">
        <f t="shared" si="2"/>
        <v>0</v>
      </c>
      <c r="T15" s="796"/>
      <c r="U15" s="212">
        <f t="shared" si="3"/>
        <v>140</v>
      </c>
      <c r="V15" s="212">
        <f>ROUND(U15*'faktury za služby'!$M$40/$U$29,3)</f>
        <v>91.147000000000006</v>
      </c>
      <c r="W15" s="212">
        <f t="shared" si="4"/>
        <v>9618.74</v>
      </c>
      <c r="X15" s="369">
        <v>10</v>
      </c>
      <c r="Y15" s="212">
        <f>X15*Evidence!N15/100</f>
        <v>0.50279999999999991</v>
      </c>
      <c r="Z15" s="212">
        <f t="shared" si="5"/>
        <v>4.82</v>
      </c>
      <c r="AA15">
        <f t="shared" si="6"/>
        <v>2302.42</v>
      </c>
    </row>
    <row r="16" spans="1:30" x14ac:dyDescent="0.25">
      <c r="A16" s="99" t="s">
        <v>419</v>
      </c>
      <c r="B16" s="99" t="s">
        <v>552</v>
      </c>
      <c r="C16" s="63">
        <v>2</v>
      </c>
      <c r="D16" s="63">
        <v>2</v>
      </c>
      <c r="E16" s="63">
        <v>2</v>
      </c>
      <c r="F16" s="63">
        <v>2</v>
      </c>
      <c r="G16" s="63">
        <v>2</v>
      </c>
      <c r="H16" s="63">
        <v>2</v>
      </c>
      <c r="I16" s="63">
        <v>2</v>
      </c>
      <c r="J16" s="63">
        <v>2</v>
      </c>
      <c r="K16" s="63">
        <v>2</v>
      </c>
      <c r="L16" s="63">
        <v>2</v>
      </c>
      <c r="M16" s="63">
        <v>2</v>
      </c>
      <c r="N16" s="63">
        <v>2</v>
      </c>
      <c r="O16" s="154">
        <f t="shared" si="0"/>
        <v>24</v>
      </c>
      <c r="P16" s="154">
        <f>IF(Výtahy!B16="ano",O16,0)</f>
        <v>24</v>
      </c>
      <c r="Q16" s="154">
        <f t="shared" si="1"/>
        <v>24</v>
      </c>
      <c r="S16" s="27">
        <f t="shared" si="2"/>
        <v>0</v>
      </c>
      <c r="T16" s="796"/>
      <c r="U16" s="212">
        <f t="shared" si="3"/>
        <v>70</v>
      </c>
      <c r="V16" s="212">
        <f>ROUND(U16*'faktury za služby'!$M$40/$U$29,3)</f>
        <v>45.573999999999998</v>
      </c>
      <c r="W16" s="212">
        <f t="shared" si="4"/>
        <v>4809.42</v>
      </c>
      <c r="X16" s="369">
        <v>8</v>
      </c>
      <c r="Y16" s="212">
        <f>X16*Evidence!N16/100</f>
        <v>0.39735999999999999</v>
      </c>
      <c r="Z16" s="212">
        <f t="shared" si="5"/>
        <v>3.81</v>
      </c>
      <c r="AA16">
        <f t="shared" si="6"/>
        <v>1819.96</v>
      </c>
    </row>
    <row r="17" spans="1:27" x14ac:dyDescent="0.25">
      <c r="A17" s="99" t="s">
        <v>423</v>
      </c>
      <c r="B17" s="99" t="s">
        <v>553</v>
      </c>
      <c r="C17" s="63">
        <v>2</v>
      </c>
      <c r="D17" s="63">
        <v>2</v>
      </c>
      <c r="E17" s="63">
        <v>2</v>
      </c>
      <c r="F17" s="63">
        <v>2</v>
      </c>
      <c r="G17" s="63">
        <v>2</v>
      </c>
      <c r="H17" s="63">
        <v>2</v>
      </c>
      <c r="I17" s="63">
        <v>2</v>
      </c>
      <c r="J17" s="63">
        <v>2</v>
      </c>
      <c r="K17" s="63">
        <v>2</v>
      </c>
      <c r="L17" s="63">
        <v>3</v>
      </c>
      <c r="M17" s="63">
        <v>3</v>
      </c>
      <c r="N17" s="63">
        <v>3</v>
      </c>
      <c r="O17" s="154">
        <f t="shared" si="0"/>
        <v>27</v>
      </c>
      <c r="P17" s="154">
        <f>IF(Výtahy!B17="ano",O17,0)</f>
        <v>27</v>
      </c>
      <c r="Q17" s="154">
        <f t="shared" si="1"/>
        <v>27</v>
      </c>
      <c r="S17" s="27" t="str">
        <f t="shared" si="2"/>
        <v>vodomer</v>
      </c>
      <c r="T17" s="796"/>
      <c r="U17" s="212">
        <f t="shared" si="3"/>
        <v>0</v>
      </c>
      <c r="V17" s="212">
        <f>ROUND(U17*'faktury za služby'!$M$40/$U$29,3)</f>
        <v>0</v>
      </c>
      <c r="W17" s="212">
        <f t="shared" si="4"/>
        <v>0</v>
      </c>
      <c r="X17" s="369">
        <v>10</v>
      </c>
      <c r="Y17" s="212">
        <f>X17*Evidence!N17/100</f>
        <v>0.36760000000000004</v>
      </c>
      <c r="Z17" s="212">
        <f t="shared" si="5"/>
        <v>3.53</v>
      </c>
      <c r="AA17">
        <f t="shared" si="6"/>
        <v>1686.21</v>
      </c>
    </row>
    <row r="18" spans="1:27" x14ac:dyDescent="0.25">
      <c r="A18" s="99" t="s">
        <v>429</v>
      </c>
      <c r="B18" s="99" t="s">
        <v>554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1</v>
      </c>
      <c r="I18" s="63">
        <v>1</v>
      </c>
      <c r="J18" s="63">
        <v>1</v>
      </c>
      <c r="K18" s="63">
        <v>1</v>
      </c>
      <c r="L18" s="63">
        <v>1</v>
      </c>
      <c r="M18" s="63">
        <v>1</v>
      </c>
      <c r="N18" s="63">
        <v>1</v>
      </c>
      <c r="O18" s="154">
        <f t="shared" si="0"/>
        <v>7</v>
      </c>
      <c r="P18" s="154">
        <f>IF(Výtahy!B18="ano",O18,0)</f>
        <v>7</v>
      </c>
      <c r="Q18" s="154">
        <f t="shared" si="1"/>
        <v>7</v>
      </c>
      <c r="S18" s="27" t="str">
        <f t="shared" si="2"/>
        <v>vodomer</v>
      </c>
      <c r="T18" s="796"/>
      <c r="U18" s="212">
        <f t="shared" si="3"/>
        <v>0</v>
      </c>
      <c r="V18" s="212">
        <f>ROUND(U18*'faktury za služby'!$M$40/$U$29,3)</f>
        <v>0</v>
      </c>
      <c r="W18" s="212">
        <f t="shared" si="4"/>
        <v>0</v>
      </c>
      <c r="X18" s="369">
        <v>11</v>
      </c>
      <c r="Y18" s="212">
        <f>X18*Evidence!N18/100</f>
        <v>0.45639000000000002</v>
      </c>
      <c r="Z18" s="212">
        <f t="shared" si="5"/>
        <v>4.38</v>
      </c>
      <c r="AA18">
        <f t="shared" si="6"/>
        <v>2092.2399999999998</v>
      </c>
    </row>
    <row r="19" spans="1:27" x14ac:dyDescent="0.25">
      <c r="A19" s="99" t="s">
        <v>435</v>
      </c>
      <c r="B19" s="99" t="s">
        <v>436</v>
      </c>
      <c r="C19" s="63">
        <v>1</v>
      </c>
      <c r="D19" s="63">
        <v>1</v>
      </c>
      <c r="E19" s="63">
        <v>1</v>
      </c>
      <c r="F19" s="63">
        <v>1</v>
      </c>
      <c r="G19" s="63">
        <v>1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154">
        <f t="shared" si="0"/>
        <v>5</v>
      </c>
      <c r="P19" s="154">
        <f>IF(Výtahy!B19="ano",O19,0)</f>
        <v>5</v>
      </c>
      <c r="Q19" s="154">
        <f t="shared" si="1"/>
        <v>5</v>
      </c>
      <c r="S19" s="27" t="str">
        <f t="shared" si="2"/>
        <v>vodomer</v>
      </c>
      <c r="T19" s="796"/>
      <c r="U19" s="212">
        <f t="shared" si="3"/>
        <v>0</v>
      </c>
      <c r="V19" s="212">
        <f>ROUND(U19*'faktury za služby'!$M$40/$U$29,3)</f>
        <v>0</v>
      </c>
      <c r="W19" s="212">
        <f t="shared" si="4"/>
        <v>0</v>
      </c>
      <c r="X19" s="369">
        <v>11</v>
      </c>
      <c r="Y19" s="212">
        <f>X19*Evidence!N19/100</f>
        <v>0.45639000000000002</v>
      </c>
      <c r="Z19" s="212">
        <f t="shared" si="5"/>
        <v>4.38</v>
      </c>
      <c r="AA19">
        <f t="shared" si="6"/>
        <v>2092.2399999999998</v>
      </c>
    </row>
    <row r="20" spans="1:27" x14ac:dyDescent="0.25">
      <c r="A20" s="99" t="s">
        <v>443</v>
      </c>
      <c r="B20" s="99" t="s">
        <v>444</v>
      </c>
      <c r="C20" s="63">
        <v>1</v>
      </c>
      <c r="D20" s="63">
        <v>1</v>
      </c>
      <c r="E20" s="63">
        <v>1</v>
      </c>
      <c r="F20" s="63">
        <v>1</v>
      </c>
      <c r="G20" s="63">
        <v>1</v>
      </c>
      <c r="H20" s="63">
        <v>1</v>
      </c>
      <c r="I20" s="63">
        <v>1</v>
      </c>
      <c r="J20" s="63">
        <v>1</v>
      </c>
      <c r="K20" s="63">
        <v>1</v>
      </c>
      <c r="L20" s="63">
        <v>1</v>
      </c>
      <c r="M20" s="63">
        <v>1</v>
      </c>
      <c r="N20" s="63">
        <v>1</v>
      </c>
      <c r="O20" s="154">
        <f t="shared" si="0"/>
        <v>12</v>
      </c>
      <c r="P20" s="154">
        <f>IF(Výtahy!B20="ano",O20,0)</f>
        <v>12</v>
      </c>
      <c r="Q20" s="154">
        <f t="shared" si="1"/>
        <v>12</v>
      </c>
      <c r="S20" s="27" t="str">
        <f t="shared" si="2"/>
        <v>vodomer</v>
      </c>
      <c r="T20" s="796"/>
      <c r="U20" s="212">
        <f t="shared" si="3"/>
        <v>0</v>
      </c>
      <c r="V20" s="212">
        <f>ROUND(U20*'faktury za služby'!$M$40/$U$29,3)</f>
        <v>0</v>
      </c>
      <c r="W20" s="212">
        <f t="shared" si="4"/>
        <v>0</v>
      </c>
      <c r="X20" s="369">
        <v>10</v>
      </c>
      <c r="Y20" s="212">
        <f>X20*Evidence!N20/100</f>
        <v>0.24340000000000003</v>
      </c>
      <c r="Z20" s="212">
        <f t="shared" si="5"/>
        <v>2.33</v>
      </c>
      <c r="AA20">
        <f t="shared" si="6"/>
        <v>1112.99</v>
      </c>
    </row>
    <row r="21" spans="1:27" x14ac:dyDescent="0.25">
      <c r="A21" s="99" t="s">
        <v>449</v>
      </c>
      <c r="B21" s="99" t="s">
        <v>450</v>
      </c>
      <c r="C21" s="63">
        <v>1</v>
      </c>
      <c r="D21" s="63">
        <v>1</v>
      </c>
      <c r="E21" s="63">
        <v>1</v>
      </c>
      <c r="F21" s="63">
        <v>1</v>
      </c>
      <c r="G21" s="63">
        <v>1</v>
      </c>
      <c r="H21" s="63">
        <v>1</v>
      </c>
      <c r="I21" s="63">
        <v>1</v>
      </c>
      <c r="J21" s="63">
        <v>1</v>
      </c>
      <c r="K21" s="63">
        <v>1</v>
      </c>
      <c r="L21" s="63">
        <v>1</v>
      </c>
      <c r="M21" s="63">
        <v>1</v>
      </c>
      <c r="N21" s="63">
        <v>1</v>
      </c>
      <c r="O21" s="154">
        <f t="shared" si="0"/>
        <v>12</v>
      </c>
      <c r="P21" s="154">
        <f>IF(Výtahy!B21="ano",O21,0)</f>
        <v>12</v>
      </c>
      <c r="Q21" s="154">
        <f t="shared" si="1"/>
        <v>12</v>
      </c>
      <c r="S21" s="27" t="str">
        <f t="shared" si="2"/>
        <v>vodomer</v>
      </c>
      <c r="T21" s="796"/>
      <c r="U21" s="212">
        <f t="shared" si="3"/>
        <v>0</v>
      </c>
      <c r="V21" s="212">
        <f>ROUND(U21*'faktury za služby'!$M$40/$U$29,3)</f>
        <v>0</v>
      </c>
      <c r="W21" s="212">
        <f t="shared" si="4"/>
        <v>0</v>
      </c>
      <c r="X21" s="369">
        <v>11</v>
      </c>
      <c r="Y21" s="212">
        <f>X21*Evidence!N21/100</f>
        <v>1.1884400000000002</v>
      </c>
      <c r="Z21" s="212">
        <f t="shared" si="5"/>
        <v>11.4</v>
      </c>
      <c r="AA21">
        <f t="shared" si="6"/>
        <v>5445.55</v>
      </c>
    </row>
    <row r="22" spans="1:27" x14ac:dyDescent="0.25">
      <c r="A22" s="99"/>
      <c r="B22" s="99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154">
        <f t="shared" si="0"/>
        <v>0</v>
      </c>
      <c r="P22" s="154">
        <f>IF(Výtahy!B22="ano",O22,0)</f>
        <v>0</v>
      </c>
      <c r="Q22" s="154">
        <f t="shared" si="1"/>
        <v>0</v>
      </c>
      <c r="S22" s="27">
        <f t="shared" si="2"/>
        <v>0</v>
      </c>
      <c r="T22" s="796"/>
      <c r="U22" s="212">
        <f t="shared" si="3"/>
        <v>0</v>
      </c>
      <c r="V22" s="212">
        <f>ROUND(U22*'faktury za služby'!$M$40/$U$29,3)</f>
        <v>0</v>
      </c>
      <c r="W22" s="212">
        <f t="shared" si="4"/>
        <v>0</v>
      </c>
      <c r="X22" s="369">
        <v>11</v>
      </c>
      <c r="Y22" s="212">
        <f>X22*Evidence!N22/100</f>
        <v>0</v>
      </c>
      <c r="Z22" s="212">
        <f t="shared" si="5"/>
        <v>0</v>
      </c>
      <c r="AA22">
        <f t="shared" si="6"/>
        <v>0</v>
      </c>
    </row>
    <row r="23" spans="1:27" x14ac:dyDescent="0.25">
      <c r="A23" s="99"/>
      <c r="B23" s="99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154">
        <f t="shared" si="0"/>
        <v>0</v>
      </c>
      <c r="P23" s="154">
        <f>IF(Výtahy!B23="ano",O23,0)</f>
        <v>0</v>
      </c>
      <c r="Q23" s="154">
        <f t="shared" si="1"/>
        <v>0</v>
      </c>
      <c r="S23" s="27">
        <f t="shared" si="2"/>
        <v>0</v>
      </c>
      <c r="T23" s="796"/>
      <c r="U23" s="212">
        <f t="shared" si="3"/>
        <v>0</v>
      </c>
      <c r="V23" s="212">
        <f>ROUND(U23*'faktury za služby'!$M$40/$U$29,3)</f>
        <v>0</v>
      </c>
      <c r="W23" s="212">
        <f t="shared" si="4"/>
        <v>0</v>
      </c>
      <c r="X23" s="369">
        <v>11</v>
      </c>
      <c r="Y23" s="212">
        <f>X23*Evidence!N23/100</f>
        <v>0</v>
      </c>
      <c r="Z23" s="212">
        <f t="shared" si="5"/>
        <v>0</v>
      </c>
      <c r="AA23">
        <f t="shared" si="6"/>
        <v>0</v>
      </c>
    </row>
    <row r="24" spans="1:27" x14ac:dyDescent="0.25">
      <c r="A24" s="99"/>
      <c r="B24" s="99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154">
        <f t="shared" si="0"/>
        <v>0</v>
      </c>
      <c r="P24" s="154">
        <f>IF(Výtahy!B24="ano",O24,0)</f>
        <v>0</v>
      </c>
      <c r="Q24" s="154">
        <f t="shared" si="1"/>
        <v>0</v>
      </c>
      <c r="S24" s="27">
        <f t="shared" si="2"/>
        <v>0</v>
      </c>
      <c r="T24" s="796"/>
      <c r="U24" s="212">
        <f t="shared" si="3"/>
        <v>0</v>
      </c>
      <c r="V24" s="212">
        <f>ROUND(U24*'faktury za služby'!$M$40/$U$29,3)</f>
        <v>0</v>
      </c>
      <c r="W24" s="212">
        <f t="shared" si="4"/>
        <v>0</v>
      </c>
      <c r="X24" s="369">
        <v>8</v>
      </c>
      <c r="Y24" s="212">
        <f>X24*Evidence!N24/100</f>
        <v>0</v>
      </c>
      <c r="Z24" s="212">
        <f t="shared" si="5"/>
        <v>0</v>
      </c>
      <c r="AA24">
        <f t="shared" si="6"/>
        <v>0</v>
      </c>
    </row>
    <row r="25" spans="1:27" x14ac:dyDescent="0.25">
      <c r="A25" s="99"/>
      <c r="B25" s="99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154">
        <f t="shared" si="0"/>
        <v>0</v>
      </c>
      <c r="P25" s="154">
        <f>IF(Výtahy!B25="ano",O25,0)</f>
        <v>0</v>
      </c>
      <c r="Q25" s="154">
        <f t="shared" si="1"/>
        <v>0</v>
      </c>
      <c r="S25" s="27">
        <f t="shared" si="2"/>
        <v>0</v>
      </c>
      <c r="T25" s="796"/>
      <c r="U25" s="212">
        <f t="shared" si="3"/>
        <v>0</v>
      </c>
      <c r="V25" s="212">
        <f>ROUND(U25*'faktury za služby'!$M$40/$U$29,3)</f>
        <v>0</v>
      </c>
      <c r="W25" s="212">
        <f t="shared" si="4"/>
        <v>0</v>
      </c>
      <c r="X25" s="369">
        <v>9</v>
      </c>
      <c r="Y25" s="212">
        <f>X25*Evidence!N25/100</f>
        <v>0</v>
      </c>
      <c r="Z25" s="212">
        <f t="shared" si="5"/>
        <v>0</v>
      </c>
      <c r="AA25">
        <f t="shared" si="6"/>
        <v>0</v>
      </c>
    </row>
    <row r="26" spans="1:27" x14ac:dyDescent="0.25">
      <c r="A26" s="99"/>
      <c r="B26" s="99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154">
        <f t="shared" si="0"/>
        <v>0</v>
      </c>
      <c r="P26" s="154">
        <f>IF(Výtahy!B26="ano",O26,0)</f>
        <v>0</v>
      </c>
      <c r="Q26" s="154">
        <f t="shared" si="1"/>
        <v>0</v>
      </c>
      <c r="S26" s="27">
        <f t="shared" si="2"/>
        <v>0</v>
      </c>
      <c r="T26" s="796"/>
      <c r="U26" s="212">
        <f t="shared" si="3"/>
        <v>0</v>
      </c>
      <c r="V26" s="212">
        <f>ROUND(U26*'faktury za služby'!$M$40/$U$29,3)</f>
        <v>0</v>
      </c>
      <c r="W26" s="212">
        <f t="shared" si="4"/>
        <v>0</v>
      </c>
      <c r="X26" s="369">
        <v>9</v>
      </c>
      <c r="Y26" s="212">
        <f>X26*Evidence!N26/100</f>
        <v>0</v>
      </c>
      <c r="Z26" s="212">
        <f t="shared" si="5"/>
        <v>0</v>
      </c>
      <c r="AA26">
        <f t="shared" si="6"/>
        <v>0</v>
      </c>
    </row>
    <row r="27" spans="1:27" x14ac:dyDescent="0.25">
      <c r="A27" s="99"/>
      <c r="B27" s="9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4">
        <f t="shared" si="0"/>
        <v>0</v>
      </c>
      <c r="P27" s="154">
        <f>IF(Výtahy!B27="ano",O27,0)</f>
        <v>0</v>
      </c>
      <c r="Q27" s="154">
        <f t="shared" si="1"/>
        <v>0</v>
      </c>
      <c r="S27" s="27">
        <f t="shared" si="2"/>
        <v>0</v>
      </c>
      <c r="T27" s="796"/>
      <c r="U27" s="212">
        <f t="shared" si="3"/>
        <v>0</v>
      </c>
      <c r="V27" s="212">
        <f>ROUND(U27*'faktury za služby'!$M$40/$U$29,3)</f>
        <v>0</v>
      </c>
      <c r="W27" s="212">
        <f t="shared" si="4"/>
        <v>0</v>
      </c>
      <c r="X27" s="369">
        <v>9</v>
      </c>
      <c r="Y27" s="212">
        <f>X27*Evidence!N27/100</f>
        <v>0</v>
      </c>
      <c r="Z27" s="212">
        <f t="shared" si="5"/>
        <v>0</v>
      </c>
      <c r="AA27">
        <f t="shared" si="6"/>
        <v>0</v>
      </c>
    </row>
    <row r="28" spans="1:27" x14ac:dyDescent="0.25">
      <c r="A28" s="99"/>
      <c r="B28" s="99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154">
        <f t="shared" si="0"/>
        <v>0</v>
      </c>
      <c r="P28" s="154">
        <f>IF(Výtahy!B28="ano",O28,0)</f>
        <v>0</v>
      </c>
      <c r="Q28" s="154">
        <f t="shared" si="1"/>
        <v>0</v>
      </c>
      <c r="S28" s="27">
        <f t="shared" si="2"/>
        <v>0</v>
      </c>
      <c r="T28" s="796"/>
      <c r="U28" s="212">
        <f t="shared" si="3"/>
        <v>0</v>
      </c>
      <c r="V28" s="212">
        <f>ROUND(U28*'faktury za služby'!$M$40/$U$29,3)</f>
        <v>0</v>
      </c>
      <c r="W28" s="212">
        <f t="shared" si="4"/>
        <v>0</v>
      </c>
      <c r="X28" s="369">
        <v>7</v>
      </c>
      <c r="Y28" s="212">
        <f>X28*Evidence!N28/100</f>
        <v>0</v>
      </c>
      <c r="Z28" s="212">
        <f t="shared" si="5"/>
        <v>0</v>
      </c>
      <c r="AA28">
        <f t="shared" si="6"/>
        <v>0</v>
      </c>
    </row>
    <row r="29" spans="1:27" x14ac:dyDescent="0.25">
      <c r="A29" s="99"/>
      <c r="B29" s="99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154">
        <f t="shared" si="0"/>
        <v>0</v>
      </c>
      <c r="P29" s="154">
        <f>IF(Výtahy!B29="ano",O29,0)</f>
        <v>0</v>
      </c>
      <c r="Q29" s="154">
        <f t="shared" si="1"/>
        <v>0</v>
      </c>
      <c r="T29" s="213" t="s">
        <v>487</v>
      </c>
      <c r="U29" s="214">
        <f>ROUND(SUM(U2:U28),3)</f>
        <v>1096.67</v>
      </c>
      <c r="W29" s="215">
        <f>SUM(W2:W28)</f>
        <v>75347.329999999987</v>
      </c>
      <c r="X29" s="369">
        <v>11</v>
      </c>
      <c r="Y29" s="212">
        <f>X29*Evidence!N29/100</f>
        <v>0</v>
      </c>
      <c r="Z29" s="212">
        <f t="shared" si="5"/>
        <v>0</v>
      </c>
      <c r="AA29">
        <f t="shared" si="6"/>
        <v>0</v>
      </c>
    </row>
    <row r="30" spans="1:27" x14ac:dyDescent="0.25">
      <c r="A30" s="99"/>
      <c r="B30" s="99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154">
        <f t="shared" si="0"/>
        <v>0</v>
      </c>
      <c r="P30" s="154">
        <f>IF(Výtahy!B30="ano",O30,0)</f>
        <v>0</v>
      </c>
      <c r="Q30" s="154">
        <f t="shared" si="1"/>
        <v>0</v>
      </c>
      <c r="X30" s="369">
        <v>7</v>
      </c>
      <c r="Y30" s="212">
        <f>X30*Evidence!N30/100</f>
        <v>0</v>
      </c>
      <c r="Z30" s="212">
        <f t="shared" si="5"/>
        <v>0</v>
      </c>
      <c r="AA30">
        <f t="shared" si="6"/>
        <v>0</v>
      </c>
    </row>
    <row r="31" spans="1:27" x14ac:dyDescent="0.25">
      <c r="A31" s="99"/>
      <c r="B31" s="99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154">
        <f t="shared" si="0"/>
        <v>0</v>
      </c>
      <c r="P31" s="154">
        <f>IF(Výtahy!B31="ano",O31,0)</f>
        <v>0</v>
      </c>
      <c r="Q31" s="154">
        <f t="shared" si="1"/>
        <v>0</v>
      </c>
      <c r="X31" s="369">
        <v>2</v>
      </c>
      <c r="Y31" s="212">
        <f>X31*Evidence!N31/100</f>
        <v>0</v>
      </c>
      <c r="Z31" s="212">
        <f t="shared" si="5"/>
        <v>0</v>
      </c>
      <c r="AA31">
        <f t="shared" si="6"/>
        <v>0</v>
      </c>
    </row>
    <row r="32" spans="1:27" x14ac:dyDescent="0.25">
      <c r="A32" s="99"/>
      <c r="B32" s="99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4">
        <f t="shared" si="0"/>
        <v>0</v>
      </c>
      <c r="P32" s="154">
        <f>IF(Výtahy!B32="ano",O32,0)</f>
        <v>0</v>
      </c>
      <c r="Q32" s="154">
        <f t="shared" si="1"/>
        <v>0</v>
      </c>
      <c r="X32" s="369">
        <v>11</v>
      </c>
      <c r="Y32" s="212">
        <f>X32*Evidence!N32/100</f>
        <v>0</v>
      </c>
      <c r="Z32" s="212">
        <f t="shared" si="5"/>
        <v>0</v>
      </c>
      <c r="AA32">
        <f t="shared" si="6"/>
        <v>0</v>
      </c>
    </row>
    <row r="33" spans="1:27" x14ac:dyDescent="0.25">
      <c r="A33" s="99"/>
      <c r="B33" s="99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154">
        <f t="shared" si="0"/>
        <v>0</v>
      </c>
      <c r="P33" s="154">
        <f>IF(Výtahy!B33="ano",O33,0)</f>
        <v>0</v>
      </c>
      <c r="Q33" s="154">
        <f t="shared" si="1"/>
        <v>0</v>
      </c>
      <c r="X33" s="369">
        <v>0</v>
      </c>
      <c r="Y33" s="212">
        <f>X33*Evidence!N33/100</f>
        <v>0</v>
      </c>
      <c r="Z33" s="212">
        <f t="shared" si="5"/>
        <v>0</v>
      </c>
      <c r="AA33">
        <f t="shared" si="6"/>
        <v>0</v>
      </c>
    </row>
    <row r="34" spans="1:27" x14ac:dyDescent="0.25">
      <c r="A34" s="99"/>
      <c r="B34" s="99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154">
        <f t="shared" ref="O34:O65" si="7">SUM(C34:N34)</f>
        <v>0</v>
      </c>
      <c r="P34" s="154">
        <f>IF(Výtahy!B34="ano",O34,0)</f>
        <v>0</v>
      </c>
      <c r="Q34" s="154">
        <f t="shared" ref="Q34:Q65" si="8">O34</f>
        <v>0</v>
      </c>
      <c r="X34" s="369">
        <v>4</v>
      </c>
      <c r="Y34" s="212">
        <f>X34*Evidence!N34/100</f>
        <v>0</v>
      </c>
      <c r="Z34" s="212">
        <f t="shared" ref="Z34:Z65" si="9">ROUND(Y34/$Y$104*100,2)</f>
        <v>0</v>
      </c>
      <c r="AA34">
        <f t="shared" ref="AA34:AA65" si="10">ROUND($AC$1*Z34/100,2)</f>
        <v>0</v>
      </c>
    </row>
    <row r="35" spans="1:27" x14ac:dyDescent="0.25">
      <c r="A35" s="99"/>
      <c r="B35" s="99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154">
        <f t="shared" si="7"/>
        <v>0</v>
      </c>
      <c r="P35" s="154">
        <f>IF(Výtahy!B35="ano",O35,0)</f>
        <v>0</v>
      </c>
      <c r="Q35" s="154">
        <f t="shared" si="8"/>
        <v>0</v>
      </c>
      <c r="X35" s="369">
        <v>6</v>
      </c>
      <c r="Y35" s="212">
        <f>X35*Evidence!N35/100</f>
        <v>0</v>
      </c>
      <c r="Z35" s="212">
        <f t="shared" si="9"/>
        <v>0</v>
      </c>
      <c r="AA35">
        <f t="shared" si="10"/>
        <v>0</v>
      </c>
    </row>
    <row r="36" spans="1:27" x14ac:dyDescent="0.25">
      <c r="A36" s="99"/>
      <c r="B36" s="99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154">
        <f t="shared" si="7"/>
        <v>0</v>
      </c>
      <c r="P36" s="154">
        <f>IF(Výtahy!B36="ano",O36,0)</f>
        <v>0</v>
      </c>
      <c r="Q36" s="154">
        <f t="shared" si="8"/>
        <v>0</v>
      </c>
      <c r="X36" s="369">
        <v>10</v>
      </c>
      <c r="Y36" s="212">
        <f>X36*Evidence!N36/100</f>
        <v>0</v>
      </c>
      <c r="Z36" s="212">
        <f t="shared" si="9"/>
        <v>0</v>
      </c>
      <c r="AA36">
        <f t="shared" si="10"/>
        <v>0</v>
      </c>
    </row>
    <row r="37" spans="1:27" x14ac:dyDescent="0.25">
      <c r="A37" s="99"/>
      <c r="B37" s="99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154">
        <f t="shared" si="7"/>
        <v>0</v>
      </c>
      <c r="P37" s="154">
        <f>IF(Výtahy!B37="ano",O37,0)</f>
        <v>0</v>
      </c>
      <c r="Q37" s="154">
        <f t="shared" si="8"/>
        <v>0</v>
      </c>
      <c r="X37" s="369">
        <v>9</v>
      </c>
      <c r="Y37" s="212">
        <f>X37*Evidence!N37/100</f>
        <v>0</v>
      </c>
      <c r="Z37" s="212">
        <f t="shared" si="9"/>
        <v>0</v>
      </c>
      <c r="AA37">
        <f t="shared" si="10"/>
        <v>0</v>
      </c>
    </row>
    <row r="38" spans="1:27" x14ac:dyDescent="0.25">
      <c r="A38" s="99"/>
      <c r="B38" s="99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154">
        <f t="shared" si="7"/>
        <v>0</v>
      </c>
      <c r="P38" s="154">
        <f>IF(Výtahy!B38="ano",O38,0)</f>
        <v>0</v>
      </c>
      <c r="Q38" s="154">
        <f t="shared" si="8"/>
        <v>0</v>
      </c>
      <c r="X38" s="369">
        <v>8</v>
      </c>
      <c r="Y38" s="212">
        <f>X38*Evidence!N38/100</f>
        <v>0</v>
      </c>
      <c r="Z38" s="212">
        <f t="shared" si="9"/>
        <v>0</v>
      </c>
      <c r="AA38">
        <f t="shared" si="10"/>
        <v>0</v>
      </c>
    </row>
    <row r="39" spans="1:27" x14ac:dyDescent="0.25">
      <c r="A39" s="99"/>
      <c r="B39" s="99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154">
        <f t="shared" si="7"/>
        <v>0</v>
      </c>
      <c r="P39" s="154">
        <f>IF(Výtahy!B39="ano",O39,0)</f>
        <v>0</v>
      </c>
      <c r="Q39" s="154">
        <f t="shared" si="8"/>
        <v>0</v>
      </c>
      <c r="X39" s="369">
        <v>9</v>
      </c>
      <c r="Y39" s="212">
        <f>X39*Evidence!N39/100</f>
        <v>0</v>
      </c>
      <c r="Z39" s="212">
        <f t="shared" si="9"/>
        <v>0</v>
      </c>
      <c r="AA39">
        <f t="shared" si="10"/>
        <v>0</v>
      </c>
    </row>
    <row r="40" spans="1:27" x14ac:dyDescent="0.25">
      <c r="A40" s="99"/>
      <c r="B40" s="99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154">
        <f t="shared" si="7"/>
        <v>0</v>
      </c>
      <c r="P40" s="154">
        <f>IF(Výtahy!B40="ano",O40,0)</f>
        <v>0</v>
      </c>
      <c r="Q40" s="154">
        <f t="shared" si="8"/>
        <v>0</v>
      </c>
      <c r="X40" s="369">
        <v>7</v>
      </c>
      <c r="Y40" s="212">
        <f>X40*Evidence!N40/100</f>
        <v>0</v>
      </c>
      <c r="Z40" s="212">
        <f t="shared" si="9"/>
        <v>0</v>
      </c>
      <c r="AA40">
        <f t="shared" si="10"/>
        <v>0</v>
      </c>
    </row>
    <row r="41" spans="1:27" x14ac:dyDescent="0.25">
      <c r="A41" s="99"/>
      <c r="B41" s="99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154">
        <f t="shared" si="7"/>
        <v>0</v>
      </c>
      <c r="P41" s="154">
        <f>IF(Výtahy!B41="ano",O41,0)</f>
        <v>0</v>
      </c>
      <c r="Q41" s="154">
        <f t="shared" si="8"/>
        <v>0</v>
      </c>
      <c r="X41" s="369">
        <v>7</v>
      </c>
      <c r="Y41" s="212">
        <f>X41*Evidence!N41/100</f>
        <v>0</v>
      </c>
      <c r="Z41" s="212">
        <f t="shared" si="9"/>
        <v>0</v>
      </c>
      <c r="AA41">
        <f t="shared" si="10"/>
        <v>0</v>
      </c>
    </row>
    <row r="42" spans="1:27" x14ac:dyDescent="0.25">
      <c r="A42" s="99"/>
      <c r="B42" s="99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154">
        <f t="shared" si="7"/>
        <v>0</v>
      </c>
      <c r="P42" s="154">
        <f>IF(Výtahy!B42="ano",O42,0)</f>
        <v>0</v>
      </c>
      <c r="Q42" s="154">
        <f t="shared" si="8"/>
        <v>0</v>
      </c>
      <c r="X42" s="369">
        <v>9</v>
      </c>
      <c r="Y42" s="212">
        <f>X42*Evidence!N42/100</f>
        <v>0</v>
      </c>
      <c r="Z42" s="212">
        <f t="shared" si="9"/>
        <v>0</v>
      </c>
      <c r="AA42">
        <f t="shared" si="10"/>
        <v>0</v>
      </c>
    </row>
    <row r="43" spans="1:27" x14ac:dyDescent="0.25">
      <c r="A43" s="99"/>
      <c r="B43" s="99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154">
        <f t="shared" si="7"/>
        <v>0</v>
      </c>
      <c r="P43" s="154">
        <f>IF(Výtahy!B43="ano",O43,0)</f>
        <v>0</v>
      </c>
      <c r="Q43" s="154">
        <f t="shared" si="8"/>
        <v>0</v>
      </c>
      <c r="X43" s="369">
        <v>2</v>
      </c>
      <c r="Y43" s="212">
        <f>X43*Evidence!N43/100</f>
        <v>0</v>
      </c>
      <c r="Z43" s="212">
        <f t="shared" si="9"/>
        <v>0</v>
      </c>
      <c r="AA43">
        <f t="shared" si="10"/>
        <v>0</v>
      </c>
    </row>
    <row r="44" spans="1:27" x14ac:dyDescent="0.25">
      <c r="A44" s="99"/>
      <c r="B44" s="99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54">
        <f t="shared" si="7"/>
        <v>0</v>
      </c>
      <c r="P44" s="154">
        <f>IF(Výtahy!B44="ano",O44,0)</f>
        <v>0</v>
      </c>
      <c r="Q44" s="154">
        <f t="shared" si="8"/>
        <v>0</v>
      </c>
      <c r="X44" s="369">
        <v>2</v>
      </c>
      <c r="Y44" s="212">
        <f>X44*Evidence!N44/100</f>
        <v>0</v>
      </c>
      <c r="Z44" s="212">
        <f t="shared" si="9"/>
        <v>0</v>
      </c>
      <c r="AA44">
        <f t="shared" si="10"/>
        <v>0</v>
      </c>
    </row>
    <row r="45" spans="1:27" x14ac:dyDescent="0.25">
      <c r="A45" s="99"/>
      <c r="B45" s="9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154">
        <f t="shared" si="7"/>
        <v>0</v>
      </c>
      <c r="P45" s="154">
        <f>IF(Výtahy!B45="ano",O45,0)</f>
        <v>0</v>
      </c>
      <c r="Q45" s="154">
        <f t="shared" si="8"/>
        <v>0</v>
      </c>
      <c r="Y45" s="212">
        <f>X45*Evidence!N45/100</f>
        <v>0</v>
      </c>
      <c r="Z45" s="212">
        <f t="shared" si="9"/>
        <v>0</v>
      </c>
      <c r="AA45">
        <f t="shared" si="10"/>
        <v>0</v>
      </c>
    </row>
    <row r="46" spans="1:27" x14ac:dyDescent="0.25">
      <c r="A46" s="99"/>
      <c r="B46" s="99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154">
        <f t="shared" si="7"/>
        <v>0</v>
      </c>
      <c r="P46" s="154">
        <f>IF(Výtahy!B46="ano",O46,0)</f>
        <v>0</v>
      </c>
      <c r="Q46" s="154">
        <f t="shared" si="8"/>
        <v>0</v>
      </c>
      <c r="Y46" s="212">
        <f>X46*Evidence!N46/100</f>
        <v>0</v>
      </c>
      <c r="Z46" s="212">
        <f t="shared" si="9"/>
        <v>0</v>
      </c>
      <c r="AA46">
        <f t="shared" si="10"/>
        <v>0</v>
      </c>
    </row>
    <row r="47" spans="1:27" x14ac:dyDescent="0.25">
      <c r="A47" s="99"/>
      <c r="B47" s="99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154">
        <f t="shared" si="7"/>
        <v>0</v>
      </c>
      <c r="P47" s="154">
        <f>IF(Výtahy!B47="ano",O47,0)</f>
        <v>0</v>
      </c>
      <c r="Q47" s="154">
        <f t="shared" si="8"/>
        <v>0</v>
      </c>
      <c r="Y47" s="212">
        <f>X47*Evidence!N47/100</f>
        <v>0</v>
      </c>
      <c r="Z47" s="212">
        <f t="shared" si="9"/>
        <v>0</v>
      </c>
      <c r="AA47">
        <f t="shared" si="10"/>
        <v>0</v>
      </c>
    </row>
    <row r="48" spans="1:27" x14ac:dyDescent="0.25">
      <c r="A48" s="99"/>
      <c r="B48" s="99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154">
        <f t="shared" si="7"/>
        <v>0</v>
      </c>
      <c r="P48" s="154">
        <f>IF(Výtahy!B48="ano",O48,0)</f>
        <v>0</v>
      </c>
      <c r="Q48" s="154">
        <f t="shared" si="8"/>
        <v>0</v>
      </c>
      <c r="Y48" s="212">
        <f>X48*Evidence!N48/100</f>
        <v>0</v>
      </c>
      <c r="Z48" s="212">
        <f t="shared" si="9"/>
        <v>0</v>
      </c>
      <c r="AA48">
        <f t="shared" si="10"/>
        <v>0</v>
      </c>
    </row>
    <row r="49" spans="1:27" x14ac:dyDescent="0.25">
      <c r="A49" s="99"/>
      <c r="B49" s="99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154">
        <f t="shared" si="7"/>
        <v>0</v>
      </c>
      <c r="P49" s="154">
        <f>IF(Výtahy!B49="ano",O49,0)</f>
        <v>0</v>
      </c>
      <c r="Q49" s="154">
        <f t="shared" si="8"/>
        <v>0</v>
      </c>
      <c r="Y49" s="212">
        <f>X49*Evidence!N49/100</f>
        <v>0</v>
      </c>
      <c r="Z49" s="212">
        <f t="shared" si="9"/>
        <v>0</v>
      </c>
      <c r="AA49">
        <f t="shared" si="10"/>
        <v>0</v>
      </c>
    </row>
    <row r="50" spans="1:27" x14ac:dyDescent="0.25">
      <c r="A50" s="99"/>
      <c r="B50" s="99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154">
        <f t="shared" si="7"/>
        <v>0</v>
      </c>
      <c r="P50" s="154">
        <f>IF(Výtahy!B50="ano",O50,0)</f>
        <v>0</v>
      </c>
      <c r="Q50" s="154">
        <f t="shared" si="8"/>
        <v>0</v>
      </c>
      <c r="Y50" s="212">
        <f>X50*Evidence!N50/100</f>
        <v>0</v>
      </c>
      <c r="Z50" s="212">
        <f t="shared" si="9"/>
        <v>0</v>
      </c>
      <c r="AA50">
        <f t="shared" si="10"/>
        <v>0</v>
      </c>
    </row>
    <row r="51" spans="1:27" x14ac:dyDescent="0.25">
      <c r="A51" s="99"/>
      <c r="B51" s="99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54">
        <f t="shared" si="7"/>
        <v>0</v>
      </c>
      <c r="P51" s="154">
        <f>IF(Výtahy!B51="ano",O51,0)</f>
        <v>0</v>
      </c>
      <c r="Q51" s="154">
        <f t="shared" si="8"/>
        <v>0</v>
      </c>
      <c r="Y51" s="212">
        <f>X51*Evidence!N51/100</f>
        <v>0</v>
      </c>
      <c r="Z51" s="212">
        <f t="shared" si="9"/>
        <v>0</v>
      </c>
      <c r="AA51">
        <f t="shared" si="10"/>
        <v>0</v>
      </c>
    </row>
    <row r="52" spans="1:27" x14ac:dyDescent="0.25">
      <c r="A52" s="99"/>
      <c r="B52" s="99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154">
        <f t="shared" si="7"/>
        <v>0</v>
      </c>
      <c r="P52" s="154">
        <f>IF(Výtahy!B52="ano",O52,0)</f>
        <v>0</v>
      </c>
      <c r="Q52" s="154">
        <f t="shared" si="8"/>
        <v>0</v>
      </c>
      <c r="Y52" s="212">
        <f>X52*Evidence!N52/100</f>
        <v>0</v>
      </c>
      <c r="Z52" s="212">
        <f t="shared" si="9"/>
        <v>0</v>
      </c>
      <c r="AA52">
        <f t="shared" si="10"/>
        <v>0</v>
      </c>
    </row>
    <row r="53" spans="1:27" x14ac:dyDescent="0.25">
      <c r="A53" s="99"/>
      <c r="B53" s="99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54">
        <f t="shared" si="7"/>
        <v>0</v>
      </c>
      <c r="P53" s="154">
        <f>IF(Výtahy!B53="ano",O53,0)</f>
        <v>0</v>
      </c>
      <c r="Q53" s="154">
        <f t="shared" si="8"/>
        <v>0</v>
      </c>
      <c r="Y53" s="212">
        <f>X53*Evidence!N53/100</f>
        <v>0</v>
      </c>
      <c r="Z53" s="212">
        <f t="shared" si="9"/>
        <v>0</v>
      </c>
      <c r="AA53">
        <f t="shared" si="10"/>
        <v>0</v>
      </c>
    </row>
    <row r="54" spans="1:27" x14ac:dyDescent="0.25">
      <c r="A54" s="99"/>
      <c r="B54" s="99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154">
        <f t="shared" si="7"/>
        <v>0</v>
      </c>
      <c r="P54" s="154">
        <f>IF(Výtahy!B54="ano",O54,0)</f>
        <v>0</v>
      </c>
      <c r="Q54" s="154">
        <f t="shared" si="8"/>
        <v>0</v>
      </c>
      <c r="Y54" s="212">
        <f>X54*Evidence!N54/100</f>
        <v>0</v>
      </c>
      <c r="Z54" s="212">
        <f t="shared" si="9"/>
        <v>0</v>
      </c>
      <c r="AA54">
        <f t="shared" si="10"/>
        <v>0</v>
      </c>
    </row>
    <row r="55" spans="1:27" x14ac:dyDescent="0.25">
      <c r="A55" s="99"/>
      <c r="B55" s="99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154">
        <f t="shared" si="7"/>
        <v>0</v>
      </c>
      <c r="P55" s="154">
        <f>IF(Výtahy!B55="ano",O55,0)</f>
        <v>0</v>
      </c>
      <c r="Q55" s="154">
        <f t="shared" si="8"/>
        <v>0</v>
      </c>
      <c r="Y55" s="212">
        <f>X55*Evidence!N55/100</f>
        <v>0</v>
      </c>
      <c r="Z55" s="212">
        <f t="shared" si="9"/>
        <v>0</v>
      </c>
      <c r="AA55">
        <f t="shared" si="10"/>
        <v>0</v>
      </c>
    </row>
    <row r="56" spans="1:27" x14ac:dyDescent="0.25">
      <c r="A56" s="99"/>
      <c r="B56" s="99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154">
        <f t="shared" si="7"/>
        <v>0</v>
      </c>
      <c r="P56" s="154">
        <f>IF(Výtahy!B56="ano",O56,0)</f>
        <v>0</v>
      </c>
      <c r="Q56" s="154">
        <f t="shared" si="8"/>
        <v>0</v>
      </c>
      <c r="Y56" s="212">
        <f>X56*Evidence!N56/100</f>
        <v>0</v>
      </c>
      <c r="Z56" s="212">
        <f t="shared" si="9"/>
        <v>0</v>
      </c>
      <c r="AA56">
        <f t="shared" si="10"/>
        <v>0</v>
      </c>
    </row>
    <row r="57" spans="1:27" x14ac:dyDescent="0.25">
      <c r="A57" s="99"/>
      <c r="B57" s="99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154">
        <f t="shared" si="7"/>
        <v>0</v>
      </c>
      <c r="P57" s="154">
        <f>IF(Výtahy!B57="ano",O57,0)</f>
        <v>0</v>
      </c>
      <c r="Q57" s="154">
        <f t="shared" si="8"/>
        <v>0</v>
      </c>
      <c r="Y57" s="212">
        <f>X57*Evidence!N57/100</f>
        <v>0</v>
      </c>
      <c r="Z57" s="212">
        <f t="shared" si="9"/>
        <v>0</v>
      </c>
      <c r="AA57">
        <f t="shared" si="10"/>
        <v>0</v>
      </c>
    </row>
    <row r="58" spans="1:27" x14ac:dyDescent="0.25">
      <c r="A58" s="99"/>
      <c r="B58" s="99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154">
        <f t="shared" si="7"/>
        <v>0</v>
      </c>
      <c r="P58" s="154">
        <f>IF(Výtahy!B58="ano",O58,0)</f>
        <v>0</v>
      </c>
      <c r="Q58" s="154">
        <f t="shared" si="8"/>
        <v>0</v>
      </c>
      <c r="Y58" s="212">
        <f>X58*Evidence!N58/100</f>
        <v>0</v>
      </c>
      <c r="Z58" s="212">
        <f t="shared" si="9"/>
        <v>0</v>
      </c>
      <c r="AA58">
        <f t="shared" si="10"/>
        <v>0</v>
      </c>
    </row>
    <row r="59" spans="1:27" x14ac:dyDescent="0.25">
      <c r="A59" s="99"/>
      <c r="B59" s="99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154">
        <f t="shared" si="7"/>
        <v>0</v>
      </c>
      <c r="P59" s="154">
        <f>IF(Výtahy!B59="ano",O59,0)</f>
        <v>0</v>
      </c>
      <c r="Q59" s="154">
        <f t="shared" si="8"/>
        <v>0</v>
      </c>
      <c r="Y59" s="212">
        <f>X59*Evidence!N59/100</f>
        <v>0</v>
      </c>
      <c r="Z59" s="212">
        <f t="shared" si="9"/>
        <v>0</v>
      </c>
      <c r="AA59">
        <f t="shared" si="10"/>
        <v>0</v>
      </c>
    </row>
    <row r="60" spans="1:27" x14ac:dyDescent="0.25">
      <c r="A60" s="99"/>
      <c r="B60" s="99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154">
        <f t="shared" si="7"/>
        <v>0</v>
      </c>
      <c r="P60" s="154">
        <f>IF(Výtahy!B60="ano",O60,0)</f>
        <v>0</v>
      </c>
      <c r="Q60" s="154">
        <f t="shared" si="8"/>
        <v>0</v>
      </c>
      <c r="Y60" s="212">
        <f>X60*Evidence!N60/100</f>
        <v>0</v>
      </c>
      <c r="Z60" s="212">
        <f t="shared" si="9"/>
        <v>0</v>
      </c>
      <c r="AA60">
        <f t="shared" si="10"/>
        <v>0</v>
      </c>
    </row>
    <row r="61" spans="1:27" x14ac:dyDescent="0.25">
      <c r="A61" s="99"/>
      <c r="B61" s="99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154">
        <f t="shared" si="7"/>
        <v>0</v>
      </c>
      <c r="P61" s="154">
        <f>IF(Výtahy!B61="ano",O61,0)</f>
        <v>0</v>
      </c>
      <c r="Q61" s="154">
        <f t="shared" si="8"/>
        <v>0</v>
      </c>
      <c r="Y61" s="212">
        <f>X61*Evidence!N61/100</f>
        <v>0</v>
      </c>
      <c r="Z61" s="212">
        <f t="shared" si="9"/>
        <v>0</v>
      </c>
      <c r="AA61">
        <f t="shared" si="10"/>
        <v>0</v>
      </c>
    </row>
    <row r="62" spans="1:27" x14ac:dyDescent="0.25">
      <c r="A62" s="99"/>
      <c r="B62" s="99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54">
        <f t="shared" si="7"/>
        <v>0</v>
      </c>
      <c r="P62" s="154">
        <f>IF(Výtahy!B62="ano",O62,0)</f>
        <v>0</v>
      </c>
      <c r="Q62" s="154">
        <f t="shared" si="8"/>
        <v>0</v>
      </c>
      <c r="Y62" s="212">
        <f>X62*Evidence!N62/100</f>
        <v>0</v>
      </c>
      <c r="Z62" s="212">
        <f t="shared" si="9"/>
        <v>0</v>
      </c>
      <c r="AA62">
        <f t="shared" si="10"/>
        <v>0</v>
      </c>
    </row>
    <row r="63" spans="1:27" x14ac:dyDescent="0.25">
      <c r="A63" s="99"/>
      <c r="B63" s="99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154">
        <f t="shared" si="7"/>
        <v>0</v>
      </c>
      <c r="P63" s="154">
        <f>IF(Výtahy!B63="ano",O63,0)</f>
        <v>0</v>
      </c>
      <c r="Q63" s="154">
        <f t="shared" si="8"/>
        <v>0</v>
      </c>
      <c r="Y63" s="212">
        <f>X63*Evidence!N63/100</f>
        <v>0</v>
      </c>
      <c r="Z63" s="212">
        <f t="shared" si="9"/>
        <v>0</v>
      </c>
      <c r="AA63">
        <f t="shared" si="10"/>
        <v>0</v>
      </c>
    </row>
    <row r="64" spans="1:27" x14ac:dyDescent="0.25">
      <c r="A64" s="99"/>
      <c r="B64" s="99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154">
        <f t="shared" si="7"/>
        <v>0</v>
      </c>
      <c r="P64" s="154">
        <f>IF(Výtahy!B64="ano",O64,0)</f>
        <v>0</v>
      </c>
      <c r="Q64" s="154">
        <f t="shared" si="8"/>
        <v>0</v>
      </c>
      <c r="Y64" s="212">
        <f>X64*Evidence!N64/100</f>
        <v>0</v>
      </c>
      <c r="Z64" s="212">
        <f t="shared" si="9"/>
        <v>0</v>
      </c>
      <c r="AA64">
        <f t="shared" si="10"/>
        <v>0</v>
      </c>
    </row>
    <row r="65" spans="1:27" x14ac:dyDescent="0.25">
      <c r="A65" s="99"/>
      <c r="B65" s="99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154">
        <f t="shared" si="7"/>
        <v>0</v>
      </c>
      <c r="P65" s="154">
        <f>IF(Výtahy!B65="ano",O65,0)</f>
        <v>0</v>
      </c>
      <c r="Q65" s="154">
        <f t="shared" si="8"/>
        <v>0</v>
      </c>
      <c r="Y65" s="212">
        <f>X65*Evidence!N65/100</f>
        <v>0</v>
      </c>
      <c r="Z65" s="212">
        <f t="shared" si="9"/>
        <v>0</v>
      </c>
      <c r="AA65">
        <f t="shared" si="10"/>
        <v>0</v>
      </c>
    </row>
    <row r="66" spans="1:27" x14ac:dyDescent="0.25">
      <c r="A66" s="99"/>
      <c r="B66" s="99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154">
        <f t="shared" ref="O66:O97" si="11">SUM(C66:N66)</f>
        <v>0</v>
      </c>
      <c r="P66" s="154">
        <f>IF(Výtahy!B66="ano",O66,0)</f>
        <v>0</v>
      </c>
      <c r="Q66" s="154">
        <f t="shared" ref="Q66:Q97" si="12">O66</f>
        <v>0</v>
      </c>
      <c r="Y66" s="212">
        <f>X66*Evidence!N66/100</f>
        <v>0</v>
      </c>
      <c r="Z66" s="212">
        <f t="shared" ref="Z66:Z97" si="13">ROUND(Y66/$Y$104*100,2)</f>
        <v>0</v>
      </c>
      <c r="AA66">
        <f t="shared" ref="AA66:AA97" si="14">ROUND($AC$1*Z66/100,2)</f>
        <v>0</v>
      </c>
    </row>
    <row r="67" spans="1:27" x14ac:dyDescent="0.25">
      <c r="A67" s="99"/>
      <c r="B67" s="99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154">
        <f t="shared" si="11"/>
        <v>0</v>
      </c>
      <c r="P67" s="154">
        <f>IF(Výtahy!B67="ano",O67,0)</f>
        <v>0</v>
      </c>
      <c r="Q67" s="154">
        <f t="shared" si="12"/>
        <v>0</v>
      </c>
      <c r="Y67" s="212">
        <f>X67*Evidence!N67/100</f>
        <v>0</v>
      </c>
      <c r="Z67" s="212">
        <f t="shared" si="13"/>
        <v>0</v>
      </c>
      <c r="AA67">
        <f t="shared" si="14"/>
        <v>0</v>
      </c>
    </row>
    <row r="68" spans="1:27" x14ac:dyDescent="0.25">
      <c r="A68" s="99"/>
      <c r="B68" s="99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154">
        <f t="shared" si="11"/>
        <v>0</v>
      </c>
      <c r="P68" s="154">
        <f>IF(Výtahy!B68="ano",O68,0)</f>
        <v>0</v>
      </c>
      <c r="Q68" s="154">
        <f t="shared" si="12"/>
        <v>0</v>
      </c>
      <c r="Y68" s="212">
        <f>X68*Evidence!N68/100</f>
        <v>0</v>
      </c>
      <c r="Z68" s="212">
        <f t="shared" si="13"/>
        <v>0</v>
      </c>
      <c r="AA68">
        <f t="shared" si="14"/>
        <v>0</v>
      </c>
    </row>
    <row r="69" spans="1:27" x14ac:dyDescent="0.25">
      <c r="A69" s="99"/>
      <c r="B69" s="99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54">
        <f t="shared" si="11"/>
        <v>0</v>
      </c>
      <c r="P69" s="154">
        <f>IF(Výtahy!B69="ano",O69,0)</f>
        <v>0</v>
      </c>
      <c r="Q69" s="154">
        <f t="shared" si="12"/>
        <v>0</v>
      </c>
      <c r="Y69" s="212">
        <f>X69*Evidence!N69/100</f>
        <v>0</v>
      </c>
      <c r="Z69" s="212">
        <f t="shared" si="13"/>
        <v>0</v>
      </c>
      <c r="AA69">
        <f t="shared" si="14"/>
        <v>0</v>
      </c>
    </row>
    <row r="70" spans="1:27" x14ac:dyDescent="0.25">
      <c r="A70" s="99"/>
      <c r="B70" s="99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54">
        <f t="shared" si="11"/>
        <v>0</v>
      </c>
      <c r="P70" s="154">
        <f>IF(Výtahy!B70="ano",O70,0)</f>
        <v>0</v>
      </c>
      <c r="Q70" s="154">
        <f t="shared" si="12"/>
        <v>0</v>
      </c>
      <c r="Y70" s="212">
        <f>X70*Evidence!N70/100</f>
        <v>0</v>
      </c>
      <c r="Z70" s="212">
        <f t="shared" si="13"/>
        <v>0</v>
      </c>
      <c r="AA70">
        <f t="shared" si="14"/>
        <v>0</v>
      </c>
    </row>
    <row r="71" spans="1:27" x14ac:dyDescent="0.25">
      <c r="A71" s="99"/>
      <c r="B71" s="99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54">
        <f t="shared" si="11"/>
        <v>0</v>
      </c>
      <c r="P71" s="154">
        <f>IF(Výtahy!B71="ano",O71,0)</f>
        <v>0</v>
      </c>
      <c r="Q71" s="154">
        <f t="shared" si="12"/>
        <v>0</v>
      </c>
      <c r="Y71" s="212">
        <f>X71*Evidence!N71/100</f>
        <v>0</v>
      </c>
      <c r="Z71" s="212">
        <f t="shared" si="13"/>
        <v>0</v>
      </c>
      <c r="AA71">
        <f t="shared" si="14"/>
        <v>0</v>
      </c>
    </row>
    <row r="72" spans="1:27" x14ac:dyDescent="0.25">
      <c r="A72" s="99"/>
      <c r="B72" s="99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154">
        <f t="shared" si="11"/>
        <v>0</v>
      </c>
      <c r="P72" s="154">
        <f>IF(Výtahy!B72="ano",O72,0)</f>
        <v>0</v>
      </c>
      <c r="Q72" s="154">
        <f t="shared" si="12"/>
        <v>0</v>
      </c>
      <c r="Y72" s="212">
        <f>X72*Evidence!N72/100</f>
        <v>0</v>
      </c>
      <c r="Z72" s="212">
        <f t="shared" si="13"/>
        <v>0</v>
      </c>
      <c r="AA72">
        <f t="shared" si="14"/>
        <v>0</v>
      </c>
    </row>
    <row r="73" spans="1:27" x14ac:dyDescent="0.25">
      <c r="A73" s="99"/>
      <c r="B73" s="99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154">
        <f t="shared" si="11"/>
        <v>0</v>
      </c>
      <c r="P73" s="154">
        <f>IF(Výtahy!B73="ano",O73,0)</f>
        <v>0</v>
      </c>
      <c r="Q73" s="154">
        <f t="shared" si="12"/>
        <v>0</v>
      </c>
      <c r="Y73" s="212">
        <f>X73*Evidence!N73/100</f>
        <v>0</v>
      </c>
      <c r="Z73" s="212">
        <f t="shared" si="13"/>
        <v>0</v>
      </c>
      <c r="AA73">
        <f t="shared" si="14"/>
        <v>0</v>
      </c>
    </row>
    <row r="74" spans="1:27" x14ac:dyDescent="0.25">
      <c r="A74" s="99"/>
      <c r="B74" s="99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154">
        <f t="shared" si="11"/>
        <v>0</v>
      </c>
      <c r="P74" s="154">
        <f>IF(Výtahy!B74="ano",O74,0)</f>
        <v>0</v>
      </c>
      <c r="Q74" s="154">
        <f t="shared" si="12"/>
        <v>0</v>
      </c>
      <c r="Y74" s="212">
        <f>X74*Evidence!N74/100</f>
        <v>0</v>
      </c>
      <c r="Z74" s="212">
        <f t="shared" si="13"/>
        <v>0</v>
      </c>
      <c r="AA74">
        <f t="shared" si="14"/>
        <v>0</v>
      </c>
    </row>
    <row r="75" spans="1:27" x14ac:dyDescent="0.25">
      <c r="A75" s="99"/>
      <c r="B75" s="99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154">
        <f t="shared" si="11"/>
        <v>0</v>
      </c>
      <c r="P75" s="154">
        <f>IF(Výtahy!B75="ano",O75,0)</f>
        <v>0</v>
      </c>
      <c r="Q75" s="154">
        <f t="shared" si="12"/>
        <v>0</v>
      </c>
      <c r="Y75" s="212">
        <f>X75*Evidence!N75/100</f>
        <v>0</v>
      </c>
      <c r="Z75" s="212">
        <f t="shared" si="13"/>
        <v>0</v>
      </c>
      <c r="AA75">
        <f t="shared" si="14"/>
        <v>0</v>
      </c>
    </row>
    <row r="76" spans="1:27" x14ac:dyDescent="0.25">
      <c r="A76" s="99"/>
      <c r="B76" s="99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154">
        <f t="shared" si="11"/>
        <v>0</v>
      </c>
      <c r="P76" s="154">
        <f>IF(Výtahy!B76="ano",O76,0)</f>
        <v>0</v>
      </c>
      <c r="Q76" s="154">
        <f t="shared" si="12"/>
        <v>0</v>
      </c>
      <c r="Y76" s="212">
        <f>X76*Evidence!N76/100</f>
        <v>0</v>
      </c>
      <c r="Z76" s="212">
        <f t="shared" si="13"/>
        <v>0</v>
      </c>
      <c r="AA76">
        <f t="shared" si="14"/>
        <v>0</v>
      </c>
    </row>
    <row r="77" spans="1:27" x14ac:dyDescent="0.25">
      <c r="A77" s="99"/>
      <c r="B77" s="99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154">
        <f t="shared" si="11"/>
        <v>0</v>
      </c>
      <c r="P77" s="154">
        <f>IF(Výtahy!B77="ano",O77,0)</f>
        <v>0</v>
      </c>
      <c r="Q77" s="154">
        <f t="shared" si="12"/>
        <v>0</v>
      </c>
      <c r="Y77" s="212">
        <f>X77*Evidence!N77/100</f>
        <v>0</v>
      </c>
      <c r="Z77" s="212">
        <f t="shared" si="13"/>
        <v>0</v>
      </c>
      <c r="AA77">
        <f t="shared" si="14"/>
        <v>0</v>
      </c>
    </row>
    <row r="78" spans="1:27" x14ac:dyDescent="0.25">
      <c r="A78" s="99"/>
      <c r="B78" s="99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54">
        <f t="shared" si="11"/>
        <v>0</v>
      </c>
      <c r="P78" s="154">
        <f>IF(Výtahy!B78="ano",O78,0)</f>
        <v>0</v>
      </c>
      <c r="Q78" s="154">
        <f t="shared" si="12"/>
        <v>0</v>
      </c>
      <c r="Y78" s="212">
        <f>X78*Evidence!N78/100</f>
        <v>0</v>
      </c>
      <c r="Z78" s="212">
        <f t="shared" si="13"/>
        <v>0</v>
      </c>
      <c r="AA78">
        <f t="shared" si="14"/>
        <v>0</v>
      </c>
    </row>
    <row r="79" spans="1:27" x14ac:dyDescent="0.25">
      <c r="A79" s="99"/>
      <c r="B79" s="99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154">
        <f t="shared" si="11"/>
        <v>0</v>
      </c>
      <c r="P79" s="154">
        <f>IF(Výtahy!B79="ano",O79,0)</f>
        <v>0</v>
      </c>
      <c r="Q79" s="154">
        <f t="shared" si="12"/>
        <v>0</v>
      </c>
      <c r="Y79" s="212">
        <f>X79*Evidence!N79/100</f>
        <v>0</v>
      </c>
      <c r="Z79" s="212">
        <f t="shared" si="13"/>
        <v>0</v>
      </c>
      <c r="AA79">
        <f t="shared" si="14"/>
        <v>0</v>
      </c>
    </row>
    <row r="80" spans="1:27" x14ac:dyDescent="0.25">
      <c r="A80" s="99"/>
      <c r="B80" s="99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54">
        <f t="shared" si="11"/>
        <v>0</v>
      </c>
      <c r="P80" s="154">
        <f>IF(Výtahy!B80="ano",O80,0)</f>
        <v>0</v>
      </c>
      <c r="Q80" s="154">
        <f t="shared" si="12"/>
        <v>0</v>
      </c>
      <c r="Y80" s="212">
        <f>X80*Evidence!N80/100</f>
        <v>0</v>
      </c>
      <c r="Z80" s="212">
        <f t="shared" si="13"/>
        <v>0</v>
      </c>
      <c r="AA80">
        <f t="shared" si="14"/>
        <v>0</v>
      </c>
    </row>
    <row r="81" spans="1:27" x14ac:dyDescent="0.25">
      <c r="A81" s="99"/>
      <c r="B81" s="99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154">
        <f t="shared" si="11"/>
        <v>0</v>
      </c>
      <c r="P81" s="154">
        <f>IF(Výtahy!B81="ano",O81,0)</f>
        <v>0</v>
      </c>
      <c r="Q81" s="154">
        <f t="shared" si="12"/>
        <v>0</v>
      </c>
      <c r="Y81" s="212">
        <f>X81*Evidence!N81/100</f>
        <v>0</v>
      </c>
      <c r="Z81" s="212">
        <f t="shared" si="13"/>
        <v>0</v>
      </c>
      <c r="AA81">
        <f t="shared" si="14"/>
        <v>0</v>
      </c>
    </row>
    <row r="82" spans="1:27" x14ac:dyDescent="0.25">
      <c r="A82" s="99"/>
      <c r="B82" s="99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154">
        <f t="shared" si="11"/>
        <v>0</v>
      </c>
      <c r="P82" s="154">
        <f>IF(Výtahy!B82="ano",O82,0)</f>
        <v>0</v>
      </c>
      <c r="Q82" s="154">
        <f t="shared" si="12"/>
        <v>0</v>
      </c>
      <c r="Y82" s="212">
        <f>X82*Evidence!N82/100</f>
        <v>0</v>
      </c>
      <c r="Z82" s="212">
        <f t="shared" si="13"/>
        <v>0</v>
      </c>
      <c r="AA82">
        <f t="shared" si="14"/>
        <v>0</v>
      </c>
    </row>
    <row r="83" spans="1:27" x14ac:dyDescent="0.25">
      <c r="A83" s="99"/>
      <c r="B83" s="99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154">
        <f t="shared" si="11"/>
        <v>0</v>
      </c>
      <c r="P83" s="154">
        <f>IF(Výtahy!B83="ano",O83,0)</f>
        <v>0</v>
      </c>
      <c r="Q83" s="154">
        <f t="shared" si="12"/>
        <v>0</v>
      </c>
      <c r="Y83" s="212">
        <f>X83*Evidence!N83/100</f>
        <v>0</v>
      </c>
      <c r="Z83" s="212">
        <f t="shared" si="13"/>
        <v>0</v>
      </c>
      <c r="AA83">
        <f t="shared" si="14"/>
        <v>0</v>
      </c>
    </row>
    <row r="84" spans="1:27" x14ac:dyDescent="0.25">
      <c r="A84" s="99"/>
      <c r="B84" s="99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154">
        <f t="shared" si="11"/>
        <v>0</v>
      </c>
      <c r="P84" s="154">
        <f>IF(Výtahy!B84="ano",O84,0)</f>
        <v>0</v>
      </c>
      <c r="Q84" s="154">
        <f t="shared" si="12"/>
        <v>0</v>
      </c>
      <c r="Y84" s="212">
        <f>X84*Evidence!N84/100</f>
        <v>0</v>
      </c>
      <c r="Z84" s="212">
        <f t="shared" si="13"/>
        <v>0</v>
      </c>
      <c r="AA84">
        <f t="shared" si="14"/>
        <v>0</v>
      </c>
    </row>
    <row r="85" spans="1:27" x14ac:dyDescent="0.25">
      <c r="A85" s="99"/>
      <c r="B85" s="99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154">
        <f t="shared" si="11"/>
        <v>0</v>
      </c>
      <c r="P85" s="154">
        <f>IF(Výtahy!B85="ano",O85,0)</f>
        <v>0</v>
      </c>
      <c r="Q85" s="154">
        <f t="shared" si="12"/>
        <v>0</v>
      </c>
      <c r="Y85" s="212">
        <f>X85*Evidence!N85/100</f>
        <v>0</v>
      </c>
      <c r="Z85" s="212">
        <f t="shared" si="13"/>
        <v>0</v>
      </c>
      <c r="AA85">
        <f t="shared" si="14"/>
        <v>0</v>
      </c>
    </row>
    <row r="86" spans="1:27" x14ac:dyDescent="0.25">
      <c r="A86" s="99"/>
      <c r="B86" s="99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154">
        <f t="shared" si="11"/>
        <v>0</v>
      </c>
      <c r="P86" s="154">
        <f>IF(Výtahy!B86="ano",O86,0)</f>
        <v>0</v>
      </c>
      <c r="Q86" s="154">
        <f t="shared" si="12"/>
        <v>0</v>
      </c>
      <c r="Y86" s="212">
        <f>X86*Evidence!N86/100</f>
        <v>0</v>
      </c>
      <c r="Z86" s="212">
        <f t="shared" si="13"/>
        <v>0</v>
      </c>
      <c r="AA86">
        <f t="shared" si="14"/>
        <v>0</v>
      </c>
    </row>
    <row r="87" spans="1:27" x14ac:dyDescent="0.25">
      <c r="A87" s="99"/>
      <c r="B87" s="99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154">
        <f t="shared" si="11"/>
        <v>0</v>
      </c>
      <c r="P87" s="154">
        <f>IF(Výtahy!B87="ano",O87,0)</f>
        <v>0</v>
      </c>
      <c r="Q87" s="154">
        <f t="shared" si="12"/>
        <v>0</v>
      </c>
      <c r="Y87" s="212">
        <f>X87*Evidence!N87/100</f>
        <v>0</v>
      </c>
      <c r="Z87" s="212">
        <f t="shared" si="13"/>
        <v>0</v>
      </c>
      <c r="AA87">
        <f t="shared" si="14"/>
        <v>0</v>
      </c>
    </row>
    <row r="88" spans="1:27" x14ac:dyDescent="0.25">
      <c r="A88" s="99"/>
      <c r="B88" s="99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154">
        <f t="shared" si="11"/>
        <v>0</v>
      </c>
      <c r="P88" s="154">
        <f>IF(Výtahy!B88="ano",O88,0)</f>
        <v>0</v>
      </c>
      <c r="Q88" s="154">
        <f t="shared" si="12"/>
        <v>0</v>
      </c>
      <c r="Y88" s="212">
        <f>X88*Evidence!N88/100</f>
        <v>0</v>
      </c>
      <c r="Z88" s="212">
        <f t="shared" si="13"/>
        <v>0</v>
      </c>
      <c r="AA88">
        <f t="shared" si="14"/>
        <v>0</v>
      </c>
    </row>
    <row r="89" spans="1:27" x14ac:dyDescent="0.25">
      <c r="A89" s="99"/>
      <c r="B89" s="99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54">
        <f t="shared" si="11"/>
        <v>0</v>
      </c>
      <c r="P89" s="154">
        <f>IF(Výtahy!B89="ano",O89,0)</f>
        <v>0</v>
      </c>
      <c r="Q89" s="154">
        <f t="shared" si="12"/>
        <v>0</v>
      </c>
      <c r="Y89" s="212">
        <f>X89*Evidence!N89/100</f>
        <v>0</v>
      </c>
      <c r="Z89" s="212">
        <f t="shared" si="13"/>
        <v>0</v>
      </c>
      <c r="AA89">
        <f t="shared" si="14"/>
        <v>0</v>
      </c>
    </row>
    <row r="90" spans="1:27" x14ac:dyDescent="0.25">
      <c r="A90" s="99"/>
      <c r="B90" s="99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154">
        <f t="shared" si="11"/>
        <v>0</v>
      </c>
      <c r="P90" s="154">
        <f>IF(Výtahy!B90="ano",O90,0)</f>
        <v>0</v>
      </c>
      <c r="Q90" s="154">
        <f t="shared" si="12"/>
        <v>0</v>
      </c>
      <c r="Y90" s="212">
        <f>X90*Evidence!N90/100</f>
        <v>0</v>
      </c>
      <c r="Z90" s="212">
        <f t="shared" si="13"/>
        <v>0</v>
      </c>
      <c r="AA90">
        <f t="shared" si="14"/>
        <v>0</v>
      </c>
    </row>
    <row r="91" spans="1:27" x14ac:dyDescent="0.25">
      <c r="A91" s="99"/>
      <c r="B91" s="99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154">
        <f t="shared" si="11"/>
        <v>0</v>
      </c>
      <c r="P91" s="154">
        <f>IF(Výtahy!B91="ano",O91,0)</f>
        <v>0</v>
      </c>
      <c r="Q91" s="154">
        <f t="shared" si="12"/>
        <v>0</v>
      </c>
      <c r="Y91" s="212">
        <f>X91*Evidence!N91/100</f>
        <v>0</v>
      </c>
      <c r="Z91" s="212">
        <f t="shared" si="13"/>
        <v>0</v>
      </c>
      <c r="AA91">
        <f t="shared" si="14"/>
        <v>0</v>
      </c>
    </row>
    <row r="92" spans="1:27" x14ac:dyDescent="0.25">
      <c r="A92" s="99"/>
      <c r="B92" s="99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154">
        <f t="shared" si="11"/>
        <v>0</v>
      </c>
      <c r="P92" s="154">
        <f>IF(Výtahy!B92="ano",O92,0)</f>
        <v>0</v>
      </c>
      <c r="Q92" s="154">
        <f t="shared" si="12"/>
        <v>0</v>
      </c>
      <c r="Y92" s="212">
        <f>X92*Evidence!N92/100</f>
        <v>0</v>
      </c>
      <c r="Z92" s="212">
        <f t="shared" si="13"/>
        <v>0</v>
      </c>
      <c r="AA92">
        <f t="shared" si="14"/>
        <v>0</v>
      </c>
    </row>
    <row r="93" spans="1:27" x14ac:dyDescent="0.25">
      <c r="A93" s="99"/>
      <c r="B93" s="99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54">
        <f t="shared" si="11"/>
        <v>0</v>
      </c>
      <c r="P93" s="154">
        <f>IF(Výtahy!B93="ano",O93,0)</f>
        <v>0</v>
      </c>
      <c r="Q93" s="154">
        <f t="shared" si="12"/>
        <v>0</v>
      </c>
      <c r="Y93" s="212">
        <f>X93*Evidence!N93/100</f>
        <v>0</v>
      </c>
      <c r="Z93" s="212">
        <f t="shared" si="13"/>
        <v>0</v>
      </c>
      <c r="AA93">
        <f t="shared" si="14"/>
        <v>0</v>
      </c>
    </row>
    <row r="94" spans="1:27" x14ac:dyDescent="0.25">
      <c r="A94" s="99"/>
      <c r="B94" s="99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154">
        <f t="shared" si="11"/>
        <v>0</v>
      </c>
      <c r="P94" s="154">
        <f>IF(Výtahy!B94="ano",O94,0)</f>
        <v>0</v>
      </c>
      <c r="Q94" s="154">
        <f t="shared" si="12"/>
        <v>0</v>
      </c>
      <c r="Y94" s="212">
        <f>X94*Evidence!N94/100</f>
        <v>0</v>
      </c>
      <c r="Z94" s="212">
        <f t="shared" si="13"/>
        <v>0</v>
      </c>
      <c r="AA94">
        <f t="shared" si="14"/>
        <v>0</v>
      </c>
    </row>
    <row r="95" spans="1:27" x14ac:dyDescent="0.25">
      <c r="A95" s="99"/>
      <c r="B95" s="99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154">
        <f t="shared" si="11"/>
        <v>0</v>
      </c>
      <c r="P95" s="154">
        <f>IF(Výtahy!B95="ano",O95,0)</f>
        <v>0</v>
      </c>
      <c r="Q95" s="154">
        <f t="shared" si="12"/>
        <v>0</v>
      </c>
      <c r="Y95" s="212">
        <f>X95*Evidence!N95/100</f>
        <v>0</v>
      </c>
      <c r="Z95" s="212">
        <f t="shared" si="13"/>
        <v>0</v>
      </c>
      <c r="AA95">
        <f t="shared" si="14"/>
        <v>0</v>
      </c>
    </row>
    <row r="96" spans="1:27" x14ac:dyDescent="0.25">
      <c r="A96" s="99"/>
      <c r="B96" s="99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154">
        <f t="shared" si="11"/>
        <v>0</v>
      </c>
      <c r="P96" s="154">
        <f>IF(Výtahy!B96="ano",O96,0)</f>
        <v>0</v>
      </c>
      <c r="Q96" s="154">
        <f t="shared" si="12"/>
        <v>0</v>
      </c>
      <c r="Y96" s="212">
        <f>X96*Evidence!N96/100</f>
        <v>0</v>
      </c>
      <c r="Z96" s="212">
        <f t="shared" si="13"/>
        <v>0</v>
      </c>
      <c r="AA96">
        <f t="shared" si="14"/>
        <v>0</v>
      </c>
    </row>
    <row r="97" spans="1:27" x14ac:dyDescent="0.25">
      <c r="A97" s="99"/>
      <c r="B97" s="99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154">
        <f t="shared" si="11"/>
        <v>0</v>
      </c>
      <c r="P97" s="154">
        <f>IF(Výtahy!B97="ano",O97,0)</f>
        <v>0</v>
      </c>
      <c r="Q97" s="154">
        <f t="shared" si="12"/>
        <v>0</v>
      </c>
      <c r="Y97" s="212">
        <f>X97*Evidence!N97/100</f>
        <v>0</v>
      </c>
      <c r="Z97" s="212">
        <f t="shared" si="13"/>
        <v>0</v>
      </c>
      <c r="AA97">
        <f t="shared" si="14"/>
        <v>0</v>
      </c>
    </row>
    <row r="98" spans="1:27" x14ac:dyDescent="0.25">
      <c r="A98" s="99"/>
      <c r="B98" s="99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154">
        <f t="shared" ref="O98:O129" si="15">SUM(C98:N98)</f>
        <v>0</v>
      </c>
      <c r="P98" s="154">
        <f>IF(Výtahy!B98="ano",O98,0)</f>
        <v>0</v>
      </c>
      <c r="Q98" s="154">
        <f t="shared" ref="Q98:Q103" si="16">O98</f>
        <v>0</v>
      </c>
      <c r="Y98" s="212">
        <f>X98*Evidence!N98/100</f>
        <v>0</v>
      </c>
      <c r="Z98" s="212">
        <f t="shared" ref="Z98:Z129" si="17">ROUND(Y98/$Y$104*100,2)</f>
        <v>0</v>
      </c>
      <c r="AA98">
        <f t="shared" ref="AA98:AA129" si="18">ROUND($AC$1*Z98/100,2)</f>
        <v>0</v>
      </c>
    </row>
    <row r="99" spans="1:27" x14ac:dyDescent="0.25">
      <c r="A99" s="99"/>
      <c r="B99" s="99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154">
        <f t="shared" si="15"/>
        <v>0</v>
      </c>
      <c r="P99" s="154">
        <f>IF(Výtahy!B99="ano",O99,0)</f>
        <v>0</v>
      </c>
      <c r="Q99" s="154">
        <f t="shared" si="16"/>
        <v>0</v>
      </c>
      <c r="Y99" s="212">
        <f>X99*Evidence!N99/100</f>
        <v>0</v>
      </c>
      <c r="Z99" s="212">
        <f t="shared" si="17"/>
        <v>0</v>
      </c>
      <c r="AA99">
        <f t="shared" si="18"/>
        <v>0</v>
      </c>
    </row>
    <row r="100" spans="1:27" x14ac:dyDescent="0.25">
      <c r="A100" s="99"/>
      <c r="B100" s="99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154">
        <f t="shared" si="15"/>
        <v>0</v>
      </c>
      <c r="P100" s="154">
        <f>IF(Výtahy!B100="ano",O100,0)</f>
        <v>0</v>
      </c>
      <c r="Q100" s="154">
        <f t="shared" si="16"/>
        <v>0</v>
      </c>
      <c r="Y100" s="212">
        <f>X100*Evidence!N100/100</f>
        <v>0</v>
      </c>
      <c r="Z100" s="212">
        <f t="shared" si="17"/>
        <v>0</v>
      </c>
      <c r="AA100">
        <f t="shared" si="18"/>
        <v>0</v>
      </c>
    </row>
    <row r="101" spans="1:27" x14ac:dyDescent="0.25">
      <c r="A101" s="99"/>
      <c r="B101" s="99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154">
        <f t="shared" si="15"/>
        <v>0</v>
      </c>
      <c r="P101" s="154">
        <f>IF(Výtahy!B101="ano",O101,0)</f>
        <v>0</v>
      </c>
      <c r="Q101" s="154">
        <f t="shared" si="16"/>
        <v>0</v>
      </c>
      <c r="Y101" s="212">
        <f>X101*Evidence!N101/100</f>
        <v>0</v>
      </c>
      <c r="Z101" s="212">
        <f t="shared" si="17"/>
        <v>0</v>
      </c>
      <c r="AA101">
        <f t="shared" si="18"/>
        <v>0</v>
      </c>
    </row>
    <row r="102" spans="1:27" x14ac:dyDescent="0.25">
      <c r="A102" s="99"/>
      <c r="B102" s="99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54">
        <f t="shared" si="15"/>
        <v>0</v>
      </c>
      <c r="P102" s="154">
        <f>IF(Výtahy!B102="ano",O102,0)</f>
        <v>0</v>
      </c>
      <c r="Q102" s="154">
        <f t="shared" si="16"/>
        <v>0</v>
      </c>
      <c r="Y102" s="212">
        <f>X102*Evidence!N102/100</f>
        <v>0</v>
      </c>
      <c r="Z102" s="212">
        <f t="shared" si="17"/>
        <v>0</v>
      </c>
      <c r="AA102">
        <f t="shared" si="18"/>
        <v>0</v>
      </c>
    </row>
    <row r="103" spans="1:27" ht="15.95" customHeight="1" x14ac:dyDescent="0.25">
      <c r="A103" s="108"/>
      <c r="B103" s="108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7">
        <f t="shared" si="15"/>
        <v>0</v>
      </c>
      <c r="P103" s="157">
        <f>IF(Výtahy!B103="ano",O103,0)</f>
        <v>0</v>
      </c>
      <c r="Q103" s="157">
        <f t="shared" si="16"/>
        <v>0</v>
      </c>
      <c r="Y103" s="212">
        <f>X103*Evidence!N103/100</f>
        <v>0</v>
      </c>
      <c r="Z103" s="212">
        <f t="shared" si="17"/>
        <v>0</v>
      </c>
      <c r="AA103">
        <f t="shared" si="18"/>
        <v>0</v>
      </c>
    </row>
    <row r="104" spans="1:27" ht="15.95" customHeight="1" x14ac:dyDescent="0.25">
      <c r="N104" s="158" t="s">
        <v>464</v>
      </c>
      <c r="O104" s="159">
        <f>SUM(O2:O103)</f>
        <v>439</v>
      </c>
      <c r="P104" s="159">
        <f>SUM(P2:P103)</f>
        <v>307</v>
      </c>
      <c r="Q104" s="159">
        <f>SUM(Q2:Q103)</f>
        <v>439</v>
      </c>
      <c r="Y104" s="214">
        <f>SUM(Y2:Y103)</f>
        <v>10.426629999999999</v>
      </c>
      <c r="AA104" s="263">
        <f>SUM(AA2:AA103)</f>
        <v>47767.999999999993</v>
      </c>
    </row>
    <row r="105" spans="1:27" x14ac:dyDescent="0.25">
      <c r="X105" s="368">
        <f>SUM(X2:X104)</f>
        <v>367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T2:T28"/>
  </mergeCells>
  <hyperlinks>
    <hyperlink ref="A1" location="Seznam!A1" display="Název" xr:uid="{00000000-0004-0000-1000-000000000000}"/>
  </hyperlinks>
  <printOptions horizontalCentered="1"/>
  <pageMargins left="0.19685039370078999" right="0.19685039370078999" top="0.39370078740157" bottom="0.39370078740157" header="0" footer="0"/>
  <pageSetup scale="11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R105"/>
  <sheetViews>
    <sheetView workbookViewId="0">
      <pane xSplit="1" topLeftCell="B1" activePane="topRight" state="frozen"/>
      <selection pane="topRight"/>
    </sheetView>
  </sheetViews>
  <sheetFormatPr defaultColWidth="9.140625" defaultRowHeight="15" x14ac:dyDescent="0.25"/>
  <cols>
    <col min="1" max="1" width="22.5703125" style="138" customWidth="1"/>
    <col min="2" max="13" width="4.5703125" style="138" customWidth="1"/>
    <col min="14" max="14" width="7.85546875" style="120" customWidth="1"/>
    <col min="15" max="26" width="4.5703125" style="138" customWidth="1"/>
    <col min="27" max="27" width="7.85546875" style="120" customWidth="1"/>
    <col min="28" max="39" width="3.5703125" style="138" customWidth="1"/>
    <col min="40" max="40" width="7.42578125" style="120" customWidth="1"/>
    <col min="41" max="52" width="4.5703125" style="138" customWidth="1"/>
    <col min="53" max="53" width="7.85546875" style="120" customWidth="1"/>
    <col min="54" max="65" width="4" style="138" customWidth="1"/>
    <col min="66" max="66" width="7.85546875" style="120" customWidth="1"/>
    <col min="67" max="78" width="3.28515625" style="138" customWidth="1"/>
    <col min="79" max="79" width="7.42578125" style="120" customWidth="1"/>
    <col min="80" max="91" width="6" style="138" customWidth="1"/>
    <col min="92" max="92" width="9.85546875" style="138" customWidth="1"/>
    <col min="93" max="104" width="5" customWidth="1"/>
    <col min="105" max="105" width="8.85546875" customWidth="1"/>
    <col min="106" max="117" width="5" customWidth="1"/>
    <col min="118" max="118" width="8.85546875" customWidth="1"/>
    <col min="119" max="119" width="5" customWidth="1"/>
    <col min="120" max="130" width="4" customWidth="1"/>
    <col min="131" max="131" width="7.85546875" customWidth="1"/>
    <col min="132" max="133" width="2.42578125" customWidth="1"/>
    <col min="134" max="140" width="2.42578125" style="138" customWidth="1"/>
    <col min="141" max="143" width="3.42578125" style="138" customWidth="1"/>
    <col min="144" max="144" width="7.42578125" style="138" customWidth="1"/>
    <col min="145" max="156" width="4.42578125" style="138" customWidth="1"/>
    <col min="157" max="157" width="7.42578125" style="138" customWidth="1"/>
    <col min="158" max="169" width="4.42578125" style="184" customWidth="1"/>
    <col min="170" max="170" width="7.42578125" style="138" customWidth="1"/>
    <col min="171" max="182" width="6.42578125" style="138" customWidth="1"/>
    <col min="183" max="183" width="7.85546875" style="138" customWidth="1"/>
    <col min="184" max="195" width="4.42578125" style="184" customWidth="1"/>
    <col min="196" max="196" width="7.42578125" style="184" customWidth="1"/>
    <col min="197" max="208" width="4" style="138" customWidth="1"/>
    <col min="209" max="209" width="7.85546875" style="138" customWidth="1"/>
    <col min="210" max="221" width="4.42578125" style="184" customWidth="1"/>
    <col min="222" max="222" width="7.42578125" style="184" customWidth="1"/>
    <col min="223" max="234" width="6.42578125" style="138" customWidth="1"/>
    <col min="235" max="235" width="7.85546875" style="138" customWidth="1"/>
    <col min="236" max="247" width="4.42578125" style="184" customWidth="1"/>
    <col min="248" max="248" width="7.42578125" style="184" customWidth="1"/>
    <col min="249" max="260" width="4.42578125" style="184" customWidth="1"/>
    <col min="261" max="261" width="7.42578125" style="184" customWidth="1"/>
    <col min="262" max="262" width="9.140625" style="138"/>
    <col min="263" max="275" width="7.5703125" style="138" customWidth="1"/>
    <col min="276" max="276" width="5.140625" style="27" customWidth="1"/>
    <col min="277" max="277" width="17.5703125" style="138" customWidth="1"/>
    <col min="278" max="278" width="9.140625" style="138"/>
  </cols>
  <sheetData>
    <row r="1" spans="1:277" s="120" customFormat="1" ht="31.5" customHeight="1" x14ac:dyDescent="0.25">
      <c r="A1" s="600" t="s">
        <v>14</v>
      </c>
      <c r="B1" s="803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5"/>
      <c r="N1" s="121" t="str">
        <f>_xlfn.XLOOKUP("N", Faktury!M:M, Faktury!A:A)</f>
        <v>Elektrická energie (společné prostory)</v>
      </c>
      <c r="O1" s="800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2"/>
      <c r="AA1" s="121" t="str">
        <f>_xlfn.XLOOKUP("AA", Faktury!M:M, Faktury!A:A)</f>
        <v>Úklid bytového domu</v>
      </c>
      <c r="AB1" s="803"/>
      <c r="AC1" s="804"/>
      <c r="AD1" s="804"/>
      <c r="AE1" s="804"/>
      <c r="AF1" s="804"/>
      <c r="AG1" s="804"/>
      <c r="AH1" s="804"/>
      <c r="AI1" s="804"/>
      <c r="AJ1" s="804"/>
      <c r="AK1" s="804"/>
      <c r="AL1" s="804"/>
      <c r="AM1" s="805"/>
      <c r="AN1" s="121" t="e">
        <f>_xlfn.XLOOKUP("AN", Faktury!M:M, Faktury!A:A)</f>
        <v>#N/A</v>
      </c>
      <c r="AO1" s="800"/>
      <c r="AP1" s="801"/>
      <c r="AQ1" s="801"/>
      <c r="AR1" s="801"/>
      <c r="AS1" s="801"/>
      <c r="AT1" s="801"/>
      <c r="AU1" s="801"/>
      <c r="AV1" s="801"/>
      <c r="AW1" s="801"/>
      <c r="AX1" s="801"/>
      <c r="AY1" s="801"/>
      <c r="AZ1" s="802"/>
      <c r="BA1" s="121" t="e">
        <f>_xlfn.XLOOKUP("BA", Faktury!M:M, Faktury!A:A)</f>
        <v>#N/A</v>
      </c>
      <c r="BB1" s="803"/>
      <c r="BC1" s="804"/>
      <c r="BD1" s="804"/>
      <c r="BE1" s="804"/>
      <c r="BF1" s="804"/>
      <c r="BG1" s="804"/>
      <c r="BH1" s="804"/>
      <c r="BI1" s="804"/>
      <c r="BJ1" s="804"/>
      <c r="BK1" s="804"/>
      <c r="BL1" s="804"/>
      <c r="BM1" s="805"/>
      <c r="BN1" s="121" t="str">
        <f>_xlfn.XLOOKUP("BN", Faktury!M:M, Faktury!A:A)</f>
        <v>Studená voda</v>
      </c>
      <c r="BO1" s="800"/>
      <c r="BP1" s="801"/>
      <c r="BQ1" s="801"/>
      <c r="BR1" s="801"/>
      <c r="BS1" s="801"/>
      <c r="BT1" s="801"/>
      <c r="BU1" s="801"/>
      <c r="BV1" s="801"/>
      <c r="BW1" s="801"/>
      <c r="BX1" s="801"/>
      <c r="BY1" s="801"/>
      <c r="BZ1" s="802"/>
      <c r="CA1" s="121" t="str">
        <f>_xlfn.XLOOKUP("CA", Faktury!M:M, Faktury!A:A)</f>
        <v>Správa domu</v>
      </c>
      <c r="CB1" s="803"/>
      <c r="CC1" s="804"/>
      <c r="CD1" s="804"/>
      <c r="CE1" s="804"/>
      <c r="CF1" s="804"/>
      <c r="CG1" s="804"/>
      <c r="CH1" s="804"/>
      <c r="CI1" s="804"/>
      <c r="CJ1" s="804"/>
      <c r="CK1" s="804"/>
      <c r="CL1" s="804"/>
      <c r="CM1" s="805"/>
      <c r="CN1" s="120" t="e">
        <f>_xlfn.XLOOKUP("CN", Faktury!M:M, Faktury!A:A)</f>
        <v>#N/A</v>
      </c>
      <c r="CO1" s="800"/>
      <c r="CP1" s="801"/>
      <c r="CQ1" s="801"/>
      <c r="CR1" s="801"/>
      <c r="CS1" s="801"/>
      <c r="CT1" s="801"/>
      <c r="CU1" s="801"/>
      <c r="CV1" s="801"/>
      <c r="CW1" s="801"/>
      <c r="CX1" s="801"/>
      <c r="CY1" s="801"/>
      <c r="CZ1" s="802"/>
      <c r="DA1" s="120" t="e">
        <f>_xlfn.XLOOKUP("DA", Faktury!M:M, Faktury!A:A)</f>
        <v>#N/A</v>
      </c>
      <c r="DB1" s="803"/>
      <c r="DC1" s="804"/>
      <c r="DD1" s="804"/>
      <c r="DE1" s="804"/>
      <c r="DF1" s="804"/>
      <c r="DG1" s="804"/>
      <c r="DH1" s="804"/>
      <c r="DI1" s="804"/>
      <c r="DJ1" s="804"/>
      <c r="DK1" s="804"/>
      <c r="DL1" s="804"/>
      <c r="DM1" s="805"/>
      <c r="DN1" s="120" t="e">
        <f>_xlfn.XLOOKUP("DN", Faktury!M:M, Faktury!A:A)</f>
        <v>#N/A</v>
      </c>
      <c r="DO1" s="800"/>
      <c r="DP1" s="801"/>
      <c r="DQ1" s="801"/>
      <c r="DR1" s="801"/>
      <c r="DS1" s="801"/>
      <c r="DT1" s="801"/>
      <c r="DU1" s="801"/>
      <c r="DV1" s="801"/>
      <c r="DW1" s="801"/>
      <c r="DX1" s="801"/>
      <c r="DY1" s="801"/>
      <c r="DZ1" s="802"/>
      <c r="EA1" s="121" t="e">
        <f>_xlfn.XLOOKUP("EA", Faktury!M:M, Faktury!A:A)</f>
        <v>#N/A</v>
      </c>
      <c r="EB1" s="797"/>
      <c r="EC1" s="798"/>
      <c r="ED1" s="798"/>
      <c r="EE1" s="798"/>
      <c r="EF1" s="798"/>
      <c r="EG1" s="798"/>
      <c r="EH1" s="798"/>
      <c r="EI1" s="798"/>
      <c r="EJ1" s="798"/>
      <c r="EK1" s="798"/>
      <c r="EL1" s="798"/>
      <c r="EM1" s="799"/>
      <c r="EN1" s="120" t="e">
        <f>_xlfn.XLOOKUP("EN", Faktury!M:M, Faktury!A:A)</f>
        <v>#N/A</v>
      </c>
      <c r="EO1" s="800"/>
      <c r="EP1" s="801"/>
      <c r="EQ1" s="801"/>
      <c r="ER1" s="801"/>
      <c r="ES1" s="801"/>
      <c r="ET1" s="801"/>
      <c r="EU1" s="801"/>
      <c r="EV1" s="801"/>
      <c r="EW1" s="801"/>
      <c r="EX1" s="801"/>
      <c r="EY1" s="801"/>
      <c r="EZ1" s="802"/>
      <c r="FA1" s="120" t="e">
        <f>_xlfn.XLOOKUP("FA", Faktury!M:M, Faktury!A:A)</f>
        <v>#N/A</v>
      </c>
      <c r="FB1" s="803"/>
      <c r="FC1" s="804"/>
      <c r="FD1" s="804"/>
      <c r="FE1" s="804"/>
      <c r="FF1" s="804"/>
      <c r="FG1" s="804"/>
      <c r="FH1" s="804"/>
      <c r="FI1" s="804"/>
      <c r="FJ1" s="804"/>
      <c r="FK1" s="804"/>
      <c r="FL1" s="804"/>
      <c r="FM1" s="805"/>
      <c r="FN1" s="120" t="e">
        <f>_xlfn.XLOOKUP("FA", Faktury!M:M, Faktury!A:A)</f>
        <v>#N/A</v>
      </c>
      <c r="FO1" s="800"/>
      <c r="FP1" s="801"/>
      <c r="FQ1" s="801"/>
      <c r="FR1" s="801"/>
      <c r="FS1" s="801"/>
      <c r="FT1" s="801"/>
      <c r="FU1" s="801"/>
      <c r="FV1" s="801"/>
      <c r="FW1" s="801"/>
      <c r="FX1" s="801"/>
      <c r="FY1" s="801"/>
      <c r="FZ1" s="802"/>
      <c r="GA1" s="120" t="e">
        <f>_xlfn.XLOOKUP("GA", Faktury!M:M, Faktury!A:A)</f>
        <v>#N/A</v>
      </c>
      <c r="GB1" s="803"/>
      <c r="GC1" s="804"/>
      <c r="GD1" s="804"/>
      <c r="GE1" s="804"/>
      <c r="GF1" s="804"/>
      <c r="GG1" s="804"/>
      <c r="GH1" s="804"/>
      <c r="GI1" s="804"/>
      <c r="GJ1" s="804"/>
      <c r="GK1" s="804"/>
      <c r="GL1" s="804"/>
      <c r="GM1" s="805"/>
      <c r="GN1" s="185" t="e">
        <f>_xlfn.XLOOKUP("GN", Faktury!M:M, Faktury!A:A)</f>
        <v>#N/A</v>
      </c>
      <c r="GO1" s="800"/>
      <c r="GP1" s="801"/>
      <c r="GQ1" s="801"/>
      <c r="GR1" s="801"/>
      <c r="GS1" s="801"/>
      <c r="GT1" s="801"/>
      <c r="GU1" s="801"/>
      <c r="GV1" s="801"/>
      <c r="GW1" s="801"/>
      <c r="GX1" s="801"/>
      <c r="GY1" s="801"/>
      <c r="GZ1" s="802"/>
      <c r="HA1" s="120" t="e">
        <f>_xlfn.XLOOKUP("HA", Faktury!M:M, Faktury!A:A)</f>
        <v>#N/A</v>
      </c>
      <c r="HB1" s="803"/>
      <c r="HC1" s="804"/>
      <c r="HD1" s="804"/>
      <c r="HE1" s="804"/>
      <c r="HF1" s="804"/>
      <c r="HG1" s="804"/>
      <c r="HH1" s="804"/>
      <c r="HI1" s="804"/>
      <c r="HJ1" s="804"/>
      <c r="HK1" s="804"/>
      <c r="HL1" s="804"/>
      <c r="HM1" s="805"/>
      <c r="HN1" s="185" t="e">
        <f>_xlfn.XLOOKUP("HN", Faktury!M:M, Faktury!A:A)</f>
        <v>#N/A</v>
      </c>
      <c r="HO1" s="800"/>
      <c r="HP1" s="801"/>
      <c r="HQ1" s="801"/>
      <c r="HR1" s="801"/>
      <c r="HS1" s="801"/>
      <c r="HT1" s="801"/>
      <c r="HU1" s="801"/>
      <c r="HV1" s="801"/>
      <c r="HW1" s="801"/>
      <c r="HX1" s="801"/>
      <c r="HY1" s="801"/>
      <c r="HZ1" s="802"/>
      <c r="IA1" s="120" t="e">
        <f>_xlfn.XLOOKUP("IA", Faktury!M:M, Faktury!A:A)</f>
        <v>#N/A</v>
      </c>
      <c r="IB1" s="803"/>
      <c r="IC1" s="804"/>
      <c r="ID1" s="804"/>
      <c r="IE1" s="804"/>
      <c r="IF1" s="804"/>
      <c r="IG1" s="804"/>
      <c r="IH1" s="804"/>
      <c r="II1" s="804"/>
      <c r="IJ1" s="804"/>
      <c r="IK1" s="804"/>
      <c r="IL1" s="804"/>
      <c r="IM1" s="805"/>
      <c r="IN1" s="185" t="e">
        <f>_xlfn.XLOOKUP("IN", Faktury!M:M, Faktury!A:A)</f>
        <v>#N/A</v>
      </c>
      <c r="IO1" s="803"/>
      <c r="IP1" s="804"/>
      <c r="IQ1" s="804"/>
      <c r="IR1" s="804"/>
      <c r="IS1" s="804"/>
      <c r="IT1" s="804"/>
      <c r="IU1" s="804"/>
      <c r="IV1" s="804"/>
      <c r="IW1" s="804"/>
      <c r="IX1" s="804"/>
      <c r="IY1" s="804"/>
      <c r="IZ1" s="805"/>
      <c r="JA1" s="185" t="e">
        <f>_xlfn.XLOOKUP("JA", Faktury!M:M, Faktury!A:A)</f>
        <v>#N/A</v>
      </c>
      <c r="JC1" s="806" t="s">
        <v>555</v>
      </c>
      <c r="JD1" s="807"/>
      <c r="JE1" s="807"/>
      <c r="JF1" s="807"/>
      <c r="JG1" s="807"/>
      <c r="JH1" s="807"/>
      <c r="JI1" s="807"/>
      <c r="JJ1" s="807"/>
      <c r="JK1" s="807"/>
      <c r="JL1" s="807"/>
      <c r="JM1" s="807"/>
      <c r="JN1" s="807"/>
      <c r="JO1" s="807"/>
    </row>
    <row r="2" spans="1:277" s="122" customFormat="1" ht="24" customHeight="1" x14ac:dyDescent="0.25">
      <c r="B2" s="123">
        <v>1</v>
      </c>
      <c r="C2" s="123">
        <v>2</v>
      </c>
      <c r="D2" s="123">
        <v>3</v>
      </c>
      <c r="E2" s="123">
        <v>4</v>
      </c>
      <c r="F2" s="123">
        <v>5</v>
      </c>
      <c r="G2" s="123">
        <v>6</v>
      </c>
      <c r="H2" s="123">
        <v>7</v>
      </c>
      <c r="I2" s="123">
        <v>8</v>
      </c>
      <c r="J2" s="123">
        <v>9</v>
      </c>
      <c r="K2" s="123">
        <v>10</v>
      </c>
      <c r="L2" s="123">
        <v>11</v>
      </c>
      <c r="M2" s="123">
        <v>12</v>
      </c>
      <c r="N2" s="124" t="s">
        <v>464</v>
      </c>
      <c r="O2" s="124">
        <v>1</v>
      </c>
      <c r="P2" s="124">
        <v>2</v>
      </c>
      <c r="Q2" s="124">
        <v>3</v>
      </c>
      <c r="R2" s="124">
        <v>4</v>
      </c>
      <c r="S2" s="124">
        <v>5</v>
      </c>
      <c r="T2" s="124">
        <v>6</v>
      </c>
      <c r="U2" s="124">
        <v>7</v>
      </c>
      <c r="V2" s="124">
        <v>8</v>
      </c>
      <c r="W2" s="124">
        <v>9</v>
      </c>
      <c r="X2" s="124">
        <v>10</v>
      </c>
      <c r="Y2" s="124">
        <v>11</v>
      </c>
      <c r="Z2" s="124">
        <v>12</v>
      </c>
      <c r="AA2" s="124" t="s">
        <v>464</v>
      </c>
      <c r="AB2" s="123">
        <v>1</v>
      </c>
      <c r="AC2" s="123">
        <v>2</v>
      </c>
      <c r="AD2" s="123">
        <v>3</v>
      </c>
      <c r="AE2" s="123">
        <v>4</v>
      </c>
      <c r="AF2" s="123">
        <v>5</v>
      </c>
      <c r="AG2" s="123">
        <v>6</v>
      </c>
      <c r="AH2" s="123">
        <v>7</v>
      </c>
      <c r="AI2" s="123">
        <v>8</v>
      </c>
      <c r="AJ2" s="123">
        <v>9</v>
      </c>
      <c r="AK2" s="123">
        <v>10</v>
      </c>
      <c r="AL2" s="123">
        <v>11</v>
      </c>
      <c r="AM2" s="123">
        <v>12</v>
      </c>
      <c r="AN2" s="124" t="s">
        <v>464</v>
      </c>
      <c r="AO2" s="124">
        <v>1</v>
      </c>
      <c r="AP2" s="124">
        <v>2</v>
      </c>
      <c r="AQ2" s="124">
        <v>3</v>
      </c>
      <c r="AR2" s="124">
        <v>4</v>
      </c>
      <c r="AS2" s="124">
        <v>5</v>
      </c>
      <c r="AT2" s="124">
        <v>6</v>
      </c>
      <c r="AU2" s="124">
        <v>7</v>
      </c>
      <c r="AV2" s="124">
        <v>8</v>
      </c>
      <c r="AW2" s="124">
        <v>9</v>
      </c>
      <c r="AX2" s="124">
        <v>10</v>
      </c>
      <c r="AY2" s="124">
        <v>11</v>
      </c>
      <c r="AZ2" s="124">
        <v>12</v>
      </c>
      <c r="BA2" s="124" t="s">
        <v>464</v>
      </c>
      <c r="BB2" s="123">
        <v>1</v>
      </c>
      <c r="BC2" s="123">
        <v>2</v>
      </c>
      <c r="BD2" s="123">
        <v>3</v>
      </c>
      <c r="BE2" s="123">
        <v>4</v>
      </c>
      <c r="BF2" s="123">
        <v>5</v>
      </c>
      <c r="BG2" s="123">
        <v>6</v>
      </c>
      <c r="BH2" s="123">
        <v>7</v>
      </c>
      <c r="BI2" s="123">
        <v>8</v>
      </c>
      <c r="BJ2" s="123">
        <v>9</v>
      </c>
      <c r="BK2" s="123">
        <v>10</v>
      </c>
      <c r="BL2" s="123">
        <v>11</v>
      </c>
      <c r="BM2" s="123">
        <v>12</v>
      </c>
      <c r="BN2" s="125" t="s">
        <v>464</v>
      </c>
      <c r="BO2" s="124">
        <v>1</v>
      </c>
      <c r="BP2" s="124">
        <v>2</v>
      </c>
      <c r="BQ2" s="124">
        <v>3</v>
      </c>
      <c r="BR2" s="124">
        <v>4</v>
      </c>
      <c r="BS2" s="124">
        <v>5</v>
      </c>
      <c r="BT2" s="124">
        <v>6</v>
      </c>
      <c r="BU2" s="124">
        <v>7</v>
      </c>
      <c r="BV2" s="124">
        <v>8</v>
      </c>
      <c r="BW2" s="124">
        <v>9</v>
      </c>
      <c r="BX2" s="124">
        <v>10</v>
      </c>
      <c r="BY2" s="124">
        <v>11</v>
      </c>
      <c r="BZ2" s="124">
        <v>12</v>
      </c>
      <c r="CA2" s="125" t="s">
        <v>464</v>
      </c>
      <c r="CB2" s="126">
        <v>1</v>
      </c>
      <c r="CC2" s="126">
        <v>2</v>
      </c>
      <c r="CD2" s="126">
        <v>3</v>
      </c>
      <c r="CE2" s="126">
        <v>4</v>
      </c>
      <c r="CF2" s="126">
        <v>5</v>
      </c>
      <c r="CG2" s="126">
        <v>6</v>
      </c>
      <c r="CH2" s="126">
        <v>7</v>
      </c>
      <c r="CI2" s="126">
        <v>8</v>
      </c>
      <c r="CJ2" s="126">
        <v>9</v>
      </c>
      <c r="CK2" s="126">
        <v>10</v>
      </c>
      <c r="CL2" s="126">
        <v>11</v>
      </c>
      <c r="CM2" s="126">
        <v>12</v>
      </c>
      <c r="CN2" s="124" t="s">
        <v>464</v>
      </c>
      <c r="CO2" s="127">
        <v>1</v>
      </c>
      <c r="CP2" s="127">
        <v>2</v>
      </c>
      <c r="CQ2" s="127">
        <v>3</v>
      </c>
      <c r="CR2" s="127">
        <v>4</v>
      </c>
      <c r="CS2" s="127">
        <v>5</v>
      </c>
      <c r="CT2" s="127">
        <v>6</v>
      </c>
      <c r="CU2" s="127">
        <v>7</v>
      </c>
      <c r="CV2" s="127">
        <v>8</v>
      </c>
      <c r="CW2" s="127">
        <v>9</v>
      </c>
      <c r="CX2" s="127">
        <v>10</v>
      </c>
      <c r="CY2" s="127">
        <v>11</v>
      </c>
      <c r="CZ2" s="127">
        <v>12</v>
      </c>
      <c r="DA2" s="124" t="s">
        <v>464</v>
      </c>
      <c r="DB2" s="126">
        <v>1</v>
      </c>
      <c r="DC2" s="126">
        <v>2</v>
      </c>
      <c r="DD2" s="126">
        <v>3</v>
      </c>
      <c r="DE2" s="126">
        <v>4</v>
      </c>
      <c r="DF2" s="126">
        <v>5</v>
      </c>
      <c r="DG2" s="126">
        <v>6</v>
      </c>
      <c r="DH2" s="126">
        <v>7</v>
      </c>
      <c r="DI2" s="126">
        <v>8</v>
      </c>
      <c r="DJ2" s="126">
        <v>9</v>
      </c>
      <c r="DK2" s="126">
        <v>10</v>
      </c>
      <c r="DL2" s="126">
        <v>11</v>
      </c>
      <c r="DM2" s="126">
        <v>12</v>
      </c>
      <c r="DN2" s="124" t="s">
        <v>464</v>
      </c>
      <c r="DO2" s="127">
        <v>1</v>
      </c>
      <c r="DP2" s="127">
        <v>2</v>
      </c>
      <c r="DQ2" s="127">
        <v>3</v>
      </c>
      <c r="DR2" s="127">
        <v>4</v>
      </c>
      <c r="DS2" s="127">
        <v>5</v>
      </c>
      <c r="DT2" s="127">
        <v>6</v>
      </c>
      <c r="DU2" s="127">
        <v>7</v>
      </c>
      <c r="DV2" s="127">
        <v>8</v>
      </c>
      <c r="DW2" s="127">
        <v>9</v>
      </c>
      <c r="DX2" s="127">
        <v>10</v>
      </c>
      <c r="DY2" s="127">
        <v>11</v>
      </c>
      <c r="DZ2" s="127">
        <v>12</v>
      </c>
      <c r="EA2" s="124" t="s">
        <v>464</v>
      </c>
      <c r="EB2" s="126">
        <v>1</v>
      </c>
      <c r="EC2" s="126">
        <v>2</v>
      </c>
      <c r="ED2" s="126">
        <v>3</v>
      </c>
      <c r="EE2" s="126">
        <v>4</v>
      </c>
      <c r="EF2" s="126">
        <v>5</v>
      </c>
      <c r="EG2" s="126">
        <v>6</v>
      </c>
      <c r="EH2" s="126">
        <v>7</v>
      </c>
      <c r="EI2" s="126">
        <v>8</v>
      </c>
      <c r="EJ2" s="126">
        <v>9</v>
      </c>
      <c r="EK2" s="126">
        <v>10</v>
      </c>
      <c r="EL2" s="126">
        <v>11</v>
      </c>
      <c r="EM2" s="126">
        <v>12</v>
      </c>
      <c r="EN2" s="124" t="s">
        <v>464</v>
      </c>
      <c r="EO2" s="126">
        <v>1</v>
      </c>
      <c r="EP2" s="126">
        <v>2</v>
      </c>
      <c r="EQ2" s="126">
        <v>3</v>
      </c>
      <c r="ER2" s="126">
        <v>4</v>
      </c>
      <c r="ES2" s="126">
        <v>5</v>
      </c>
      <c r="ET2" s="126">
        <v>6</v>
      </c>
      <c r="EU2" s="126">
        <v>7</v>
      </c>
      <c r="EV2" s="126">
        <v>8</v>
      </c>
      <c r="EW2" s="126">
        <v>9</v>
      </c>
      <c r="EX2" s="126">
        <v>10</v>
      </c>
      <c r="EY2" s="126">
        <v>11</v>
      </c>
      <c r="EZ2" s="126">
        <v>12</v>
      </c>
      <c r="FA2" s="124" t="s">
        <v>464</v>
      </c>
      <c r="FB2" s="126">
        <v>1</v>
      </c>
      <c r="FC2" s="126">
        <v>2</v>
      </c>
      <c r="FD2" s="126">
        <v>3</v>
      </c>
      <c r="FE2" s="126">
        <v>4</v>
      </c>
      <c r="FF2" s="126">
        <v>5</v>
      </c>
      <c r="FG2" s="126">
        <v>6</v>
      </c>
      <c r="FH2" s="126">
        <v>7</v>
      </c>
      <c r="FI2" s="126">
        <v>8</v>
      </c>
      <c r="FJ2" s="126">
        <v>9</v>
      </c>
      <c r="FK2" s="126">
        <v>10</v>
      </c>
      <c r="FL2" s="126">
        <v>11</v>
      </c>
      <c r="FM2" s="126">
        <v>12</v>
      </c>
      <c r="FN2" s="124" t="s">
        <v>464</v>
      </c>
      <c r="FO2" s="126">
        <v>1</v>
      </c>
      <c r="FP2" s="126">
        <v>2</v>
      </c>
      <c r="FQ2" s="126">
        <v>3</v>
      </c>
      <c r="FR2" s="126">
        <v>4</v>
      </c>
      <c r="FS2" s="126">
        <v>5</v>
      </c>
      <c r="FT2" s="126">
        <v>6</v>
      </c>
      <c r="FU2" s="126">
        <v>7</v>
      </c>
      <c r="FV2" s="126">
        <v>8</v>
      </c>
      <c r="FW2" s="126">
        <v>9</v>
      </c>
      <c r="FX2" s="126">
        <v>10</v>
      </c>
      <c r="FY2" s="126">
        <v>11</v>
      </c>
      <c r="FZ2" s="126">
        <v>12</v>
      </c>
      <c r="GA2" s="124" t="s">
        <v>464</v>
      </c>
      <c r="GB2" s="126">
        <v>1</v>
      </c>
      <c r="GC2" s="126">
        <v>2</v>
      </c>
      <c r="GD2" s="126">
        <v>3</v>
      </c>
      <c r="GE2" s="126">
        <v>4</v>
      </c>
      <c r="GF2" s="126">
        <v>5</v>
      </c>
      <c r="GG2" s="126">
        <v>6</v>
      </c>
      <c r="GH2" s="126">
        <v>7</v>
      </c>
      <c r="GI2" s="126">
        <v>8</v>
      </c>
      <c r="GJ2" s="126">
        <v>9</v>
      </c>
      <c r="GK2" s="126">
        <v>10</v>
      </c>
      <c r="GL2" s="126">
        <v>11</v>
      </c>
      <c r="GM2" s="126">
        <v>12</v>
      </c>
      <c r="GN2" s="123" t="s">
        <v>464</v>
      </c>
      <c r="GO2" s="127">
        <v>1</v>
      </c>
      <c r="GP2" s="127">
        <v>2</v>
      </c>
      <c r="GQ2" s="127">
        <v>3</v>
      </c>
      <c r="GR2" s="127">
        <v>4</v>
      </c>
      <c r="GS2" s="127">
        <v>5</v>
      </c>
      <c r="GT2" s="127">
        <v>6</v>
      </c>
      <c r="GU2" s="127">
        <v>7</v>
      </c>
      <c r="GV2" s="127">
        <v>8</v>
      </c>
      <c r="GW2" s="127">
        <v>9</v>
      </c>
      <c r="GX2" s="127">
        <v>10</v>
      </c>
      <c r="GY2" s="127">
        <v>11</v>
      </c>
      <c r="GZ2" s="127">
        <v>12</v>
      </c>
      <c r="HA2" s="124" t="s">
        <v>464</v>
      </c>
      <c r="HB2" s="126">
        <v>1</v>
      </c>
      <c r="HC2" s="126">
        <v>2</v>
      </c>
      <c r="HD2" s="126">
        <v>3</v>
      </c>
      <c r="HE2" s="126">
        <v>4</v>
      </c>
      <c r="HF2" s="126">
        <v>5</v>
      </c>
      <c r="HG2" s="126">
        <v>6</v>
      </c>
      <c r="HH2" s="126">
        <v>7</v>
      </c>
      <c r="HI2" s="126">
        <v>8</v>
      </c>
      <c r="HJ2" s="126">
        <v>9</v>
      </c>
      <c r="HK2" s="126">
        <v>10</v>
      </c>
      <c r="HL2" s="126">
        <v>11</v>
      </c>
      <c r="HM2" s="126">
        <v>12</v>
      </c>
      <c r="HN2" s="123" t="s">
        <v>464</v>
      </c>
      <c r="HO2" s="127">
        <v>1</v>
      </c>
      <c r="HP2" s="127">
        <v>2</v>
      </c>
      <c r="HQ2" s="127">
        <v>3</v>
      </c>
      <c r="HR2" s="127">
        <v>4</v>
      </c>
      <c r="HS2" s="127">
        <v>5</v>
      </c>
      <c r="HT2" s="127">
        <v>6</v>
      </c>
      <c r="HU2" s="127">
        <v>7</v>
      </c>
      <c r="HV2" s="127">
        <v>8</v>
      </c>
      <c r="HW2" s="127">
        <v>9</v>
      </c>
      <c r="HX2" s="127">
        <v>10</v>
      </c>
      <c r="HY2" s="127">
        <v>11</v>
      </c>
      <c r="HZ2" s="127">
        <v>12</v>
      </c>
      <c r="IA2" s="124" t="s">
        <v>464</v>
      </c>
      <c r="IB2" s="126">
        <v>1</v>
      </c>
      <c r="IC2" s="126">
        <v>2</v>
      </c>
      <c r="ID2" s="126">
        <v>3</v>
      </c>
      <c r="IE2" s="126">
        <v>4</v>
      </c>
      <c r="IF2" s="126">
        <v>5</v>
      </c>
      <c r="IG2" s="126">
        <v>6</v>
      </c>
      <c r="IH2" s="126">
        <v>7</v>
      </c>
      <c r="II2" s="126">
        <v>8</v>
      </c>
      <c r="IJ2" s="126">
        <v>9</v>
      </c>
      <c r="IK2" s="126">
        <v>10</v>
      </c>
      <c r="IL2" s="126">
        <v>11</v>
      </c>
      <c r="IM2" s="126">
        <v>12</v>
      </c>
      <c r="IN2" s="123" t="s">
        <v>464</v>
      </c>
      <c r="IO2" s="126">
        <v>1</v>
      </c>
      <c r="IP2" s="126">
        <v>2</v>
      </c>
      <c r="IQ2" s="126">
        <v>3</v>
      </c>
      <c r="IR2" s="126">
        <v>4</v>
      </c>
      <c r="IS2" s="126">
        <v>5</v>
      </c>
      <c r="IT2" s="126">
        <v>6</v>
      </c>
      <c r="IU2" s="126">
        <v>7</v>
      </c>
      <c r="IV2" s="126">
        <v>8</v>
      </c>
      <c r="IW2" s="126">
        <v>9</v>
      </c>
      <c r="IX2" s="126">
        <v>10</v>
      </c>
      <c r="IY2" s="126">
        <v>11</v>
      </c>
      <c r="IZ2" s="126">
        <v>12</v>
      </c>
      <c r="JA2" s="123" t="s">
        <v>464</v>
      </c>
      <c r="JC2" s="128">
        <v>1</v>
      </c>
      <c r="JD2" s="128">
        <v>2</v>
      </c>
      <c r="JE2" s="128">
        <v>3</v>
      </c>
      <c r="JF2" s="128">
        <v>4</v>
      </c>
      <c r="JG2" s="128">
        <v>5</v>
      </c>
      <c r="JH2" s="128">
        <v>6</v>
      </c>
      <c r="JI2" s="128">
        <v>7</v>
      </c>
      <c r="JJ2" s="128">
        <v>8</v>
      </c>
      <c r="JK2" s="128">
        <v>9</v>
      </c>
      <c r="JL2" s="128">
        <v>10</v>
      </c>
      <c r="JM2" s="128">
        <v>11</v>
      </c>
      <c r="JN2" s="128">
        <v>12</v>
      </c>
      <c r="JO2" s="128" t="s">
        <v>464</v>
      </c>
      <c r="JP2" s="129"/>
      <c r="JQ2" s="122" t="s">
        <v>556</v>
      </c>
    </row>
    <row r="3" spans="1:277" ht="15.95" customHeight="1" x14ac:dyDescent="0.25">
      <c r="A3" s="130" t="s">
        <v>342</v>
      </c>
      <c r="B3" s="131">
        <v>45</v>
      </c>
      <c r="C3" s="131">
        <v>45</v>
      </c>
      <c r="D3" s="131">
        <v>45</v>
      </c>
      <c r="E3" s="131">
        <v>45</v>
      </c>
      <c r="F3" s="131">
        <v>45</v>
      </c>
      <c r="G3" s="131">
        <v>45</v>
      </c>
      <c r="H3" s="131">
        <v>45</v>
      </c>
      <c r="I3" s="131">
        <v>45</v>
      </c>
      <c r="J3" s="131">
        <v>45</v>
      </c>
      <c r="K3" s="131">
        <v>45</v>
      </c>
      <c r="L3" s="131">
        <v>45</v>
      </c>
      <c r="M3" s="131">
        <v>45</v>
      </c>
      <c r="N3" s="132">
        <f t="shared" ref="N3:N34" si="0">SUM(B3:M3)</f>
        <v>540</v>
      </c>
      <c r="O3" s="133">
        <v>250</v>
      </c>
      <c r="P3" s="133">
        <v>250</v>
      </c>
      <c r="Q3" s="133">
        <v>250</v>
      </c>
      <c r="R3" s="133">
        <v>250</v>
      </c>
      <c r="S3" s="133">
        <v>250</v>
      </c>
      <c r="T3" s="133">
        <v>250</v>
      </c>
      <c r="U3" s="133">
        <v>250</v>
      </c>
      <c r="V3" s="133">
        <v>250</v>
      </c>
      <c r="W3" s="133">
        <v>250</v>
      </c>
      <c r="X3" s="133">
        <v>250</v>
      </c>
      <c r="Y3" s="133">
        <v>250</v>
      </c>
      <c r="Z3" s="133">
        <v>250</v>
      </c>
      <c r="AA3" s="132">
        <f t="shared" ref="AA3:AA34" si="1">SUM(O3:Z3)</f>
        <v>3000</v>
      </c>
      <c r="AB3" s="131">
        <v>45</v>
      </c>
      <c r="AC3" s="131">
        <v>45</v>
      </c>
      <c r="AD3" s="131">
        <v>45</v>
      </c>
      <c r="AE3" s="131">
        <v>45</v>
      </c>
      <c r="AF3" s="131">
        <v>45</v>
      </c>
      <c r="AG3" s="131">
        <v>45</v>
      </c>
      <c r="AH3" s="131">
        <v>45</v>
      </c>
      <c r="AI3" s="131">
        <v>45</v>
      </c>
      <c r="AJ3" s="131">
        <v>45</v>
      </c>
      <c r="AK3" s="131">
        <v>45</v>
      </c>
      <c r="AL3" s="131">
        <v>45</v>
      </c>
      <c r="AM3" s="131">
        <v>45</v>
      </c>
      <c r="AN3" s="132">
        <f t="shared" ref="AN3:AN34" si="2">SUM(AB3:AM3)</f>
        <v>540</v>
      </c>
      <c r="AO3" s="133">
        <v>0</v>
      </c>
      <c r="AP3" s="133">
        <v>0</v>
      </c>
      <c r="AQ3" s="133">
        <v>0</v>
      </c>
      <c r="AR3" s="133">
        <v>0</v>
      </c>
      <c r="AS3" s="133">
        <v>0</v>
      </c>
      <c r="AT3" s="133">
        <v>0</v>
      </c>
      <c r="AU3" s="133">
        <v>0</v>
      </c>
      <c r="AV3" s="133">
        <v>0</v>
      </c>
      <c r="AW3" s="133">
        <v>0</v>
      </c>
      <c r="AX3" s="133">
        <v>0</v>
      </c>
      <c r="AY3" s="133">
        <v>0</v>
      </c>
      <c r="AZ3" s="133">
        <v>0</v>
      </c>
      <c r="BA3" s="132">
        <f t="shared" ref="BA3:BA34" si="3">SUM(AO3:AZ3)</f>
        <v>0</v>
      </c>
      <c r="BB3" s="134">
        <v>690</v>
      </c>
      <c r="BC3" s="134">
        <v>690</v>
      </c>
      <c r="BD3" s="134">
        <v>690</v>
      </c>
      <c r="BE3" s="134">
        <v>690</v>
      </c>
      <c r="BF3" s="134">
        <v>690</v>
      </c>
      <c r="BG3" s="134">
        <v>690</v>
      </c>
      <c r="BH3" s="134">
        <v>690</v>
      </c>
      <c r="BI3" s="134">
        <v>690</v>
      </c>
      <c r="BJ3" s="134">
        <v>690</v>
      </c>
      <c r="BK3" s="134">
        <v>690</v>
      </c>
      <c r="BL3" s="134">
        <v>690</v>
      </c>
      <c r="BM3" s="134">
        <v>690</v>
      </c>
      <c r="BN3" s="132">
        <f t="shared" ref="BN3:BN34" si="4">SUM(BB3:BM3)</f>
        <v>8280</v>
      </c>
      <c r="BO3" s="135">
        <v>120</v>
      </c>
      <c r="BP3" s="135">
        <v>120</v>
      </c>
      <c r="BQ3" s="135">
        <v>120</v>
      </c>
      <c r="BR3" s="135">
        <v>120</v>
      </c>
      <c r="BS3" s="135">
        <v>120</v>
      </c>
      <c r="BT3" s="135">
        <v>120</v>
      </c>
      <c r="BU3" s="135">
        <v>120</v>
      </c>
      <c r="BV3" s="135">
        <v>120</v>
      </c>
      <c r="BW3" s="135">
        <v>120</v>
      </c>
      <c r="BX3" s="135">
        <v>120</v>
      </c>
      <c r="BY3" s="135">
        <v>120</v>
      </c>
      <c r="BZ3" s="135">
        <v>120</v>
      </c>
      <c r="CA3" s="132">
        <f t="shared" ref="CA3:CA34" si="5">SUM(BO3:BZ3)</f>
        <v>1440</v>
      </c>
      <c r="CB3" s="136">
        <v>2663</v>
      </c>
      <c r="CC3" s="136">
        <v>2663</v>
      </c>
      <c r="CD3" s="136">
        <v>2663</v>
      </c>
      <c r="CE3" s="136">
        <v>2663</v>
      </c>
      <c r="CF3" s="136">
        <v>2663</v>
      </c>
      <c r="CG3" s="136">
        <v>2663</v>
      </c>
      <c r="CH3" s="136">
        <v>2663</v>
      </c>
      <c r="CI3" s="136">
        <v>2663</v>
      </c>
      <c r="CJ3" s="136">
        <v>2663</v>
      </c>
      <c r="CK3" s="136">
        <v>2663</v>
      </c>
      <c r="CL3" s="136">
        <v>2663</v>
      </c>
      <c r="CM3" s="136">
        <v>2663</v>
      </c>
      <c r="CN3" s="132">
        <f t="shared" ref="CN3:CN34" si="6">SUM(CB3:CM3)</f>
        <v>31956</v>
      </c>
      <c r="CO3" s="137">
        <v>0</v>
      </c>
      <c r="CP3" s="137">
        <v>0</v>
      </c>
      <c r="CQ3" s="137">
        <v>0</v>
      </c>
      <c r="CR3" s="137">
        <v>0</v>
      </c>
      <c r="CS3" s="137">
        <v>0</v>
      </c>
      <c r="CT3" s="137">
        <v>0</v>
      </c>
      <c r="CU3" s="137">
        <v>0</v>
      </c>
      <c r="CV3" s="137">
        <v>0</v>
      </c>
      <c r="CW3" s="137">
        <v>0</v>
      </c>
      <c r="CX3" s="137">
        <v>0</v>
      </c>
      <c r="CY3" s="137">
        <v>0</v>
      </c>
      <c r="CZ3" s="137">
        <v>0</v>
      </c>
      <c r="DA3" s="132">
        <f t="shared" ref="DA3:DA34" si="7">SUM(CO3:CZ3)</f>
        <v>0</v>
      </c>
      <c r="DB3" s="136">
        <v>0</v>
      </c>
      <c r="DC3" s="136">
        <v>0</v>
      </c>
      <c r="DD3" s="136">
        <v>0</v>
      </c>
      <c r="DE3" s="136">
        <v>0</v>
      </c>
      <c r="DF3" s="136">
        <v>0</v>
      </c>
      <c r="DG3" s="136">
        <v>0</v>
      </c>
      <c r="DH3" s="136">
        <v>0</v>
      </c>
      <c r="DI3" s="136">
        <v>0</v>
      </c>
      <c r="DJ3" s="136">
        <v>0</v>
      </c>
      <c r="DK3" s="136">
        <v>0</v>
      </c>
      <c r="DL3" s="136">
        <v>0</v>
      </c>
      <c r="DM3" s="136">
        <v>0</v>
      </c>
      <c r="DN3" s="132">
        <f t="shared" ref="DN3:DN34" si="8">SUM(DB3:DM3)</f>
        <v>0</v>
      </c>
      <c r="DO3" s="137">
        <v>0</v>
      </c>
      <c r="DP3" s="137">
        <v>0</v>
      </c>
      <c r="DQ3" s="137">
        <v>0</v>
      </c>
      <c r="DR3" s="137">
        <v>0</v>
      </c>
      <c r="DS3" s="137">
        <v>0</v>
      </c>
      <c r="DT3" s="137">
        <v>0</v>
      </c>
      <c r="DU3" s="137">
        <v>0</v>
      </c>
      <c r="DV3" s="137">
        <v>0</v>
      </c>
      <c r="DW3" s="137">
        <v>0</v>
      </c>
      <c r="DX3" s="137">
        <v>0</v>
      </c>
      <c r="DY3" s="137">
        <v>0</v>
      </c>
      <c r="DZ3" s="137">
        <v>0</v>
      </c>
      <c r="EA3" s="132">
        <f t="shared" ref="EA3:EA34" si="9">SUM(DO3:DZ3)</f>
        <v>0</v>
      </c>
      <c r="EB3" s="216">
        <v>0</v>
      </c>
      <c r="EC3" s="216">
        <v>0</v>
      </c>
      <c r="ED3" s="216">
        <v>0</v>
      </c>
      <c r="EE3" s="216">
        <v>0</v>
      </c>
      <c r="EF3" s="216">
        <v>0</v>
      </c>
      <c r="EG3" s="216">
        <v>0</v>
      </c>
      <c r="EH3" s="216">
        <v>0</v>
      </c>
      <c r="EI3" s="216">
        <v>0</v>
      </c>
      <c r="EJ3" s="216">
        <v>0</v>
      </c>
      <c r="EK3" s="216">
        <v>0</v>
      </c>
      <c r="EL3" s="216">
        <v>0</v>
      </c>
      <c r="EM3" s="216">
        <v>0</v>
      </c>
      <c r="EN3" s="132">
        <f t="shared" ref="EN3:EN34" si="10">SUM(EB3:EM3)</f>
        <v>0</v>
      </c>
      <c r="EO3" s="132">
        <v>0</v>
      </c>
      <c r="EP3" s="132">
        <v>0</v>
      </c>
      <c r="EQ3" s="132">
        <v>0</v>
      </c>
      <c r="ER3" s="132">
        <v>0</v>
      </c>
      <c r="ES3" s="132">
        <v>0</v>
      </c>
      <c r="ET3" s="132">
        <v>0</v>
      </c>
      <c r="EU3" s="132">
        <v>0</v>
      </c>
      <c r="EV3" s="132">
        <v>0</v>
      </c>
      <c r="EW3" s="132">
        <v>0</v>
      </c>
      <c r="EX3" s="132">
        <v>0</v>
      </c>
      <c r="EY3" s="132">
        <v>0</v>
      </c>
      <c r="EZ3" s="132">
        <v>0</v>
      </c>
      <c r="FA3" s="132">
        <f t="shared" ref="FA3:FA34" si="11">SUM(EO3:EZ3)</f>
        <v>0</v>
      </c>
      <c r="FB3" s="181">
        <v>0</v>
      </c>
      <c r="FC3" s="181">
        <v>0</v>
      </c>
      <c r="FD3" s="181">
        <v>0</v>
      </c>
      <c r="FE3" s="181">
        <v>0</v>
      </c>
      <c r="FF3" s="181">
        <v>0</v>
      </c>
      <c r="FG3" s="181">
        <v>0</v>
      </c>
      <c r="FH3" s="181">
        <v>0</v>
      </c>
      <c r="FI3" s="181">
        <v>0</v>
      </c>
      <c r="FJ3" s="181">
        <v>0</v>
      </c>
      <c r="FK3" s="181">
        <v>0</v>
      </c>
      <c r="FL3" s="181">
        <v>0</v>
      </c>
      <c r="FM3" s="181">
        <v>0</v>
      </c>
      <c r="FN3" s="132">
        <f t="shared" ref="FN3:FN34" si="12">SUM(FB3:FM3)</f>
        <v>0</v>
      </c>
      <c r="FO3" s="132">
        <v>0</v>
      </c>
      <c r="FP3" s="132">
        <v>0</v>
      </c>
      <c r="FQ3" s="132">
        <v>0</v>
      </c>
      <c r="FR3" s="132">
        <v>0</v>
      </c>
      <c r="FS3" s="132">
        <v>0</v>
      </c>
      <c r="FT3" s="132">
        <v>0</v>
      </c>
      <c r="FU3" s="132">
        <v>0</v>
      </c>
      <c r="FV3" s="132">
        <v>0</v>
      </c>
      <c r="FW3" s="132">
        <v>0</v>
      </c>
      <c r="FX3" s="132">
        <v>0</v>
      </c>
      <c r="FY3" s="132">
        <v>0</v>
      </c>
      <c r="FZ3" s="132">
        <v>0</v>
      </c>
      <c r="GA3" s="132">
        <f t="shared" ref="GA3:GA34" si="13">SUM(FO3:FZ3)</f>
        <v>0</v>
      </c>
      <c r="GB3" s="181">
        <v>0</v>
      </c>
      <c r="GC3" s="181">
        <v>0</v>
      </c>
      <c r="GD3" s="181">
        <v>0</v>
      </c>
      <c r="GE3" s="181">
        <v>0</v>
      </c>
      <c r="GF3" s="181">
        <v>0</v>
      </c>
      <c r="GG3" s="181">
        <v>0</v>
      </c>
      <c r="GH3" s="181">
        <v>0</v>
      </c>
      <c r="GI3" s="181">
        <v>0</v>
      </c>
      <c r="GJ3" s="181">
        <v>0</v>
      </c>
      <c r="GK3" s="181">
        <v>0</v>
      </c>
      <c r="GL3" s="181">
        <v>0</v>
      </c>
      <c r="GM3" s="181">
        <v>0</v>
      </c>
      <c r="GN3" s="181">
        <f t="shared" ref="GN3:GN34" si="14">SUM(GB3:GM3)</f>
        <v>0</v>
      </c>
      <c r="GO3" s="137">
        <v>0</v>
      </c>
      <c r="GP3" s="137">
        <v>0</v>
      </c>
      <c r="GQ3" s="137">
        <v>0</v>
      </c>
      <c r="GR3" s="137">
        <v>0</v>
      </c>
      <c r="GS3" s="137">
        <v>0</v>
      </c>
      <c r="GT3" s="137">
        <v>0</v>
      </c>
      <c r="GU3" s="137">
        <v>0</v>
      </c>
      <c r="GV3" s="137">
        <v>0</v>
      </c>
      <c r="GW3" s="137">
        <v>0</v>
      </c>
      <c r="GX3" s="137">
        <v>0</v>
      </c>
      <c r="GY3" s="137">
        <v>0</v>
      </c>
      <c r="GZ3" s="137">
        <v>0</v>
      </c>
      <c r="HA3" s="132">
        <f t="shared" ref="HA3:HA34" si="15">SUM(GO3:GZ3)</f>
        <v>0</v>
      </c>
      <c r="HB3" s="181">
        <v>0</v>
      </c>
      <c r="HC3" s="181">
        <v>0</v>
      </c>
      <c r="HD3" s="181">
        <v>0</v>
      </c>
      <c r="HE3" s="181">
        <v>0</v>
      </c>
      <c r="HF3" s="181">
        <v>0</v>
      </c>
      <c r="HG3" s="181">
        <v>0</v>
      </c>
      <c r="HH3" s="181">
        <v>0</v>
      </c>
      <c r="HI3" s="181">
        <v>0</v>
      </c>
      <c r="HJ3" s="181">
        <v>0</v>
      </c>
      <c r="HK3" s="181">
        <v>0</v>
      </c>
      <c r="HL3" s="181">
        <v>0</v>
      </c>
      <c r="HM3" s="181">
        <v>0</v>
      </c>
      <c r="HN3" s="181">
        <f t="shared" ref="HN3:HN34" si="16">SUM(HB3:HM3)</f>
        <v>0</v>
      </c>
      <c r="HO3" s="132">
        <v>0</v>
      </c>
      <c r="HP3" s="132">
        <v>0</v>
      </c>
      <c r="HQ3" s="132">
        <v>0</v>
      </c>
      <c r="HR3" s="132">
        <v>0</v>
      </c>
      <c r="HS3" s="132">
        <v>0</v>
      </c>
      <c r="HT3" s="132">
        <v>0</v>
      </c>
      <c r="HU3" s="132">
        <v>0</v>
      </c>
      <c r="HV3" s="132">
        <v>0</v>
      </c>
      <c r="HW3" s="132">
        <v>0</v>
      </c>
      <c r="HX3" s="132">
        <v>0</v>
      </c>
      <c r="HY3" s="132">
        <v>0</v>
      </c>
      <c r="HZ3" s="132">
        <v>0</v>
      </c>
      <c r="IA3" s="132">
        <f t="shared" ref="IA3:IA34" si="17">SUM(HO3:HZ3)</f>
        <v>0</v>
      </c>
      <c r="IB3" s="181">
        <v>0</v>
      </c>
      <c r="IC3" s="181">
        <v>0</v>
      </c>
      <c r="ID3" s="181">
        <v>0</v>
      </c>
      <c r="IE3" s="181">
        <v>0</v>
      </c>
      <c r="IF3" s="181">
        <v>0</v>
      </c>
      <c r="IG3" s="181">
        <v>0</v>
      </c>
      <c r="IH3" s="181">
        <v>0</v>
      </c>
      <c r="II3" s="181">
        <v>0</v>
      </c>
      <c r="IJ3" s="181">
        <v>0</v>
      </c>
      <c r="IK3" s="181">
        <v>0</v>
      </c>
      <c r="IL3" s="181">
        <v>0</v>
      </c>
      <c r="IM3" s="181">
        <v>0</v>
      </c>
      <c r="IN3" s="181">
        <f t="shared" ref="IN3:IN34" si="18">SUM(IB3:IM3)</f>
        <v>0</v>
      </c>
      <c r="IO3" s="181">
        <v>0</v>
      </c>
      <c r="IP3" s="181">
        <v>0</v>
      </c>
      <c r="IQ3" s="181">
        <v>0</v>
      </c>
      <c r="IR3" s="181">
        <v>0</v>
      </c>
      <c r="IS3" s="181">
        <v>0</v>
      </c>
      <c r="IT3" s="181">
        <v>0</v>
      </c>
      <c r="IU3" s="181">
        <v>0</v>
      </c>
      <c r="IV3" s="181">
        <v>0</v>
      </c>
      <c r="IW3" s="181">
        <v>0</v>
      </c>
      <c r="IX3" s="181">
        <v>0</v>
      </c>
      <c r="IY3" s="181">
        <v>0</v>
      </c>
      <c r="IZ3" s="181">
        <v>0</v>
      </c>
      <c r="JA3" s="181">
        <f t="shared" ref="JA3:JA34" si="19">SUM(IO3:IZ3)</f>
        <v>0</v>
      </c>
      <c r="JC3" s="135">
        <f t="shared" ref="JC3:JC34" si="20">B3+O3+AB3+AO3+BB3+BO3+CB3+CO3+DB3+DO3+EB3+EO3+FB3+FO3+GB3+GO3+HB3+HO3+IB3+IO3</f>
        <v>3813</v>
      </c>
      <c r="JD3" s="135">
        <f t="shared" ref="JD3:JD34" si="21">C3+P3+AC3+AP3+BC3+BP3+CC3+CP3+DC3+DP3+EC3+EP3+FC3+FP3+GC3+GP3+HC3+HP3+IC3+IP3</f>
        <v>3813</v>
      </c>
      <c r="JE3" s="135">
        <f t="shared" ref="JE3:JE34" si="22">D3+Q3+AD3+AQ3+BD3+BQ3+CD3+CQ3+DD3+DQ3+ED3+EQ3+FD3+FQ3+GD3+GQ3+HD3+HQ3+ID3+IQ3</f>
        <v>3813</v>
      </c>
      <c r="JF3" s="135">
        <f t="shared" ref="JF3:JF34" si="23">E3+R3+AE3+AR3+BE3+BR3+CE3+CR3+DE3+DR3+EE3+ER3+FE3+FR3+GE3+GR3+HE3+HR3+IE3+IR3</f>
        <v>3813</v>
      </c>
      <c r="JG3" s="135">
        <f t="shared" ref="JG3:JG34" si="24">F3+S3+AF3+AS3+BF3+BS3+CF3+CS3+DF3+DS3+EF3+ES3+FF3+FS3+GF3+GS3+HF3+HS3+IF3+IS3</f>
        <v>3813</v>
      </c>
      <c r="JH3" s="135">
        <f t="shared" ref="JH3:JH34" si="25">G3+T3+AG3+AT3+BG3+BT3+CG3+CT3+DG3+DT3+EG3+ET3+FG3+FT3+GG3+GT3+HG3+HT3+IG3+IT3</f>
        <v>3813</v>
      </c>
      <c r="JI3" s="135">
        <f t="shared" ref="JI3:JI34" si="26">H3+U3+AH3+AU3+BH3+BU3+CH3+CU3+DH3+DU3+EH3+EU3+FH3+FU3+GH3+GU3+HH3+HU3+IH3+IU3</f>
        <v>3813</v>
      </c>
      <c r="JJ3" s="135">
        <f t="shared" ref="JJ3:JJ34" si="27">I3+V3+AI3+AV3+BI3+BV3+CI3+CV3+DI3+DV3+EI3+EV3+FI3+FV3+GI3+GV3+HI3+HV3+II3+IV3</f>
        <v>3813</v>
      </c>
      <c r="JK3" s="135">
        <f t="shared" ref="JK3:JK34" si="28">J3+W3+AJ3+AW3+BJ3+BW3+CJ3+CW3+DJ3+DW3+EJ3+EW3+FJ3+FW3+GJ3+GW3+HJ3+HW3+IJ3+IW3</f>
        <v>3813</v>
      </c>
      <c r="JL3" s="135">
        <f t="shared" ref="JL3:JL34" si="29">K3+X3+AK3+AX3+BK3+BX3+CK3+CX3+DK3+DX3+EK3+EX3+FK3+FX3+GK3+GX3+HK3+HX3+IK3+IX3</f>
        <v>3813</v>
      </c>
      <c r="JM3" s="135">
        <f t="shared" ref="JM3:JM34" si="30">L3+Y3+AL3+AY3+BL3+BY3+CL3+CY3+DL3+DY3+EL3+EY3+FL3+FY3+GL3+GY3+HL3+HY3+IL3+IY3</f>
        <v>3813</v>
      </c>
      <c r="JN3" s="135">
        <f t="shared" ref="JN3:JN34" si="31">M3+Z3+AM3+AZ3+BM3+BZ3+CM3+CZ3+DM3+DZ3+EM3+EZ3+FM3+FZ3+GM3+GZ3+HM3+HZ3+IM3+IZ3</f>
        <v>3813</v>
      </c>
      <c r="JO3" s="132">
        <f t="shared" ref="JO3:JO34" si="32">SUM(JC3:JN3)</f>
        <v>45756</v>
      </c>
      <c r="JQ3" s="139">
        <f t="shared" ref="JQ3:JQ34" si="33">N3+AA3+AN3+BA3+BN3+CA3+CN3+DA3+DN3+EA3+EN3+FA3+FN3+GA3+GN3+HA3+HN3+IA3+IN3+JA3</f>
        <v>45756</v>
      </c>
    </row>
    <row r="4" spans="1:277" x14ac:dyDescent="0.25">
      <c r="A4" s="130" t="s">
        <v>351</v>
      </c>
      <c r="B4" s="131">
        <v>45</v>
      </c>
      <c r="C4" s="131">
        <v>45</v>
      </c>
      <c r="D4" s="131">
        <v>45</v>
      </c>
      <c r="E4" s="131">
        <v>45</v>
      </c>
      <c r="F4" s="131">
        <v>45</v>
      </c>
      <c r="G4" s="131">
        <v>45</v>
      </c>
      <c r="H4" s="131">
        <v>45</v>
      </c>
      <c r="I4" s="131">
        <v>45</v>
      </c>
      <c r="J4" s="131">
        <v>45</v>
      </c>
      <c r="K4" s="131">
        <v>45</v>
      </c>
      <c r="L4" s="131">
        <v>45</v>
      </c>
      <c r="M4" s="131">
        <v>45</v>
      </c>
      <c r="N4" s="132">
        <f t="shared" si="0"/>
        <v>540</v>
      </c>
      <c r="O4" s="133">
        <v>250</v>
      </c>
      <c r="P4" s="133">
        <v>250</v>
      </c>
      <c r="Q4" s="133">
        <v>250</v>
      </c>
      <c r="R4" s="133">
        <v>250</v>
      </c>
      <c r="S4" s="133">
        <v>250</v>
      </c>
      <c r="T4" s="133">
        <v>250</v>
      </c>
      <c r="U4" s="133">
        <v>250</v>
      </c>
      <c r="V4" s="133">
        <v>250</v>
      </c>
      <c r="W4" s="133">
        <v>250</v>
      </c>
      <c r="X4" s="133">
        <v>250</v>
      </c>
      <c r="Y4" s="133">
        <v>250</v>
      </c>
      <c r="Z4" s="133">
        <v>250</v>
      </c>
      <c r="AA4" s="132">
        <f t="shared" si="1"/>
        <v>3000</v>
      </c>
      <c r="AB4" s="131">
        <v>45</v>
      </c>
      <c r="AC4" s="131">
        <v>45</v>
      </c>
      <c r="AD4" s="131">
        <v>45</v>
      </c>
      <c r="AE4" s="131">
        <v>45</v>
      </c>
      <c r="AF4" s="131">
        <v>45</v>
      </c>
      <c r="AG4" s="131">
        <v>45</v>
      </c>
      <c r="AH4" s="131">
        <v>45</v>
      </c>
      <c r="AI4" s="131">
        <v>45</v>
      </c>
      <c r="AJ4" s="131">
        <v>45</v>
      </c>
      <c r="AK4" s="131">
        <v>45</v>
      </c>
      <c r="AL4" s="131">
        <v>45</v>
      </c>
      <c r="AM4" s="131">
        <v>45</v>
      </c>
      <c r="AN4" s="132">
        <f t="shared" si="2"/>
        <v>540</v>
      </c>
      <c r="AO4" s="133">
        <v>0</v>
      </c>
      <c r="AP4" s="133">
        <v>0</v>
      </c>
      <c r="AQ4" s="133">
        <v>0</v>
      </c>
      <c r="AR4" s="133">
        <v>0</v>
      </c>
      <c r="AS4" s="133">
        <v>0</v>
      </c>
      <c r="AT4" s="133">
        <v>0</v>
      </c>
      <c r="AU4" s="133">
        <v>0</v>
      </c>
      <c r="AV4" s="133">
        <v>0</v>
      </c>
      <c r="AW4" s="133">
        <v>0</v>
      </c>
      <c r="AX4" s="133">
        <v>0</v>
      </c>
      <c r="AY4" s="133">
        <v>0</v>
      </c>
      <c r="AZ4" s="133">
        <v>0</v>
      </c>
      <c r="BA4" s="132">
        <f t="shared" si="3"/>
        <v>0</v>
      </c>
      <c r="BB4" s="134">
        <v>690</v>
      </c>
      <c r="BC4" s="134">
        <v>690</v>
      </c>
      <c r="BD4" s="134">
        <v>690</v>
      </c>
      <c r="BE4" s="134">
        <v>690</v>
      </c>
      <c r="BF4" s="134">
        <v>690</v>
      </c>
      <c r="BG4" s="134">
        <v>690</v>
      </c>
      <c r="BH4" s="134">
        <v>690</v>
      </c>
      <c r="BI4" s="134">
        <v>690</v>
      </c>
      <c r="BJ4" s="134">
        <v>690</v>
      </c>
      <c r="BK4" s="134">
        <v>690</v>
      </c>
      <c r="BL4" s="134">
        <v>690</v>
      </c>
      <c r="BM4" s="134">
        <v>690</v>
      </c>
      <c r="BN4" s="132">
        <f t="shared" si="4"/>
        <v>8280</v>
      </c>
      <c r="BO4" s="135">
        <v>120</v>
      </c>
      <c r="BP4" s="135">
        <v>120</v>
      </c>
      <c r="BQ4" s="135">
        <v>120</v>
      </c>
      <c r="BR4" s="135">
        <v>120</v>
      </c>
      <c r="BS4" s="135">
        <v>120</v>
      </c>
      <c r="BT4" s="135">
        <v>120</v>
      </c>
      <c r="BU4" s="135">
        <v>120</v>
      </c>
      <c r="BV4" s="135">
        <v>120</v>
      </c>
      <c r="BW4" s="135">
        <v>120</v>
      </c>
      <c r="BX4" s="135">
        <v>120</v>
      </c>
      <c r="BY4" s="135">
        <v>120</v>
      </c>
      <c r="BZ4" s="135">
        <v>120</v>
      </c>
      <c r="CA4" s="132">
        <f t="shared" si="5"/>
        <v>1440</v>
      </c>
      <c r="CB4" s="136">
        <v>1394</v>
      </c>
      <c r="CC4" s="136">
        <v>1394</v>
      </c>
      <c r="CD4" s="136">
        <v>1394</v>
      </c>
      <c r="CE4" s="136">
        <v>1394</v>
      </c>
      <c r="CF4" s="136">
        <v>1394</v>
      </c>
      <c r="CG4" s="136">
        <v>1394</v>
      </c>
      <c r="CH4" s="136">
        <v>1394</v>
      </c>
      <c r="CI4" s="136">
        <v>1394</v>
      </c>
      <c r="CJ4" s="136">
        <v>1394</v>
      </c>
      <c r="CK4" s="136">
        <v>1394</v>
      </c>
      <c r="CL4" s="136">
        <v>1394</v>
      </c>
      <c r="CM4" s="136">
        <v>1394</v>
      </c>
      <c r="CN4" s="132">
        <f t="shared" si="6"/>
        <v>16728</v>
      </c>
      <c r="CO4" s="137">
        <v>0</v>
      </c>
      <c r="CP4" s="137">
        <v>0</v>
      </c>
      <c r="CQ4" s="137">
        <v>0</v>
      </c>
      <c r="CR4" s="137">
        <v>0</v>
      </c>
      <c r="CS4" s="137">
        <v>0</v>
      </c>
      <c r="CT4" s="137">
        <v>0</v>
      </c>
      <c r="CU4" s="137">
        <v>0</v>
      </c>
      <c r="CV4" s="137">
        <v>0</v>
      </c>
      <c r="CW4" s="137">
        <v>0</v>
      </c>
      <c r="CX4" s="137">
        <v>0</v>
      </c>
      <c r="CY4" s="137">
        <v>0</v>
      </c>
      <c r="CZ4" s="137">
        <v>0</v>
      </c>
      <c r="DA4" s="132">
        <f t="shared" si="7"/>
        <v>0</v>
      </c>
      <c r="DB4" s="136">
        <v>0</v>
      </c>
      <c r="DC4" s="136">
        <v>0</v>
      </c>
      <c r="DD4" s="136">
        <v>0</v>
      </c>
      <c r="DE4" s="136">
        <v>0</v>
      </c>
      <c r="DF4" s="136">
        <v>0</v>
      </c>
      <c r="DG4" s="136">
        <v>0</v>
      </c>
      <c r="DH4" s="136">
        <v>0</v>
      </c>
      <c r="DI4" s="136">
        <v>0</v>
      </c>
      <c r="DJ4" s="136">
        <v>0</v>
      </c>
      <c r="DK4" s="136">
        <v>0</v>
      </c>
      <c r="DL4" s="136">
        <v>0</v>
      </c>
      <c r="DM4" s="136">
        <v>0</v>
      </c>
      <c r="DN4" s="132">
        <f t="shared" si="8"/>
        <v>0</v>
      </c>
      <c r="DO4" s="137">
        <v>0</v>
      </c>
      <c r="DP4" s="137">
        <v>0</v>
      </c>
      <c r="DQ4" s="137">
        <v>0</v>
      </c>
      <c r="DR4" s="137">
        <v>0</v>
      </c>
      <c r="DS4" s="137">
        <v>0</v>
      </c>
      <c r="DT4" s="137">
        <v>0</v>
      </c>
      <c r="DU4" s="137">
        <v>0</v>
      </c>
      <c r="DV4" s="137">
        <v>0</v>
      </c>
      <c r="DW4" s="137">
        <v>0</v>
      </c>
      <c r="DX4" s="137">
        <v>0</v>
      </c>
      <c r="DY4" s="137">
        <v>0</v>
      </c>
      <c r="DZ4" s="137">
        <v>0</v>
      </c>
      <c r="EA4" s="132">
        <f t="shared" si="9"/>
        <v>0</v>
      </c>
      <c r="EB4" s="216">
        <v>0</v>
      </c>
      <c r="EC4" s="216">
        <v>0</v>
      </c>
      <c r="ED4" s="216">
        <v>0</v>
      </c>
      <c r="EE4" s="216">
        <v>0</v>
      </c>
      <c r="EF4" s="216">
        <v>0</v>
      </c>
      <c r="EG4" s="216">
        <v>0</v>
      </c>
      <c r="EH4" s="216">
        <v>0</v>
      </c>
      <c r="EI4" s="216">
        <v>0</v>
      </c>
      <c r="EJ4" s="216">
        <v>0</v>
      </c>
      <c r="EK4" s="216">
        <v>0</v>
      </c>
      <c r="EL4" s="216">
        <v>0</v>
      </c>
      <c r="EM4" s="216">
        <v>0</v>
      </c>
      <c r="EN4" s="132">
        <f t="shared" si="10"/>
        <v>0</v>
      </c>
      <c r="EO4" s="132">
        <v>0</v>
      </c>
      <c r="EP4" s="132">
        <v>0</v>
      </c>
      <c r="EQ4" s="132">
        <v>0</v>
      </c>
      <c r="ER4" s="132">
        <v>0</v>
      </c>
      <c r="ES4" s="132">
        <v>0</v>
      </c>
      <c r="ET4" s="132">
        <v>0</v>
      </c>
      <c r="EU4" s="132">
        <v>0</v>
      </c>
      <c r="EV4" s="132">
        <v>0</v>
      </c>
      <c r="EW4" s="132">
        <v>0</v>
      </c>
      <c r="EX4" s="132">
        <v>0</v>
      </c>
      <c r="EY4" s="132">
        <v>0</v>
      </c>
      <c r="EZ4" s="132">
        <v>0</v>
      </c>
      <c r="FA4" s="132">
        <f t="shared" si="11"/>
        <v>0</v>
      </c>
      <c r="FB4" s="181">
        <v>0</v>
      </c>
      <c r="FC4" s="181">
        <v>0</v>
      </c>
      <c r="FD4" s="181">
        <v>0</v>
      </c>
      <c r="FE4" s="181">
        <v>0</v>
      </c>
      <c r="FF4" s="181">
        <v>0</v>
      </c>
      <c r="FG4" s="181">
        <v>0</v>
      </c>
      <c r="FH4" s="181">
        <v>0</v>
      </c>
      <c r="FI4" s="181">
        <v>0</v>
      </c>
      <c r="FJ4" s="181">
        <v>0</v>
      </c>
      <c r="FK4" s="181">
        <v>0</v>
      </c>
      <c r="FL4" s="181">
        <v>0</v>
      </c>
      <c r="FM4" s="181">
        <v>0</v>
      </c>
      <c r="FN4" s="132">
        <f t="shared" si="12"/>
        <v>0</v>
      </c>
      <c r="FO4" s="132">
        <v>0</v>
      </c>
      <c r="FP4" s="132">
        <v>0</v>
      </c>
      <c r="FQ4" s="132">
        <v>0</v>
      </c>
      <c r="FR4" s="132">
        <v>0</v>
      </c>
      <c r="FS4" s="132">
        <v>0</v>
      </c>
      <c r="FT4" s="132">
        <v>0</v>
      </c>
      <c r="FU4" s="132">
        <v>0</v>
      </c>
      <c r="FV4" s="132">
        <v>0</v>
      </c>
      <c r="FW4" s="132">
        <v>0</v>
      </c>
      <c r="FX4" s="132">
        <v>0</v>
      </c>
      <c r="FY4" s="132">
        <v>0</v>
      </c>
      <c r="FZ4" s="132">
        <v>0</v>
      </c>
      <c r="GA4" s="132">
        <f t="shared" si="13"/>
        <v>0</v>
      </c>
      <c r="GB4" s="181">
        <v>0</v>
      </c>
      <c r="GC4" s="181">
        <v>0</v>
      </c>
      <c r="GD4" s="181">
        <v>0</v>
      </c>
      <c r="GE4" s="181">
        <v>0</v>
      </c>
      <c r="GF4" s="181">
        <v>0</v>
      </c>
      <c r="GG4" s="181">
        <v>0</v>
      </c>
      <c r="GH4" s="181">
        <v>0</v>
      </c>
      <c r="GI4" s="181">
        <v>0</v>
      </c>
      <c r="GJ4" s="181">
        <v>0</v>
      </c>
      <c r="GK4" s="181">
        <v>0</v>
      </c>
      <c r="GL4" s="181">
        <v>0</v>
      </c>
      <c r="GM4" s="181">
        <v>0</v>
      </c>
      <c r="GN4" s="181">
        <f t="shared" si="14"/>
        <v>0</v>
      </c>
      <c r="GO4" s="137">
        <v>0</v>
      </c>
      <c r="GP4" s="137">
        <v>0</v>
      </c>
      <c r="GQ4" s="137">
        <v>0</v>
      </c>
      <c r="GR4" s="137">
        <v>0</v>
      </c>
      <c r="GS4" s="137">
        <v>0</v>
      </c>
      <c r="GT4" s="137">
        <v>0</v>
      </c>
      <c r="GU4" s="137">
        <v>0</v>
      </c>
      <c r="GV4" s="137">
        <v>0</v>
      </c>
      <c r="GW4" s="137">
        <v>0</v>
      </c>
      <c r="GX4" s="137">
        <v>0</v>
      </c>
      <c r="GY4" s="137">
        <v>0</v>
      </c>
      <c r="GZ4" s="137">
        <v>0</v>
      </c>
      <c r="HA4" s="132">
        <f t="shared" si="15"/>
        <v>0</v>
      </c>
      <c r="HB4" s="181">
        <v>0</v>
      </c>
      <c r="HC4" s="181">
        <v>0</v>
      </c>
      <c r="HD4" s="181">
        <v>0</v>
      </c>
      <c r="HE4" s="181">
        <v>0</v>
      </c>
      <c r="HF4" s="181">
        <v>0</v>
      </c>
      <c r="HG4" s="181">
        <v>0</v>
      </c>
      <c r="HH4" s="181">
        <v>0</v>
      </c>
      <c r="HI4" s="181">
        <v>0</v>
      </c>
      <c r="HJ4" s="181">
        <v>0</v>
      </c>
      <c r="HK4" s="181">
        <v>0</v>
      </c>
      <c r="HL4" s="181">
        <v>0</v>
      </c>
      <c r="HM4" s="181">
        <v>0</v>
      </c>
      <c r="HN4" s="181">
        <f t="shared" si="16"/>
        <v>0</v>
      </c>
      <c r="HO4" s="132">
        <v>0</v>
      </c>
      <c r="HP4" s="132">
        <v>0</v>
      </c>
      <c r="HQ4" s="132">
        <v>0</v>
      </c>
      <c r="HR4" s="132">
        <v>0</v>
      </c>
      <c r="HS4" s="132">
        <v>0</v>
      </c>
      <c r="HT4" s="132">
        <v>0</v>
      </c>
      <c r="HU4" s="132">
        <v>0</v>
      </c>
      <c r="HV4" s="132">
        <v>0</v>
      </c>
      <c r="HW4" s="132">
        <v>0</v>
      </c>
      <c r="HX4" s="132">
        <v>0</v>
      </c>
      <c r="HY4" s="132">
        <v>0</v>
      </c>
      <c r="HZ4" s="132">
        <v>0</v>
      </c>
      <c r="IA4" s="132">
        <f t="shared" si="17"/>
        <v>0</v>
      </c>
      <c r="IB4" s="181">
        <v>0</v>
      </c>
      <c r="IC4" s="181">
        <v>0</v>
      </c>
      <c r="ID4" s="181">
        <v>0</v>
      </c>
      <c r="IE4" s="181">
        <v>0</v>
      </c>
      <c r="IF4" s="181">
        <v>0</v>
      </c>
      <c r="IG4" s="181">
        <v>0</v>
      </c>
      <c r="IH4" s="181">
        <v>0</v>
      </c>
      <c r="II4" s="181">
        <v>0</v>
      </c>
      <c r="IJ4" s="181">
        <v>0</v>
      </c>
      <c r="IK4" s="181">
        <v>0</v>
      </c>
      <c r="IL4" s="181">
        <v>0</v>
      </c>
      <c r="IM4" s="181">
        <v>0</v>
      </c>
      <c r="IN4" s="181">
        <f t="shared" si="18"/>
        <v>0</v>
      </c>
      <c r="IO4" s="181">
        <v>0</v>
      </c>
      <c r="IP4" s="181">
        <v>0</v>
      </c>
      <c r="IQ4" s="181">
        <v>0</v>
      </c>
      <c r="IR4" s="181">
        <v>0</v>
      </c>
      <c r="IS4" s="181">
        <v>0</v>
      </c>
      <c r="IT4" s="181">
        <v>0</v>
      </c>
      <c r="IU4" s="181">
        <v>0</v>
      </c>
      <c r="IV4" s="181">
        <v>0</v>
      </c>
      <c r="IW4" s="181">
        <v>0</v>
      </c>
      <c r="IX4" s="181">
        <v>0</v>
      </c>
      <c r="IY4" s="181">
        <v>0</v>
      </c>
      <c r="IZ4" s="181">
        <v>0</v>
      </c>
      <c r="JA4" s="181">
        <f t="shared" si="19"/>
        <v>0</v>
      </c>
      <c r="JC4" s="135">
        <f t="shared" si="20"/>
        <v>2544</v>
      </c>
      <c r="JD4" s="135">
        <f t="shared" si="21"/>
        <v>2544</v>
      </c>
      <c r="JE4" s="135">
        <f t="shared" si="22"/>
        <v>2544</v>
      </c>
      <c r="JF4" s="135">
        <f t="shared" si="23"/>
        <v>2544</v>
      </c>
      <c r="JG4" s="135">
        <f t="shared" si="24"/>
        <v>2544</v>
      </c>
      <c r="JH4" s="135">
        <f t="shared" si="25"/>
        <v>2544</v>
      </c>
      <c r="JI4" s="135">
        <f t="shared" si="26"/>
        <v>2544</v>
      </c>
      <c r="JJ4" s="135">
        <f t="shared" si="27"/>
        <v>2544</v>
      </c>
      <c r="JK4" s="135">
        <f t="shared" si="28"/>
        <v>2544</v>
      </c>
      <c r="JL4" s="135">
        <f t="shared" si="29"/>
        <v>2544</v>
      </c>
      <c r="JM4" s="135">
        <f t="shared" si="30"/>
        <v>2544</v>
      </c>
      <c r="JN4" s="135">
        <f t="shared" si="31"/>
        <v>2544</v>
      </c>
      <c r="JO4" s="132">
        <f t="shared" si="32"/>
        <v>30528</v>
      </c>
      <c r="JQ4" s="139">
        <f t="shared" si="33"/>
        <v>30528</v>
      </c>
    </row>
    <row r="5" spans="1:277" x14ac:dyDescent="0.25">
      <c r="A5" s="130" t="s">
        <v>357</v>
      </c>
      <c r="B5" s="131">
        <v>80</v>
      </c>
      <c r="C5" s="131">
        <v>80</v>
      </c>
      <c r="D5" s="131">
        <v>80</v>
      </c>
      <c r="E5" s="131">
        <v>80</v>
      </c>
      <c r="F5" s="131">
        <v>80</v>
      </c>
      <c r="G5" s="131">
        <v>80</v>
      </c>
      <c r="H5" s="131">
        <v>80</v>
      </c>
      <c r="I5" s="131">
        <v>80</v>
      </c>
      <c r="J5" s="131">
        <v>80</v>
      </c>
      <c r="K5" s="131">
        <v>80</v>
      </c>
      <c r="L5" s="131">
        <v>80</v>
      </c>
      <c r="M5" s="131">
        <v>80</v>
      </c>
      <c r="N5" s="132">
        <f t="shared" si="0"/>
        <v>960</v>
      </c>
      <c r="O5" s="133">
        <v>350</v>
      </c>
      <c r="P5" s="133">
        <v>350</v>
      </c>
      <c r="Q5" s="133">
        <v>350</v>
      </c>
      <c r="R5" s="133">
        <v>350</v>
      </c>
      <c r="S5" s="133">
        <v>350</v>
      </c>
      <c r="T5" s="133">
        <v>350</v>
      </c>
      <c r="U5" s="133">
        <v>350</v>
      </c>
      <c r="V5" s="133">
        <v>350</v>
      </c>
      <c r="W5" s="133">
        <v>350</v>
      </c>
      <c r="X5" s="133">
        <v>350</v>
      </c>
      <c r="Y5" s="133">
        <v>350</v>
      </c>
      <c r="Z5" s="133">
        <v>350</v>
      </c>
      <c r="AA5" s="132">
        <f t="shared" si="1"/>
        <v>4200</v>
      </c>
      <c r="AB5" s="131">
        <v>0</v>
      </c>
      <c r="AC5" s="131">
        <v>0</v>
      </c>
      <c r="AD5" s="131">
        <v>0</v>
      </c>
      <c r="AE5" s="131">
        <v>0</v>
      </c>
      <c r="AF5" s="131">
        <v>0</v>
      </c>
      <c r="AG5" s="131">
        <v>0</v>
      </c>
      <c r="AH5" s="131">
        <v>0</v>
      </c>
      <c r="AI5" s="131">
        <v>0</v>
      </c>
      <c r="AJ5" s="131">
        <v>0</v>
      </c>
      <c r="AK5" s="131">
        <v>0</v>
      </c>
      <c r="AL5" s="131">
        <v>0</v>
      </c>
      <c r="AM5" s="131">
        <v>0</v>
      </c>
      <c r="AN5" s="132">
        <f t="shared" si="2"/>
        <v>0</v>
      </c>
      <c r="AO5" s="133">
        <v>0</v>
      </c>
      <c r="AP5" s="133">
        <v>0</v>
      </c>
      <c r="AQ5" s="133">
        <v>0</v>
      </c>
      <c r="AR5" s="133">
        <v>0</v>
      </c>
      <c r="AS5" s="133">
        <v>0</v>
      </c>
      <c r="AT5" s="133">
        <v>0</v>
      </c>
      <c r="AU5" s="133">
        <v>0</v>
      </c>
      <c r="AV5" s="133">
        <v>0</v>
      </c>
      <c r="AW5" s="133">
        <v>0</v>
      </c>
      <c r="AX5" s="133">
        <v>0</v>
      </c>
      <c r="AY5" s="133">
        <v>0</v>
      </c>
      <c r="AZ5" s="133">
        <v>0</v>
      </c>
      <c r="BA5" s="132">
        <f t="shared" si="3"/>
        <v>0</v>
      </c>
      <c r="BB5" s="134">
        <v>1134</v>
      </c>
      <c r="BC5" s="134">
        <v>1134</v>
      </c>
      <c r="BD5" s="134">
        <v>1134</v>
      </c>
      <c r="BE5" s="134">
        <v>1134</v>
      </c>
      <c r="BF5" s="134">
        <v>1134</v>
      </c>
      <c r="BG5" s="134">
        <v>1134</v>
      </c>
      <c r="BH5" s="134">
        <v>1134</v>
      </c>
      <c r="BI5" s="134">
        <v>1134</v>
      </c>
      <c r="BJ5" s="134">
        <v>1134</v>
      </c>
      <c r="BK5" s="134">
        <v>1134</v>
      </c>
      <c r="BL5" s="134">
        <v>1134</v>
      </c>
      <c r="BM5" s="134">
        <v>1134</v>
      </c>
      <c r="BN5" s="132">
        <f t="shared" si="4"/>
        <v>13608</v>
      </c>
      <c r="BO5" s="135">
        <v>120</v>
      </c>
      <c r="BP5" s="135">
        <v>120</v>
      </c>
      <c r="BQ5" s="135">
        <v>120</v>
      </c>
      <c r="BR5" s="135">
        <v>120</v>
      </c>
      <c r="BS5" s="135">
        <v>120</v>
      </c>
      <c r="BT5" s="135">
        <v>120</v>
      </c>
      <c r="BU5" s="135">
        <v>120</v>
      </c>
      <c r="BV5" s="135">
        <v>120</v>
      </c>
      <c r="BW5" s="135">
        <v>120</v>
      </c>
      <c r="BX5" s="135">
        <v>120</v>
      </c>
      <c r="BY5" s="135">
        <v>120</v>
      </c>
      <c r="BZ5" s="135">
        <v>120</v>
      </c>
      <c r="CA5" s="132">
        <f t="shared" si="5"/>
        <v>1440</v>
      </c>
      <c r="CB5" s="136">
        <v>1865</v>
      </c>
      <c r="CC5" s="136">
        <v>1865</v>
      </c>
      <c r="CD5" s="136">
        <v>1865</v>
      </c>
      <c r="CE5" s="136">
        <v>1865</v>
      </c>
      <c r="CF5" s="136">
        <v>1865</v>
      </c>
      <c r="CG5" s="136">
        <v>1865</v>
      </c>
      <c r="CH5" s="136">
        <v>1865</v>
      </c>
      <c r="CI5" s="136">
        <v>1865</v>
      </c>
      <c r="CJ5" s="136">
        <v>1865</v>
      </c>
      <c r="CK5" s="136">
        <v>1865</v>
      </c>
      <c r="CL5" s="136">
        <v>1865</v>
      </c>
      <c r="CM5" s="136">
        <v>1865</v>
      </c>
      <c r="CN5" s="132">
        <f t="shared" si="6"/>
        <v>22380</v>
      </c>
      <c r="CO5" s="137">
        <v>0</v>
      </c>
      <c r="CP5" s="137">
        <v>0</v>
      </c>
      <c r="CQ5" s="137">
        <v>0</v>
      </c>
      <c r="CR5" s="137">
        <v>0</v>
      </c>
      <c r="CS5" s="137">
        <v>0</v>
      </c>
      <c r="CT5" s="137">
        <v>0</v>
      </c>
      <c r="CU5" s="137">
        <v>0</v>
      </c>
      <c r="CV5" s="137">
        <v>0</v>
      </c>
      <c r="CW5" s="137">
        <v>0</v>
      </c>
      <c r="CX5" s="137">
        <v>0</v>
      </c>
      <c r="CY5" s="137">
        <v>0</v>
      </c>
      <c r="CZ5" s="137">
        <v>0</v>
      </c>
      <c r="DA5" s="132">
        <f t="shared" si="7"/>
        <v>0</v>
      </c>
      <c r="DB5" s="136">
        <v>0</v>
      </c>
      <c r="DC5" s="136">
        <v>0</v>
      </c>
      <c r="DD5" s="136">
        <v>0</v>
      </c>
      <c r="DE5" s="136">
        <v>0</v>
      </c>
      <c r="DF5" s="136">
        <v>0</v>
      </c>
      <c r="DG5" s="136">
        <v>0</v>
      </c>
      <c r="DH5" s="136">
        <v>0</v>
      </c>
      <c r="DI5" s="136">
        <v>0</v>
      </c>
      <c r="DJ5" s="136">
        <v>0</v>
      </c>
      <c r="DK5" s="136">
        <v>0</v>
      </c>
      <c r="DL5" s="136">
        <v>0</v>
      </c>
      <c r="DM5" s="136">
        <v>0</v>
      </c>
      <c r="DN5" s="132">
        <f t="shared" si="8"/>
        <v>0</v>
      </c>
      <c r="DO5" s="137">
        <v>0</v>
      </c>
      <c r="DP5" s="137">
        <v>0</v>
      </c>
      <c r="DQ5" s="137">
        <v>0</v>
      </c>
      <c r="DR5" s="137">
        <v>0</v>
      </c>
      <c r="DS5" s="137">
        <v>0</v>
      </c>
      <c r="DT5" s="137">
        <v>0</v>
      </c>
      <c r="DU5" s="137">
        <v>0</v>
      </c>
      <c r="DV5" s="137">
        <v>0</v>
      </c>
      <c r="DW5" s="137">
        <v>0</v>
      </c>
      <c r="DX5" s="137">
        <v>0</v>
      </c>
      <c r="DY5" s="137">
        <v>0</v>
      </c>
      <c r="DZ5" s="137">
        <v>0</v>
      </c>
      <c r="EA5" s="132">
        <f t="shared" si="9"/>
        <v>0</v>
      </c>
      <c r="EB5" s="216">
        <v>0</v>
      </c>
      <c r="EC5" s="216">
        <v>0</v>
      </c>
      <c r="ED5" s="216">
        <v>0</v>
      </c>
      <c r="EE5" s="216">
        <v>0</v>
      </c>
      <c r="EF5" s="216">
        <v>0</v>
      </c>
      <c r="EG5" s="216">
        <v>0</v>
      </c>
      <c r="EH5" s="216">
        <v>0</v>
      </c>
      <c r="EI5" s="216">
        <v>0</v>
      </c>
      <c r="EJ5" s="216">
        <v>0</v>
      </c>
      <c r="EK5" s="216">
        <v>0</v>
      </c>
      <c r="EL5" s="216">
        <v>0</v>
      </c>
      <c r="EM5" s="216">
        <v>0</v>
      </c>
      <c r="EN5" s="132">
        <f t="shared" si="10"/>
        <v>0</v>
      </c>
      <c r="EO5" s="132">
        <v>0</v>
      </c>
      <c r="EP5" s="132">
        <v>0</v>
      </c>
      <c r="EQ5" s="132">
        <v>0</v>
      </c>
      <c r="ER5" s="132">
        <v>0</v>
      </c>
      <c r="ES5" s="132">
        <v>0</v>
      </c>
      <c r="ET5" s="132">
        <v>0</v>
      </c>
      <c r="EU5" s="132">
        <v>0</v>
      </c>
      <c r="EV5" s="132">
        <v>0</v>
      </c>
      <c r="EW5" s="132">
        <v>0</v>
      </c>
      <c r="EX5" s="132">
        <v>0</v>
      </c>
      <c r="EY5" s="132">
        <v>0</v>
      </c>
      <c r="EZ5" s="132">
        <v>0</v>
      </c>
      <c r="FA5" s="132">
        <f t="shared" si="11"/>
        <v>0</v>
      </c>
      <c r="FB5" s="181">
        <v>0</v>
      </c>
      <c r="FC5" s="181">
        <v>0</v>
      </c>
      <c r="FD5" s="181">
        <v>0</v>
      </c>
      <c r="FE5" s="181">
        <v>0</v>
      </c>
      <c r="FF5" s="181">
        <v>0</v>
      </c>
      <c r="FG5" s="181">
        <v>0</v>
      </c>
      <c r="FH5" s="181">
        <v>0</v>
      </c>
      <c r="FI5" s="181">
        <v>0</v>
      </c>
      <c r="FJ5" s="181">
        <v>0</v>
      </c>
      <c r="FK5" s="181">
        <v>0</v>
      </c>
      <c r="FL5" s="181">
        <v>0</v>
      </c>
      <c r="FM5" s="181">
        <v>0</v>
      </c>
      <c r="FN5" s="132">
        <f t="shared" si="12"/>
        <v>0</v>
      </c>
      <c r="FO5" s="132">
        <v>0</v>
      </c>
      <c r="FP5" s="132">
        <v>0</v>
      </c>
      <c r="FQ5" s="132">
        <v>0</v>
      </c>
      <c r="FR5" s="132">
        <v>0</v>
      </c>
      <c r="FS5" s="132">
        <v>0</v>
      </c>
      <c r="FT5" s="132">
        <v>0</v>
      </c>
      <c r="FU5" s="132">
        <v>0</v>
      </c>
      <c r="FV5" s="132">
        <v>0</v>
      </c>
      <c r="FW5" s="132">
        <v>0</v>
      </c>
      <c r="FX5" s="132">
        <v>0</v>
      </c>
      <c r="FY5" s="132">
        <v>0</v>
      </c>
      <c r="FZ5" s="132">
        <v>0</v>
      </c>
      <c r="GA5" s="132">
        <f t="shared" si="13"/>
        <v>0</v>
      </c>
      <c r="GB5" s="181">
        <v>0</v>
      </c>
      <c r="GC5" s="181">
        <v>0</v>
      </c>
      <c r="GD5" s="181">
        <v>0</v>
      </c>
      <c r="GE5" s="181">
        <v>0</v>
      </c>
      <c r="GF5" s="181">
        <v>0</v>
      </c>
      <c r="GG5" s="181">
        <v>0</v>
      </c>
      <c r="GH5" s="181">
        <v>0</v>
      </c>
      <c r="GI5" s="181">
        <v>0</v>
      </c>
      <c r="GJ5" s="181">
        <v>0</v>
      </c>
      <c r="GK5" s="181">
        <v>0</v>
      </c>
      <c r="GL5" s="181">
        <v>0</v>
      </c>
      <c r="GM5" s="181">
        <v>0</v>
      </c>
      <c r="GN5" s="181">
        <f t="shared" si="14"/>
        <v>0</v>
      </c>
      <c r="GO5" s="137">
        <v>0</v>
      </c>
      <c r="GP5" s="137">
        <v>0</v>
      </c>
      <c r="GQ5" s="137">
        <v>0</v>
      </c>
      <c r="GR5" s="137">
        <v>0</v>
      </c>
      <c r="GS5" s="137">
        <v>0</v>
      </c>
      <c r="GT5" s="137">
        <v>0</v>
      </c>
      <c r="GU5" s="137">
        <v>0</v>
      </c>
      <c r="GV5" s="137">
        <v>0</v>
      </c>
      <c r="GW5" s="137">
        <v>0</v>
      </c>
      <c r="GX5" s="137">
        <v>0</v>
      </c>
      <c r="GY5" s="137">
        <v>0</v>
      </c>
      <c r="GZ5" s="137">
        <v>0</v>
      </c>
      <c r="HA5" s="132">
        <f t="shared" si="15"/>
        <v>0</v>
      </c>
      <c r="HB5" s="181">
        <v>0</v>
      </c>
      <c r="HC5" s="181">
        <v>0</v>
      </c>
      <c r="HD5" s="181">
        <v>0</v>
      </c>
      <c r="HE5" s="181">
        <v>0</v>
      </c>
      <c r="HF5" s="181">
        <v>0</v>
      </c>
      <c r="HG5" s="181">
        <v>0</v>
      </c>
      <c r="HH5" s="181">
        <v>0</v>
      </c>
      <c r="HI5" s="181">
        <v>0</v>
      </c>
      <c r="HJ5" s="181">
        <v>0</v>
      </c>
      <c r="HK5" s="181">
        <v>0</v>
      </c>
      <c r="HL5" s="181">
        <v>0</v>
      </c>
      <c r="HM5" s="181">
        <v>0</v>
      </c>
      <c r="HN5" s="181">
        <f t="shared" si="16"/>
        <v>0</v>
      </c>
      <c r="HO5" s="132">
        <v>0</v>
      </c>
      <c r="HP5" s="132">
        <v>0</v>
      </c>
      <c r="HQ5" s="132">
        <v>0</v>
      </c>
      <c r="HR5" s="132">
        <v>0</v>
      </c>
      <c r="HS5" s="132">
        <v>0</v>
      </c>
      <c r="HT5" s="132">
        <v>0</v>
      </c>
      <c r="HU5" s="132">
        <v>0</v>
      </c>
      <c r="HV5" s="132">
        <v>0</v>
      </c>
      <c r="HW5" s="132">
        <v>0</v>
      </c>
      <c r="HX5" s="132">
        <v>0</v>
      </c>
      <c r="HY5" s="132">
        <v>0</v>
      </c>
      <c r="HZ5" s="132">
        <v>0</v>
      </c>
      <c r="IA5" s="132">
        <f t="shared" si="17"/>
        <v>0</v>
      </c>
      <c r="IB5" s="181">
        <v>0</v>
      </c>
      <c r="IC5" s="181">
        <v>0</v>
      </c>
      <c r="ID5" s="181">
        <v>0</v>
      </c>
      <c r="IE5" s="181">
        <v>0</v>
      </c>
      <c r="IF5" s="181">
        <v>0</v>
      </c>
      <c r="IG5" s="181">
        <v>0</v>
      </c>
      <c r="IH5" s="181">
        <v>0</v>
      </c>
      <c r="II5" s="181">
        <v>0</v>
      </c>
      <c r="IJ5" s="181">
        <v>0</v>
      </c>
      <c r="IK5" s="181">
        <v>0</v>
      </c>
      <c r="IL5" s="181">
        <v>0</v>
      </c>
      <c r="IM5" s="181">
        <v>0</v>
      </c>
      <c r="IN5" s="181">
        <f t="shared" si="18"/>
        <v>0</v>
      </c>
      <c r="IO5" s="181">
        <v>0</v>
      </c>
      <c r="IP5" s="181">
        <v>0</v>
      </c>
      <c r="IQ5" s="181">
        <v>0</v>
      </c>
      <c r="IR5" s="181">
        <v>0</v>
      </c>
      <c r="IS5" s="181">
        <v>0</v>
      </c>
      <c r="IT5" s="181">
        <v>0</v>
      </c>
      <c r="IU5" s="181">
        <v>0</v>
      </c>
      <c r="IV5" s="181">
        <v>0</v>
      </c>
      <c r="IW5" s="181">
        <v>0</v>
      </c>
      <c r="IX5" s="181">
        <v>0</v>
      </c>
      <c r="IY5" s="181">
        <v>0</v>
      </c>
      <c r="IZ5" s="181">
        <v>0</v>
      </c>
      <c r="JA5" s="181">
        <f t="shared" si="19"/>
        <v>0</v>
      </c>
      <c r="JC5" s="135">
        <f t="shared" si="20"/>
        <v>3549</v>
      </c>
      <c r="JD5" s="135">
        <f t="shared" si="21"/>
        <v>3549</v>
      </c>
      <c r="JE5" s="135">
        <f t="shared" si="22"/>
        <v>3549</v>
      </c>
      <c r="JF5" s="135">
        <f t="shared" si="23"/>
        <v>3549</v>
      </c>
      <c r="JG5" s="135">
        <f t="shared" si="24"/>
        <v>3549</v>
      </c>
      <c r="JH5" s="135">
        <f t="shared" si="25"/>
        <v>3549</v>
      </c>
      <c r="JI5" s="135">
        <f t="shared" si="26"/>
        <v>3549</v>
      </c>
      <c r="JJ5" s="135">
        <f t="shared" si="27"/>
        <v>3549</v>
      </c>
      <c r="JK5" s="135">
        <f t="shared" si="28"/>
        <v>3549</v>
      </c>
      <c r="JL5" s="135">
        <f t="shared" si="29"/>
        <v>3549</v>
      </c>
      <c r="JM5" s="135">
        <f t="shared" si="30"/>
        <v>3549</v>
      </c>
      <c r="JN5" s="135">
        <f t="shared" si="31"/>
        <v>3549</v>
      </c>
      <c r="JO5" s="132">
        <f t="shared" si="32"/>
        <v>42588</v>
      </c>
      <c r="JQ5" s="139">
        <f t="shared" si="33"/>
        <v>42588</v>
      </c>
    </row>
    <row r="6" spans="1:277" x14ac:dyDescent="0.25">
      <c r="A6" s="130" t="s">
        <v>363</v>
      </c>
      <c r="B6" s="131">
        <v>20</v>
      </c>
      <c r="C6" s="131">
        <v>20</v>
      </c>
      <c r="D6" s="131">
        <v>20</v>
      </c>
      <c r="E6" s="131">
        <v>20</v>
      </c>
      <c r="F6" s="131">
        <v>20</v>
      </c>
      <c r="G6" s="131">
        <v>20</v>
      </c>
      <c r="H6" s="131">
        <v>20</v>
      </c>
      <c r="I6" s="131">
        <v>20</v>
      </c>
      <c r="J6" s="131">
        <v>20</v>
      </c>
      <c r="K6" s="131">
        <v>20</v>
      </c>
      <c r="L6" s="131">
        <v>20</v>
      </c>
      <c r="M6" s="131">
        <v>20</v>
      </c>
      <c r="N6" s="132">
        <f t="shared" si="0"/>
        <v>240</v>
      </c>
      <c r="O6" s="133">
        <v>100</v>
      </c>
      <c r="P6" s="133">
        <v>100</v>
      </c>
      <c r="Q6" s="133">
        <v>100</v>
      </c>
      <c r="R6" s="133">
        <v>100</v>
      </c>
      <c r="S6" s="133">
        <v>100</v>
      </c>
      <c r="T6" s="133">
        <v>100</v>
      </c>
      <c r="U6" s="133">
        <v>100</v>
      </c>
      <c r="V6" s="133">
        <v>100</v>
      </c>
      <c r="W6" s="133">
        <v>100</v>
      </c>
      <c r="X6" s="133">
        <v>100</v>
      </c>
      <c r="Y6" s="133">
        <v>100</v>
      </c>
      <c r="Z6" s="133">
        <v>100</v>
      </c>
      <c r="AA6" s="132">
        <f t="shared" si="1"/>
        <v>1200</v>
      </c>
      <c r="AB6" s="131">
        <v>0</v>
      </c>
      <c r="AC6" s="131">
        <v>0</v>
      </c>
      <c r="AD6" s="131">
        <v>0</v>
      </c>
      <c r="AE6" s="131">
        <v>0</v>
      </c>
      <c r="AF6" s="131">
        <v>0</v>
      </c>
      <c r="AG6" s="131">
        <v>0</v>
      </c>
      <c r="AH6" s="131">
        <v>0</v>
      </c>
      <c r="AI6" s="131">
        <v>0</v>
      </c>
      <c r="AJ6" s="131">
        <v>0</v>
      </c>
      <c r="AK6" s="131">
        <v>0</v>
      </c>
      <c r="AL6" s="131">
        <v>0</v>
      </c>
      <c r="AM6" s="131">
        <v>0</v>
      </c>
      <c r="AN6" s="132">
        <f t="shared" si="2"/>
        <v>0</v>
      </c>
      <c r="AO6" s="133">
        <v>80</v>
      </c>
      <c r="AP6" s="133">
        <v>80</v>
      </c>
      <c r="AQ6" s="133">
        <v>80</v>
      </c>
      <c r="AR6" s="133">
        <v>80</v>
      </c>
      <c r="AS6" s="133">
        <v>80</v>
      </c>
      <c r="AT6" s="133">
        <v>80</v>
      </c>
      <c r="AU6" s="133">
        <v>80</v>
      </c>
      <c r="AV6" s="133">
        <v>80</v>
      </c>
      <c r="AW6" s="133">
        <v>80</v>
      </c>
      <c r="AX6" s="133">
        <v>80</v>
      </c>
      <c r="AY6" s="133">
        <v>80</v>
      </c>
      <c r="AZ6" s="133">
        <v>80</v>
      </c>
      <c r="BA6" s="132">
        <f t="shared" si="3"/>
        <v>960</v>
      </c>
      <c r="BB6" s="134">
        <v>300</v>
      </c>
      <c r="BC6" s="134">
        <v>300</v>
      </c>
      <c r="BD6" s="134">
        <v>300</v>
      </c>
      <c r="BE6" s="134">
        <v>300</v>
      </c>
      <c r="BF6" s="134">
        <v>300</v>
      </c>
      <c r="BG6" s="134">
        <v>300</v>
      </c>
      <c r="BH6" s="134">
        <v>300</v>
      </c>
      <c r="BI6" s="134">
        <v>300</v>
      </c>
      <c r="BJ6" s="134">
        <v>300</v>
      </c>
      <c r="BK6" s="134">
        <v>300</v>
      </c>
      <c r="BL6" s="134">
        <v>300</v>
      </c>
      <c r="BM6" s="134">
        <v>300</v>
      </c>
      <c r="BN6" s="132">
        <f t="shared" si="4"/>
        <v>3600</v>
      </c>
      <c r="BO6" s="135">
        <v>120</v>
      </c>
      <c r="BP6" s="135">
        <v>120</v>
      </c>
      <c r="BQ6" s="135">
        <v>120</v>
      </c>
      <c r="BR6" s="135">
        <v>120</v>
      </c>
      <c r="BS6" s="135">
        <v>120</v>
      </c>
      <c r="BT6" s="135">
        <v>120</v>
      </c>
      <c r="BU6" s="135">
        <v>120</v>
      </c>
      <c r="BV6" s="135">
        <v>120</v>
      </c>
      <c r="BW6" s="135">
        <v>120</v>
      </c>
      <c r="BX6" s="135">
        <v>120</v>
      </c>
      <c r="BY6" s="135">
        <v>120</v>
      </c>
      <c r="BZ6" s="135">
        <v>120</v>
      </c>
      <c r="CA6" s="132">
        <f t="shared" si="5"/>
        <v>1440</v>
      </c>
      <c r="CB6" s="136">
        <v>1802</v>
      </c>
      <c r="CC6" s="136">
        <v>1802</v>
      </c>
      <c r="CD6" s="136">
        <v>1802</v>
      </c>
      <c r="CE6" s="136">
        <v>1802</v>
      </c>
      <c r="CF6" s="136">
        <v>1802</v>
      </c>
      <c r="CG6" s="136">
        <v>1802</v>
      </c>
      <c r="CH6" s="136">
        <v>1802</v>
      </c>
      <c r="CI6" s="136">
        <v>1802</v>
      </c>
      <c r="CJ6" s="136">
        <v>1802</v>
      </c>
      <c r="CK6" s="136">
        <v>1802</v>
      </c>
      <c r="CL6" s="136">
        <v>1802</v>
      </c>
      <c r="CM6" s="136">
        <v>1802</v>
      </c>
      <c r="CN6" s="132">
        <f t="shared" si="6"/>
        <v>21624</v>
      </c>
      <c r="CO6" s="137">
        <v>0</v>
      </c>
      <c r="CP6" s="137">
        <v>0</v>
      </c>
      <c r="CQ6" s="137">
        <v>0</v>
      </c>
      <c r="CR6" s="137">
        <v>0</v>
      </c>
      <c r="CS6" s="137">
        <v>0</v>
      </c>
      <c r="CT6" s="137">
        <v>0</v>
      </c>
      <c r="CU6" s="137">
        <v>0</v>
      </c>
      <c r="CV6" s="137">
        <v>0</v>
      </c>
      <c r="CW6" s="137">
        <v>0</v>
      </c>
      <c r="CX6" s="137">
        <v>0</v>
      </c>
      <c r="CY6" s="137">
        <v>0</v>
      </c>
      <c r="CZ6" s="137">
        <v>0</v>
      </c>
      <c r="DA6" s="132">
        <f t="shared" si="7"/>
        <v>0</v>
      </c>
      <c r="DB6" s="136">
        <v>0</v>
      </c>
      <c r="DC6" s="136">
        <v>0</v>
      </c>
      <c r="DD6" s="136">
        <v>0</v>
      </c>
      <c r="DE6" s="136">
        <v>0</v>
      </c>
      <c r="DF6" s="136">
        <v>0</v>
      </c>
      <c r="DG6" s="136">
        <v>0</v>
      </c>
      <c r="DH6" s="136">
        <v>0</v>
      </c>
      <c r="DI6" s="136">
        <v>0</v>
      </c>
      <c r="DJ6" s="136">
        <v>0</v>
      </c>
      <c r="DK6" s="136">
        <v>0</v>
      </c>
      <c r="DL6" s="136">
        <v>0</v>
      </c>
      <c r="DM6" s="136">
        <v>0</v>
      </c>
      <c r="DN6" s="132">
        <f t="shared" si="8"/>
        <v>0</v>
      </c>
      <c r="DO6" s="137">
        <v>0</v>
      </c>
      <c r="DP6" s="137">
        <v>0</v>
      </c>
      <c r="DQ6" s="137">
        <v>0</v>
      </c>
      <c r="DR6" s="137">
        <v>0</v>
      </c>
      <c r="DS6" s="137">
        <v>0</v>
      </c>
      <c r="DT6" s="137">
        <v>0</v>
      </c>
      <c r="DU6" s="137">
        <v>0</v>
      </c>
      <c r="DV6" s="137">
        <v>0</v>
      </c>
      <c r="DW6" s="137">
        <v>0</v>
      </c>
      <c r="DX6" s="137">
        <v>0</v>
      </c>
      <c r="DY6" s="137">
        <v>0</v>
      </c>
      <c r="DZ6" s="137">
        <v>0</v>
      </c>
      <c r="EA6" s="132">
        <f t="shared" si="9"/>
        <v>0</v>
      </c>
      <c r="EB6" s="216">
        <v>0</v>
      </c>
      <c r="EC6" s="216">
        <v>0</v>
      </c>
      <c r="ED6" s="216">
        <v>0</v>
      </c>
      <c r="EE6" s="216">
        <v>0</v>
      </c>
      <c r="EF6" s="216">
        <v>0</v>
      </c>
      <c r="EG6" s="216">
        <v>0</v>
      </c>
      <c r="EH6" s="216">
        <v>0</v>
      </c>
      <c r="EI6" s="216">
        <v>0</v>
      </c>
      <c r="EJ6" s="216">
        <v>0</v>
      </c>
      <c r="EK6" s="216">
        <v>0</v>
      </c>
      <c r="EL6" s="216">
        <v>0</v>
      </c>
      <c r="EM6" s="216">
        <v>0</v>
      </c>
      <c r="EN6" s="132">
        <f t="shared" si="10"/>
        <v>0</v>
      </c>
      <c r="EO6" s="132">
        <v>0</v>
      </c>
      <c r="EP6" s="132">
        <v>0</v>
      </c>
      <c r="EQ6" s="132">
        <v>0</v>
      </c>
      <c r="ER6" s="132">
        <v>0</v>
      </c>
      <c r="ES6" s="132">
        <v>0</v>
      </c>
      <c r="ET6" s="132">
        <v>0</v>
      </c>
      <c r="EU6" s="132">
        <v>0</v>
      </c>
      <c r="EV6" s="132">
        <v>0</v>
      </c>
      <c r="EW6" s="132">
        <v>0</v>
      </c>
      <c r="EX6" s="132">
        <v>0</v>
      </c>
      <c r="EY6" s="132">
        <v>0</v>
      </c>
      <c r="EZ6" s="132">
        <v>0</v>
      </c>
      <c r="FA6" s="132">
        <f t="shared" si="11"/>
        <v>0</v>
      </c>
      <c r="FB6" s="181">
        <v>0</v>
      </c>
      <c r="FC6" s="181">
        <v>0</v>
      </c>
      <c r="FD6" s="181">
        <v>0</v>
      </c>
      <c r="FE6" s="181">
        <v>0</v>
      </c>
      <c r="FF6" s="181">
        <v>0</v>
      </c>
      <c r="FG6" s="181">
        <v>0</v>
      </c>
      <c r="FH6" s="181">
        <v>0</v>
      </c>
      <c r="FI6" s="181">
        <v>0</v>
      </c>
      <c r="FJ6" s="181">
        <v>0</v>
      </c>
      <c r="FK6" s="181">
        <v>0</v>
      </c>
      <c r="FL6" s="181">
        <v>0</v>
      </c>
      <c r="FM6" s="181">
        <v>0</v>
      </c>
      <c r="FN6" s="132">
        <f t="shared" si="12"/>
        <v>0</v>
      </c>
      <c r="FO6" s="132">
        <v>0</v>
      </c>
      <c r="FP6" s="132">
        <v>0</v>
      </c>
      <c r="FQ6" s="132">
        <v>0</v>
      </c>
      <c r="FR6" s="132">
        <v>0</v>
      </c>
      <c r="FS6" s="132">
        <v>0</v>
      </c>
      <c r="FT6" s="132">
        <v>0</v>
      </c>
      <c r="FU6" s="132">
        <v>0</v>
      </c>
      <c r="FV6" s="132">
        <v>0</v>
      </c>
      <c r="FW6" s="132">
        <v>0</v>
      </c>
      <c r="FX6" s="132">
        <v>0</v>
      </c>
      <c r="FY6" s="132">
        <v>0</v>
      </c>
      <c r="FZ6" s="132">
        <v>0</v>
      </c>
      <c r="GA6" s="132">
        <f t="shared" si="13"/>
        <v>0</v>
      </c>
      <c r="GB6" s="181">
        <v>0</v>
      </c>
      <c r="GC6" s="181">
        <v>0</v>
      </c>
      <c r="GD6" s="181">
        <v>0</v>
      </c>
      <c r="GE6" s="181">
        <v>0</v>
      </c>
      <c r="GF6" s="181">
        <v>0</v>
      </c>
      <c r="GG6" s="181">
        <v>0</v>
      </c>
      <c r="GH6" s="181">
        <v>0</v>
      </c>
      <c r="GI6" s="181">
        <v>0</v>
      </c>
      <c r="GJ6" s="181">
        <v>0</v>
      </c>
      <c r="GK6" s="181">
        <v>0</v>
      </c>
      <c r="GL6" s="181">
        <v>0</v>
      </c>
      <c r="GM6" s="181">
        <v>0</v>
      </c>
      <c r="GN6" s="181">
        <f t="shared" si="14"/>
        <v>0</v>
      </c>
      <c r="GO6" s="137">
        <v>0</v>
      </c>
      <c r="GP6" s="137">
        <v>0</v>
      </c>
      <c r="GQ6" s="137">
        <v>0</v>
      </c>
      <c r="GR6" s="137">
        <v>0</v>
      </c>
      <c r="GS6" s="137">
        <v>0</v>
      </c>
      <c r="GT6" s="137">
        <v>0</v>
      </c>
      <c r="GU6" s="137">
        <v>0</v>
      </c>
      <c r="GV6" s="137">
        <v>0</v>
      </c>
      <c r="GW6" s="137">
        <v>0</v>
      </c>
      <c r="GX6" s="137">
        <v>0</v>
      </c>
      <c r="GY6" s="137">
        <v>0</v>
      </c>
      <c r="GZ6" s="137">
        <v>0</v>
      </c>
      <c r="HA6" s="132">
        <f t="shared" si="15"/>
        <v>0</v>
      </c>
      <c r="HB6" s="181">
        <v>0</v>
      </c>
      <c r="HC6" s="181">
        <v>0</v>
      </c>
      <c r="HD6" s="181">
        <v>0</v>
      </c>
      <c r="HE6" s="181">
        <v>0</v>
      </c>
      <c r="HF6" s="181">
        <v>0</v>
      </c>
      <c r="HG6" s="181">
        <v>0</v>
      </c>
      <c r="HH6" s="181">
        <v>0</v>
      </c>
      <c r="HI6" s="181">
        <v>0</v>
      </c>
      <c r="HJ6" s="181">
        <v>0</v>
      </c>
      <c r="HK6" s="181">
        <v>0</v>
      </c>
      <c r="HL6" s="181">
        <v>0</v>
      </c>
      <c r="HM6" s="181">
        <v>0</v>
      </c>
      <c r="HN6" s="181">
        <f t="shared" si="16"/>
        <v>0</v>
      </c>
      <c r="HO6" s="132">
        <v>0</v>
      </c>
      <c r="HP6" s="132">
        <v>0</v>
      </c>
      <c r="HQ6" s="132">
        <v>0</v>
      </c>
      <c r="HR6" s="132">
        <v>0</v>
      </c>
      <c r="HS6" s="132">
        <v>0</v>
      </c>
      <c r="HT6" s="132">
        <v>0</v>
      </c>
      <c r="HU6" s="132">
        <v>0</v>
      </c>
      <c r="HV6" s="132">
        <v>0</v>
      </c>
      <c r="HW6" s="132">
        <v>0</v>
      </c>
      <c r="HX6" s="132">
        <v>0</v>
      </c>
      <c r="HY6" s="132">
        <v>0</v>
      </c>
      <c r="HZ6" s="132">
        <v>0</v>
      </c>
      <c r="IA6" s="132">
        <f t="shared" si="17"/>
        <v>0</v>
      </c>
      <c r="IB6" s="181">
        <v>0</v>
      </c>
      <c r="IC6" s="181">
        <v>0</v>
      </c>
      <c r="ID6" s="181">
        <v>0</v>
      </c>
      <c r="IE6" s="181">
        <v>0</v>
      </c>
      <c r="IF6" s="181">
        <v>0</v>
      </c>
      <c r="IG6" s="181">
        <v>0</v>
      </c>
      <c r="IH6" s="181">
        <v>0</v>
      </c>
      <c r="II6" s="181">
        <v>0</v>
      </c>
      <c r="IJ6" s="181">
        <v>0</v>
      </c>
      <c r="IK6" s="181">
        <v>0</v>
      </c>
      <c r="IL6" s="181">
        <v>0</v>
      </c>
      <c r="IM6" s="181">
        <v>0</v>
      </c>
      <c r="IN6" s="181">
        <f t="shared" si="18"/>
        <v>0</v>
      </c>
      <c r="IO6" s="181">
        <v>0</v>
      </c>
      <c r="IP6" s="181">
        <v>0</v>
      </c>
      <c r="IQ6" s="181">
        <v>0</v>
      </c>
      <c r="IR6" s="181">
        <v>0</v>
      </c>
      <c r="IS6" s="181">
        <v>0</v>
      </c>
      <c r="IT6" s="181">
        <v>0</v>
      </c>
      <c r="IU6" s="181">
        <v>0</v>
      </c>
      <c r="IV6" s="181">
        <v>0</v>
      </c>
      <c r="IW6" s="181">
        <v>0</v>
      </c>
      <c r="IX6" s="181">
        <v>0</v>
      </c>
      <c r="IY6" s="181">
        <v>0</v>
      </c>
      <c r="IZ6" s="181">
        <v>0</v>
      </c>
      <c r="JA6" s="181">
        <f t="shared" si="19"/>
        <v>0</v>
      </c>
      <c r="JC6" s="135">
        <f t="shared" si="20"/>
        <v>2422</v>
      </c>
      <c r="JD6" s="135">
        <f t="shared" si="21"/>
        <v>2422</v>
      </c>
      <c r="JE6" s="135">
        <f t="shared" si="22"/>
        <v>2422</v>
      </c>
      <c r="JF6" s="135">
        <f t="shared" si="23"/>
        <v>2422</v>
      </c>
      <c r="JG6" s="135">
        <f t="shared" si="24"/>
        <v>2422</v>
      </c>
      <c r="JH6" s="135">
        <f t="shared" si="25"/>
        <v>2422</v>
      </c>
      <c r="JI6" s="135">
        <f t="shared" si="26"/>
        <v>2422</v>
      </c>
      <c r="JJ6" s="135">
        <f t="shared" si="27"/>
        <v>2422</v>
      </c>
      <c r="JK6" s="135">
        <f t="shared" si="28"/>
        <v>2422</v>
      </c>
      <c r="JL6" s="135">
        <f t="shared" si="29"/>
        <v>2422</v>
      </c>
      <c r="JM6" s="135">
        <f t="shared" si="30"/>
        <v>2422</v>
      </c>
      <c r="JN6" s="135">
        <f t="shared" si="31"/>
        <v>2422</v>
      </c>
      <c r="JO6" s="132">
        <f t="shared" si="32"/>
        <v>29064</v>
      </c>
      <c r="JQ6" s="139">
        <f t="shared" si="33"/>
        <v>29064</v>
      </c>
    </row>
    <row r="7" spans="1:277" x14ac:dyDescent="0.25">
      <c r="A7" s="130" t="s">
        <v>370</v>
      </c>
      <c r="B7" s="131">
        <v>15</v>
      </c>
      <c r="C7" s="131">
        <v>15</v>
      </c>
      <c r="D7" s="131">
        <v>15</v>
      </c>
      <c r="E7" s="131">
        <v>15</v>
      </c>
      <c r="F7" s="131">
        <v>15</v>
      </c>
      <c r="G7" s="131">
        <v>15</v>
      </c>
      <c r="H7" s="131">
        <v>15</v>
      </c>
      <c r="I7" s="131">
        <v>15</v>
      </c>
      <c r="J7" s="131">
        <v>15</v>
      </c>
      <c r="K7" s="131">
        <v>15</v>
      </c>
      <c r="L7" s="131">
        <v>15</v>
      </c>
      <c r="M7" s="131">
        <v>15</v>
      </c>
      <c r="N7" s="132">
        <f t="shared" si="0"/>
        <v>180</v>
      </c>
      <c r="O7" s="133">
        <v>60</v>
      </c>
      <c r="P7" s="133">
        <v>60</v>
      </c>
      <c r="Q7" s="133">
        <v>60</v>
      </c>
      <c r="R7" s="133">
        <v>60</v>
      </c>
      <c r="S7" s="133">
        <v>60</v>
      </c>
      <c r="T7" s="133">
        <v>60</v>
      </c>
      <c r="U7" s="133">
        <v>60</v>
      </c>
      <c r="V7" s="133">
        <v>60</v>
      </c>
      <c r="W7" s="133">
        <v>60</v>
      </c>
      <c r="X7" s="133">
        <v>60</v>
      </c>
      <c r="Y7" s="133">
        <v>60</v>
      </c>
      <c r="Z7" s="133">
        <v>60</v>
      </c>
      <c r="AA7" s="132">
        <f t="shared" si="1"/>
        <v>720</v>
      </c>
      <c r="AB7" s="131">
        <v>50</v>
      </c>
      <c r="AC7" s="131">
        <v>50</v>
      </c>
      <c r="AD7" s="131">
        <v>50</v>
      </c>
      <c r="AE7" s="131">
        <v>50</v>
      </c>
      <c r="AF7" s="131">
        <v>50</v>
      </c>
      <c r="AG7" s="131">
        <v>50</v>
      </c>
      <c r="AH7" s="131">
        <v>50</v>
      </c>
      <c r="AI7" s="131">
        <v>50</v>
      </c>
      <c r="AJ7" s="131">
        <v>50</v>
      </c>
      <c r="AK7" s="131">
        <v>50</v>
      </c>
      <c r="AL7" s="131">
        <v>50</v>
      </c>
      <c r="AM7" s="131">
        <v>50</v>
      </c>
      <c r="AN7" s="132">
        <f t="shared" si="2"/>
        <v>600</v>
      </c>
      <c r="AO7" s="133">
        <v>90</v>
      </c>
      <c r="AP7" s="133">
        <v>90</v>
      </c>
      <c r="AQ7" s="133">
        <v>90</v>
      </c>
      <c r="AR7" s="133">
        <v>90</v>
      </c>
      <c r="AS7" s="133">
        <v>90</v>
      </c>
      <c r="AT7" s="133">
        <v>90</v>
      </c>
      <c r="AU7" s="133">
        <v>90</v>
      </c>
      <c r="AV7" s="133">
        <v>90</v>
      </c>
      <c r="AW7" s="133">
        <v>90</v>
      </c>
      <c r="AX7" s="133">
        <v>90</v>
      </c>
      <c r="AY7" s="133">
        <v>90</v>
      </c>
      <c r="AZ7" s="133">
        <v>90</v>
      </c>
      <c r="BA7" s="132">
        <f t="shared" si="3"/>
        <v>1080</v>
      </c>
      <c r="BB7" s="134">
        <v>230</v>
      </c>
      <c r="BC7" s="134">
        <v>230</v>
      </c>
      <c r="BD7" s="134">
        <v>230</v>
      </c>
      <c r="BE7" s="134">
        <v>230</v>
      </c>
      <c r="BF7" s="134">
        <v>230</v>
      </c>
      <c r="BG7" s="134">
        <v>230</v>
      </c>
      <c r="BH7" s="134">
        <v>230</v>
      </c>
      <c r="BI7" s="134">
        <v>230</v>
      </c>
      <c r="BJ7" s="134">
        <v>230</v>
      </c>
      <c r="BK7" s="134">
        <v>230</v>
      </c>
      <c r="BL7" s="134">
        <v>230</v>
      </c>
      <c r="BM7" s="134">
        <v>230</v>
      </c>
      <c r="BN7" s="132">
        <f t="shared" si="4"/>
        <v>2760</v>
      </c>
      <c r="BO7" s="135">
        <v>120</v>
      </c>
      <c r="BP7" s="135">
        <v>120</v>
      </c>
      <c r="BQ7" s="135">
        <v>120</v>
      </c>
      <c r="BR7" s="135">
        <v>120</v>
      </c>
      <c r="BS7" s="135">
        <v>120</v>
      </c>
      <c r="BT7" s="135">
        <v>120</v>
      </c>
      <c r="BU7" s="135">
        <v>120</v>
      </c>
      <c r="BV7" s="135">
        <v>120</v>
      </c>
      <c r="BW7" s="135">
        <v>120</v>
      </c>
      <c r="BX7" s="135">
        <v>120</v>
      </c>
      <c r="BY7" s="135">
        <v>120</v>
      </c>
      <c r="BZ7" s="135">
        <v>120</v>
      </c>
      <c r="CA7" s="132">
        <f t="shared" si="5"/>
        <v>1440</v>
      </c>
      <c r="CB7" s="136">
        <v>1587</v>
      </c>
      <c r="CC7" s="136">
        <v>1587</v>
      </c>
      <c r="CD7" s="136">
        <v>1587</v>
      </c>
      <c r="CE7" s="136">
        <v>1587</v>
      </c>
      <c r="CF7" s="136">
        <v>1587</v>
      </c>
      <c r="CG7" s="136">
        <v>1587</v>
      </c>
      <c r="CH7" s="136">
        <v>1587</v>
      </c>
      <c r="CI7" s="136">
        <v>1587</v>
      </c>
      <c r="CJ7" s="136">
        <v>1587</v>
      </c>
      <c r="CK7" s="136">
        <v>1587</v>
      </c>
      <c r="CL7" s="136">
        <v>1587</v>
      </c>
      <c r="CM7" s="136">
        <v>1587</v>
      </c>
      <c r="CN7" s="132">
        <f t="shared" si="6"/>
        <v>19044</v>
      </c>
      <c r="CO7" s="137">
        <v>0</v>
      </c>
      <c r="CP7" s="137">
        <v>0</v>
      </c>
      <c r="CQ7" s="137">
        <v>0</v>
      </c>
      <c r="CR7" s="137">
        <v>0</v>
      </c>
      <c r="CS7" s="137">
        <v>0</v>
      </c>
      <c r="CT7" s="137">
        <v>0</v>
      </c>
      <c r="CU7" s="137">
        <v>0</v>
      </c>
      <c r="CV7" s="137">
        <v>0</v>
      </c>
      <c r="CW7" s="137">
        <v>0</v>
      </c>
      <c r="CX7" s="137">
        <v>0</v>
      </c>
      <c r="CY7" s="137">
        <v>0</v>
      </c>
      <c r="CZ7" s="137">
        <v>0</v>
      </c>
      <c r="DA7" s="132">
        <f t="shared" si="7"/>
        <v>0</v>
      </c>
      <c r="DB7" s="136">
        <v>0</v>
      </c>
      <c r="DC7" s="136">
        <v>0</v>
      </c>
      <c r="DD7" s="136">
        <v>0</v>
      </c>
      <c r="DE7" s="136">
        <v>0</v>
      </c>
      <c r="DF7" s="136">
        <v>0</v>
      </c>
      <c r="DG7" s="136">
        <v>0</v>
      </c>
      <c r="DH7" s="136">
        <v>0</v>
      </c>
      <c r="DI7" s="136">
        <v>0</v>
      </c>
      <c r="DJ7" s="136">
        <v>0</v>
      </c>
      <c r="DK7" s="136">
        <v>0</v>
      </c>
      <c r="DL7" s="136">
        <v>0</v>
      </c>
      <c r="DM7" s="136">
        <v>0</v>
      </c>
      <c r="DN7" s="132">
        <f t="shared" si="8"/>
        <v>0</v>
      </c>
      <c r="DO7" s="137">
        <v>0</v>
      </c>
      <c r="DP7" s="137">
        <v>0</v>
      </c>
      <c r="DQ7" s="137">
        <v>0</v>
      </c>
      <c r="DR7" s="137">
        <v>0</v>
      </c>
      <c r="DS7" s="137">
        <v>0</v>
      </c>
      <c r="DT7" s="137">
        <v>0</v>
      </c>
      <c r="DU7" s="137">
        <v>0</v>
      </c>
      <c r="DV7" s="137">
        <v>0</v>
      </c>
      <c r="DW7" s="137">
        <v>0</v>
      </c>
      <c r="DX7" s="137">
        <v>0</v>
      </c>
      <c r="DY7" s="137">
        <v>0</v>
      </c>
      <c r="DZ7" s="137">
        <v>0</v>
      </c>
      <c r="EA7" s="132">
        <f t="shared" si="9"/>
        <v>0</v>
      </c>
      <c r="EB7" s="216">
        <v>0</v>
      </c>
      <c r="EC7" s="216">
        <v>0</v>
      </c>
      <c r="ED7" s="216">
        <v>0</v>
      </c>
      <c r="EE7" s="216">
        <v>0</v>
      </c>
      <c r="EF7" s="216">
        <v>0</v>
      </c>
      <c r="EG7" s="216">
        <v>0</v>
      </c>
      <c r="EH7" s="216">
        <v>0</v>
      </c>
      <c r="EI7" s="216">
        <v>0</v>
      </c>
      <c r="EJ7" s="216">
        <v>0</v>
      </c>
      <c r="EK7" s="216">
        <v>0</v>
      </c>
      <c r="EL7" s="216">
        <v>0</v>
      </c>
      <c r="EM7" s="216">
        <v>0</v>
      </c>
      <c r="EN7" s="132">
        <f t="shared" si="10"/>
        <v>0</v>
      </c>
      <c r="EO7" s="132">
        <v>0</v>
      </c>
      <c r="EP7" s="132">
        <v>0</v>
      </c>
      <c r="EQ7" s="132">
        <v>0</v>
      </c>
      <c r="ER7" s="132">
        <v>0</v>
      </c>
      <c r="ES7" s="132">
        <v>0</v>
      </c>
      <c r="ET7" s="132">
        <v>0</v>
      </c>
      <c r="EU7" s="132">
        <v>0</v>
      </c>
      <c r="EV7" s="132">
        <v>0</v>
      </c>
      <c r="EW7" s="132">
        <v>0</v>
      </c>
      <c r="EX7" s="132">
        <v>0</v>
      </c>
      <c r="EY7" s="132">
        <v>0</v>
      </c>
      <c r="EZ7" s="132">
        <v>0</v>
      </c>
      <c r="FA7" s="132">
        <f t="shared" si="11"/>
        <v>0</v>
      </c>
      <c r="FB7" s="181">
        <v>336</v>
      </c>
      <c r="FC7" s="181">
        <v>336</v>
      </c>
      <c r="FD7" s="181">
        <v>336</v>
      </c>
      <c r="FE7" s="181">
        <v>336</v>
      </c>
      <c r="FF7" s="181">
        <v>336</v>
      </c>
      <c r="FG7" s="181">
        <v>336</v>
      </c>
      <c r="FH7" s="181">
        <v>336</v>
      </c>
      <c r="FI7" s="181">
        <v>336</v>
      </c>
      <c r="FJ7" s="181">
        <v>336</v>
      </c>
      <c r="FK7" s="181">
        <v>336</v>
      </c>
      <c r="FL7" s="181">
        <v>336</v>
      </c>
      <c r="FM7" s="181">
        <v>336</v>
      </c>
      <c r="FN7" s="132">
        <f t="shared" si="12"/>
        <v>4032</v>
      </c>
      <c r="FO7" s="132">
        <v>0</v>
      </c>
      <c r="FP7" s="132">
        <v>0</v>
      </c>
      <c r="FQ7" s="132">
        <v>0</v>
      </c>
      <c r="FR7" s="132">
        <v>0</v>
      </c>
      <c r="FS7" s="132">
        <v>0</v>
      </c>
      <c r="FT7" s="132">
        <v>0</v>
      </c>
      <c r="FU7" s="132">
        <v>0</v>
      </c>
      <c r="FV7" s="132">
        <v>0</v>
      </c>
      <c r="FW7" s="132">
        <v>0</v>
      </c>
      <c r="FX7" s="132">
        <v>0</v>
      </c>
      <c r="FY7" s="132">
        <v>0</v>
      </c>
      <c r="FZ7" s="132">
        <v>0</v>
      </c>
      <c r="GA7" s="132">
        <f t="shared" si="13"/>
        <v>0</v>
      </c>
      <c r="GB7" s="181">
        <v>0</v>
      </c>
      <c r="GC7" s="181">
        <v>0</v>
      </c>
      <c r="GD7" s="181">
        <v>0</v>
      </c>
      <c r="GE7" s="181">
        <v>0</v>
      </c>
      <c r="GF7" s="181">
        <v>0</v>
      </c>
      <c r="GG7" s="181">
        <v>0</v>
      </c>
      <c r="GH7" s="181">
        <v>0</v>
      </c>
      <c r="GI7" s="181">
        <v>0</v>
      </c>
      <c r="GJ7" s="181">
        <v>0</v>
      </c>
      <c r="GK7" s="181">
        <v>0</v>
      </c>
      <c r="GL7" s="181">
        <v>0</v>
      </c>
      <c r="GM7" s="181">
        <v>0</v>
      </c>
      <c r="GN7" s="181">
        <f t="shared" si="14"/>
        <v>0</v>
      </c>
      <c r="GO7" s="137">
        <v>0</v>
      </c>
      <c r="GP7" s="137">
        <v>0</v>
      </c>
      <c r="GQ7" s="137">
        <v>0</v>
      </c>
      <c r="GR7" s="137">
        <v>0</v>
      </c>
      <c r="GS7" s="137">
        <v>0</v>
      </c>
      <c r="GT7" s="137">
        <v>0</v>
      </c>
      <c r="GU7" s="137">
        <v>0</v>
      </c>
      <c r="GV7" s="137">
        <v>0</v>
      </c>
      <c r="GW7" s="137">
        <v>0</v>
      </c>
      <c r="GX7" s="137">
        <v>0</v>
      </c>
      <c r="GY7" s="137">
        <v>0</v>
      </c>
      <c r="GZ7" s="137">
        <v>0</v>
      </c>
      <c r="HA7" s="132">
        <f t="shared" si="15"/>
        <v>0</v>
      </c>
      <c r="HB7" s="181">
        <v>0</v>
      </c>
      <c r="HC7" s="181">
        <v>0</v>
      </c>
      <c r="HD7" s="181">
        <v>0</v>
      </c>
      <c r="HE7" s="181">
        <v>0</v>
      </c>
      <c r="HF7" s="181">
        <v>0</v>
      </c>
      <c r="HG7" s="181">
        <v>0</v>
      </c>
      <c r="HH7" s="181">
        <v>0</v>
      </c>
      <c r="HI7" s="181">
        <v>0</v>
      </c>
      <c r="HJ7" s="181">
        <v>0</v>
      </c>
      <c r="HK7" s="181">
        <v>0</v>
      </c>
      <c r="HL7" s="181">
        <v>0</v>
      </c>
      <c r="HM7" s="181">
        <v>0</v>
      </c>
      <c r="HN7" s="181">
        <f t="shared" si="16"/>
        <v>0</v>
      </c>
      <c r="HO7" s="132">
        <v>0</v>
      </c>
      <c r="HP7" s="132">
        <v>0</v>
      </c>
      <c r="HQ7" s="132">
        <v>0</v>
      </c>
      <c r="HR7" s="132">
        <v>0</v>
      </c>
      <c r="HS7" s="132">
        <v>0</v>
      </c>
      <c r="HT7" s="132">
        <v>0</v>
      </c>
      <c r="HU7" s="132">
        <v>0</v>
      </c>
      <c r="HV7" s="132">
        <v>0</v>
      </c>
      <c r="HW7" s="132">
        <v>0</v>
      </c>
      <c r="HX7" s="132">
        <v>0</v>
      </c>
      <c r="HY7" s="132">
        <v>0</v>
      </c>
      <c r="HZ7" s="132">
        <v>0</v>
      </c>
      <c r="IA7" s="132">
        <f t="shared" si="17"/>
        <v>0</v>
      </c>
      <c r="IB7" s="181">
        <v>0</v>
      </c>
      <c r="IC7" s="181">
        <v>0</v>
      </c>
      <c r="ID7" s="181">
        <v>0</v>
      </c>
      <c r="IE7" s="181">
        <v>0</v>
      </c>
      <c r="IF7" s="181">
        <v>0</v>
      </c>
      <c r="IG7" s="181">
        <v>0</v>
      </c>
      <c r="IH7" s="181">
        <v>0</v>
      </c>
      <c r="II7" s="181">
        <v>0</v>
      </c>
      <c r="IJ7" s="181">
        <v>0</v>
      </c>
      <c r="IK7" s="181">
        <v>0</v>
      </c>
      <c r="IL7" s="181">
        <v>0</v>
      </c>
      <c r="IM7" s="181">
        <v>0</v>
      </c>
      <c r="IN7" s="181">
        <f t="shared" si="18"/>
        <v>0</v>
      </c>
      <c r="IO7" s="181">
        <v>0</v>
      </c>
      <c r="IP7" s="181">
        <v>0</v>
      </c>
      <c r="IQ7" s="181">
        <v>0</v>
      </c>
      <c r="IR7" s="181">
        <v>0</v>
      </c>
      <c r="IS7" s="181">
        <v>0</v>
      </c>
      <c r="IT7" s="181">
        <v>0</v>
      </c>
      <c r="IU7" s="181">
        <v>0</v>
      </c>
      <c r="IV7" s="181">
        <v>0</v>
      </c>
      <c r="IW7" s="181">
        <v>0</v>
      </c>
      <c r="IX7" s="181">
        <v>0</v>
      </c>
      <c r="IY7" s="181">
        <v>0</v>
      </c>
      <c r="IZ7" s="181">
        <v>0</v>
      </c>
      <c r="JA7" s="181">
        <f t="shared" si="19"/>
        <v>0</v>
      </c>
      <c r="JC7" s="135">
        <f t="shared" si="20"/>
        <v>2488</v>
      </c>
      <c r="JD7" s="135">
        <f t="shared" si="21"/>
        <v>2488</v>
      </c>
      <c r="JE7" s="135">
        <f t="shared" si="22"/>
        <v>2488</v>
      </c>
      <c r="JF7" s="135">
        <f t="shared" si="23"/>
        <v>2488</v>
      </c>
      <c r="JG7" s="135">
        <f t="shared" si="24"/>
        <v>2488</v>
      </c>
      <c r="JH7" s="135">
        <f t="shared" si="25"/>
        <v>2488</v>
      </c>
      <c r="JI7" s="135">
        <f t="shared" si="26"/>
        <v>2488</v>
      </c>
      <c r="JJ7" s="135">
        <f t="shared" si="27"/>
        <v>2488</v>
      </c>
      <c r="JK7" s="135">
        <f t="shared" si="28"/>
        <v>2488</v>
      </c>
      <c r="JL7" s="135">
        <f t="shared" si="29"/>
        <v>2488</v>
      </c>
      <c r="JM7" s="135">
        <f t="shared" si="30"/>
        <v>2488</v>
      </c>
      <c r="JN7" s="135">
        <f t="shared" si="31"/>
        <v>2488</v>
      </c>
      <c r="JO7" s="132">
        <f t="shared" si="32"/>
        <v>29856</v>
      </c>
      <c r="JQ7" s="139">
        <f t="shared" si="33"/>
        <v>29856</v>
      </c>
    </row>
    <row r="8" spans="1:277" x14ac:dyDescent="0.25">
      <c r="A8" s="130" t="s">
        <v>376</v>
      </c>
      <c r="B8" s="131">
        <v>15</v>
      </c>
      <c r="C8" s="131">
        <v>15</v>
      </c>
      <c r="D8" s="131">
        <v>15</v>
      </c>
      <c r="E8" s="131">
        <v>15</v>
      </c>
      <c r="F8" s="131">
        <v>15</v>
      </c>
      <c r="G8" s="131">
        <v>15</v>
      </c>
      <c r="H8" s="131">
        <v>15</v>
      </c>
      <c r="I8" s="131">
        <v>15</v>
      </c>
      <c r="J8" s="131">
        <v>15</v>
      </c>
      <c r="K8" s="131">
        <v>15</v>
      </c>
      <c r="L8" s="131">
        <v>15</v>
      </c>
      <c r="M8" s="131">
        <v>15</v>
      </c>
      <c r="N8" s="132">
        <f t="shared" si="0"/>
        <v>180</v>
      </c>
      <c r="O8" s="133">
        <v>70</v>
      </c>
      <c r="P8" s="133">
        <v>70</v>
      </c>
      <c r="Q8" s="133">
        <v>70</v>
      </c>
      <c r="R8" s="133">
        <v>70</v>
      </c>
      <c r="S8" s="133">
        <v>70</v>
      </c>
      <c r="T8" s="133">
        <v>70</v>
      </c>
      <c r="U8" s="133">
        <v>70</v>
      </c>
      <c r="V8" s="133">
        <v>70</v>
      </c>
      <c r="W8" s="133">
        <v>70</v>
      </c>
      <c r="X8" s="133">
        <v>70</v>
      </c>
      <c r="Y8" s="133">
        <v>70</v>
      </c>
      <c r="Z8" s="133">
        <v>70</v>
      </c>
      <c r="AA8" s="132">
        <f t="shared" si="1"/>
        <v>840</v>
      </c>
      <c r="AB8" s="131">
        <v>45</v>
      </c>
      <c r="AC8" s="131">
        <v>45</v>
      </c>
      <c r="AD8" s="131">
        <v>45</v>
      </c>
      <c r="AE8" s="131">
        <v>45</v>
      </c>
      <c r="AF8" s="131">
        <v>45</v>
      </c>
      <c r="AG8" s="131">
        <v>45</v>
      </c>
      <c r="AH8" s="131">
        <v>45</v>
      </c>
      <c r="AI8" s="131">
        <v>45</v>
      </c>
      <c r="AJ8" s="131">
        <v>45</v>
      </c>
      <c r="AK8" s="131">
        <v>45</v>
      </c>
      <c r="AL8" s="131">
        <v>45</v>
      </c>
      <c r="AM8" s="131">
        <v>45</v>
      </c>
      <c r="AN8" s="132">
        <f t="shared" si="2"/>
        <v>540</v>
      </c>
      <c r="AO8" s="133">
        <v>70</v>
      </c>
      <c r="AP8" s="133">
        <v>70</v>
      </c>
      <c r="AQ8" s="133">
        <v>70</v>
      </c>
      <c r="AR8" s="133">
        <v>70</v>
      </c>
      <c r="AS8" s="133">
        <v>70</v>
      </c>
      <c r="AT8" s="133">
        <v>70</v>
      </c>
      <c r="AU8" s="133">
        <v>70</v>
      </c>
      <c r="AV8" s="133">
        <v>70</v>
      </c>
      <c r="AW8" s="133">
        <v>70</v>
      </c>
      <c r="AX8" s="133">
        <v>70</v>
      </c>
      <c r="AY8" s="133">
        <v>70</v>
      </c>
      <c r="AZ8" s="133">
        <v>70</v>
      </c>
      <c r="BA8" s="132">
        <f t="shared" si="3"/>
        <v>840</v>
      </c>
      <c r="BB8" s="134">
        <v>250</v>
      </c>
      <c r="BC8" s="134">
        <v>250</v>
      </c>
      <c r="BD8" s="134">
        <v>250</v>
      </c>
      <c r="BE8" s="134">
        <v>250</v>
      </c>
      <c r="BF8" s="134">
        <v>250</v>
      </c>
      <c r="BG8" s="134">
        <v>250</v>
      </c>
      <c r="BH8" s="134">
        <v>250</v>
      </c>
      <c r="BI8" s="134">
        <v>250</v>
      </c>
      <c r="BJ8" s="134">
        <v>250</v>
      </c>
      <c r="BK8" s="134">
        <v>250</v>
      </c>
      <c r="BL8" s="134">
        <v>250</v>
      </c>
      <c r="BM8" s="134">
        <v>250</v>
      </c>
      <c r="BN8" s="132">
        <f t="shared" si="4"/>
        <v>3000</v>
      </c>
      <c r="BO8" s="135">
        <v>120</v>
      </c>
      <c r="BP8" s="135">
        <v>120</v>
      </c>
      <c r="BQ8" s="135">
        <v>120</v>
      </c>
      <c r="BR8" s="135">
        <v>120</v>
      </c>
      <c r="BS8" s="135">
        <v>120</v>
      </c>
      <c r="BT8" s="135">
        <v>120</v>
      </c>
      <c r="BU8" s="135">
        <v>120</v>
      </c>
      <c r="BV8" s="135">
        <v>120</v>
      </c>
      <c r="BW8" s="135">
        <v>120</v>
      </c>
      <c r="BX8" s="135">
        <v>120</v>
      </c>
      <c r="BY8" s="135">
        <v>120</v>
      </c>
      <c r="BZ8" s="135">
        <v>120</v>
      </c>
      <c r="CA8" s="132">
        <f t="shared" si="5"/>
        <v>1440</v>
      </c>
      <c r="CB8" s="136">
        <v>1652</v>
      </c>
      <c r="CC8" s="136">
        <v>1652</v>
      </c>
      <c r="CD8" s="136">
        <v>1652</v>
      </c>
      <c r="CE8" s="136">
        <v>1652</v>
      </c>
      <c r="CF8" s="136">
        <v>1652</v>
      </c>
      <c r="CG8" s="136">
        <v>1652</v>
      </c>
      <c r="CH8" s="136">
        <v>1652</v>
      </c>
      <c r="CI8" s="136">
        <v>1652</v>
      </c>
      <c r="CJ8" s="136">
        <v>1652</v>
      </c>
      <c r="CK8" s="136">
        <v>1652</v>
      </c>
      <c r="CL8" s="136">
        <v>1652</v>
      </c>
      <c r="CM8" s="136">
        <v>1652</v>
      </c>
      <c r="CN8" s="132">
        <f t="shared" si="6"/>
        <v>19824</v>
      </c>
      <c r="CO8" s="137">
        <v>0</v>
      </c>
      <c r="CP8" s="137">
        <v>0</v>
      </c>
      <c r="CQ8" s="137">
        <v>0</v>
      </c>
      <c r="CR8" s="137">
        <v>0</v>
      </c>
      <c r="CS8" s="137">
        <v>0</v>
      </c>
      <c r="CT8" s="137">
        <v>0</v>
      </c>
      <c r="CU8" s="137">
        <v>0</v>
      </c>
      <c r="CV8" s="137">
        <v>0</v>
      </c>
      <c r="CW8" s="137">
        <v>0</v>
      </c>
      <c r="CX8" s="137">
        <v>0</v>
      </c>
      <c r="CY8" s="137">
        <v>0</v>
      </c>
      <c r="CZ8" s="137">
        <v>0</v>
      </c>
      <c r="DA8" s="132">
        <f t="shared" si="7"/>
        <v>0</v>
      </c>
      <c r="DB8" s="136">
        <v>0</v>
      </c>
      <c r="DC8" s="136">
        <v>0</v>
      </c>
      <c r="DD8" s="136">
        <v>0</v>
      </c>
      <c r="DE8" s="136">
        <v>0</v>
      </c>
      <c r="DF8" s="136">
        <v>0</v>
      </c>
      <c r="DG8" s="136">
        <v>0</v>
      </c>
      <c r="DH8" s="136">
        <v>0</v>
      </c>
      <c r="DI8" s="136">
        <v>0</v>
      </c>
      <c r="DJ8" s="136">
        <v>0</v>
      </c>
      <c r="DK8" s="136">
        <v>0</v>
      </c>
      <c r="DL8" s="136">
        <v>0</v>
      </c>
      <c r="DM8" s="136">
        <v>0</v>
      </c>
      <c r="DN8" s="132">
        <f t="shared" si="8"/>
        <v>0</v>
      </c>
      <c r="DO8" s="137">
        <v>0</v>
      </c>
      <c r="DP8" s="137">
        <v>0</v>
      </c>
      <c r="DQ8" s="137">
        <v>0</v>
      </c>
      <c r="DR8" s="137">
        <v>0</v>
      </c>
      <c r="DS8" s="137">
        <v>0</v>
      </c>
      <c r="DT8" s="137">
        <v>0</v>
      </c>
      <c r="DU8" s="137">
        <v>0</v>
      </c>
      <c r="DV8" s="137">
        <v>0</v>
      </c>
      <c r="DW8" s="137">
        <v>0</v>
      </c>
      <c r="DX8" s="137">
        <v>0</v>
      </c>
      <c r="DY8" s="137">
        <v>0</v>
      </c>
      <c r="DZ8" s="137">
        <v>0</v>
      </c>
      <c r="EA8" s="132">
        <f t="shared" si="9"/>
        <v>0</v>
      </c>
      <c r="EB8" s="216">
        <v>0</v>
      </c>
      <c r="EC8" s="216">
        <v>0</v>
      </c>
      <c r="ED8" s="216">
        <v>0</v>
      </c>
      <c r="EE8" s="216">
        <v>0</v>
      </c>
      <c r="EF8" s="216">
        <v>0</v>
      </c>
      <c r="EG8" s="216">
        <v>0</v>
      </c>
      <c r="EH8" s="216">
        <v>0</v>
      </c>
      <c r="EI8" s="216">
        <v>0</v>
      </c>
      <c r="EJ8" s="216">
        <v>0</v>
      </c>
      <c r="EK8" s="216">
        <v>0</v>
      </c>
      <c r="EL8" s="216">
        <v>0</v>
      </c>
      <c r="EM8" s="216">
        <v>0</v>
      </c>
      <c r="EN8" s="132">
        <f t="shared" si="10"/>
        <v>0</v>
      </c>
      <c r="EO8" s="132">
        <v>0</v>
      </c>
      <c r="EP8" s="132">
        <v>0</v>
      </c>
      <c r="EQ8" s="132">
        <v>0</v>
      </c>
      <c r="ER8" s="132">
        <v>0</v>
      </c>
      <c r="ES8" s="132">
        <v>0</v>
      </c>
      <c r="ET8" s="132">
        <v>0</v>
      </c>
      <c r="EU8" s="132">
        <v>0</v>
      </c>
      <c r="EV8" s="132">
        <v>0</v>
      </c>
      <c r="EW8" s="132">
        <v>0</v>
      </c>
      <c r="EX8" s="132">
        <v>0</v>
      </c>
      <c r="EY8" s="132">
        <v>0</v>
      </c>
      <c r="EZ8" s="132">
        <v>0</v>
      </c>
      <c r="FA8" s="132">
        <f t="shared" si="11"/>
        <v>0</v>
      </c>
      <c r="FB8" s="181">
        <v>336</v>
      </c>
      <c r="FC8" s="181">
        <v>336</v>
      </c>
      <c r="FD8" s="181">
        <v>336</v>
      </c>
      <c r="FE8" s="181">
        <v>336</v>
      </c>
      <c r="FF8" s="181">
        <v>336</v>
      </c>
      <c r="FG8" s="181">
        <v>336</v>
      </c>
      <c r="FH8" s="181">
        <v>336</v>
      </c>
      <c r="FI8" s="181">
        <v>336</v>
      </c>
      <c r="FJ8" s="181">
        <v>336</v>
      </c>
      <c r="FK8" s="181">
        <v>336</v>
      </c>
      <c r="FL8" s="181">
        <v>336</v>
      </c>
      <c r="FM8" s="181">
        <v>336</v>
      </c>
      <c r="FN8" s="132">
        <f t="shared" si="12"/>
        <v>4032</v>
      </c>
      <c r="FO8" s="132">
        <v>0</v>
      </c>
      <c r="FP8" s="132">
        <v>0</v>
      </c>
      <c r="FQ8" s="132">
        <v>0</v>
      </c>
      <c r="FR8" s="132">
        <v>0</v>
      </c>
      <c r="FS8" s="132">
        <v>0</v>
      </c>
      <c r="FT8" s="132">
        <v>0</v>
      </c>
      <c r="FU8" s="132">
        <v>0</v>
      </c>
      <c r="FV8" s="132">
        <v>0</v>
      </c>
      <c r="FW8" s="132">
        <v>0</v>
      </c>
      <c r="FX8" s="132">
        <v>0</v>
      </c>
      <c r="FY8" s="132">
        <v>0</v>
      </c>
      <c r="FZ8" s="132">
        <v>0</v>
      </c>
      <c r="GA8" s="132">
        <f t="shared" si="13"/>
        <v>0</v>
      </c>
      <c r="GB8" s="181">
        <v>0</v>
      </c>
      <c r="GC8" s="181">
        <v>0</v>
      </c>
      <c r="GD8" s="181">
        <v>0</v>
      </c>
      <c r="GE8" s="181">
        <v>0</v>
      </c>
      <c r="GF8" s="181">
        <v>0</v>
      </c>
      <c r="GG8" s="181">
        <v>0</v>
      </c>
      <c r="GH8" s="181">
        <v>0</v>
      </c>
      <c r="GI8" s="181">
        <v>0</v>
      </c>
      <c r="GJ8" s="181">
        <v>0</v>
      </c>
      <c r="GK8" s="181">
        <v>0</v>
      </c>
      <c r="GL8" s="181">
        <v>0</v>
      </c>
      <c r="GM8" s="181">
        <v>0</v>
      </c>
      <c r="GN8" s="181">
        <f t="shared" si="14"/>
        <v>0</v>
      </c>
      <c r="GO8" s="137">
        <v>0</v>
      </c>
      <c r="GP8" s="137">
        <v>0</v>
      </c>
      <c r="GQ8" s="137">
        <v>0</v>
      </c>
      <c r="GR8" s="137">
        <v>0</v>
      </c>
      <c r="GS8" s="137">
        <v>0</v>
      </c>
      <c r="GT8" s="137">
        <v>0</v>
      </c>
      <c r="GU8" s="137">
        <v>0</v>
      </c>
      <c r="GV8" s="137">
        <v>0</v>
      </c>
      <c r="GW8" s="137">
        <v>0</v>
      </c>
      <c r="GX8" s="137">
        <v>0</v>
      </c>
      <c r="GY8" s="137">
        <v>0</v>
      </c>
      <c r="GZ8" s="137">
        <v>0</v>
      </c>
      <c r="HA8" s="132">
        <f t="shared" si="15"/>
        <v>0</v>
      </c>
      <c r="HB8" s="181">
        <v>0</v>
      </c>
      <c r="HC8" s="181">
        <v>0</v>
      </c>
      <c r="HD8" s="181">
        <v>0</v>
      </c>
      <c r="HE8" s="181">
        <v>0</v>
      </c>
      <c r="HF8" s="181">
        <v>0</v>
      </c>
      <c r="HG8" s="181">
        <v>0</v>
      </c>
      <c r="HH8" s="181">
        <v>0</v>
      </c>
      <c r="HI8" s="181">
        <v>0</v>
      </c>
      <c r="HJ8" s="181">
        <v>0</v>
      </c>
      <c r="HK8" s="181">
        <v>0</v>
      </c>
      <c r="HL8" s="181">
        <v>0</v>
      </c>
      <c r="HM8" s="181">
        <v>0</v>
      </c>
      <c r="HN8" s="181">
        <f t="shared" si="16"/>
        <v>0</v>
      </c>
      <c r="HO8" s="132">
        <v>0</v>
      </c>
      <c r="HP8" s="132">
        <v>0</v>
      </c>
      <c r="HQ8" s="132">
        <v>0</v>
      </c>
      <c r="HR8" s="132">
        <v>0</v>
      </c>
      <c r="HS8" s="132">
        <v>0</v>
      </c>
      <c r="HT8" s="132">
        <v>0</v>
      </c>
      <c r="HU8" s="132">
        <v>0</v>
      </c>
      <c r="HV8" s="132">
        <v>0</v>
      </c>
      <c r="HW8" s="132">
        <v>0</v>
      </c>
      <c r="HX8" s="132">
        <v>0</v>
      </c>
      <c r="HY8" s="132">
        <v>0</v>
      </c>
      <c r="HZ8" s="132">
        <v>0</v>
      </c>
      <c r="IA8" s="132">
        <f t="shared" si="17"/>
        <v>0</v>
      </c>
      <c r="IB8" s="181">
        <v>0</v>
      </c>
      <c r="IC8" s="181">
        <v>0</v>
      </c>
      <c r="ID8" s="181">
        <v>0</v>
      </c>
      <c r="IE8" s="181">
        <v>0</v>
      </c>
      <c r="IF8" s="181">
        <v>0</v>
      </c>
      <c r="IG8" s="181">
        <v>0</v>
      </c>
      <c r="IH8" s="181">
        <v>0</v>
      </c>
      <c r="II8" s="181">
        <v>0</v>
      </c>
      <c r="IJ8" s="181">
        <v>0</v>
      </c>
      <c r="IK8" s="181">
        <v>0</v>
      </c>
      <c r="IL8" s="181">
        <v>0</v>
      </c>
      <c r="IM8" s="181">
        <v>0</v>
      </c>
      <c r="IN8" s="181">
        <f t="shared" si="18"/>
        <v>0</v>
      </c>
      <c r="IO8" s="181">
        <v>0</v>
      </c>
      <c r="IP8" s="181">
        <v>0</v>
      </c>
      <c r="IQ8" s="181">
        <v>0</v>
      </c>
      <c r="IR8" s="181">
        <v>0</v>
      </c>
      <c r="IS8" s="181">
        <v>0</v>
      </c>
      <c r="IT8" s="181">
        <v>0</v>
      </c>
      <c r="IU8" s="181">
        <v>0</v>
      </c>
      <c r="IV8" s="181">
        <v>0</v>
      </c>
      <c r="IW8" s="181">
        <v>0</v>
      </c>
      <c r="IX8" s="181">
        <v>0</v>
      </c>
      <c r="IY8" s="181">
        <v>0</v>
      </c>
      <c r="IZ8" s="181">
        <v>0</v>
      </c>
      <c r="JA8" s="181">
        <f t="shared" si="19"/>
        <v>0</v>
      </c>
      <c r="JC8" s="135">
        <f t="shared" si="20"/>
        <v>2558</v>
      </c>
      <c r="JD8" s="135">
        <f t="shared" si="21"/>
        <v>2558</v>
      </c>
      <c r="JE8" s="135">
        <f t="shared" si="22"/>
        <v>2558</v>
      </c>
      <c r="JF8" s="135">
        <f t="shared" si="23"/>
        <v>2558</v>
      </c>
      <c r="JG8" s="135">
        <f t="shared" si="24"/>
        <v>2558</v>
      </c>
      <c r="JH8" s="135">
        <f t="shared" si="25"/>
        <v>2558</v>
      </c>
      <c r="JI8" s="135">
        <f t="shared" si="26"/>
        <v>2558</v>
      </c>
      <c r="JJ8" s="135">
        <f t="shared" si="27"/>
        <v>2558</v>
      </c>
      <c r="JK8" s="135">
        <f t="shared" si="28"/>
        <v>2558</v>
      </c>
      <c r="JL8" s="135">
        <f t="shared" si="29"/>
        <v>2558</v>
      </c>
      <c r="JM8" s="135">
        <f t="shared" si="30"/>
        <v>2558</v>
      </c>
      <c r="JN8" s="135">
        <f t="shared" si="31"/>
        <v>2558</v>
      </c>
      <c r="JO8" s="132">
        <f t="shared" si="32"/>
        <v>30696</v>
      </c>
      <c r="JQ8" s="139">
        <f t="shared" si="33"/>
        <v>30696</v>
      </c>
    </row>
    <row r="9" spans="1:277" x14ac:dyDescent="0.25">
      <c r="A9" s="130" t="s">
        <v>382</v>
      </c>
      <c r="B9" s="131">
        <v>15</v>
      </c>
      <c r="C9" s="131">
        <v>15</v>
      </c>
      <c r="D9" s="131">
        <v>15</v>
      </c>
      <c r="E9" s="131">
        <v>15</v>
      </c>
      <c r="F9" s="131">
        <v>15</v>
      </c>
      <c r="G9" s="131">
        <v>15</v>
      </c>
      <c r="H9" s="131">
        <v>40</v>
      </c>
      <c r="I9" s="131">
        <v>40</v>
      </c>
      <c r="J9" s="131">
        <v>40</v>
      </c>
      <c r="K9" s="131">
        <v>40</v>
      </c>
      <c r="L9" s="131">
        <v>40</v>
      </c>
      <c r="M9" s="131">
        <v>40</v>
      </c>
      <c r="N9" s="132">
        <f t="shared" si="0"/>
        <v>330</v>
      </c>
      <c r="O9" s="133">
        <v>70</v>
      </c>
      <c r="P9" s="133">
        <v>70</v>
      </c>
      <c r="Q9" s="133">
        <v>70</v>
      </c>
      <c r="R9" s="133">
        <v>70</v>
      </c>
      <c r="S9" s="133">
        <v>70</v>
      </c>
      <c r="T9" s="133">
        <v>70</v>
      </c>
      <c r="U9" s="133">
        <v>130</v>
      </c>
      <c r="V9" s="133">
        <v>130</v>
      </c>
      <c r="W9" s="133">
        <v>130</v>
      </c>
      <c r="X9" s="133">
        <v>130</v>
      </c>
      <c r="Y9" s="133">
        <v>130</v>
      </c>
      <c r="Z9" s="133">
        <v>130</v>
      </c>
      <c r="AA9" s="132">
        <f t="shared" si="1"/>
        <v>1200</v>
      </c>
      <c r="AB9" s="131">
        <v>0</v>
      </c>
      <c r="AC9" s="131">
        <v>0</v>
      </c>
      <c r="AD9" s="131">
        <v>0</v>
      </c>
      <c r="AE9" s="131">
        <v>0</v>
      </c>
      <c r="AF9" s="131">
        <v>0</v>
      </c>
      <c r="AG9" s="131">
        <v>0</v>
      </c>
      <c r="AH9" s="131">
        <v>0</v>
      </c>
      <c r="AI9" s="131">
        <v>0</v>
      </c>
      <c r="AJ9" s="131">
        <v>0</v>
      </c>
      <c r="AK9" s="131">
        <v>0</v>
      </c>
      <c r="AL9" s="131">
        <v>0</v>
      </c>
      <c r="AM9" s="131">
        <v>0</v>
      </c>
      <c r="AN9" s="132">
        <f t="shared" si="2"/>
        <v>0</v>
      </c>
      <c r="AO9" s="133">
        <v>70</v>
      </c>
      <c r="AP9" s="133">
        <v>70</v>
      </c>
      <c r="AQ9" s="133">
        <v>70</v>
      </c>
      <c r="AR9" s="133">
        <v>70</v>
      </c>
      <c r="AS9" s="133">
        <v>70</v>
      </c>
      <c r="AT9" s="133">
        <v>70</v>
      </c>
      <c r="AU9" s="133">
        <v>280</v>
      </c>
      <c r="AV9" s="133">
        <v>280</v>
      </c>
      <c r="AW9" s="133">
        <v>280</v>
      </c>
      <c r="AX9" s="133">
        <v>280</v>
      </c>
      <c r="AY9" s="133">
        <v>280</v>
      </c>
      <c r="AZ9" s="133">
        <v>280</v>
      </c>
      <c r="BA9" s="132">
        <f t="shared" si="3"/>
        <v>2100</v>
      </c>
      <c r="BB9" s="134">
        <v>230</v>
      </c>
      <c r="BC9" s="134">
        <v>230</v>
      </c>
      <c r="BD9" s="134">
        <v>230</v>
      </c>
      <c r="BE9" s="134">
        <v>230</v>
      </c>
      <c r="BF9" s="134">
        <v>230</v>
      </c>
      <c r="BG9" s="134">
        <v>230</v>
      </c>
      <c r="BH9" s="134">
        <v>450</v>
      </c>
      <c r="BI9" s="134">
        <v>450</v>
      </c>
      <c r="BJ9" s="134">
        <v>450</v>
      </c>
      <c r="BK9" s="134">
        <v>450</v>
      </c>
      <c r="BL9" s="134">
        <v>450</v>
      </c>
      <c r="BM9" s="134">
        <v>450</v>
      </c>
      <c r="BN9" s="132">
        <f t="shared" si="4"/>
        <v>4080</v>
      </c>
      <c r="BO9" s="135">
        <v>120</v>
      </c>
      <c r="BP9" s="135">
        <v>120</v>
      </c>
      <c r="BQ9" s="135">
        <v>120</v>
      </c>
      <c r="BR9" s="135">
        <v>120</v>
      </c>
      <c r="BS9" s="135">
        <v>120</v>
      </c>
      <c r="BT9" s="135">
        <v>120</v>
      </c>
      <c r="BU9" s="135">
        <v>190</v>
      </c>
      <c r="BV9" s="135">
        <v>190</v>
      </c>
      <c r="BW9" s="135">
        <v>190</v>
      </c>
      <c r="BX9" s="135">
        <v>190</v>
      </c>
      <c r="BY9" s="135">
        <v>190</v>
      </c>
      <c r="BZ9" s="135">
        <v>190</v>
      </c>
      <c r="CA9" s="132">
        <f t="shared" si="5"/>
        <v>1860</v>
      </c>
      <c r="CB9" s="136">
        <v>1632</v>
      </c>
      <c r="CC9" s="136">
        <v>1632</v>
      </c>
      <c r="CD9" s="136">
        <v>1632</v>
      </c>
      <c r="CE9" s="136">
        <v>1632</v>
      </c>
      <c r="CF9" s="136">
        <v>1632</v>
      </c>
      <c r="CG9" s="136">
        <v>1632</v>
      </c>
      <c r="CH9" s="136">
        <v>1632</v>
      </c>
      <c r="CI9" s="136">
        <v>1632</v>
      </c>
      <c r="CJ9" s="136">
        <v>1632</v>
      </c>
      <c r="CK9" s="136">
        <v>1632</v>
      </c>
      <c r="CL9" s="136">
        <v>1632</v>
      </c>
      <c r="CM9" s="136">
        <v>1632</v>
      </c>
      <c r="CN9" s="132">
        <f t="shared" si="6"/>
        <v>19584</v>
      </c>
      <c r="CO9" s="137">
        <v>0</v>
      </c>
      <c r="CP9" s="137">
        <v>0</v>
      </c>
      <c r="CQ9" s="137">
        <v>0</v>
      </c>
      <c r="CR9" s="137">
        <v>0</v>
      </c>
      <c r="CS9" s="137">
        <v>0</v>
      </c>
      <c r="CT9" s="137">
        <v>0</v>
      </c>
      <c r="CU9" s="137">
        <v>0</v>
      </c>
      <c r="CV9" s="137">
        <v>0</v>
      </c>
      <c r="CW9" s="137">
        <v>0</v>
      </c>
      <c r="CX9" s="137">
        <v>0</v>
      </c>
      <c r="CY9" s="137">
        <v>0</v>
      </c>
      <c r="CZ9" s="137">
        <v>0</v>
      </c>
      <c r="DA9" s="132">
        <f t="shared" si="7"/>
        <v>0</v>
      </c>
      <c r="DB9" s="136">
        <v>0</v>
      </c>
      <c r="DC9" s="136">
        <v>0</v>
      </c>
      <c r="DD9" s="136">
        <v>0</v>
      </c>
      <c r="DE9" s="136">
        <v>0</v>
      </c>
      <c r="DF9" s="136">
        <v>0</v>
      </c>
      <c r="DG9" s="136">
        <v>0</v>
      </c>
      <c r="DH9" s="136">
        <v>0</v>
      </c>
      <c r="DI9" s="136">
        <v>0</v>
      </c>
      <c r="DJ9" s="136">
        <v>0</v>
      </c>
      <c r="DK9" s="136">
        <v>0</v>
      </c>
      <c r="DL9" s="136">
        <v>0</v>
      </c>
      <c r="DM9" s="136">
        <v>0</v>
      </c>
      <c r="DN9" s="132">
        <f t="shared" si="8"/>
        <v>0</v>
      </c>
      <c r="DO9" s="137">
        <v>0</v>
      </c>
      <c r="DP9" s="137">
        <v>0</v>
      </c>
      <c r="DQ9" s="137">
        <v>0</v>
      </c>
      <c r="DR9" s="137">
        <v>0</v>
      </c>
      <c r="DS9" s="137">
        <v>0</v>
      </c>
      <c r="DT9" s="137">
        <v>0</v>
      </c>
      <c r="DU9" s="137">
        <v>0</v>
      </c>
      <c r="DV9" s="137">
        <v>0</v>
      </c>
      <c r="DW9" s="137">
        <v>0</v>
      </c>
      <c r="DX9" s="137">
        <v>0</v>
      </c>
      <c r="DY9" s="137">
        <v>0</v>
      </c>
      <c r="DZ9" s="137">
        <v>0</v>
      </c>
      <c r="EA9" s="132">
        <f t="shared" si="9"/>
        <v>0</v>
      </c>
      <c r="EB9" s="216">
        <v>0</v>
      </c>
      <c r="EC9" s="216">
        <v>0</v>
      </c>
      <c r="ED9" s="216">
        <v>0</v>
      </c>
      <c r="EE9" s="216">
        <v>0</v>
      </c>
      <c r="EF9" s="216">
        <v>0</v>
      </c>
      <c r="EG9" s="216">
        <v>0</v>
      </c>
      <c r="EH9" s="216">
        <v>0</v>
      </c>
      <c r="EI9" s="216">
        <v>0</v>
      </c>
      <c r="EJ9" s="216">
        <v>0</v>
      </c>
      <c r="EK9" s="216">
        <v>0</v>
      </c>
      <c r="EL9" s="216">
        <v>0</v>
      </c>
      <c r="EM9" s="216">
        <v>0</v>
      </c>
      <c r="EN9" s="132">
        <f t="shared" si="10"/>
        <v>0</v>
      </c>
      <c r="EO9" s="132">
        <v>0</v>
      </c>
      <c r="EP9" s="132">
        <v>0</v>
      </c>
      <c r="EQ9" s="132">
        <v>0</v>
      </c>
      <c r="ER9" s="132">
        <v>0</v>
      </c>
      <c r="ES9" s="132">
        <v>0</v>
      </c>
      <c r="ET9" s="132">
        <v>0</v>
      </c>
      <c r="EU9" s="132">
        <v>0</v>
      </c>
      <c r="EV9" s="132">
        <v>0</v>
      </c>
      <c r="EW9" s="132">
        <v>0</v>
      </c>
      <c r="EX9" s="132">
        <v>0</v>
      </c>
      <c r="EY9" s="132">
        <v>0</v>
      </c>
      <c r="EZ9" s="132">
        <v>0</v>
      </c>
      <c r="FA9" s="132">
        <f t="shared" si="11"/>
        <v>0</v>
      </c>
      <c r="FB9" s="181">
        <v>556</v>
      </c>
      <c r="FC9" s="181">
        <v>556</v>
      </c>
      <c r="FD9" s="181">
        <v>556</v>
      </c>
      <c r="FE9" s="181">
        <v>556</v>
      </c>
      <c r="FF9" s="181">
        <v>556</v>
      </c>
      <c r="FG9" s="181">
        <v>556</v>
      </c>
      <c r="FH9" s="181">
        <v>556</v>
      </c>
      <c r="FI9" s="181">
        <v>556</v>
      </c>
      <c r="FJ9" s="181">
        <v>556</v>
      </c>
      <c r="FK9" s="181">
        <v>556</v>
      </c>
      <c r="FL9" s="181">
        <v>556</v>
      </c>
      <c r="FM9" s="181">
        <v>556</v>
      </c>
      <c r="FN9" s="132">
        <f t="shared" si="12"/>
        <v>6672</v>
      </c>
      <c r="FO9" s="132">
        <v>0</v>
      </c>
      <c r="FP9" s="132">
        <v>0</v>
      </c>
      <c r="FQ9" s="132">
        <v>0</v>
      </c>
      <c r="FR9" s="132">
        <v>0</v>
      </c>
      <c r="FS9" s="132">
        <v>0</v>
      </c>
      <c r="FT9" s="132">
        <v>0</v>
      </c>
      <c r="FU9" s="132">
        <v>0</v>
      </c>
      <c r="FV9" s="132">
        <v>0</v>
      </c>
      <c r="FW9" s="132">
        <v>0</v>
      </c>
      <c r="FX9" s="132">
        <v>0</v>
      </c>
      <c r="FY9" s="132">
        <v>0</v>
      </c>
      <c r="FZ9" s="132">
        <v>0</v>
      </c>
      <c r="GA9" s="132">
        <f t="shared" si="13"/>
        <v>0</v>
      </c>
      <c r="GB9" s="181">
        <v>0</v>
      </c>
      <c r="GC9" s="181">
        <v>0</v>
      </c>
      <c r="GD9" s="181">
        <v>0</v>
      </c>
      <c r="GE9" s="181">
        <v>0</v>
      </c>
      <c r="GF9" s="181">
        <v>0</v>
      </c>
      <c r="GG9" s="181">
        <v>0</v>
      </c>
      <c r="GH9" s="181">
        <v>0</v>
      </c>
      <c r="GI9" s="181">
        <v>0</v>
      </c>
      <c r="GJ9" s="181">
        <v>0</v>
      </c>
      <c r="GK9" s="181">
        <v>0</v>
      </c>
      <c r="GL9" s="181">
        <v>0</v>
      </c>
      <c r="GM9" s="181">
        <v>0</v>
      </c>
      <c r="GN9" s="181">
        <f t="shared" si="14"/>
        <v>0</v>
      </c>
      <c r="GO9" s="137">
        <v>0</v>
      </c>
      <c r="GP9" s="137">
        <v>0</v>
      </c>
      <c r="GQ9" s="137">
        <v>0</v>
      </c>
      <c r="GR9" s="137">
        <v>0</v>
      </c>
      <c r="GS9" s="137">
        <v>0</v>
      </c>
      <c r="GT9" s="137">
        <v>0</v>
      </c>
      <c r="GU9" s="137">
        <v>0</v>
      </c>
      <c r="GV9" s="137">
        <v>0</v>
      </c>
      <c r="GW9" s="137">
        <v>0</v>
      </c>
      <c r="GX9" s="137">
        <v>0</v>
      </c>
      <c r="GY9" s="137">
        <v>0</v>
      </c>
      <c r="GZ9" s="137">
        <v>0</v>
      </c>
      <c r="HA9" s="132">
        <f t="shared" si="15"/>
        <v>0</v>
      </c>
      <c r="HB9" s="181">
        <v>0</v>
      </c>
      <c r="HC9" s="181">
        <v>0</v>
      </c>
      <c r="HD9" s="181">
        <v>0</v>
      </c>
      <c r="HE9" s="181">
        <v>0</v>
      </c>
      <c r="HF9" s="181">
        <v>0</v>
      </c>
      <c r="HG9" s="181">
        <v>0</v>
      </c>
      <c r="HH9" s="181">
        <v>0</v>
      </c>
      <c r="HI9" s="181">
        <v>0</v>
      </c>
      <c r="HJ9" s="181">
        <v>0</v>
      </c>
      <c r="HK9" s="181">
        <v>0</v>
      </c>
      <c r="HL9" s="181">
        <v>0</v>
      </c>
      <c r="HM9" s="181">
        <v>0</v>
      </c>
      <c r="HN9" s="181">
        <f t="shared" si="16"/>
        <v>0</v>
      </c>
      <c r="HO9" s="132">
        <v>0</v>
      </c>
      <c r="HP9" s="132">
        <v>0</v>
      </c>
      <c r="HQ9" s="132">
        <v>0</v>
      </c>
      <c r="HR9" s="132">
        <v>0</v>
      </c>
      <c r="HS9" s="132">
        <v>0</v>
      </c>
      <c r="HT9" s="132">
        <v>0</v>
      </c>
      <c r="HU9" s="132">
        <v>0</v>
      </c>
      <c r="HV9" s="132">
        <v>0</v>
      </c>
      <c r="HW9" s="132">
        <v>0</v>
      </c>
      <c r="HX9" s="132">
        <v>0</v>
      </c>
      <c r="HY9" s="132">
        <v>0</v>
      </c>
      <c r="HZ9" s="132">
        <v>0</v>
      </c>
      <c r="IA9" s="132">
        <f t="shared" si="17"/>
        <v>0</v>
      </c>
      <c r="IB9" s="181">
        <v>0</v>
      </c>
      <c r="IC9" s="181">
        <v>0</v>
      </c>
      <c r="ID9" s="181">
        <v>0</v>
      </c>
      <c r="IE9" s="181">
        <v>0</v>
      </c>
      <c r="IF9" s="181">
        <v>0</v>
      </c>
      <c r="IG9" s="181">
        <v>0</v>
      </c>
      <c r="IH9" s="181">
        <v>0</v>
      </c>
      <c r="II9" s="181">
        <v>0</v>
      </c>
      <c r="IJ9" s="181">
        <v>0</v>
      </c>
      <c r="IK9" s="181">
        <v>0</v>
      </c>
      <c r="IL9" s="181">
        <v>0</v>
      </c>
      <c r="IM9" s="181">
        <v>0</v>
      </c>
      <c r="IN9" s="181">
        <f t="shared" si="18"/>
        <v>0</v>
      </c>
      <c r="IO9" s="181">
        <v>0</v>
      </c>
      <c r="IP9" s="181">
        <v>0</v>
      </c>
      <c r="IQ9" s="181">
        <v>0</v>
      </c>
      <c r="IR9" s="181">
        <v>0</v>
      </c>
      <c r="IS9" s="181">
        <v>0</v>
      </c>
      <c r="IT9" s="181">
        <v>0</v>
      </c>
      <c r="IU9" s="181">
        <v>0</v>
      </c>
      <c r="IV9" s="181">
        <v>0</v>
      </c>
      <c r="IW9" s="181">
        <v>0</v>
      </c>
      <c r="IX9" s="181">
        <v>0</v>
      </c>
      <c r="IY9" s="181">
        <v>0</v>
      </c>
      <c r="IZ9" s="181">
        <v>0</v>
      </c>
      <c r="JA9" s="181">
        <f t="shared" si="19"/>
        <v>0</v>
      </c>
      <c r="JC9" s="135">
        <f t="shared" si="20"/>
        <v>2693</v>
      </c>
      <c r="JD9" s="135">
        <f t="shared" si="21"/>
        <v>2693</v>
      </c>
      <c r="JE9" s="135">
        <f t="shared" si="22"/>
        <v>2693</v>
      </c>
      <c r="JF9" s="135">
        <f t="shared" si="23"/>
        <v>2693</v>
      </c>
      <c r="JG9" s="135">
        <f t="shared" si="24"/>
        <v>2693</v>
      </c>
      <c r="JH9" s="135">
        <f t="shared" si="25"/>
        <v>2693</v>
      </c>
      <c r="JI9" s="135">
        <f t="shared" si="26"/>
        <v>3278</v>
      </c>
      <c r="JJ9" s="135">
        <f t="shared" si="27"/>
        <v>3278</v>
      </c>
      <c r="JK9" s="135">
        <f t="shared" si="28"/>
        <v>3278</v>
      </c>
      <c r="JL9" s="135">
        <f t="shared" si="29"/>
        <v>3278</v>
      </c>
      <c r="JM9" s="135">
        <f t="shared" si="30"/>
        <v>3278</v>
      </c>
      <c r="JN9" s="135">
        <f t="shared" si="31"/>
        <v>3278</v>
      </c>
      <c r="JO9" s="132">
        <f t="shared" si="32"/>
        <v>35826</v>
      </c>
      <c r="JQ9" s="139">
        <f t="shared" si="33"/>
        <v>35826</v>
      </c>
    </row>
    <row r="10" spans="1:277" x14ac:dyDescent="0.25">
      <c r="A10" s="130" t="s">
        <v>389</v>
      </c>
      <c r="B10" s="131">
        <v>15</v>
      </c>
      <c r="C10" s="131">
        <v>15</v>
      </c>
      <c r="D10" s="131">
        <v>15</v>
      </c>
      <c r="E10" s="131">
        <v>15</v>
      </c>
      <c r="F10" s="131">
        <v>15</v>
      </c>
      <c r="G10" s="131">
        <v>15</v>
      </c>
      <c r="H10" s="131">
        <v>15</v>
      </c>
      <c r="I10" s="131">
        <v>15</v>
      </c>
      <c r="J10" s="131">
        <v>15</v>
      </c>
      <c r="K10" s="131">
        <v>15</v>
      </c>
      <c r="L10" s="131">
        <v>15</v>
      </c>
      <c r="M10" s="131">
        <v>15</v>
      </c>
      <c r="N10" s="132">
        <f t="shared" si="0"/>
        <v>180</v>
      </c>
      <c r="O10" s="133">
        <v>70</v>
      </c>
      <c r="P10" s="133">
        <v>70</v>
      </c>
      <c r="Q10" s="133">
        <v>70</v>
      </c>
      <c r="R10" s="133">
        <v>70</v>
      </c>
      <c r="S10" s="133">
        <v>70</v>
      </c>
      <c r="T10" s="133">
        <v>70</v>
      </c>
      <c r="U10" s="133">
        <v>70</v>
      </c>
      <c r="V10" s="133">
        <v>70</v>
      </c>
      <c r="W10" s="133">
        <v>70</v>
      </c>
      <c r="X10" s="133">
        <v>70</v>
      </c>
      <c r="Y10" s="133">
        <v>70</v>
      </c>
      <c r="Z10" s="133">
        <v>70</v>
      </c>
      <c r="AA10" s="132">
        <f t="shared" si="1"/>
        <v>840</v>
      </c>
      <c r="AB10" s="131">
        <v>45</v>
      </c>
      <c r="AC10" s="131">
        <v>45</v>
      </c>
      <c r="AD10" s="131">
        <v>45</v>
      </c>
      <c r="AE10" s="131">
        <v>45</v>
      </c>
      <c r="AF10" s="131">
        <v>45</v>
      </c>
      <c r="AG10" s="131">
        <v>45</v>
      </c>
      <c r="AH10" s="131">
        <v>45</v>
      </c>
      <c r="AI10" s="131">
        <v>45</v>
      </c>
      <c r="AJ10" s="131">
        <v>45</v>
      </c>
      <c r="AK10" s="131">
        <v>45</v>
      </c>
      <c r="AL10" s="131">
        <v>45</v>
      </c>
      <c r="AM10" s="131">
        <v>45</v>
      </c>
      <c r="AN10" s="132">
        <f t="shared" si="2"/>
        <v>540</v>
      </c>
      <c r="AO10" s="133">
        <v>70</v>
      </c>
      <c r="AP10" s="133">
        <v>70</v>
      </c>
      <c r="AQ10" s="133">
        <v>70</v>
      </c>
      <c r="AR10" s="133">
        <v>70</v>
      </c>
      <c r="AS10" s="133">
        <v>70</v>
      </c>
      <c r="AT10" s="133">
        <v>70</v>
      </c>
      <c r="AU10" s="133">
        <v>70</v>
      </c>
      <c r="AV10" s="133">
        <v>70</v>
      </c>
      <c r="AW10" s="133">
        <v>70</v>
      </c>
      <c r="AX10" s="133">
        <v>70</v>
      </c>
      <c r="AY10" s="133">
        <v>70</v>
      </c>
      <c r="AZ10" s="133">
        <v>70</v>
      </c>
      <c r="BA10" s="132">
        <f t="shared" si="3"/>
        <v>840</v>
      </c>
      <c r="BB10" s="134">
        <v>230</v>
      </c>
      <c r="BC10" s="134">
        <v>230</v>
      </c>
      <c r="BD10" s="134">
        <v>230</v>
      </c>
      <c r="BE10" s="134">
        <v>230</v>
      </c>
      <c r="BF10" s="134">
        <v>230</v>
      </c>
      <c r="BG10" s="134">
        <v>230</v>
      </c>
      <c r="BH10" s="134">
        <v>230</v>
      </c>
      <c r="BI10" s="134">
        <v>230</v>
      </c>
      <c r="BJ10" s="134">
        <v>230</v>
      </c>
      <c r="BK10" s="134">
        <v>230</v>
      </c>
      <c r="BL10" s="134">
        <v>230</v>
      </c>
      <c r="BM10" s="134">
        <v>230</v>
      </c>
      <c r="BN10" s="132">
        <f t="shared" si="4"/>
        <v>2760</v>
      </c>
      <c r="BO10" s="135">
        <v>119</v>
      </c>
      <c r="BP10" s="135">
        <v>119</v>
      </c>
      <c r="BQ10" s="135">
        <v>119</v>
      </c>
      <c r="BR10" s="135">
        <v>119</v>
      </c>
      <c r="BS10" s="135">
        <v>119</v>
      </c>
      <c r="BT10" s="135">
        <v>119</v>
      </c>
      <c r="BU10" s="135">
        <v>119</v>
      </c>
      <c r="BV10" s="135">
        <v>119</v>
      </c>
      <c r="BW10" s="135">
        <v>119</v>
      </c>
      <c r="BX10" s="135">
        <v>119</v>
      </c>
      <c r="BY10" s="135">
        <v>119</v>
      </c>
      <c r="BZ10" s="135">
        <v>119</v>
      </c>
      <c r="CA10" s="132">
        <f t="shared" si="5"/>
        <v>1428</v>
      </c>
      <c r="CB10" s="136">
        <v>1802</v>
      </c>
      <c r="CC10" s="136">
        <v>1802</v>
      </c>
      <c r="CD10" s="136">
        <v>1802</v>
      </c>
      <c r="CE10" s="136">
        <v>1802</v>
      </c>
      <c r="CF10" s="136">
        <v>1802</v>
      </c>
      <c r="CG10" s="136">
        <v>1802</v>
      </c>
      <c r="CH10" s="136">
        <v>1802</v>
      </c>
      <c r="CI10" s="136">
        <v>1802</v>
      </c>
      <c r="CJ10" s="136">
        <v>1802</v>
      </c>
      <c r="CK10" s="136">
        <v>1802</v>
      </c>
      <c r="CL10" s="136">
        <v>1802</v>
      </c>
      <c r="CM10" s="136">
        <v>1802</v>
      </c>
      <c r="CN10" s="132">
        <f t="shared" si="6"/>
        <v>21624</v>
      </c>
      <c r="CO10" s="137">
        <v>0</v>
      </c>
      <c r="CP10" s="137">
        <v>0</v>
      </c>
      <c r="CQ10" s="137">
        <v>0</v>
      </c>
      <c r="CR10" s="137">
        <v>0</v>
      </c>
      <c r="CS10" s="137">
        <v>0</v>
      </c>
      <c r="CT10" s="137">
        <v>0</v>
      </c>
      <c r="CU10" s="137">
        <v>0</v>
      </c>
      <c r="CV10" s="137">
        <v>0</v>
      </c>
      <c r="CW10" s="137">
        <v>0</v>
      </c>
      <c r="CX10" s="137">
        <v>0</v>
      </c>
      <c r="CY10" s="137">
        <v>0</v>
      </c>
      <c r="CZ10" s="137">
        <v>0</v>
      </c>
      <c r="DA10" s="132">
        <f t="shared" si="7"/>
        <v>0</v>
      </c>
      <c r="DB10" s="136">
        <v>0</v>
      </c>
      <c r="DC10" s="136">
        <v>0</v>
      </c>
      <c r="DD10" s="136">
        <v>0</v>
      </c>
      <c r="DE10" s="136">
        <v>0</v>
      </c>
      <c r="DF10" s="136">
        <v>0</v>
      </c>
      <c r="DG10" s="136">
        <v>0</v>
      </c>
      <c r="DH10" s="136">
        <v>0</v>
      </c>
      <c r="DI10" s="136">
        <v>0</v>
      </c>
      <c r="DJ10" s="136">
        <v>0</v>
      </c>
      <c r="DK10" s="136">
        <v>0</v>
      </c>
      <c r="DL10" s="136">
        <v>0</v>
      </c>
      <c r="DM10" s="136">
        <v>0</v>
      </c>
      <c r="DN10" s="132">
        <f t="shared" si="8"/>
        <v>0</v>
      </c>
      <c r="DO10" s="137">
        <v>0</v>
      </c>
      <c r="DP10" s="137">
        <v>0</v>
      </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    <c r="DV10" s="137">
        <v>0</v>
      </c>
      <c r="DW10" s="137">
        <v>0</v>
      </c>
      <c r="DX10" s="137">
        <v>0</v>
      </c>
      <c r="DY10" s="137">
        <v>0</v>
      </c>
      <c r="DZ10" s="137">
        <v>0</v>
      </c>
      <c r="EA10" s="132">
        <f t="shared" si="9"/>
        <v>0</v>
      </c>
      <c r="EB10" s="216">
        <v>0</v>
      </c>
      <c r="EC10" s="216">
        <v>0</v>
      </c>
      <c r="ED10" s="216">
        <v>0</v>
      </c>
      <c r="EE10" s="216">
        <v>0</v>
      </c>
      <c r="EF10" s="216">
        <v>0</v>
      </c>
      <c r="EG10" s="216">
        <v>0</v>
      </c>
      <c r="EH10" s="216">
        <v>0</v>
      </c>
      <c r="EI10" s="216">
        <v>0</v>
      </c>
      <c r="EJ10" s="216">
        <v>0</v>
      </c>
      <c r="EK10" s="216">
        <v>0</v>
      </c>
      <c r="EL10" s="216">
        <v>0</v>
      </c>
      <c r="EM10" s="216">
        <v>0</v>
      </c>
      <c r="EN10" s="132">
        <f t="shared" si="10"/>
        <v>0</v>
      </c>
      <c r="EO10" s="132">
        <v>0</v>
      </c>
      <c r="EP10" s="132">
        <v>0</v>
      </c>
      <c r="EQ10" s="132">
        <v>0</v>
      </c>
      <c r="ER10" s="132">
        <v>0</v>
      </c>
      <c r="ES10" s="132">
        <v>0</v>
      </c>
      <c r="ET10" s="132">
        <v>0</v>
      </c>
      <c r="EU10" s="132">
        <v>0</v>
      </c>
      <c r="EV10" s="132">
        <v>0</v>
      </c>
      <c r="EW10" s="132">
        <v>0</v>
      </c>
      <c r="EX10" s="132">
        <v>0</v>
      </c>
      <c r="EY10" s="132">
        <v>0</v>
      </c>
      <c r="EZ10" s="132">
        <v>0</v>
      </c>
      <c r="FA10" s="132">
        <f t="shared" si="11"/>
        <v>0</v>
      </c>
      <c r="FB10" s="181">
        <v>556</v>
      </c>
      <c r="FC10" s="181">
        <v>556</v>
      </c>
      <c r="FD10" s="181">
        <v>556</v>
      </c>
      <c r="FE10" s="181">
        <v>556</v>
      </c>
      <c r="FF10" s="181">
        <v>556</v>
      </c>
      <c r="FG10" s="181">
        <v>556</v>
      </c>
      <c r="FH10" s="181">
        <v>556</v>
      </c>
      <c r="FI10" s="181">
        <v>556</v>
      </c>
      <c r="FJ10" s="181">
        <v>556</v>
      </c>
      <c r="FK10" s="181">
        <v>556</v>
      </c>
      <c r="FL10" s="181">
        <v>556</v>
      </c>
      <c r="FM10" s="181">
        <v>556</v>
      </c>
      <c r="FN10" s="132">
        <f t="shared" si="12"/>
        <v>6672</v>
      </c>
      <c r="FO10" s="132">
        <v>0</v>
      </c>
      <c r="FP10" s="132">
        <v>0</v>
      </c>
      <c r="FQ10" s="132">
        <v>0</v>
      </c>
      <c r="FR10" s="132">
        <v>0</v>
      </c>
      <c r="FS10" s="132">
        <v>0</v>
      </c>
      <c r="FT10" s="132">
        <v>0</v>
      </c>
      <c r="FU10" s="132">
        <v>0</v>
      </c>
      <c r="FV10" s="132">
        <v>0</v>
      </c>
      <c r="FW10" s="132">
        <v>0</v>
      </c>
      <c r="FX10" s="132">
        <v>0</v>
      </c>
      <c r="FY10" s="132">
        <v>0</v>
      </c>
      <c r="FZ10" s="132">
        <v>0</v>
      </c>
      <c r="GA10" s="132">
        <f t="shared" si="13"/>
        <v>0</v>
      </c>
      <c r="GB10" s="181">
        <v>0</v>
      </c>
      <c r="GC10" s="181">
        <v>0</v>
      </c>
      <c r="GD10" s="181">
        <v>0</v>
      </c>
      <c r="GE10" s="181">
        <v>0</v>
      </c>
      <c r="GF10" s="181">
        <v>0</v>
      </c>
      <c r="GG10" s="181">
        <v>0</v>
      </c>
      <c r="GH10" s="181">
        <v>0</v>
      </c>
      <c r="GI10" s="181">
        <v>0</v>
      </c>
      <c r="GJ10" s="181">
        <v>0</v>
      </c>
      <c r="GK10" s="181">
        <v>0</v>
      </c>
      <c r="GL10" s="181">
        <v>0</v>
      </c>
      <c r="GM10" s="181">
        <v>0</v>
      </c>
      <c r="GN10" s="181">
        <f t="shared" si="14"/>
        <v>0</v>
      </c>
      <c r="GO10" s="137">
        <v>0</v>
      </c>
      <c r="GP10" s="137">
        <v>0</v>
      </c>
      <c r="GQ10" s="137">
        <v>0</v>
      </c>
      <c r="GR10" s="137">
        <v>0</v>
      </c>
      <c r="GS10" s="137">
        <v>0</v>
      </c>
      <c r="GT10" s="137">
        <v>0</v>
      </c>
      <c r="GU10" s="137">
        <v>0</v>
      </c>
      <c r="GV10" s="137">
        <v>0</v>
      </c>
      <c r="GW10" s="137">
        <v>0</v>
      </c>
      <c r="GX10" s="137">
        <v>0</v>
      </c>
      <c r="GY10" s="137">
        <v>0</v>
      </c>
      <c r="GZ10" s="137">
        <v>0</v>
      </c>
      <c r="HA10" s="132">
        <f t="shared" si="15"/>
        <v>0</v>
      </c>
      <c r="HB10" s="181">
        <v>0</v>
      </c>
      <c r="HC10" s="181">
        <v>0</v>
      </c>
      <c r="HD10" s="181">
        <v>0</v>
      </c>
      <c r="HE10" s="181">
        <v>0</v>
      </c>
      <c r="HF10" s="181">
        <v>0</v>
      </c>
      <c r="HG10" s="181">
        <v>0</v>
      </c>
      <c r="HH10" s="181">
        <v>0</v>
      </c>
      <c r="HI10" s="181">
        <v>0</v>
      </c>
      <c r="HJ10" s="181">
        <v>0</v>
      </c>
      <c r="HK10" s="181">
        <v>0</v>
      </c>
      <c r="HL10" s="181">
        <v>0</v>
      </c>
      <c r="HM10" s="181">
        <v>0</v>
      </c>
      <c r="HN10" s="181">
        <f t="shared" si="16"/>
        <v>0</v>
      </c>
      <c r="HO10" s="132">
        <v>0</v>
      </c>
      <c r="HP10" s="132">
        <v>0</v>
      </c>
      <c r="HQ10" s="132">
        <v>0</v>
      </c>
      <c r="HR10" s="132">
        <v>0</v>
      </c>
      <c r="HS10" s="132">
        <v>0</v>
      </c>
      <c r="HT10" s="132">
        <v>0</v>
      </c>
      <c r="HU10" s="132">
        <v>0</v>
      </c>
      <c r="HV10" s="132">
        <v>0</v>
      </c>
      <c r="HW10" s="132">
        <v>0</v>
      </c>
      <c r="HX10" s="132">
        <v>0</v>
      </c>
      <c r="HY10" s="132">
        <v>0</v>
      </c>
      <c r="HZ10" s="132">
        <v>0</v>
      </c>
      <c r="IA10" s="132">
        <f t="shared" si="17"/>
        <v>0</v>
      </c>
      <c r="IB10" s="181">
        <v>0</v>
      </c>
      <c r="IC10" s="181">
        <v>0</v>
      </c>
      <c r="ID10" s="181">
        <v>0</v>
      </c>
      <c r="IE10" s="181">
        <v>0</v>
      </c>
      <c r="IF10" s="181">
        <v>0</v>
      </c>
      <c r="IG10" s="181">
        <v>0</v>
      </c>
      <c r="IH10" s="181">
        <v>0</v>
      </c>
      <c r="II10" s="181">
        <v>0</v>
      </c>
      <c r="IJ10" s="181">
        <v>0</v>
      </c>
      <c r="IK10" s="181">
        <v>0</v>
      </c>
      <c r="IL10" s="181">
        <v>0</v>
      </c>
      <c r="IM10" s="181">
        <v>0</v>
      </c>
      <c r="IN10" s="181">
        <f t="shared" si="18"/>
        <v>0</v>
      </c>
      <c r="IO10" s="181">
        <v>0</v>
      </c>
      <c r="IP10" s="181">
        <v>0</v>
      </c>
      <c r="IQ10" s="181">
        <v>0</v>
      </c>
      <c r="IR10" s="181">
        <v>0</v>
      </c>
      <c r="IS10" s="181">
        <v>0</v>
      </c>
      <c r="IT10" s="181">
        <v>0</v>
      </c>
      <c r="IU10" s="181">
        <v>0</v>
      </c>
      <c r="IV10" s="181">
        <v>0</v>
      </c>
      <c r="IW10" s="181">
        <v>0</v>
      </c>
      <c r="IX10" s="181">
        <v>0</v>
      </c>
      <c r="IY10" s="181">
        <v>0</v>
      </c>
      <c r="IZ10" s="181">
        <v>0</v>
      </c>
      <c r="JA10" s="181">
        <f t="shared" si="19"/>
        <v>0</v>
      </c>
      <c r="JC10" s="135">
        <f t="shared" si="20"/>
        <v>2907</v>
      </c>
      <c r="JD10" s="135">
        <f t="shared" si="21"/>
        <v>2907</v>
      </c>
      <c r="JE10" s="135">
        <f t="shared" si="22"/>
        <v>2907</v>
      </c>
      <c r="JF10" s="135">
        <f t="shared" si="23"/>
        <v>2907</v>
      </c>
      <c r="JG10" s="135">
        <f t="shared" si="24"/>
        <v>2907</v>
      </c>
      <c r="JH10" s="135">
        <f t="shared" si="25"/>
        <v>2907</v>
      </c>
      <c r="JI10" s="135">
        <f t="shared" si="26"/>
        <v>2907</v>
      </c>
      <c r="JJ10" s="135">
        <f t="shared" si="27"/>
        <v>2907</v>
      </c>
      <c r="JK10" s="135">
        <f t="shared" si="28"/>
        <v>2907</v>
      </c>
      <c r="JL10" s="135">
        <f t="shared" si="29"/>
        <v>2907</v>
      </c>
      <c r="JM10" s="135">
        <f t="shared" si="30"/>
        <v>2907</v>
      </c>
      <c r="JN10" s="135">
        <f t="shared" si="31"/>
        <v>2907</v>
      </c>
      <c r="JO10" s="132">
        <f t="shared" si="32"/>
        <v>34884</v>
      </c>
      <c r="JQ10" s="139">
        <f t="shared" si="33"/>
        <v>34884</v>
      </c>
    </row>
    <row r="11" spans="1:277" x14ac:dyDescent="0.25">
      <c r="A11" s="130" t="s">
        <v>394</v>
      </c>
      <c r="B11" s="131">
        <v>15</v>
      </c>
      <c r="C11" s="131">
        <v>15</v>
      </c>
      <c r="D11" s="131">
        <v>15</v>
      </c>
      <c r="E11" s="131">
        <v>15</v>
      </c>
      <c r="F11" s="131">
        <v>15</v>
      </c>
      <c r="G11" s="131">
        <v>15</v>
      </c>
      <c r="H11" s="131">
        <v>15</v>
      </c>
      <c r="I11" s="131">
        <v>15</v>
      </c>
      <c r="J11" s="131">
        <v>15</v>
      </c>
      <c r="K11" s="131">
        <v>15</v>
      </c>
      <c r="L11" s="131">
        <v>15</v>
      </c>
      <c r="M11" s="131">
        <v>15</v>
      </c>
      <c r="N11" s="132">
        <f t="shared" si="0"/>
        <v>180</v>
      </c>
      <c r="O11" s="133">
        <v>100</v>
      </c>
      <c r="P11" s="133">
        <v>100</v>
      </c>
      <c r="Q11" s="133">
        <v>100</v>
      </c>
      <c r="R11" s="133">
        <v>100</v>
      </c>
      <c r="S11" s="133">
        <v>100</v>
      </c>
      <c r="T11" s="133">
        <v>100</v>
      </c>
      <c r="U11" s="133">
        <v>100</v>
      </c>
      <c r="V11" s="133">
        <v>100</v>
      </c>
      <c r="W11" s="133">
        <v>100</v>
      </c>
      <c r="X11" s="133">
        <v>100</v>
      </c>
      <c r="Y11" s="133">
        <v>100</v>
      </c>
      <c r="Z11" s="133">
        <v>100</v>
      </c>
      <c r="AA11" s="132">
        <f t="shared" si="1"/>
        <v>1200</v>
      </c>
      <c r="AB11" s="131">
        <v>45</v>
      </c>
      <c r="AC11" s="131">
        <v>45</v>
      </c>
      <c r="AD11" s="131">
        <v>45</v>
      </c>
      <c r="AE11" s="131">
        <v>45</v>
      </c>
      <c r="AF11" s="131">
        <v>45</v>
      </c>
      <c r="AG11" s="131">
        <v>45</v>
      </c>
      <c r="AH11" s="131">
        <v>45</v>
      </c>
      <c r="AI11" s="131">
        <v>45</v>
      </c>
      <c r="AJ11" s="131">
        <v>45</v>
      </c>
      <c r="AK11" s="131">
        <v>45</v>
      </c>
      <c r="AL11" s="131">
        <v>45</v>
      </c>
      <c r="AM11" s="131">
        <v>45</v>
      </c>
      <c r="AN11" s="132">
        <f t="shared" si="2"/>
        <v>540</v>
      </c>
      <c r="AO11" s="133">
        <v>70</v>
      </c>
      <c r="AP11" s="133">
        <v>70</v>
      </c>
      <c r="AQ11" s="133">
        <v>70</v>
      </c>
      <c r="AR11" s="133">
        <v>70</v>
      </c>
      <c r="AS11" s="133">
        <v>70</v>
      </c>
      <c r="AT11" s="133">
        <v>70</v>
      </c>
      <c r="AU11" s="133">
        <v>70</v>
      </c>
      <c r="AV11" s="133">
        <v>70</v>
      </c>
      <c r="AW11" s="133">
        <v>70</v>
      </c>
      <c r="AX11" s="133">
        <v>70</v>
      </c>
      <c r="AY11" s="133">
        <v>70</v>
      </c>
      <c r="AZ11" s="133">
        <v>70</v>
      </c>
      <c r="BA11" s="132">
        <f t="shared" si="3"/>
        <v>840</v>
      </c>
      <c r="BB11" s="134">
        <v>250</v>
      </c>
      <c r="BC11" s="134">
        <v>250</v>
      </c>
      <c r="BD11" s="134">
        <v>250</v>
      </c>
      <c r="BE11" s="134">
        <v>250</v>
      </c>
      <c r="BF11" s="134">
        <v>250</v>
      </c>
      <c r="BG11" s="134">
        <v>250</v>
      </c>
      <c r="BH11" s="134">
        <v>250</v>
      </c>
      <c r="BI11" s="134">
        <v>250</v>
      </c>
      <c r="BJ11" s="134">
        <v>250</v>
      </c>
      <c r="BK11" s="134">
        <v>250</v>
      </c>
      <c r="BL11" s="134">
        <v>250</v>
      </c>
      <c r="BM11" s="134">
        <v>250</v>
      </c>
      <c r="BN11" s="132">
        <f t="shared" si="4"/>
        <v>3000</v>
      </c>
      <c r="BO11" s="135">
        <v>120</v>
      </c>
      <c r="BP11" s="135">
        <v>120</v>
      </c>
      <c r="BQ11" s="135">
        <v>120</v>
      </c>
      <c r="BR11" s="135">
        <v>120</v>
      </c>
      <c r="BS11" s="135">
        <v>120</v>
      </c>
      <c r="BT11" s="135">
        <v>120</v>
      </c>
      <c r="BU11" s="135">
        <v>120</v>
      </c>
      <c r="BV11" s="135">
        <v>120</v>
      </c>
      <c r="BW11" s="135">
        <v>120</v>
      </c>
      <c r="BX11" s="135">
        <v>120</v>
      </c>
      <c r="BY11" s="135">
        <v>120</v>
      </c>
      <c r="BZ11" s="135">
        <v>120</v>
      </c>
      <c r="CA11" s="132">
        <f t="shared" si="5"/>
        <v>1440</v>
      </c>
      <c r="CB11" s="136">
        <v>1587</v>
      </c>
      <c r="CC11" s="136">
        <v>1587</v>
      </c>
      <c r="CD11" s="136">
        <v>1587</v>
      </c>
      <c r="CE11" s="136">
        <v>1587</v>
      </c>
      <c r="CF11" s="136">
        <v>1587</v>
      </c>
      <c r="CG11" s="136">
        <v>1587</v>
      </c>
      <c r="CH11" s="136">
        <v>1587</v>
      </c>
      <c r="CI11" s="136">
        <v>1587</v>
      </c>
      <c r="CJ11" s="136">
        <v>1587</v>
      </c>
      <c r="CK11" s="136">
        <v>1587</v>
      </c>
      <c r="CL11" s="136">
        <v>1587</v>
      </c>
      <c r="CM11" s="136">
        <v>1587</v>
      </c>
      <c r="CN11" s="132">
        <f t="shared" si="6"/>
        <v>19044</v>
      </c>
      <c r="CO11" s="137">
        <v>0</v>
      </c>
      <c r="CP11" s="137">
        <v>0</v>
      </c>
      <c r="CQ11" s="137">
        <v>0</v>
      </c>
      <c r="CR11" s="137">
        <v>0</v>
      </c>
      <c r="CS11" s="137">
        <v>0</v>
      </c>
      <c r="CT11" s="137">
        <v>0</v>
      </c>
      <c r="CU11" s="137">
        <v>0</v>
      </c>
      <c r="CV11" s="137">
        <v>0</v>
      </c>
      <c r="CW11" s="137">
        <v>0</v>
      </c>
      <c r="CX11" s="137">
        <v>0</v>
      </c>
      <c r="CY11" s="137">
        <v>0</v>
      </c>
      <c r="CZ11" s="137">
        <v>0</v>
      </c>
      <c r="DA11" s="132">
        <f t="shared" si="7"/>
        <v>0</v>
      </c>
      <c r="DB11" s="136">
        <v>0</v>
      </c>
      <c r="DC11" s="136">
        <v>0</v>
      </c>
      <c r="DD11" s="136">
        <v>0</v>
      </c>
      <c r="DE11" s="136">
        <v>0</v>
      </c>
      <c r="DF11" s="136">
        <v>0</v>
      </c>
      <c r="DG11" s="136">
        <v>0</v>
      </c>
      <c r="DH11" s="136">
        <v>0</v>
      </c>
      <c r="DI11" s="136">
        <v>0</v>
      </c>
      <c r="DJ11" s="136">
        <v>0</v>
      </c>
      <c r="DK11" s="136">
        <v>0</v>
      </c>
      <c r="DL11" s="136">
        <v>0</v>
      </c>
      <c r="DM11" s="136">
        <v>0</v>
      </c>
      <c r="DN11" s="132">
        <f t="shared" si="8"/>
        <v>0</v>
      </c>
      <c r="DO11" s="137">
        <v>0</v>
      </c>
      <c r="DP11" s="137">
        <v>0</v>
      </c>
      <c r="DQ11" s="137">
        <v>0</v>
      </c>
      <c r="DR11" s="137">
        <v>0</v>
      </c>
      <c r="DS11" s="137">
        <v>0</v>
      </c>
      <c r="DT11" s="137">
        <v>0</v>
      </c>
      <c r="DU11" s="137">
        <v>0</v>
      </c>
      <c r="DV11" s="137">
        <v>0</v>
      </c>
      <c r="DW11" s="137">
        <v>0</v>
      </c>
      <c r="DX11" s="137">
        <v>0</v>
      </c>
      <c r="DY11" s="137">
        <v>0</v>
      </c>
      <c r="DZ11" s="137">
        <v>0</v>
      </c>
      <c r="EA11" s="132">
        <f t="shared" si="9"/>
        <v>0</v>
      </c>
      <c r="EB11" s="216">
        <v>0</v>
      </c>
      <c r="EC11" s="216">
        <v>0</v>
      </c>
      <c r="ED11" s="216">
        <v>0</v>
      </c>
      <c r="EE11" s="216">
        <v>0</v>
      </c>
      <c r="EF11" s="216">
        <v>0</v>
      </c>
      <c r="EG11" s="216">
        <v>0</v>
      </c>
      <c r="EH11" s="216">
        <v>0</v>
      </c>
      <c r="EI11" s="216">
        <v>0</v>
      </c>
      <c r="EJ11" s="216">
        <v>0</v>
      </c>
      <c r="EK11" s="216">
        <v>0</v>
      </c>
      <c r="EL11" s="216">
        <v>0</v>
      </c>
      <c r="EM11" s="216">
        <v>0</v>
      </c>
      <c r="EN11" s="132">
        <f t="shared" si="10"/>
        <v>0</v>
      </c>
      <c r="EO11" s="132">
        <v>0</v>
      </c>
      <c r="EP11" s="132">
        <v>0</v>
      </c>
      <c r="EQ11" s="132">
        <v>0</v>
      </c>
      <c r="ER11" s="132">
        <v>0</v>
      </c>
      <c r="ES11" s="132">
        <v>0</v>
      </c>
      <c r="ET11" s="132">
        <v>0</v>
      </c>
      <c r="EU11" s="132">
        <v>0</v>
      </c>
      <c r="EV11" s="132">
        <v>0</v>
      </c>
      <c r="EW11" s="132">
        <v>0</v>
      </c>
      <c r="EX11" s="132">
        <v>0</v>
      </c>
      <c r="EY11" s="132">
        <v>0</v>
      </c>
      <c r="EZ11" s="132">
        <v>0</v>
      </c>
      <c r="FA11" s="132">
        <f t="shared" si="11"/>
        <v>0</v>
      </c>
      <c r="FB11" s="181">
        <v>713</v>
      </c>
      <c r="FC11" s="181">
        <v>713</v>
      </c>
      <c r="FD11" s="181">
        <v>713</v>
      </c>
      <c r="FE11" s="181">
        <v>713</v>
      </c>
      <c r="FF11" s="181">
        <v>713</v>
      </c>
      <c r="FG11" s="181">
        <v>713</v>
      </c>
      <c r="FH11" s="181">
        <v>713</v>
      </c>
      <c r="FI11" s="181">
        <v>713</v>
      </c>
      <c r="FJ11" s="181">
        <v>713</v>
      </c>
      <c r="FK11" s="181">
        <v>713</v>
      </c>
      <c r="FL11" s="181">
        <v>713</v>
      </c>
      <c r="FM11" s="181">
        <v>713</v>
      </c>
      <c r="FN11" s="132">
        <f t="shared" si="12"/>
        <v>8556</v>
      </c>
      <c r="FO11" s="132">
        <v>0</v>
      </c>
      <c r="FP11" s="132">
        <v>0</v>
      </c>
      <c r="FQ11" s="132">
        <v>0</v>
      </c>
      <c r="FR11" s="132">
        <v>0</v>
      </c>
      <c r="FS11" s="132">
        <v>0</v>
      </c>
      <c r="FT11" s="132">
        <v>0</v>
      </c>
      <c r="FU11" s="132">
        <v>0</v>
      </c>
      <c r="FV11" s="132">
        <v>0</v>
      </c>
      <c r="FW11" s="132">
        <v>0</v>
      </c>
      <c r="FX11" s="132">
        <v>0</v>
      </c>
      <c r="FY11" s="132">
        <v>0</v>
      </c>
      <c r="FZ11" s="132">
        <v>0</v>
      </c>
      <c r="GA11" s="132">
        <f t="shared" si="13"/>
        <v>0</v>
      </c>
      <c r="GB11" s="181">
        <v>0</v>
      </c>
      <c r="GC11" s="181">
        <v>0</v>
      </c>
      <c r="GD11" s="181">
        <v>0</v>
      </c>
      <c r="GE11" s="181">
        <v>0</v>
      </c>
      <c r="GF11" s="181">
        <v>0</v>
      </c>
      <c r="GG11" s="181">
        <v>0</v>
      </c>
      <c r="GH11" s="181">
        <v>0</v>
      </c>
      <c r="GI11" s="181">
        <v>0</v>
      </c>
      <c r="GJ11" s="181">
        <v>0</v>
      </c>
      <c r="GK11" s="181">
        <v>0</v>
      </c>
      <c r="GL11" s="181">
        <v>0</v>
      </c>
      <c r="GM11" s="181">
        <v>0</v>
      </c>
      <c r="GN11" s="181">
        <f t="shared" si="14"/>
        <v>0</v>
      </c>
      <c r="GO11" s="137">
        <v>0</v>
      </c>
      <c r="GP11" s="137">
        <v>0</v>
      </c>
      <c r="GQ11" s="137">
        <v>0</v>
      </c>
      <c r="GR11" s="137">
        <v>0</v>
      </c>
      <c r="GS11" s="137">
        <v>0</v>
      </c>
      <c r="GT11" s="137">
        <v>0</v>
      </c>
      <c r="GU11" s="137">
        <v>0</v>
      </c>
      <c r="GV11" s="137">
        <v>0</v>
      </c>
      <c r="GW11" s="137">
        <v>0</v>
      </c>
      <c r="GX11" s="137">
        <v>0</v>
      </c>
      <c r="GY11" s="137">
        <v>0</v>
      </c>
      <c r="GZ11" s="137">
        <v>0</v>
      </c>
      <c r="HA11" s="132">
        <f t="shared" si="15"/>
        <v>0</v>
      </c>
      <c r="HB11" s="181">
        <v>0</v>
      </c>
      <c r="HC11" s="181">
        <v>0</v>
      </c>
      <c r="HD11" s="181">
        <v>0</v>
      </c>
      <c r="HE11" s="181">
        <v>0</v>
      </c>
      <c r="HF11" s="181">
        <v>0</v>
      </c>
      <c r="HG11" s="181">
        <v>0</v>
      </c>
      <c r="HH11" s="181">
        <v>0</v>
      </c>
      <c r="HI11" s="181">
        <v>0</v>
      </c>
      <c r="HJ11" s="181">
        <v>0</v>
      </c>
      <c r="HK11" s="181">
        <v>0</v>
      </c>
      <c r="HL11" s="181">
        <v>0</v>
      </c>
      <c r="HM11" s="181">
        <v>0</v>
      </c>
      <c r="HN11" s="181">
        <f t="shared" si="16"/>
        <v>0</v>
      </c>
      <c r="HO11" s="132">
        <v>0</v>
      </c>
      <c r="HP11" s="132">
        <v>0</v>
      </c>
      <c r="HQ11" s="132">
        <v>0</v>
      </c>
      <c r="HR11" s="132">
        <v>0</v>
      </c>
      <c r="HS11" s="132">
        <v>0</v>
      </c>
      <c r="HT11" s="132">
        <v>0</v>
      </c>
      <c r="HU11" s="132">
        <v>0</v>
      </c>
      <c r="HV11" s="132">
        <v>0</v>
      </c>
      <c r="HW11" s="132">
        <v>0</v>
      </c>
      <c r="HX11" s="132">
        <v>0</v>
      </c>
      <c r="HY11" s="132">
        <v>0</v>
      </c>
      <c r="HZ11" s="132">
        <v>0</v>
      </c>
      <c r="IA11" s="132">
        <f t="shared" si="17"/>
        <v>0</v>
      </c>
      <c r="IB11" s="181">
        <v>0</v>
      </c>
      <c r="IC11" s="181">
        <v>0</v>
      </c>
      <c r="ID11" s="181">
        <v>0</v>
      </c>
      <c r="IE11" s="181">
        <v>0</v>
      </c>
      <c r="IF11" s="181">
        <v>0</v>
      </c>
      <c r="IG11" s="181">
        <v>0</v>
      </c>
      <c r="IH11" s="181">
        <v>0</v>
      </c>
      <c r="II11" s="181">
        <v>0</v>
      </c>
      <c r="IJ11" s="181">
        <v>0</v>
      </c>
      <c r="IK11" s="181">
        <v>0</v>
      </c>
      <c r="IL11" s="181">
        <v>0</v>
      </c>
      <c r="IM11" s="181">
        <v>0</v>
      </c>
      <c r="IN11" s="181">
        <f t="shared" si="18"/>
        <v>0</v>
      </c>
      <c r="IO11" s="181">
        <v>0</v>
      </c>
      <c r="IP11" s="181">
        <v>0</v>
      </c>
      <c r="IQ11" s="181">
        <v>0</v>
      </c>
      <c r="IR11" s="181">
        <v>0</v>
      </c>
      <c r="IS11" s="181">
        <v>0</v>
      </c>
      <c r="IT11" s="181">
        <v>0</v>
      </c>
      <c r="IU11" s="181">
        <v>0</v>
      </c>
      <c r="IV11" s="181">
        <v>0</v>
      </c>
      <c r="IW11" s="181">
        <v>0</v>
      </c>
      <c r="IX11" s="181">
        <v>0</v>
      </c>
      <c r="IY11" s="181">
        <v>0</v>
      </c>
      <c r="IZ11" s="181">
        <v>0</v>
      </c>
      <c r="JA11" s="181">
        <f t="shared" si="19"/>
        <v>0</v>
      </c>
      <c r="JC11" s="135">
        <f t="shared" si="20"/>
        <v>2900</v>
      </c>
      <c r="JD11" s="135">
        <f t="shared" si="21"/>
        <v>2900</v>
      </c>
      <c r="JE11" s="135">
        <f t="shared" si="22"/>
        <v>2900</v>
      </c>
      <c r="JF11" s="135">
        <f t="shared" si="23"/>
        <v>2900</v>
      </c>
      <c r="JG11" s="135">
        <f t="shared" si="24"/>
        <v>2900</v>
      </c>
      <c r="JH11" s="135">
        <f t="shared" si="25"/>
        <v>2900</v>
      </c>
      <c r="JI11" s="135">
        <f t="shared" si="26"/>
        <v>2900</v>
      </c>
      <c r="JJ11" s="135">
        <f t="shared" si="27"/>
        <v>2900</v>
      </c>
      <c r="JK11" s="135">
        <f t="shared" si="28"/>
        <v>2900</v>
      </c>
      <c r="JL11" s="135">
        <f t="shared" si="29"/>
        <v>2900</v>
      </c>
      <c r="JM11" s="135">
        <f t="shared" si="30"/>
        <v>2900</v>
      </c>
      <c r="JN11" s="135">
        <f t="shared" si="31"/>
        <v>2900</v>
      </c>
      <c r="JO11" s="132">
        <f t="shared" si="32"/>
        <v>34800</v>
      </c>
      <c r="JQ11" s="139">
        <f t="shared" si="33"/>
        <v>34800</v>
      </c>
    </row>
    <row r="12" spans="1:277" x14ac:dyDescent="0.25">
      <c r="A12" s="130" t="s">
        <v>395</v>
      </c>
      <c r="B12" s="131">
        <v>15</v>
      </c>
      <c r="C12" s="131">
        <v>15</v>
      </c>
      <c r="D12" s="131">
        <v>30</v>
      </c>
      <c r="E12" s="131">
        <v>30</v>
      </c>
      <c r="F12" s="131">
        <v>30</v>
      </c>
      <c r="G12" s="131">
        <v>30</v>
      </c>
      <c r="H12" s="131">
        <v>30</v>
      </c>
      <c r="I12" s="131">
        <v>30</v>
      </c>
      <c r="J12" s="131">
        <v>30</v>
      </c>
      <c r="K12" s="131">
        <v>30</v>
      </c>
      <c r="L12" s="131">
        <v>30</v>
      </c>
      <c r="M12" s="131">
        <v>30</v>
      </c>
      <c r="N12" s="132">
        <f t="shared" si="0"/>
        <v>330</v>
      </c>
      <c r="O12" s="133">
        <v>70</v>
      </c>
      <c r="P12" s="133">
        <v>70</v>
      </c>
      <c r="Q12" s="133">
        <v>130</v>
      </c>
      <c r="R12" s="133">
        <v>130</v>
      </c>
      <c r="S12" s="133">
        <v>130</v>
      </c>
      <c r="T12" s="133">
        <v>130</v>
      </c>
      <c r="U12" s="133">
        <v>130</v>
      </c>
      <c r="V12" s="133">
        <v>130</v>
      </c>
      <c r="W12" s="133">
        <v>130</v>
      </c>
      <c r="X12" s="133">
        <v>130</v>
      </c>
      <c r="Y12" s="133">
        <v>130</v>
      </c>
      <c r="Z12" s="133">
        <v>130</v>
      </c>
      <c r="AA12" s="132">
        <f t="shared" si="1"/>
        <v>1440</v>
      </c>
      <c r="AB12" s="131">
        <v>0</v>
      </c>
      <c r="AC12" s="131">
        <v>0</v>
      </c>
      <c r="AD12" s="131">
        <v>0</v>
      </c>
      <c r="AE12" s="131">
        <v>0</v>
      </c>
      <c r="AF12" s="131">
        <v>0</v>
      </c>
      <c r="AG12" s="131">
        <v>0</v>
      </c>
      <c r="AH12" s="131">
        <v>0</v>
      </c>
      <c r="AI12" s="131">
        <v>0</v>
      </c>
      <c r="AJ12" s="131">
        <v>0</v>
      </c>
      <c r="AK12" s="131">
        <v>0</v>
      </c>
      <c r="AL12" s="131">
        <v>0</v>
      </c>
      <c r="AM12" s="131">
        <v>0</v>
      </c>
      <c r="AN12" s="132">
        <f t="shared" si="2"/>
        <v>0</v>
      </c>
      <c r="AO12" s="133">
        <v>70</v>
      </c>
      <c r="AP12" s="133">
        <v>70</v>
      </c>
      <c r="AQ12" s="133">
        <v>290</v>
      </c>
      <c r="AR12" s="133">
        <v>290</v>
      </c>
      <c r="AS12" s="133">
        <v>290</v>
      </c>
      <c r="AT12" s="133">
        <v>290</v>
      </c>
      <c r="AU12" s="133">
        <v>290</v>
      </c>
      <c r="AV12" s="133">
        <v>290</v>
      </c>
      <c r="AW12" s="133">
        <v>290</v>
      </c>
      <c r="AX12" s="133">
        <v>290</v>
      </c>
      <c r="AY12" s="133">
        <v>290</v>
      </c>
      <c r="AZ12" s="133">
        <v>290</v>
      </c>
      <c r="BA12" s="132">
        <f t="shared" si="3"/>
        <v>3040</v>
      </c>
      <c r="BB12" s="134">
        <v>250</v>
      </c>
      <c r="BC12" s="134">
        <v>250</v>
      </c>
      <c r="BD12" s="134">
        <v>490</v>
      </c>
      <c r="BE12" s="134">
        <v>490</v>
      </c>
      <c r="BF12" s="134">
        <v>490</v>
      </c>
      <c r="BG12" s="134">
        <v>490</v>
      </c>
      <c r="BH12" s="134">
        <v>490</v>
      </c>
      <c r="BI12" s="134">
        <v>490</v>
      </c>
      <c r="BJ12" s="134">
        <v>490</v>
      </c>
      <c r="BK12" s="134">
        <v>490</v>
      </c>
      <c r="BL12" s="134">
        <v>490</v>
      </c>
      <c r="BM12" s="134">
        <v>490</v>
      </c>
      <c r="BN12" s="132">
        <f t="shared" si="4"/>
        <v>5400</v>
      </c>
      <c r="BO12" s="135">
        <v>120</v>
      </c>
      <c r="BP12" s="135">
        <v>120</v>
      </c>
      <c r="BQ12" s="135">
        <v>190</v>
      </c>
      <c r="BR12" s="135">
        <v>190</v>
      </c>
      <c r="BS12" s="135">
        <v>190</v>
      </c>
      <c r="BT12" s="135">
        <v>190</v>
      </c>
      <c r="BU12" s="135">
        <v>190</v>
      </c>
      <c r="BV12" s="135">
        <v>190</v>
      </c>
      <c r="BW12" s="135">
        <v>190</v>
      </c>
      <c r="BX12" s="135">
        <v>190</v>
      </c>
      <c r="BY12" s="135">
        <v>190</v>
      </c>
      <c r="BZ12" s="135">
        <v>190</v>
      </c>
      <c r="CA12" s="132">
        <f t="shared" si="5"/>
        <v>2140</v>
      </c>
      <c r="CB12" s="136">
        <v>1652</v>
      </c>
      <c r="CC12" s="136">
        <v>1652</v>
      </c>
      <c r="CD12" s="136">
        <v>1652</v>
      </c>
      <c r="CE12" s="136">
        <v>1652</v>
      </c>
      <c r="CF12" s="136">
        <v>1652</v>
      </c>
      <c r="CG12" s="136">
        <v>1652</v>
      </c>
      <c r="CH12" s="136">
        <v>1652</v>
      </c>
      <c r="CI12" s="136">
        <v>1652</v>
      </c>
      <c r="CJ12" s="136">
        <v>1652</v>
      </c>
      <c r="CK12" s="136">
        <v>1652</v>
      </c>
      <c r="CL12" s="136">
        <v>1652</v>
      </c>
      <c r="CM12" s="136">
        <v>1652</v>
      </c>
      <c r="CN12" s="132">
        <f t="shared" si="6"/>
        <v>19824</v>
      </c>
      <c r="CO12" s="137">
        <v>0</v>
      </c>
      <c r="CP12" s="137">
        <v>0</v>
      </c>
      <c r="CQ12" s="137">
        <v>0</v>
      </c>
      <c r="CR12" s="137">
        <v>0</v>
      </c>
      <c r="CS12" s="137">
        <v>0</v>
      </c>
      <c r="CT12" s="137">
        <v>0</v>
      </c>
      <c r="CU12" s="137">
        <v>0</v>
      </c>
      <c r="CV12" s="137">
        <v>0</v>
      </c>
      <c r="CW12" s="137">
        <v>0</v>
      </c>
      <c r="CX12" s="137">
        <v>0</v>
      </c>
      <c r="CY12" s="137">
        <v>0</v>
      </c>
      <c r="CZ12" s="137">
        <v>0</v>
      </c>
      <c r="DA12" s="132">
        <f t="shared" si="7"/>
        <v>0</v>
      </c>
      <c r="DB12" s="136">
        <v>0</v>
      </c>
      <c r="DC12" s="136">
        <v>0</v>
      </c>
      <c r="DD12" s="136">
        <v>0</v>
      </c>
      <c r="DE12" s="136">
        <v>0</v>
      </c>
      <c r="DF12" s="136">
        <v>0</v>
      </c>
      <c r="DG12" s="136">
        <v>0</v>
      </c>
      <c r="DH12" s="136">
        <v>0</v>
      </c>
      <c r="DI12" s="136">
        <v>0</v>
      </c>
      <c r="DJ12" s="136">
        <v>0</v>
      </c>
      <c r="DK12" s="136">
        <v>0</v>
      </c>
      <c r="DL12" s="136">
        <v>0</v>
      </c>
      <c r="DM12" s="136">
        <v>0</v>
      </c>
      <c r="DN12" s="132">
        <f t="shared" si="8"/>
        <v>0</v>
      </c>
      <c r="DO12" s="137">
        <v>0</v>
      </c>
      <c r="DP12" s="137">
        <v>0</v>
      </c>
      <c r="DQ12" s="137">
        <v>0</v>
      </c>
      <c r="DR12" s="137">
        <v>0</v>
      </c>
      <c r="DS12" s="137">
        <v>0</v>
      </c>
      <c r="DT12" s="137">
        <v>0</v>
      </c>
      <c r="DU12" s="137">
        <v>0</v>
      </c>
      <c r="DV12" s="137">
        <v>0</v>
      </c>
      <c r="DW12" s="137">
        <v>0</v>
      </c>
      <c r="DX12" s="137">
        <v>0</v>
      </c>
      <c r="DY12" s="137">
        <v>0</v>
      </c>
      <c r="DZ12" s="137">
        <v>0</v>
      </c>
      <c r="EA12" s="132">
        <f t="shared" si="9"/>
        <v>0</v>
      </c>
      <c r="EB12" s="216">
        <v>0</v>
      </c>
      <c r="EC12" s="216">
        <v>0</v>
      </c>
      <c r="ED12" s="216">
        <v>0</v>
      </c>
      <c r="EE12" s="216">
        <v>0</v>
      </c>
      <c r="EF12" s="216">
        <v>0</v>
      </c>
      <c r="EG12" s="216">
        <v>0</v>
      </c>
      <c r="EH12" s="216">
        <v>0</v>
      </c>
      <c r="EI12" s="216">
        <v>0</v>
      </c>
      <c r="EJ12" s="216">
        <v>0</v>
      </c>
      <c r="EK12" s="216">
        <v>0</v>
      </c>
      <c r="EL12" s="216">
        <v>0</v>
      </c>
      <c r="EM12" s="216">
        <v>0</v>
      </c>
      <c r="EN12" s="132">
        <f t="shared" si="10"/>
        <v>0</v>
      </c>
      <c r="EO12" s="132">
        <v>0</v>
      </c>
      <c r="EP12" s="132">
        <v>0</v>
      </c>
      <c r="EQ12" s="132">
        <v>0</v>
      </c>
      <c r="ER12" s="132">
        <v>0</v>
      </c>
      <c r="ES12" s="132">
        <v>0</v>
      </c>
      <c r="ET12" s="132">
        <v>0</v>
      </c>
      <c r="EU12" s="132">
        <v>0</v>
      </c>
      <c r="EV12" s="132">
        <v>0</v>
      </c>
      <c r="EW12" s="132">
        <v>0</v>
      </c>
      <c r="EX12" s="132">
        <v>0</v>
      </c>
      <c r="EY12" s="132">
        <v>0</v>
      </c>
      <c r="EZ12" s="132">
        <v>0</v>
      </c>
      <c r="FA12" s="132">
        <f t="shared" si="11"/>
        <v>0</v>
      </c>
      <c r="FB12" s="181">
        <v>0</v>
      </c>
      <c r="FC12" s="181">
        <v>0</v>
      </c>
      <c r="FD12" s="181">
        <v>0</v>
      </c>
      <c r="FE12" s="181">
        <v>0</v>
      </c>
      <c r="FF12" s="181">
        <v>0</v>
      </c>
      <c r="FG12" s="181">
        <v>0</v>
      </c>
      <c r="FH12" s="181">
        <v>0</v>
      </c>
      <c r="FI12" s="181">
        <v>0</v>
      </c>
      <c r="FJ12" s="181">
        <v>0</v>
      </c>
      <c r="FK12" s="181">
        <v>0</v>
      </c>
      <c r="FL12" s="181">
        <v>0</v>
      </c>
      <c r="FM12" s="181">
        <v>0</v>
      </c>
      <c r="FN12" s="132">
        <f t="shared" si="12"/>
        <v>0</v>
      </c>
      <c r="FO12" s="132">
        <v>0</v>
      </c>
      <c r="FP12" s="132">
        <v>0</v>
      </c>
      <c r="FQ12" s="132">
        <v>0</v>
      </c>
      <c r="FR12" s="132">
        <v>0</v>
      </c>
      <c r="FS12" s="132">
        <v>0</v>
      </c>
      <c r="FT12" s="132">
        <v>0</v>
      </c>
      <c r="FU12" s="132">
        <v>0</v>
      </c>
      <c r="FV12" s="132">
        <v>0</v>
      </c>
      <c r="FW12" s="132">
        <v>0</v>
      </c>
      <c r="FX12" s="132">
        <v>0</v>
      </c>
      <c r="FY12" s="132">
        <v>0</v>
      </c>
      <c r="FZ12" s="132">
        <v>0</v>
      </c>
      <c r="GA12" s="132">
        <f t="shared" si="13"/>
        <v>0</v>
      </c>
      <c r="GB12" s="181">
        <v>0</v>
      </c>
      <c r="GC12" s="181">
        <v>0</v>
      </c>
      <c r="GD12" s="181">
        <v>0</v>
      </c>
      <c r="GE12" s="181">
        <v>0</v>
      </c>
      <c r="GF12" s="181">
        <v>0</v>
      </c>
      <c r="GG12" s="181">
        <v>0</v>
      </c>
      <c r="GH12" s="181">
        <v>0</v>
      </c>
      <c r="GI12" s="181">
        <v>0</v>
      </c>
      <c r="GJ12" s="181">
        <v>0</v>
      </c>
      <c r="GK12" s="181">
        <v>0</v>
      </c>
      <c r="GL12" s="181">
        <v>0</v>
      </c>
      <c r="GM12" s="181">
        <v>0</v>
      </c>
      <c r="GN12" s="181">
        <f t="shared" si="14"/>
        <v>0</v>
      </c>
      <c r="GO12" s="137">
        <v>0</v>
      </c>
      <c r="GP12" s="137">
        <v>0</v>
      </c>
      <c r="GQ12" s="137">
        <v>0</v>
      </c>
      <c r="GR12" s="137">
        <v>0</v>
      </c>
      <c r="GS12" s="137">
        <v>0</v>
      </c>
      <c r="GT12" s="137">
        <v>0</v>
      </c>
      <c r="GU12" s="137">
        <v>0</v>
      </c>
      <c r="GV12" s="137">
        <v>0</v>
      </c>
      <c r="GW12" s="137">
        <v>0</v>
      </c>
      <c r="GX12" s="137">
        <v>0</v>
      </c>
      <c r="GY12" s="137">
        <v>0</v>
      </c>
      <c r="GZ12" s="137">
        <v>0</v>
      </c>
      <c r="HA12" s="132">
        <f t="shared" si="15"/>
        <v>0</v>
      </c>
      <c r="HB12" s="181">
        <v>0</v>
      </c>
      <c r="HC12" s="181">
        <v>0</v>
      </c>
      <c r="HD12" s="181">
        <v>0</v>
      </c>
      <c r="HE12" s="181">
        <v>0</v>
      </c>
      <c r="HF12" s="181">
        <v>0</v>
      </c>
      <c r="HG12" s="181">
        <v>0</v>
      </c>
      <c r="HH12" s="181">
        <v>0</v>
      </c>
      <c r="HI12" s="181">
        <v>0</v>
      </c>
      <c r="HJ12" s="181">
        <v>0</v>
      </c>
      <c r="HK12" s="181">
        <v>0</v>
      </c>
      <c r="HL12" s="181">
        <v>0</v>
      </c>
      <c r="HM12" s="181">
        <v>0</v>
      </c>
      <c r="HN12" s="181">
        <f t="shared" si="16"/>
        <v>0</v>
      </c>
      <c r="HO12" s="132">
        <v>0</v>
      </c>
      <c r="HP12" s="132">
        <v>0</v>
      </c>
      <c r="HQ12" s="132">
        <v>0</v>
      </c>
      <c r="HR12" s="132">
        <v>0</v>
      </c>
      <c r="HS12" s="132">
        <v>0</v>
      </c>
      <c r="HT12" s="132">
        <v>0</v>
      </c>
      <c r="HU12" s="132">
        <v>0</v>
      </c>
      <c r="HV12" s="132">
        <v>0</v>
      </c>
      <c r="HW12" s="132">
        <v>0</v>
      </c>
      <c r="HX12" s="132">
        <v>0</v>
      </c>
      <c r="HY12" s="132">
        <v>0</v>
      </c>
      <c r="HZ12" s="132">
        <v>0</v>
      </c>
      <c r="IA12" s="132">
        <f t="shared" si="17"/>
        <v>0</v>
      </c>
      <c r="IB12" s="181">
        <v>0</v>
      </c>
      <c r="IC12" s="181">
        <v>0</v>
      </c>
      <c r="ID12" s="181">
        <v>0</v>
      </c>
      <c r="IE12" s="181">
        <v>0</v>
      </c>
      <c r="IF12" s="181">
        <v>0</v>
      </c>
      <c r="IG12" s="181">
        <v>0</v>
      </c>
      <c r="IH12" s="181">
        <v>0</v>
      </c>
      <c r="II12" s="181">
        <v>0</v>
      </c>
      <c r="IJ12" s="181">
        <v>0</v>
      </c>
      <c r="IK12" s="181">
        <v>0</v>
      </c>
      <c r="IL12" s="181">
        <v>0</v>
      </c>
      <c r="IM12" s="181">
        <v>0</v>
      </c>
      <c r="IN12" s="181">
        <f t="shared" si="18"/>
        <v>0</v>
      </c>
      <c r="IO12" s="181">
        <v>0</v>
      </c>
      <c r="IP12" s="181">
        <v>0</v>
      </c>
      <c r="IQ12" s="181">
        <v>0</v>
      </c>
      <c r="IR12" s="181">
        <v>0</v>
      </c>
      <c r="IS12" s="181">
        <v>0</v>
      </c>
      <c r="IT12" s="181">
        <v>0</v>
      </c>
      <c r="IU12" s="181">
        <v>0</v>
      </c>
      <c r="IV12" s="181">
        <v>0</v>
      </c>
      <c r="IW12" s="181">
        <v>0</v>
      </c>
      <c r="IX12" s="181">
        <v>0</v>
      </c>
      <c r="IY12" s="181">
        <v>0</v>
      </c>
      <c r="IZ12" s="181">
        <v>0</v>
      </c>
      <c r="JA12" s="181">
        <f t="shared" si="19"/>
        <v>0</v>
      </c>
      <c r="JC12" s="135">
        <f t="shared" si="20"/>
        <v>2177</v>
      </c>
      <c r="JD12" s="135">
        <f t="shared" si="21"/>
        <v>2177</v>
      </c>
      <c r="JE12" s="135">
        <f t="shared" si="22"/>
        <v>2782</v>
      </c>
      <c r="JF12" s="135">
        <f t="shared" si="23"/>
        <v>2782</v>
      </c>
      <c r="JG12" s="135">
        <f t="shared" si="24"/>
        <v>2782</v>
      </c>
      <c r="JH12" s="135">
        <f t="shared" si="25"/>
        <v>2782</v>
      </c>
      <c r="JI12" s="135">
        <f t="shared" si="26"/>
        <v>2782</v>
      </c>
      <c r="JJ12" s="135">
        <f t="shared" si="27"/>
        <v>2782</v>
      </c>
      <c r="JK12" s="135">
        <f t="shared" si="28"/>
        <v>2782</v>
      </c>
      <c r="JL12" s="135">
        <f t="shared" si="29"/>
        <v>2782</v>
      </c>
      <c r="JM12" s="135">
        <f t="shared" si="30"/>
        <v>2782</v>
      </c>
      <c r="JN12" s="135">
        <f t="shared" si="31"/>
        <v>2782</v>
      </c>
      <c r="JO12" s="132">
        <f t="shared" si="32"/>
        <v>32174</v>
      </c>
      <c r="JQ12" s="139">
        <f t="shared" si="33"/>
        <v>32174</v>
      </c>
    </row>
    <row r="13" spans="1:277" x14ac:dyDescent="0.25">
      <c r="A13" s="130" t="s">
        <v>400</v>
      </c>
      <c r="B13" s="131">
        <v>10</v>
      </c>
      <c r="C13" s="131">
        <v>10</v>
      </c>
      <c r="D13" s="131">
        <v>10</v>
      </c>
      <c r="E13" s="131">
        <v>10</v>
      </c>
      <c r="F13" s="131">
        <v>10</v>
      </c>
      <c r="G13" s="131">
        <v>10</v>
      </c>
      <c r="H13" s="131">
        <v>10</v>
      </c>
      <c r="I13" s="131">
        <v>10</v>
      </c>
      <c r="J13" s="131">
        <v>10</v>
      </c>
      <c r="K13" s="131">
        <v>10</v>
      </c>
      <c r="L13" s="131">
        <v>10</v>
      </c>
      <c r="M13" s="131">
        <v>10</v>
      </c>
      <c r="N13" s="132">
        <f t="shared" si="0"/>
        <v>120</v>
      </c>
      <c r="O13" s="133">
        <v>60</v>
      </c>
      <c r="P13" s="133">
        <v>60</v>
      </c>
      <c r="Q13" s="133">
        <v>60</v>
      </c>
      <c r="R13" s="133">
        <v>60</v>
      </c>
      <c r="S13" s="133">
        <v>60</v>
      </c>
      <c r="T13" s="133">
        <v>60</v>
      </c>
      <c r="U13" s="133">
        <v>60</v>
      </c>
      <c r="V13" s="133">
        <v>60</v>
      </c>
      <c r="W13" s="133">
        <v>60</v>
      </c>
      <c r="X13" s="133">
        <v>60</v>
      </c>
      <c r="Y13" s="133">
        <v>60</v>
      </c>
      <c r="Z13" s="133">
        <v>60</v>
      </c>
      <c r="AA13" s="132">
        <f t="shared" si="1"/>
        <v>720</v>
      </c>
      <c r="AB13" s="131">
        <v>0</v>
      </c>
      <c r="AC13" s="131">
        <v>0</v>
      </c>
      <c r="AD13" s="131">
        <v>0</v>
      </c>
      <c r="AE13" s="131">
        <v>0</v>
      </c>
      <c r="AF13" s="131">
        <v>0</v>
      </c>
      <c r="AG13" s="131">
        <v>0</v>
      </c>
      <c r="AH13" s="131">
        <v>0</v>
      </c>
      <c r="AI13" s="131">
        <v>0</v>
      </c>
      <c r="AJ13" s="131">
        <v>0</v>
      </c>
      <c r="AK13" s="131">
        <v>0</v>
      </c>
      <c r="AL13" s="131">
        <v>0</v>
      </c>
      <c r="AM13" s="131">
        <v>0</v>
      </c>
      <c r="AN13" s="132">
        <f t="shared" si="2"/>
        <v>0</v>
      </c>
      <c r="AO13" s="133">
        <v>85</v>
      </c>
      <c r="AP13" s="133">
        <v>85</v>
      </c>
      <c r="AQ13" s="133">
        <v>85</v>
      </c>
      <c r="AR13" s="133">
        <v>85</v>
      </c>
      <c r="AS13" s="133">
        <v>85</v>
      </c>
      <c r="AT13" s="133">
        <v>85</v>
      </c>
      <c r="AU13" s="133">
        <v>85</v>
      </c>
      <c r="AV13" s="133">
        <v>85</v>
      </c>
      <c r="AW13" s="133">
        <v>85</v>
      </c>
      <c r="AX13" s="133">
        <v>85</v>
      </c>
      <c r="AY13" s="133">
        <v>85</v>
      </c>
      <c r="AZ13" s="133">
        <v>85</v>
      </c>
      <c r="BA13" s="132">
        <f t="shared" si="3"/>
        <v>1020</v>
      </c>
      <c r="BB13" s="134">
        <v>180</v>
      </c>
      <c r="BC13" s="134">
        <v>180</v>
      </c>
      <c r="BD13" s="134">
        <v>180</v>
      </c>
      <c r="BE13" s="134">
        <v>180</v>
      </c>
      <c r="BF13" s="134">
        <v>180</v>
      </c>
      <c r="BG13" s="134">
        <v>180</v>
      </c>
      <c r="BH13" s="134">
        <v>180</v>
      </c>
      <c r="BI13" s="134">
        <v>180</v>
      </c>
      <c r="BJ13" s="134">
        <v>180</v>
      </c>
      <c r="BK13" s="134">
        <v>180</v>
      </c>
      <c r="BL13" s="134">
        <v>180</v>
      </c>
      <c r="BM13" s="134">
        <v>180</v>
      </c>
      <c r="BN13" s="132">
        <f t="shared" si="4"/>
        <v>2160</v>
      </c>
      <c r="BO13" s="135">
        <v>120</v>
      </c>
      <c r="BP13" s="135">
        <v>120</v>
      </c>
      <c r="BQ13" s="135">
        <v>120</v>
      </c>
      <c r="BR13" s="135">
        <v>120</v>
      </c>
      <c r="BS13" s="135">
        <v>120</v>
      </c>
      <c r="BT13" s="135">
        <v>120</v>
      </c>
      <c r="BU13" s="135">
        <v>120</v>
      </c>
      <c r="BV13" s="135">
        <v>120</v>
      </c>
      <c r="BW13" s="135">
        <v>120</v>
      </c>
      <c r="BX13" s="135">
        <v>120</v>
      </c>
      <c r="BY13" s="135">
        <v>120</v>
      </c>
      <c r="BZ13" s="135">
        <v>120</v>
      </c>
      <c r="CA13" s="132">
        <f t="shared" si="5"/>
        <v>1440</v>
      </c>
      <c r="CB13" s="136">
        <v>1632</v>
      </c>
      <c r="CC13" s="136">
        <v>1632</v>
      </c>
      <c r="CD13" s="136">
        <v>1632</v>
      </c>
      <c r="CE13" s="136">
        <v>1632</v>
      </c>
      <c r="CF13" s="136">
        <v>1632</v>
      </c>
      <c r="CG13" s="136">
        <v>1632</v>
      </c>
      <c r="CH13" s="136">
        <v>1632</v>
      </c>
      <c r="CI13" s="136">
        <v>1632</v>
      </c>
      <c r="CJ13" s="136">
        <v>1632</v>
      </c>
      <c r="CK13" s="136">
        <v>1632</v>
      </c>
      <c r="CL13" s="136">
        <v>1632</v>
      </c>
      <c r="CM13" s="136">
        <v>1632</v>
      </c>
      <c r="CN13" s="132">
        <f t="shared" si="6"/>
        <v>19584</v>
      </c>
      <c r="CO13" s="137">
        <v>0</v>
      </c>
      <c r="CP13" s="137">
        <v>0</v>
      </c>
      <c r="CQ13" s="137">
        <v>0</v>
      </c>
      <c r="CR13" s="137">
        <v>0</v>
      </c>
      <c r="CS13" s="137">
        <v>0</v>
      </c>
      <c r="CT13" s="137">
        <v>0</v>
      </c>
      <c r="CU13" s="137">
        <v>0</v>
      </c>
      <c r="CV13" s="137">
        <v>0</v>
      </c>
      <c r="CW13" s="137">
        <v>0</v>
      </c>
      <c r="CX13" s="137">
        <v>0</v>
      </c>
      <c r="CY13" s="137">
        <v>0</v>
      </c>
      <c r="CZ13" s="137">
        <v>0</v>
      </c>
      <c r="DA13" s="132">
        <f t="shared" si="7"/>
        <v>0</v>
      </c>
      <c r="DB13" s="136">
        <v>0</v>
      </c>
      <c r="DC13" s="136">
        <v>0</v>
      </c>
      <c r="DD13" s="136">
        <v>0</v>
      </c>
      <c r="DE13" s="136">
        <v>0</v>
      </c>
      <c r="DF13" s="136">
        <v>0</v>
      </c>
      <c r="DG13" s="136">
        <v>0</v>
      </c>
      <c r="DH13" s="136">
        <v>0</v>
      </c>
      <c r="DI13" s="136">
        <v>0</v>
      </c>
      <c r="DJ13" s="136">
        <v>0</v>
      </c>
      <c r="DK13" s="136">
        <v>0</v>
      </c>
      <c r="DL13" s="136">
        <v>0</v>
      </c>
      <c r="DM13" s="136">
        <v>0</v>
      </c>
      <c r="DN13" s="132">
        <f t="shared" si="8"/>
        <v>0</v>
      </c>
      <c r="DO13" s="137">
        <v>0</v>
      </c>
      <c r="DP13" s="137">
        <v>0</v>
      </c>
      <c r="DQ13" s="137">
        <v>0</v>
      </c>
      <c r="DR13" s="137">
        <v>0</v>
      </c>
      <c r="DS13" s="137">
        <v>0</v>
      </c>
      <c r="DT13" s="137">
        <v>0</v>
      </c>
      <c r="DU13" s="137">
        <v>0</v>
      </c>
      <c r="DV13" s="137">
        <v>0</v>
      </c>
      <c r="DW13" s="137">
        <v>0</v>
      </c>
      <c r="DX13" s="137">
        <v>0</v>
      </c>
      <c r="DY13" s="137">
        <v>0</v>
      </c>
      <c r="DZ13" s="137">
        <v>0</v>
      </c>
      <c r="EA13" s="132">
        <f t="shared" si="9"/>
        <v>0</v>
      </c>
      <c r="EB13" s="216">
        <v>0</v>
      </c>
      <c r="EC13" s="216">
        <v>0</v>
      </c>
      <c r="ED13" s="216">
        <v>0</v>
      </c>
      <c r="EE13" s="216">
        <v>0</v>
      </c>
      <c r="EF13" s="216">
        <v>0</v>
      </c>
      <c r="EG13" s="216">
        <v>0</v>
      </c>
      <c r="EH13" s="216">
        <v>0</v>
      </c>
      <c r="EI13" s="216">
        <v>0</v>
      </c>
      <c r="EJ13" s="216">
        <v>0</v>
      </c>
      <c r="EK13" s="216">
        <v>0</v>
      </c>
      <c r="EL13" s="216">
        <v>0</v>
      </c>
      <c r="EM13" s="216">
        <v>0</v>
      </c>
      <c r="EN13" s="132">
        <f t="shared" si="10"/>
        <v>0</v>
      </c>
      <c r="EO13" s="132">
        <v>0</v>
      </c>
      <c r="EP13" s="132">
        <v>0</v>
      </c>
      <c r="EQ13" s="132">
        <v>0</v>
      </c>
      <c r="ER13" s="132">
        <v>0</v>
      </c>
      <c r="ES13" s="132">
        <v>0</v>
      </c>
      <c r="ET13" s="132">
        <v>0</v>
      </c>
      <c r="EU13" s="132">
        <v>0</v>
      </c>
      <c r="EV13" s="132">
        <v>0</v>
      </c>
      <c r="EW13" s="132">
        <v>0</v>
      </c>
      <c r="EX13" s="132">
        <v>0</v>
      </c>
      <c r="EY13" s="132">
        <v>0</v>
      </c>
      <c r="EZ13" s="132">
        <v>0</v>
      </c>
      <c r="FA13" s="132">
        <f t="shared" si="11"/>
        <v>0</v>
      </c>
      <c r="FB13" s="181">
        <v>0</v>
      </c>
      <c r="FC13" s="181">
        <v>0</v>
      </c>
      <c r="FD13" s="181">
        <v>0</v>
      </c>
      <c r="FE13" s="181">
        <v>0</v>
      </c>
      <c r="FF13" s="181">
        <v>0</v>
      </c>
      <c r="FG13" s="181">
        <v>0</v>
      </c>
      <c r="FH13" s="181">
        <v>0</v>
      </c>
      <c r="FI13" s="181">
        <v>0</v>
      </c>
      <c r="FJ13" s="181">
        <v>0</v>
      </c>
      <c r="FK13" s="181">
        <v>0</v>
      </c>
      <c r="FL13" s="181">
        <v>0</v>
      </c>
      <c r="FM13" s="181">
        <v>0</v>
      </c>
      <c r="FN13" s="132">
        <f t="shared" si="12"/>
        <v>0</v>
      </c>
      <c r="FO13" s="132">
        <v>0</v>
      </c>
      <c r="FP13" s="132">
        <v>0</v>
      </c>
      <c r="FQ13" s="132">
        <v>0</v>
      </c>
      <c r="FR13" s="132">
        <v>0</v>
      </c>
      <c r="FS13" s="132">
        <v>0</v>
      </c>
      <c r="FT13" s="132">
        <v>0</v>
      </c>
      <c r="FU13" s="132">
        <v>0</v>
      </c>
      <c r="FV13" s="132">
        <v>0</v>
      </c>
      <c r="FW13" s="132">
        <v>0</v>
      </c>
      <c r="FX13" s="132">
        <v>0</v>
      </c>
      <c r="FY13" s="132">
        <v>0</v>
      </c>
      <c r="FZ13" s="132">
        <v>0</v>
      </c>
      <c r="GA13" s="132">
        <f t="shared" si="13"/>
        <v>0</v>
      </c>
      <c r="GB13" s="181">
        <v>0</v>
      </c>
      <c r="GC13" s="181">
        <v>0</v>
      </c>
      <c r="GD13" s="181">
        <v>0</v>
      </c>
      <c r="GE13" s="181">
        <v>0</v>
      </c>
      <c r="GF13" s="181">
        <v>0</v>
      </c>
      <c r="GG13" s="181">
        <v>0</v>
      </c>
      <c r="GH13" s="181">
        <v>0</v>
      </c>
      <c r="GI13" s="181">
        <v>0</v>
      </c>
      <c r="GJ13" s="181">
        <v>0</v>
      </c>
      <c r="GK13" s="181">
        <v>0</v>
      </c>
      <c r="GL13" s="181">
        <v>0</v>
      </c>
      <c r="GM13" s="181">
        <v>0</v>
      </c>
      <c r="GN13" s="181">
        <f t="shared" si="14"/>
        <v>0</v>
      </c>
      <c r="GO13" s="137">
        <v>0</v>
      </c>
      <c r="GP13" s="137">
        <v>0</v>
      </c>
      <c r="GQ13" s="137">
        <v>0</v>
      </c>
      <c r="GR13" s="137">
        <v>0</v>
      </c>
      <c r="GS13" s="137">
        <v>0</v>
      </c>
      <c r="GT13" s="137">
        <v>0</v>
      </c>
      <c r="GU13" s="137">
        <v>0</v>
      </c>
      <c r="GV13" s="137">
        <v>0</v>
      </c>
      <c r="GW13" s="137">
        <v>0</v>
      </c>
      <c r="GX13" s="137">
        <v>0</v>
      </c>
      <c r="GY13" s="137">
        <v>0</v>
      </c>
      <c r="GZ13" s="137">
        <v>0</v>
      </c>
      <c r="HA13" s="132">
        <f t="shared" si="15"/>
        <v>0</v>
      </c>
      <c r="HB13" s="181">
        <v>0</v>
      </c>
      <c r="HC13" s="181">
        <v>0</v>
      </c>
      <c r="HD13" s="181">
        <v>0</v>
      </c>
      <c r="HE13" s="181">
        <v>0</v>
      </c>
      <c r="HF13" s="181">
        <v>0</v>
      </c>
      <c r="HG13" s="181">
        <v>0</v>
      </c>
      <c r="HH13" s="181">
        <v>0</v>
      </c>
      <c r="HI13" s="181">
        <v>0</v>
      </c>
      <c r="HJ13" s="181">
        <v>0</v>
      </c>
      <c r="HK13" s="181">
        <v>0</v>
      </c>
      <c r="HL13" s="181">
        <v>0</v>
      </c>
      <c r="HM13" s="181">
        <v>0</v>
      </c>
      <c r="HN13" s="181">
        <f t="shared" si="16"/>
        <v>0</v>
      </c>
      <c r="HO13" s="132">
        <v>0</v>
      </c>
      <c r="HP13" s="132">
        <v>0</v>
      </c>
      <c r="HQ13" s="132">
        <v>0</v>
      </c>
      <c r="HR13" s="132">
        <v>0</v>
      </c>
      <c r="HS13" s="132">
        <v>0</v>
      </c>
      <c r="HT13" s="132">
        <v>0</v>
      </c>
      <c r="HU13" s="132">
        <v>0</v>
      </c>
      <c r="HV13" s="132">
        <v>0</v>
      </c>
      <c r="HW13" s="132">
        <v>0</v>
      </c>
      <c r="HX13" s="132">
        <v>0</v>
      </c>
      <c r="HY13" s="132">
        <v>0</v>
      </c>
      <c r="HZ13" s="132">
        <v>0</v>
      </c>
      <c r="IA13" s="132">
        <f t="shared" si="17"/>
        <v>0</v>
      </c>
      <c r="IB13" s="181">
        <v>0</v>
      </c>
      <c r="IC13" s="181">
        <v>0</v>
      </c>
      <c r="ID13" s="181">
        <v>0</v>
      </c>
      <c r="IE13" s="181">
        <v>0</v>
      </c>
      <c r="IF13" s="181">
        <v>0</v>
      </c>
      <c r="IG13" s="181">
        <v>0</v>
      </c>
      <c r="IH13" s="181">
        <v>0</v>
      </c>
      <c r="II13" s="181">
        <v>0</v>
      </c>
      <c r="IJ13" s="181">
        <v>0</v>
      </c>
      <c r="IK13" s="181">
        <v>0</v>
      </c>
      <c r="IL13" s="181">
        <v>0</v>
      </c>
      <c r="IM13" s="181">
        <v>0</v>
      </c>
      <c r="IN13" s="181">
        <f t="shared" si="18"/>
        <v>0</v>
      </c>
      <c r="IO13" s="181">
        <v>0</v>
      </c>
      <c r="IP13" s="181">
        <v>0</v>
      </c>
      <c r="IQ13" s="181">
        <v>0</v>
      </c>
      <c r="IR13" s="181">
        <v>0</v>
      </c>
      <c r="IS13" s="181">
        <v>0</v>
      </c>
      <c r="IT13" s="181">
        <v>0</v>
      </c>
      <c r="IU13" s="181">
        <v>0</v>
      </c>
      <c r="IV13" s="181">
        <v>0</v>
      </c>
      <c r="IW13" s="181">
        <v>0</v>
      </c>
      <c r="IX13" s="181">
        <v>0</v>
      </c>
      <c r="IY13" s="181">
        <v>0</v>
      </c>
      <c r="IZ13" s="181">
        <v>0</v>
      </c>
      <c r="JA13" s="181">
        <f t="shared" si="19"/>
        <v>0</v>
      </c>
      <c r="JC13" s="135">
        <f t="shared" si="20"/>
        <v>2087</v>
      </c>
      <c r="JD13" s="135">
        <f t="shared" si="21"/>
        <v>2087</v>
      </c>
      <c r="JE13" s="135">
        <f t="shared" si="22"/>
        <v>2087</v>
      </c>
      <c r="JF13" s="135">
        <f t="shared" si="23"/>
        <v>2087</v>
      </c>
      <c r="JG13" s="135">
        <f t="shared" si="24"/>
        <v>2087</v>
      </c>
      <c r="JH13" s="135">
        <f t="shared" si="25"/>
        <v>2087</v>
      </c>
      <c r="JI13" s="135">
        <f t="shared" si="26"/>
        <v>2087</v>
      </c>
      <c r="JJ13" s="135">
        <f t="shared" si="27"/>
        <v>2087</v>
      </c>
      <c r="JK13" s="135">
        <f t="shared" si="28"/>
        <v>2087</v>
      </c>
      <c r="JL13" s="135">
        <f t="shared" si="29"/>
        <v>2087</v>
      </c>
      <c r="JM13" s="135">
        <f t="shared" si="30"/>
        <v>2087</v>
      </c>
      <c r="JN13" s="135">
        <f t="shared" si="31"/>
        <v>2087</v>
      </c>
      <c r="JO13" s="132">
        <f t="shared" si="32"/>
        <v>25044</v>
      </c>
      <c r="JQ13" s="139">
        <f t="shared" si="33"/>
        <v>25044</v>
      </c>
    </row>
    <row r="14" spans="1:277" x14ac:dyDescent="0.25">
      <c r="A14" s="130" t="s">
        <v>405</v>
      </c>
      <c r="B14" s="131">
        <v>15</v>
      </c>
      <c r="C14" s="131">
        <v>15</v>
      </c>
      <c r="D14" s="131">
        <v>15</v>
      </c>
      <c r="E14" s="131">
        <v>15</v>
      </c>
      <c r="F14" s="131">
        <v>15</v>
      </c>
      <c r="G14" s="131">
        <v>15</v>
      </c>
      <c r="H14" s="131">
        <v>15</v>
      </c>
      <c r="I14" s="131">
        <v>15</v>
      </c>
      <c r="J14" s="131">
        <v>15</v>
      </c>
      <c r="K14" s="131">
        <v>15</v>
      </c>
      <c r="L14" s="131">
        <v>15</v>
      </c>
      <c r="M14" s="131">
        <v>15</v>
      </c>
      <c r="N14" s="132">
        <f t="shared" si="0"/>
        <v>180</v>
      </c>
      <c r="O14" s="133">
        <v>60</v>
      </c>
      <c r="P14" s="133">
        <v>60</v>
      </c>
      <c r="Q14" s="133">
        <v>60</v>
      </c>
      <c r="R14" s="133">
        <v>60</v>
      </c>
      <c r="S14" s="133">
        <v>60</v>
      </c>
      <c r="T14" s="133">
        <v>60</v>
      </c>
      <c r="U14" s="133">
        <v>60</v>
      </c>
      <c r="V14" s="133">
        <v>60</v>
      </c>
      <c r="W14" s="133">
        <v>60</v>
      </c>
      <c r="X14" s="133">
        <v>60</v>
      </c>
      <c r="Y14" s="133">
        <v>60</v>
      </c>
      <c r="Z14" s="133">
        <v>60</v>
      </c>
      <c r="AA14" s="132">
        <f t="shared" si="1"/>
        <v>720</v>
      </c>
      <c r="AB14" s="131">
        <v>45</v>
      </c>
      <c r="AC14" s="131">
        <v>45</v>
      </c>
      <c r="AD14" s="131">
        <v>45</v>
      </c>
      <c r="AE14" s="131">
        <v>45</v>
      </c>
      <c r="AF14" s="131">
        <v>45</v>
      </c>
      <c r="AG14" s="131">
        <v>45</v>
      </c>
      <c r="AH14" s="131">
        <v>45</v>
      </c>
      <c r="AI14" s="131">
        <v>45</v>
      </c>
      <c r="AJ14" s="131">
        <v>45</v>
      </c>
      <c r="AK14" s="131">
        <v>45</v>
      </c>
      <c r="AL14" s="131">
        <v>45</v>
      </c>
      <c r="AM14" s="131">
        <v>45</v>
      </c>
      <c r="AN14" s="132">
        <f t="shared" si="2"/>
        <v>540</v>
      </c>
      <c r="AO14" s="133">
        <v>70</v>
      </c>
      <c r="AP14" s="133">
        <v>70</v>
      </c>
      <c r="AQ14" s="133">
        <v>70</v>
      </c>
      <c r="AR14" s="133">
        <v>70</v>
      </c>
      <c r="AS14" s="133">
        <v>70</v>
      </c>
      <c r="AT14" s="133">
        <v>70</v>
      </c>
      <c r="AU14" s="133">
        <v>70</v>
      </c>
      <c r="AV14" s="133">
        <v>70</v>
      </c>
      <c r="AW14" s="133">
        <v>70</v>
      </c>
      <c r="AX14" s="133">
        <v>70</v>
      </c>
      <c r="AY14" s="133">
        <v>70</v>
      </c>
      <c r="AZ14" s="133">
        <v>70</v>
      </c>
      <c r="BA14" s="132">
        <f t="shared" si="3"/>
        <v>840</v>
      </c>
      <c r="BB14" s="134">
        <v>175</v>
      </c>
      <c r="BC14" s="134">
        <v>175</v>
      </c>
      <c r="BD14" s="134">
        <v>175</v>
      </c>
      <c r="BE14" s="134">
        <v>175</v>
      </c>
      <c r="BF14" s="134">
        <v>175</v>
      </c>
      <c r="BG14" s="134">
        <v>175</v>
      </c>
      <c r="BH14" s="134">
        <v>175</v>
      </c>
      <c r="BI14" s="134">
        <v>175</v>
      </c>
      <c r="BJ14" s="134">
        <v>175</v>
      </c>
      <c r="BK14" s="134">
        <v>175</v>
      </c>
      <c r="BL14" s="134">
        <v>175</v>
      </c>
      <c r="BM14" s="134">
        <v>175</v>
      </c>
      <c r="BN14" s="132">
        <f t="shared" si="4"/>
        <v>2100</v>
      </c>
      <c r="BO14" s="135">
        <v>120</v>
      </c>
      <c r="BP14" s="135">
        <v>120</v>
      </c>
      <c r="BQ14" s="135">
        <v>120</v>
      </c>
      <c r="BR14" s="135">
        <v>120</v>
      </c>
      <c r="BS14" s="135">
        <v>120</v>
      </c>
      <c r="BT14" s="135">
        <v>120</v>
      </c>
      <c r="BU14" s="135">
        <v>120</v>
      </c>
      <c r="BV14" s="135">
        <v>120</v>
      </c>
      <c r="BW14" s="135">
        <v>120</v>
      </c>
      <c r="BX14" s="135">
        <v>120</v>
      </c>
      <c r="BY14" s="135">
        <v>120</v>
      </c>
      <c r="BZ14" s="135">
        <v>120</v>
      </c>
      <c r="CA14" s="132">
        <f t="shared" si="5"/>
        <v>1440</v>
      </c>
      <c r="CB14" s="136">
        <v>1802</v>
      </c>
      <c r="CC14" s="136">
        <v>1802</v>
      </c>
      <c r="CD14" s="136">
        <v>1802</v>
      </c>
      <c r="CE14" s="136">
        <v>1802</v>
      </c>
      <c r="CF14" s="136">
        <v>1802</v>
      </c>
      <c r="CG14" s="136">
        <v>1802</v>
      </c>
      <c r="CH14" s="136">
        <v>1802</v>
      </c>
      <c r="CI14" s="136">
        <v>1802</v>
      </c>
      <c r="CJ14" s="136">
        <v>1802</v>
      </c>
      <c r="CK14" s="136">
        <v>1802</v>
      </c>
      <c r="CL14" s="136">
        <v>1802</v>
      </c>
      <c r="CM14" s="136">
        <v>1802</v>
      </c>
      <c r="CN14" s="132">
        <f t="shared" si="6"/>
        <v>21624</v>
      </c>
      <c r="CO14" s="137">
        <v>0</v>
      </c>
      <c r="CP14" s="137">
        <v>0</v>
      </c>
      <c r="CQ14" s="137">
        <v>0</v>
      </c>
      <c r="CR14" s="137">
        <v>0</v>
      </c>
      <c r="CS14" s="137">
        <v>0</v>
      </c>
      <c r="CT14" s="137">
        <v>0</v>
      </c>
      <c r="CU14" s="137">
        <v>0</v>
      </c>
      <c r="CV14" s="137">
        <v>0</v>
      </c>
      <c r="CW14" s="137">
        <v>0</v>
      </c>
      <c r="CX14" s="137">
        <v>0</v>
      </c>
      <c r="CY14" s="137">
        <v>0</v>
      </c>
      <c r="CZ14" s="137">
        <v>0</v>
      </c>
      <c r="DA14" s="132">
        <f t="shared" si="7"/>
        <v>0</v>
      </c>
      <c r="DB14" s="136">
        <v>0</v>
      </c>
      <c r="DC14" s="136">
        <v>0</v>
      </c>
      <c r="DD14" s="136">
        <v>0</v>
      </c>
      <c r="DE14" s="136">
        <v>0</v>
      </c>
      <c r="DF14" s="136">
        <v>0</v>
      </c>
      <c r="DG14" s="136">
        <v>0</v>
      </c>
      <c r="DH14" s="136">
        <v>0</v>
      </c>
      <c r="DI14" s="136">
        <v>0</v>
      </c>
      <c r="DJ14" s="136">
        <v>0</v>
      </c>
      <c r="DK14" s="136">
        <v>0</v>
      </c>
      <c r="DL14" s="136">
        <v>0</v>
      </c>
      <c r="DM14" s="136">
        <v>0</v>
      </c>
      <c r="DN14" s="132">
        <f t="shared" si="8"/>
        <v>0</v>
      </c>
      <c r="DO14" s="137">
        <v>0</v>
      </c>
      <c r="DP14" s="137">
        <v>0</v>
      </c>
      <c r="DQ14" s="137">
        <v>0</v>
      </c>
      <c r="DR14" s="137">
        <v>0</v>
      </c>
      <c r="DS14" s="137">
        <v>0</v>
      </c>
      <c r="DT14" s="137">
        <v>0</v>
      </c>
      <c r="DU14" s="137">
        <v>0</v>
      </c>
      <c r="DV14" s="137">
        <v>0</v>
      </c>
      <c r="DW14" s="137">
        <v>0</v>
      </c>
      <c r="DX14" s="137">
        <v>0</v>
      </c>
      <c r="DY14" s="137">
        <v>0</v>
      </c>
      <c r="DZ14" s="137">
        <v>0</v>
      </c>
      <c r="EA14" s="132">
        <f t="shared" si="9"/>
        <v>0</v>
      </c>
      <c r="EB14" s="216">
        <v>0</v>
      </c>
      <c r="EC14" s="216">
        <v>0</v>
      </c>
      <c r="ED14" s="216">
        <v>0</v>
      </c>
      <c r="EE14" s="216">
        <v>0</v>
      </c>
      <c r="EF14" s="216">
        <v>0</v>
      </c>
      <c r="EG14" s="216">
        <v>0</v>
      </c>
      <c r="EH14" s="216">
        <v>0</v>
      </c>
      <c r="EI14" s="216">
        <v>0</v>
      </c>
      <c r="EJ14" s="216">
        <v>0</v>
      </c>
      <c r="EK14" s="216">
        <v>0</v>
      </c>
      <c r="EL14" s="216">
        <v>0</v>
      </c>
      <c r="EM14" s="216">
        <v>0</v>
      </c>
      <c r="EN14" s="132">
        <f t="shared" si="10"/>
        <v>0</v>
      </c>
      <c r="EO14" s="132">
        <v>0</v>
      </c>
      <c r="EP14" s="132">
        <v>0</v>
      </c>
      <c r="EQ14" s="132">
        <v>0</v>
      </c>
      <c r="ER14" s="132">
        <v>0</v>
      </c>
      <c r="ES14" s="132">
        <v>0</v>
      </c>
      <c r="ET14" s="132">
        <v>0</v>
      </c>
      <c r="EU14" s="132">
        <v>0</v>
      </c>
      <c r="EV14" s="132">
        <v>0</v>
      </c>
      <c r="EW14" s="132">
        <v>0</v>
      </c>
      <c r="EX14" s="132">
        <v>0</v>
      </c>
      <c r="EY14" s="132">
        <v>0</v>
      </c>
      <c r="EZ14" s="132">
        <v>0</v>
      </c>
      <c r="FA14" s="132">
        <f t="shared" si="11"/>
        <v>0</v>
      </c>
      <c r="FB14" s="181">
        <v>556</v>
      </c>
      <c r="FC14" s="181">
        <v>556</v>
      </c>
      <c r="FD14" s="181">
        <v>556</v>
      </c>
      <c r="FE14" s="181">
        <v>556</v>
      </c>
      <c r="FF14" s="181">
        <v>556</v>
      </c>
      <c r="FG14" s="181">
        <v>556</v>
      </c>
      <c r="FH14" s="181">
        <v>556</v>
      </c>
      <c r="FI14" s="181">
        <v>556</v>
      </c>
      <c r="FJ14" s="181">
        <v>556</v>
      </c>
      <c r="FK14" s="181">
        <v>556</v>
      </c>
      <c r="FL14" s="181">
        <v>556</v>
      </c>
      <c r="FM14" s="181">
        <v>556</v>
      </c>
      <c r="FN14" s="132">
        <f t="shared" si="12"/>
        <v>6672</v>
      </c>
      <c r="FO14" s="132">
        <v>0</v>
      </c>
      <c r="FP14" s="132">
        <v>0</v>
      </c>
      <c r="FQ14" s="132">
        <v>0</v>
      </c>
      <c r="FR14" s="132">
        <v>0</v>
      </c>
      <c r="FS14" s="132">
        <v>0</v>
      </c>
      <c r="FT14" s="132">
        <v>0</v>
      </c>
      <c r="FU14" s="132">
        <v>0</v>
      </c>
      <c r="FV14" s="132">
        <v>0</v>
      </c>
      <c r="FW14" s="132">
        <v>0</v>
      </c>
      <c r="FX14" s="132">
        <v>0</v>
      </c>
      <c r="FY14" s="132">
        <v>0</v>
      </c>
      <c r="FZ14" s="132">
        <v>0</v>
      </c>
      <c r="GA14" s="132">
        <f t="shared" si="13"/>
        <v>0</v>
      </c>
      <c r="GB14" s="181">
        <v>0</v>
      </c>
      <c r="GC14" s="181">
        <v>0</v>
      </c>
      <c r="GD14" s="181">
        <v>0</v>
      </c>
      <c r="GE14" s="181">
        <v>0</v>
      </c>
      <c r="GF14" s="181">
        <v>0</v>
      </c>
      <c r="GG14" s="181">
        <v>0</v>
      </c>
      <c r="GH14" s="181">
        <v>0</v>
      </c>
      <c r="GI14" s="181">
        <v>0</v>
      </c>
      <c r="GJ14" s="181">
        <v>0</v>
      </c>
      <c r="GK14" s="181">
        <v>0</v>
      </c>
      <c r="GL14" s="181">
        <v>0</v>
      </c>
      <c r="GM14" s="181">
        <v>0</v>
      </c>
      <c r="GN14" s="181">
        <f t="shared" si="14"/>
        <v>0</v>
      </c>
      <c r="GO14" s="137">
        <v>0</v>
      </c>
      <c r="GP14" s="137">
        <v>0</v>
      </c>
      <c r="GQ14" s="137">
        <v>0</v>
      </c>
      <c r="GR14" s="137">
        <v>0</v>
      </c>
      <c r="GS14" s="137">
        <v>0</v>
      </c>
      <c r="GT14" s="137">
        <v>0</v>
      </c>
      <c r="GU14" s="137">
        <v>0</v>
      </c>
      <c r="GV14" s="137">
        <v>0</v>
      </c>
      <c r="GW14" s="137">
        <v>0</v>
      </c>
      <c r="GX14" s="137">
        <v>0</v>
      </c>
      <c r="GY14" s="137">
        <v>0</v>
      </c>
      <c r="GZ14" s="137">
        <v>0</v>
      </c>
      <c r="HA14" s="132">
        <f t="shared" si="15"/>
        <v>0</v>
      </c>
      <c r="HB14" s="181">
        <v>0</v>
      </c>
      <c r="HC14" s="181">
        <v>0</v>
      </c>
      <c r="HD14" s="181">
        <v>0</v>
      </c>
      <c r="HE14" s="181">
        <v>0</v>
      </c>
      <c r="HF14" s="181">
        <v>0</v>
      </c>
      <c r="HG14" s="181">
        <v>0</v>
      </c>
      <c r="HH14" s="181">
        <v>0</v>
      </c>
      <c r="HI14" s="181">
        <v>0</v>
      </c>
      <c r="HJ14" s="181">
        <v>0</v>
      </c>
      <c r="HK14" s="181">
        <v>0</v>
      </c>
      <c r="HL14" s="181">
        <v>0</v>
      </c>
      <c r="HM14" s="181">
        <v>0</v>
      </c>
      <c r="HN14" s="181">
        <f t="shared" si="16"/>
        <v>0</v>
      </c>
      <c r="HO14" s="132">
        <v>0</v>
      </c>
      <c r="HP14" s="132">
        <v>0</v>
      </c>
      <c r="HQ14" s="132">
        <v>0</v>
      </c>
      <c r="HR14" s="132">
        <v>0</v>
      </c>
      <c r="HS14" s="132">
        <v>0</v>
      </c>
      <c r="HT14" s="132">
        <v>0</v>
      </c>
      <c r="HU14" s="132">
        <v>0</v>
      </c>
      <c r="HV14" s="132">
        <v>0</v>
      </c>
      <c r="HW14" s="132">
        <v>0</v>
      </c>
      <c r="HX14" s="132">
        <v>0</v>
      </c>
      <c r="HY14" s="132">
        <v>0</v>
      </c>
      <c r="HZ14" s="132">
        <v>0</v>
      </c>
      <c r="IA14" s="132">
        <f t="shared" si="17"/>
        <v>0</v>
      </c>
      <c r="IB14" s="181">
        <v>0</v>
      </c>
      <c r="IC14" s="181">
        <v>0</v>
      </c>
      <c r="ID14" s="181">
        <v>0</v>
      </c>
      <c r="IE14" s="181">
        <v>0</v>
      </c>
      <c r="IF14" s="181">
        <v>0</v>
      </c>
      <c r="IG14" s="181">
        <v>0</v>
      </c>
      <c r="IH14" s="181">
        <v>0</v>
      </c>
      <c r="II14" s="181">
        <v>0</v>
      </c>
      <c r="IJ14" s="181">
        <v>0</v>
      </c>
      <c r="IK14" s="181">
        <v>0</v>
      </c>
      <c r="IL14" s="181">
        <v>0</v>
      </c>
      <c r="IM14" s="181">
        <v>0</v>
      </c>
      <c r="IN14" s="181">
        <f t="shared" si="18"/>
        <v>0</v>
      </c>
      <c r="IO14" s="181">
        <v>0</v>
      </c>
      <c r="IP14" s="181">
        <v>0</v>
      </c>
      <c r="IQ14" s="181">
        <v>0</v>
      </c>
      <c r="IR14" s="181">
        <v>0</v>
      </c>
      <c r="IS14" s="181">
        <v>0</v>
      </c>
      <c r="IT14" s="181">
        <v>0</v>
      </c>
      <c r="IU14" s="181">
        <v>0</v>
      </c>
      <c r="IV14" s="181">
        <v>0</v>
      </c>
      <c r="IW14" s="181">
        <v>0</v>
      </c>
      <c r="IX14" s="181">
        <v>0</v>
      </c>
      <c r="IY14" s="181">
        <v>0</v>
      </c>
      <c r="IZ14" s="181">
        <v>0</v>
      </c>
      <c r="JA14" s="181">
        <f t="shared" si="19"/>
        <v>0</v>
      </c>
      <c r="JC14" s="135">
        <f t="shared" si="20"/>
        <v>2843</v>
      </c>
      <c r="JD14" s="135">
        <f t="shared" si="21"/>
        <v>2843</v>
      </c>
      <c r="JE14" s="135">
        <f t="shared" si="22"/>
        <v>2843</v>
      </c>
      <c r="JF14" s="135">
        <f t="shared" si="23"/>
        <v>2843</v>
      </c>
      <c r="JG14" s="135">
        <f t="shared" si="24"/>
        <v>2843</v>
      </c>
      <c r="JH14" s="135">
        <f t="shared" si="25"/>
        <v>2843</v>
      </c>
      <c r="JI14" s="135">
        <f t="shared" si="26"/>
        <v>2843</v>
      </c>
      <c r="JJ14" s="135">
        <f t="shared" si="27"/>
        <v>2843</v>
      </c>
      <c r="JK14" s="135">
        <f t="shared" si="28"/>
        <v>2843</v>
      </c>
      <c r="JL14" s="135">
        <f t="shared" si="29"/>
        <v>2843</v>
      </c>
      <c r="JM14" s="135">
        <f t="shared" si="30"/>
        <v>2843</v>
      </c>
      <c r="JN14" s="135">
        <f t="shared" si="31"/>
        <v>2843</v>
      </c>
      <c r="JO14" s="132">
        <f t="shared" si="32"/>
        <v>34116</v>
      </c>
      <c r="JQ14" s="139">
        <f t="shared" si="33"/>
        <v>34116</v>
      </c>
    </row>
    <row r="15" spans="1:277" x14ac:dyDescent="0.25">
      <c r="A15" s="130" t="s">
        <v>410</v>
      </c>
      <c r="B15" s="131">
        <v>45</v>
      </c>
      <c r="C15" s="131">
        <v>45</v>
      </c>
      <c r="D15" s="131">
        <v>45</v>
      </c>
      <c r="E15" s="131">
        <v>45</v>
      </c>
      <c r="F15" s="131">
        <v>45</v>
      </c>
      <c r="G15" s="131">
        <v>45</v>
      </c>
      <c r="H15" s="131">
        <v>45</v>
      </c>
      <c r="I15" s="131">
        <v>45</v>
      </c>
      <c r="J15" s="131">
        <v>45</v>
      </c>
      <c r="K15" s="131">
        <v>45</v>
      </c>
      <c r="L15" s="131">
        <v>45</v>
      </c>
      <c r="M15" s="131">
        <v>45</v>
      </c>
      <c r="N15" s="132">
        <f t="shared" si="0"/>
        <v>540</v>
      </c>
      <c r="O15" s="133">
        <v>200</v>
      </c>
      <c r="P15" s="133">
        <v>200</v>
      </c>
      <c r="Q15" s="133">
        <v>200</v>
      </c>
      <c r="R15" s="133">
        <v>200</v>
      </c>
      <c r="S15" s="133">
        <v>200</v>
      </c>
      <c r="T15" s="133">
        <v>200</v>
      </c>
      <c r="U15" s="133">
        <v>200</v>
      </c>
      <c r="V15" s="133">
        <v>200</v>
      </c>
      <c r="W15" s="133">
        <v>200</v>
      </c>
      <c r="X15" s="133">
        <v>200</v>
      </c>
      <c r="Y15" s="133">
        <v>200</v>
      </c>
      <c r="Z15" s="133">
        <v>200</v>
      </c>
      <c r="AA15" s="132">
        <f t="shared" si="1"/>
        <v>2400</v>
      </c>
      <c r="AB15" s="131">
        <v>0</v>
      </c>
      <c r="AC15" s="131">
        <v>0</v>
      </c>
      <c r="AD15" s="131">
        <v>0</v>
      </c>
      <c r="AE15" s="131">
        <v>0</v>
      </c>
      <c r="AF15" s="131">
        <v>0</v>
      </c>
      <c r="AG15" s="131">
        <v>0</v>
      </c>
      <c r="AH15" s="131">
        <v>0</v>
      </c>
      <c r="AI15" s="131">
        <v>0</v>
      </c>
      <c r="AJ15" s="131">
        <v>0</v>
      </c>
      <c r="AK15" s="131">
        <v>0</v>
      </c>
      <c r="AL15" s="131">
        <v>0</v>
      </c>
      <c r="AM15" s="131">
        <v>0</v>
      </c>
      <c r="AN15" s="132">
        <f t="shared" si="2"/>
        <v>0</v>
      </c>
      <c r="AO15" s="133">
        <v>140</v>
      </c>
      <c r="AP15" s="133">
        <v>140</v>
      </c>
      <c r="AQ15" s="133">
        <v>140</v>
      </c>
      <c r="AR15" s="133">
        <v>140</v>
      </c>
      <c r="AS15" s="133">
        <v>140</v>
      </c>
      <c r="AT15" s="133">
        <v>140</v>
      </c>
      <c r="AU15" s="133">
        <v>140</v>
      </c>
      <c r="AV15" s="133">
        <v>140</v>
      </c>
      <c r="AW15" s="133">
        <v>140</v>
      </c>
      <c r="AX15" s="133">
        <v>140</v>
      </c>
      <c r="AY15" s="133">
        <v>140</v>
      </c>
      <c r="AZ15" s="133">
        <v>140</v>
      </c>
      <c r="BA15" s="132">
        <f t="shared" si="3"/>
        <v>1680</v>
      </c>
      <c r="BB15" s="134">
        <v>560</v>
      </c>
      <c r="BC15" s="134">
        <v>560</v>
      </c>
      <c r="BD15" s="134">
        <v>560</v>
      </c>
      <c r="BE15" s="134">
        <v>560</v>
      </c>
      <c r="BF15" s="134">
        <v>560</v>
      </c>
      <c r="BG15" s="134">
        <v>560</v>
      </c>
      <c r="BH15" s="134">
        <v>560</v>
      </c>
      <c r="BI15" s="134">
        <v>560</v>
      </c>
      <c r="BJ15" s="134">
        <v>560</v>
      </c>
      <c r="BK15" s="134">
        <v>560</v>
      </c>
      <c r="BL15" s="134">
        <v>560</v>
      </c>
      <c r="BM15" s="134">
        <v>560</v>
      </c>
      <c r="BN15" s="132">
        <f t="shared" si="4"/>
        <v>6720</v>
      </c>
      <c r="BO15" s="135">
        <v>120</v>
      </c>
      <c r="BP15" s="135">
        <v>120</v>
      </c>
      <c r="BQ15" s="135">
        <v>120</v>
      </c>
      <c r="BR15" s="135">
        <v>120</v>
      </c>
      <c r="BS15" s="135">
        <v>120</v>
      </c>
      <c r="BT15" s="135">
        <v>120</v>
      </c>
      <c r="BU15" s="135">
        <v>120</v>
      </c>
      <c r="BV15" s="135">
        <v>120</v>
      </c>
      <c r="BW15" s="135">
        <v>120</v>
      </c>
      <c r="BX15" s="135">
        <v>120</v>
      </c>
      <c r="BY15" s="135">
        <v>120</v>
      </c>
      <c r="BZ15" s="135">
        <v>120</v>
      </c>
      <c r="CA15" s="132">
        <f t="shared" si="5"/>
        <v>1440</v>
      </c>
      <c r="CB15" s="136">
        <v>1587</v>
      </c>
      <c r="CC15" s="136">
        <v>1587</v>
      </c>
      <c r="CD15" s="136">
        <v>1587</v>
      </c>
      <c r="CE15" s="136">
        <v>1587</v>
      </c>
      <c r="CF15" s="136">
        <v>1587</v>
      </c>
      <c r="CG15" s="136">
        <v>1587</v>
      </c>
      <c r="CH15" s="136">
        <v>1587</v>
      </c>
      <c r="CI15" s="136">
        <v>1587</v>
      </c>
      <c r="CJ15" s="136">
        <v>1587</v>
      </c>
      <c r="CK15" s="136">
        <v>1587</v>
      </c>
      <c r="CL15" s="136">
        <v>1587</v>
      </c>
      <c r="CM15" s="136">
        <v>1587</v>
      </c>
      <c r="CN15" s="132">
        <f t="shared" si="6"/>
        <v>19044</v>
      </c>
      <c r="CO15" s="137">
        <v>0</v>
      </c>
      <c r="CP15" s="137">
        <v>0</v>
      </c>
      <c r="CQ15" s="137">
        <v>0</v>
      </c>
      <c r="CR15" s="137">
        <v>0</v>
      </c>
      <c r="CS15" s="137">
        <v>0</v>
      </c>
      <c r="CT15" s="137">
        <v>0</v>
      </c>
      <c r="CU15" s="137">
        <v>0</v>
      </c>
      <c r="CV15" s="137">
        <v>0</v>
      </c>
      <c r="CW15" s="137">
        <v>0</v>
      </c>
      <c r="CX15" s="137">
        <v>0</v>
      </c>
      <c r="CY15" s="137">
        <v>0</v>
      </c>
      <c r="CZ15" s="137">
        <v>0</v>
      </c>
      <c r="DA15" s="132">
        <f t="shared" si="7"/>
        <v>0</v>
      </c>
      <c r="DB15" s="136">
        <v>0</v>
      </c>
      <c r="DC15" s="136">
        <v>0</v>
      </c>
      <c r="DD15" s="136">
        <v>0</v>
      </c>
      <c r="DE15" s="136">
        <v>0</v>
      </c>
      <c r="DF15" s="136">
        <v>0</v>
      </c>
      <c r="DG15" s="136">
        <v>0</v>
      </c>
      <c r="DH15" s="136">
        <v>0</v>
      </c>
      <c r="DI15" s="136">
        <v>0</v>
      </c>
      <c r="DJ15" s="136">
        <v>0</v>
      </c>
      <c r="DK15" s="136">
        <v>0</v>
      </c>
      <c r="DL15" s="136">
        <v>0</v>
      </c>
      <c r="DM15" s="136">
        <v>0</v>
      </c>
      <c r="DN15" s="132">
        <f t="shared" si="8"/>
        <v>0</v>
      </c>
      <c r="DO15" s="137">
        <v>0</v>
      </c>
      <c r="DP15" s="137">
        <v>0</v>
      </c>
      <c r="DQ15" s="137">
        <v>0</v>
      </c>
      <c r="DR15" s="137">
        <v>0</v>
      </c>
      <c r="DS15" s="137">
        <v>0</v>
      </c>
      <c r="DT15" s="137">
        <v>0</v>
      </c>
      <c r="DU15" s="137">
        <v>0</v>
      </c>
      <c r="DV15" s="137">
        <v>0</v>
      </c>
      <c r="DW15" s="137">
        <v>0</v>
      </c>
      <c r="DX15" s="137">
        <v>0</v>
      </c>
      <c r="DY15" s="137">
        <v>0</v>
      </c>
      <c r="DZ15" s="137">
        <v>0</v>
      </c>
      <c r="EA15" s="132">
        <f t="shared" si="9"/>
        <v>0</v>
      </c>
      <c r="EB15" s="216">
        <v>0</v>
      </c>
      <c r="EC15" s="216">
        <v>0</v>
      </c>
      <c r="ED15" s="216">
        <v>0</v>
      </c>
      <c r="EE15" s="216">
        <v>0</v>
      </c>
      <c r="EF15" s="216">
        <v>0</v>
      </c>
      <c r="EG15" s="216">
        <v>0</v>
      </c>
      <c r="EH15" s="216">
        <v>0</v>
      </c>
      <c r="EI15" s="216">
        <v>0</v>
      </c>
      <c r="EJ15" s="216">
        <v>0</v>
      </c>
      <c r="EK15" s="216">
        <v>0</v>
      </c>
      <c r="EL15" s="216">
        <v>0</v>
      </c>
      <c r="EM15" s="216">
        <v>0</v>
      </c>
      <c r="EN15" s="132">
        <f t="shared" si="10"/>
        <v>0</v>
      </c>
      <c r="EO15" s="132">
        <v>0</v>
      </c>
      <c r="EP15" s="132">
        <v>0</v>
      </c>
      <c r="EQ15" s="132">
        <v>0</v>
      </c>
      <c r="ER15" s="132">
        <v>0</v>
      </c>
      <c r="ES15" s="132">
        <v>0</v>
      </c>
      <c r="ET15" s="132">
        <v>0</v>
      </c>
      <c r="EU15" s="132">
        <v>0</v>
      </c>
      <c r="EV15" s="132">
        <v>0</v>
      </c>
      <c r="EW15" s="132">
        <v>0</v>
      </c>
      <c r="EX15" s="132">
        <v>0</v>
      </c>
      <c r="EY15" s="132">
        <v>0</v>
      </c>
      <c r="EZ15" s="132">
        <v>0</v>
      </c>
      <c r="FA15" s="132">
        <f t="shared" si="11"/>
        <v>0</v>
      </c>
      <c r="FB15" s="181">
        <v>731</v>
      </c>
      <c r="FC15" s="181">
        <v>731</v>
      </c>
      <c r="FD15" s="181">
        <v>731</v>
      </c>
      <c r="FE15" s="181">
        <v>731</v>
      </c>
      <c r="FF15" s="181">
        <v>731</v>
      </c>
      <c r="FG15" s="181">
        <v>731</v>
      </c>
      <c r="FH15" s="181">
        <v>731</v>
      </c>
      <c r="FI15" s="181">
        <v>731</v>
      </c>
      <c r="FJ15" s="181">
        <v>731</v>
      </c>
      <c r="FK15" s="181">
        <v>731</v>
      </c>
      <c r="FL15" s="181">
        <v>731</v>
      </c>
      <c r="FM15" s="181">
        <v>731</v>
      </c>
      <c r="FN15" s="132">
        <f t="shared" si="12"/>
        <v>8772</v>
      </c>
      <c r="FO15" s="132">
        <v>0</v>
      </c>
      <c r="FP15" s="132">
        <v>0</v>
      </c>
      <c r="FQ15" s="132">
        <v>0</v>
      </c>
      <c r="FR15" s="132">
        <v>0</v>
      </c>
      <c r="FS15" s="132">
        <v>0</v>
      </c>
      <c r="FT15" s="132">
        <v>0</v>
      </c>
      <c r="FU15" s="132">
        <v>0</v>
      </c>
      <c r="FV15" s="132">
        <v>0</v>
      </c>
      <c r="FW15" s="132">
        <v>0</v>
      </c>
      <c r="FX15" s="132">
        <v>0</v>
      </c>
      <c r="FY15" s="132">
        <v>0</v>
      </c>
      <c r="FZ15" s="132">
        <v>0</v>
      </c>
      <c r="GA15" s="132">
        <f t="shared" si="13"/>
        <v>0</v>
      </c>
      <c r="GB15" s="181">
        <v>0</v>
      </c>
      <c r="GC15" s="181">
        <v>0</v>
      </c>
      <c r="GD15" s="181">
        <v>0</v>
      </c>
      <c r="GE15" s="181">
        <v>0</v>
      </c>
      <c r="GF15" s="181">
        <v>0</v>
      </c>
      <c r="GG15" s="181">
        <v>0</v>
      </c>
      <c r="GH15" s="181">
        <v>0</v>
      </c>
      <c r="GI15" s="181">
        <v>0</v>
      </c>
      <c r="GJ15" s="181">
        <v>0</v>
      </c>
      <c r="GK15" s="181">
        <v>0</v>
      </c>
      <c r="GL15" s="181">
        <v>0</v>
      </c>
      <c r="GM15" s="181">
        <v>0</v>
      </c>
      <c r="GN15" s="181">
        <f t="shared" si="14"/>
        <v>0</v>
      </c>
      <c r="GO15" s="137">
        <v>0</v>
      </c>
      <c r="GP15" s="137">
        <v>0</v>
      </c>
      <c r="GQ15" s="137">
        <v>0</v>
      </c>
      <c r="GR15" s="137">
        <v>0</v>
      </c>
      <c r="GS15" s="137">
        <v>0</v>
      </c>
      <c r="GT15" s="137">
        <v>0</v>
      </c>
      <c r="GU15" s="137">
        <v>0</v>
      </c>
      <c r="GV15" s="137">
        <v>0</v>
      </c>
      <c r="GW15" s="137">
        <v>0</v>
      </c>
      <c r="GX15" s="137">
        <v>0</v>
      </c>
      <c r="GY15" s="137">
        <v>0</v>
      </c>
      <c r="GZ15" s="137">
        <v>0</v>
      </c>
      <c r="HA15" s="132">
        <f t="shared" si="15"/>
        <v>0</v>
      </c>
      <c r="HB15" s="181">
        <v>0</v>
      </c>
      <c r="HC15" s="181">
        <v>0</v>
      </c>
      <c r="HD15" s="181">
        <v>0</v>
      </c>
      <c r="HE15" s="181">
        <v>0</v>
      </c>
      <c r="HF15" s="181">
        <v>0</v>
      </c>
      <c r="HG15" s="181">
        <v>0</v>
      </c>
      <c r="HH15" s="181">
        <v>0</v>
      </c>
      <c r="HI15" s="181">
        <v>0</v>
      </c>
      <c r="HJ15" s="181">
        <v>0</v>
      </c>
      <c r="HK15" s="181">
        <v>0</v>
      </c>
      <c r="HL15" s="181">
        <v>0</v>
      </c>
      <c r="HM15" s="181">
        <v>0</v>
      </c>
      <c r="HN15" s="181">
        <f t="shared" si="16"/>
        <v>0</v>
      </c>
      <c r="HO15" s="132">
        <v>0</v>
      </c>
      <c r="HP15" s="132">
        <v>0</v>
      </c>
      <c r="HQ15" s="132">
        <v>0</v>
      </c>
      <c r="HR15" s="132">
        <v>0</v>
      </c>
      <c r="HS15" s="132">
        <v>0</v>
      </c>
      <c r="HT15" s="132">
        <v>0</v>
      </c>
      <c r="HU15" s="132">
        <v>0</v>
      </c>
      <c r="HV15" s="132">
        <v>0</v>
      </c>
      <c r="HW15" s="132">
        <v>0</v>
      </c>
      <c r="HX15" s="132">
        <v>0</v>
      </c>
      <c r="HY15" s="132">
        <v>0</v>
      </c>
      <c r="HZ15" s="132">
        <v>0</v>
      </c>
      <c r="IA15" s="132">
        <f t="shared" si="17"/>
        <v>0</v>
      </c>
      <c r="IB15" s="181">
        <v>0</v>
      </c>
      <c r="IC15" s="181">
        <v>0</v>
      </c>
      <c r="ID15" s="181">
        <v>0</v>
      </c>
      <c r="IE15" s="181">
        <v>0</v>
      </c>
      <c r="IF15" s="181">
        <v>0</v>
      </c>
      <c r="IG15" s="181">
        <v>0</v>
      </c>
      <c r="IH15" s="181">
        <v>0</v>
      </c>
      <c r="II15" s="181">
        <v>0</v>
      </c>
      <c r="IJ15" s="181">
        <v>0</v>
      </c>
      <c r="IK15" s="181">
        <v>0</v>
      </c>
      <c r="IL15" s="181">
        <v>0</v>
      </c>
      <c r="IM15" s="181">
        <v>0</v>
      </c>
      <c r="IN15" s="181">
        <f t="shared" si="18"/>
        <v>0</v>
      </c>
      <c r="IO15" s="181">
        <v>0</v>
      </c>
      <c r="IP15" s="181">
        <v>0</v>
      </c>
      <c r="IQ15" s="181">
        <v>0</v>
      </c>
      <c r="IR15" s="181">
        <v>0</v>
      </c>
      <c r="IS15" s="181">
        <v>0</v>
      </c>
      <c r="IT15" s="181">
        <v>0</v>
      </c>
      <c r="IU15" s="181">
        <v>0</v>
      </c>
      <c r="IV15" s="181">
        <v>0</v>
      </c>
      <c r="IW15" s="181">
        <v>0</v>
      </c>
      <c r="IX15" s="181">
        <v>0</v>
      </c>
      <c r="IY15" s="181">
        <v>0</v>
      </c>
      <c r="IZ15" s="181">
        <v>0</v>
      </c>
      <c r="JA15" s="181">
        <f t="shared" si="19"/>
        <v>0</v>
      </c>
      <c r="JC15" s="135">
        <f t="shared" si="20"/>
        <v>3383</v>
      </c>
      <c r="JD15" s="135">
        <f t="shared" si="21"/>
        <v>3383</v>
      </c>
      <c r="JE15" s="135">
        <f t="shared" si="22"/>
        <v>3383</v>
      </c>
      <c r="JF15" s="135">
        <f t="shared" si="23"/>
        <v>3383</v>
      </c>
      <c r="JG15" s="135">
        <f t="shared" si="24"/>
        <v>3383</v>
      </c>
      <c r="JH15" s="135">
        <f t="shared" si="25"/>
        <v>3383</v>
      </c>
      <c r="JI15" s="135">
        <f t="shared" si="26"/>
        <v>3383</v>
      </c>
      <c r="JJ15" s="135">
        <f t="shared" si="27"/>
        <v>3383</v>
      </c>
      <c r="JK15" s="135">
        <f t="shared" si="28"/>
        <v>3383</v>
      </c>
      <c r="JL15" s="135">
        <f t="shared" si="29"/>
        <v>3383</v>
      </c>
      <c r="JM15" s="135">
        <f t="shared" si="30"/>
        <v>3383</v>
      </c>
      <c r="JN15" s="135">
        <f t="shared" si="31"/>
        <v>3383</v>
      </c>
      <c r="JO15" s="132">
        <f t="shared" si="32"/>
        <v>40596</v>
      </c>
      <c r="JQ15" s="139">
        <f t="shared" si="33"/>
        <v>40596</v>
      </c>
    </row>
    <row r="16" spans="1:277" x14ac:dyDescent="0.25">
      <c r="A16" s="130" t="s">
        <v>415</v>
      </c>
      <c r="B16" s="131">
        <v>86</v>
      </c>
      <c r="C16" s="131">
        <v>86</v>
      </c>
      <c r="D16" s="131">
        <v>86</v>
      </c>
      <c r="E16" s="131">
        <v>86</v>
      </c>
      <c r="F16" s="131">
        <v>86</v>
      </c>
      <c r="G16" s="131">
        <v>86</v>
      </c>
      <c r="H16" s="131">
        <v>86</v>
      </c>
      <c r="I16" s="131">
        <v>86</v>
      </c>
      <c r="J16" s="131">
        <v>86</v>
      </c>
      <c r="K16" s="131">
        <v>86</v>
      </c>
      <c r="L16" s="131">
        <v>86</v>
      </c>
      <c r="M16" s="131">
        <v>86</v>
      </c>
      <c r="N16" s="132">
        <f t="shared" si="0"/>
        <v>1032</v>
      </c>
      <c r="O16" s="133">
        <v>300</v>
      </c>
      <c r="P16" s="133">
        <v>300</v>
      </c>
      <c r="Q16" s="133">
        <v>300</v>
      </c>
      <c r="R16" s="133">
        <v>300</v>
      </c>
      <c r="S16" s="133">
        <v>300</v>
      </c>
      <c r="T16" s="133">
        <v>300</v>
      </c>
      <c r="U16" s="133">
        <v>300</v>
      </c>
      <c r="V16" s="133">
        <v>300</v>
      </c>
      <c r="W16" s="133">
        <v>300</v>
      </c>
      <c r="X16" s="133">
        <v>300</v>
      </c>
      <c r="Y16" s="133">
        <v>300</v>
      </c>
      <c r="Z16" s="133">
        <v>300</v>
      </c>
      <c r="AA16" s="132">
        <f t="shared" si="1"/>
        <v>3600</v>
      </c>
      <c r="AB16" s="131">
        <v>45</v>
      </c>
      <c r="AC16" s="131">
        <v>45</v>
      </c>
      <c r="AD16" s="131">
        <v>45</v>
      </c>
      <c r="AE16" s="131">
        <v>45</v>
      </c>
      <c r="AF16" s="131">
        <v>45</v>
      </c>
      <c r="AG16" s="131">
        <v>45</v>
      </c>
      <c r="AH16" s="131">
        <v>45</v>
      </c>
      <c r="AI16" s="131">
        <v>45</v>
      </c>
      <c r="AJ16" s="131">
        <v>45</v>
      </c>
      <c r="AK16" s="131">
        <v>45</v>
      </c>
      <c r="AL16" s="131">
        <v>45</v>
      </c>
      <c r="AM16" s="131">
        <v>45</v>
      </c>
      <c r="AN16" s="132">
        <f t="shared" si="2"/>
        <v>540</v>
      </c>
      <c r="AO16" s="133">
        <v>400</v>
      </c>
      <c r="AP16" s="133">
        <v>400</v>
      </c>
      <c r="AQ16" s="133">
        <v>400</v>
      </c>
      <c r="AR16" s="133">
        <v>400</v>
      </c>
      <c r="AS16" s="133">
        <v>400</v>
      </c>
      <c r="AT16" s="133">
        <v>400</v>
      </c>
      <c r="AU16" s="133">
        <v>400</v>
      </c>
      <c r="AV16" s="133">
        <v>400</v>
      </c>
      <c r="AW16" s="133">
        <v>400</v>
      </c>
      <c r="AX16" s="133">
        <v>400</v>
      </c>
      <c r="AY16" s="133">
        <v>400</v>
      </c>
      <c r="AZ16" s="133">
        <v>400</v>
      </c>
      <c r="BA16" s="132">
        <f t="shared" si="3"/>
        <v>4800</v>
      </c>
      <c r="BB16" s="134">
        <v>1200</v>
      </c>
      <c r="BC16" s="134">
        <v>1200</v>
      </c>
      <c r="BD16" s="134">
        <v>1200</v>
      </c>
      <c r="BE16" s="134">
        <v>1200</v>
      </c>
      <c r="BF16" s="134">
        <v>1200</v>
      </c>
      <c r="BG16" s="134">
        <v>1200</v>
      </c>
      <c r="BH16" s="134">
        <v>1200</v>
      </c>
      <c r="BI16" s="134">
        <v>1200</v>
      </c>
      <c r="BJ16" s="134">
        <v>1200</v>
      </c>
      <c r="BK16" s="134">
        <v>1200</v>
      </c>
      <c r="BL16" s="134">
        <v>1200</v>
      </c>
      <c r="BM16" s="134">
        <v>1200</v>
      </c>
      <c r="BN16" s="132">
        <f t="shared" si="4"/>
        <v>14400</v>
      </c>
      <c r="BO16" s="135">
        <v>120</v>
      </c>
      <c r="BP16" s="135">
        <v>120</v>
      </c>
      <c r="BQ16" s="135">
        <v>120</v>
      </c>
      <c r="BR16" s="135">
        <v>120</v>
      </c>
      <c r="BS16" s="135">
        <v>120</v>
      </c>
      <c r="BT16" s="135">
        <v>120</v>
      </c>
      <c r="BU16" s="135">
        <v>120</v>
      </c>
      <c r="BV16" s="135">
        <v>120</v>
      </c>
      <c r="BW16" s="135">
        <v>120</v>
      </c>
      <c r="BX16" s="135">
        <v>120</v>
      </c>
      <c r="BY16" s="135">
        <v>120</v>
      </c>
      <c r="BZ16" s="135">
        <v>120</v>
      </c>
      <c r="CA16" s="132">
        <f t="shared" si="5"/>
        <v>1440</v>
      </c>
      <c r="CB16" s="136">
        <v>1652</v>
      </c>
      <c r="CC16" s="136">
        <v>1652</v>
      </c>
      <c r="CD16" s="136">
        <v>1652</v>
      </c>
      <c r="CE16" s="136">
        <v>1652</v>
      </c>
      <c r="CF16" s="136">
        <v>1652</v>
      </c>
      <c r="CG16" s="136">
        <v>1652</v>
      </c>
      <c r="CH16" s="136">
        <v>1652</v>
      </c>
      <c r="CI16" s="136">
        <v>1652</v>
      </c>
      <c r="CJ16" s="136">
        <v>1652</v>
      </c>
      <c r="CK16" s="136">
        <v>1652</v>
      </c>
      <c r="CL16" s="136">
        <v>1652</v>
      </c>
      <c r="CM16" s="136">
        <v>1652</v>
      </c>
      <c r="CN16" s="132">
        <f t="shared" si="6"/>
        <v>19824</v>
      </c>
      <c r="CO16" s="137">
        <v>0</v>
      </c>
      <c r="CP16" s="137">
        <v>0</v>
      </c>
      <c r="CQ16" s="137">
        <v>0</v>
      </c>
      <c r="CR16" s="137">
        <v>0</v>
      </c>
      <c r="CS16" s="137">
        <v>0</v>
      </c>
      <c r="CT16" s="137">
        <v>0</v>
      </c>
      <c r="CU16" s="137">
        <v>0</v>
      </c>
      <c r="CV16" s="137">
        <v>0</v>
      </c>
      <c r="CW16" s="137">
        <v>0</v>
      </c>
      <c r="CX16" s="137">
        <v>0</v>
      </c>
      <c r="CY16" s="137">
        <v>0</v>
      </c>
      <c r="CZ16" s="137">
        <v>0</v>
      </c>
      <c r="DA16" s="132">
        <f t="shared" si="7"/>
        <v>0</v>
      </c>
      <c r="DB16" s="136">
        <v>0</v>
      </c>
      <c r="DC16" s="136">
        <v>0</v>
      </c>
      <c r="DD16" s="136">
        <v>0</v>
      </c>
      <c r="DE16" s="136">
        <v>0</v>
      </c>
      <c r="DF16" s="136">
        <v>0</v>
      </c>
      <c r="DG16" s="136">
        <v>0</v>
      </c>
      <c r="DH16" s="136">
        <v>0</v>
      </c>
      <c r="DI16" s="136">
        <v>0</v>
      </c>
      <c r="DJ16" s="136">
        <v>0</v>
      </c>
      <c r="DK16" s="136">
        <v>0</v>
      </c>
      <c r="DL16" s="136">
        <v>0</v>
      </c>
      <c r="DM16" s="136">
        <v>0</v>
      </c>
      <c r="DN16" s="132">
        <f t="shared" si="8"/>
        <v>0</v>
      </c>
      <c r="DO16" s="137">
        <v>0</v>
      </c>
      <c r="DP16" s="137">
        <v>0</v>
      </c>
      <c r="DQ16" s="137">
        <v>0</v>
      </c>
      <c r="DR16" s="137">
        <v>0</v>
      </c>
      <c r="DS16" s="137">
        <v>0</v>
      </c>
      <c r="DT16" s="137">
        <v>0</v>
      </c>
      <c r="DU16" s="137">
        <v>0</v>
      </c>
      <c r="DV16" s="137">
        <v>0</v>
      </c>
      <c r="DW16" s="137">
        <v>0</v>
      </c>
      <c r="DX16" s="137">
        <v>0</v>
      </c>
      <c r="DY16" s="137">
        <v>0</v>
      </c>
      <c r="DZ16" s="137">
        <v>0</v>
      </c>
      <c r="EA16" s="132">
        <f t="shared" si="9"/>
        <v>0</v>
      </c>
      <c r="EB16" s="216">
        <v>0</v>
      </c>
      <c r="EC16" s="216">
        <v>0</v>
      </c>
      <c r="ED16" s="216">
        <v>0</v>
      </c>
      <c r="EE16" s="216">
        <v>0</v>
      </c>
      <c r="EF16" s="216">
        <v>0</v>
      </c>
      <c r="EG16" s="216">
        <v>0</v>
      </c>
      <c r="EH16" s="216">
        <v>0</v>
      </c>
      <c r="EI16" s="216">
        <v>0</v>
      </c>
      <c r="EJ16" s="216">
        <v>0</v>
      </c>
      <c r="EK16" s="216">
        <v>0</v>
      </c>
      <c r="EL16" s="216">
        <v>0</v>
      </c>
      <c r="EM16" s="216">
        <v>0</v>
      </c>
      <c r="EN16" s="132">
        <f t="shared" si="10"/>
        <v>0</v>
      </c>
      <c r="EO16" s="132">
        <v>0</v>
      </c>
      <c r="EP16" s="132">
        <v>0</v>
      </c>
      <c r="EQ16" s="132">
        <v>0</v>
      </c>
      <c r="ER16" s="132">
        <v>0</v>
      </c>
      <c r="ES16" s="132">
        <v>0</v>
      </c>
      <c r="ET16" s="132">
        <v>0</v>
      </c>
      <c r="EU16" s="132">
        <v>0</v>
      </c>
      <c r="EV16" s="132">
        <v>0</v>
      </c>
      <c r="EW16" s="132">
        <v>0</v>
      </c>
      <c r="EX16" s="132">
        <v>0</v>
      </c>
      <c r="EY16" s="132">
        <v>0</v>
      </c>
      <c r="EZ16" s="132">
        <v>0</v>
      </c>
      <c r="FA16" s="132">
        <f t="shared" si="11"/>
        <v>0</v>
      </c>
      <c r="FB16" s="181">
        <v>713</v>
      </c>
      <c r="FC16" s="181">
        <v>713</v>
      </c>
      <c r="FD16" s="181">
        <v>713</v>
      </c>
      <c r="FE16" s="181">
        <v>713</v>
      </c>
      <c r="FF16" s="181">
        <v>713</v>
      </c>
      <c r="FG16" s="181">
        <v>713</v>
      </c>
      <c r="FH16" s="181">
        <v>713</v>
      </c>
      <c r="FI16" s="181">
        <v>713</v>
      </c>
      <c r="FJ16" s="181">
        <v>713</v>
      </c>
      <c r="FK16" s="181">
        <v>713</v>
      </c>
      <c r="FL16" s="181">
        <v>713</v>
      </c>
      <c r="FM16" s="181">
        <v>713</v>
      </c>
      <c r="FN16" s="132">
        <f t="shared" si="12"/>
        <v>8556</v>
      </c>
      <c r="FO16" s="132">
        <v>0</v>
      </c>
      <c r="FP16" s="132">
        <v>0</v>
      </c>
      <c r="FQ16" s="132">
        <v>0</v>
      </c>
      <c r="FR16" s="132">
        <v>0</v>
      </c>
      <c r="FS16" s="132">
        <v>0</v>
      </c>
      <c r="FT16" s="132">
        <v>0</v>
      </c>
      <c r="FU16" s="132">
        <v>0</v>
      </c>
      <c r="FV16" s="132">
        <v>0</v>
      </c>
      <c r="FW16" s="132">
        <v>0</v>
      </c>
      <c r="FX16" s="132">
        <v>0</v>
      </c>
      <c r="FY16" s="132">
        <v>0</v>
      </c>
      <c r="FZ16" s="132">
        <v>0</v>
      </c>
      <c r="GA16" s="132">
        <f t="shared" si="13"/>
        <v>0</v>
      </c>
      <c r="GB16" s="181">
        <v>0</v>
      </c>
      <c r="GC16" s="181">
        <v>0</v>
      </c>
      <c r="GD16" s="181">
        <v>0</v>
      </c>
      <c r="GE16" s="181">
        <v>0</v>
      </c>
      <c r="GF16" s="181">
        <v>0</v>
      </c>
      <c r="GG16" s="181">
        <v>0</v>
      </c>
      <c r="GH16" s="181">
        <v>0</v>
      </c>
      <c r="GI16" s="181">
        <v>0</v>
      </c>
      <c r="GJ16" s="181">
        <v>0</v>
      </c>
      <c r="GK16" s="181">
        <v>0</v>
      </c>
      <c r="GL16" s="181">
        <v>0</v>
      </c>
      <c r="GM16" s="181">
        <v>0</v>
      </c>
      <c r="GN16" s="181">
        <f t="shared" si="14"/>
        <v>0</v>
      </c>
      <c r="GO16" s="137">
        <v>0</v>
      </c>
      <c r="GP16" s="137">
        <v>0</v>
      </c>
      <c r="GQ16" s="137">
        <v>0</v>
      </c>
      <c r="GR16" s="137">
        <v>0</v>
      </c>
      <c r="GS16" s="137">
        <v>0</v>
      </c>
      <c r="GT16" s="137">
        <v>0</v>
      </c>
      <c r="GU16" s="137">
        <v>0</v>
      </c>
      <c r="GV16" s="137">
        <v>0</v>
      </c>
      <c r="GW16" s="137">
        <v>0</v>
      </c>
      <c r="GX16" s="137">
        <v>0</v>
      </c>
      <c r="GY16" s="137">
        <v>0</v>
      </c>
      <c r="GZ16" s="137">
        <v>0</v>
      </c>
      <c r="HA16" s="132">
        <f t="shared" si="15"/>
        <v>0</v>
      </c>
      <c r="HB16" s="181">
        <v>0</v>
      </c>
      <c r="HC16" s="181">
        <v>0</v>
      </c>
      <c r="HD16" s="181">
        <v>0</v>
      </c>
      <c r="HE16" s="181">
        <v>0</v>
      </c>
      <c r="HF16" s="181">
        <v>0</v>
      </c>
      <c r="HG16" s="181">
        <v>0</v>
      </c>
      <c r="HH16" s="181">
        <v>0</v>
      </c>
      <c r="HI16" s="181">
        <v>0</v>
      </c>
      <c r="HJ16" s="181">
        <v>0</v>
      </c>
      <c r="HK16" s="181">
        <v>0</v>
      </c>
      <c r="HL16" s="181">
        <v>0</v>
      </c>
      <c r="HM16" s="181">
        <v>0</v>
      </c>
      <c r="HN16" s="181">
        <f t="shared" si="16"/>
        <v>0</v>
      </c>
      <c r="HO16" s="132">
        <v>0</v>
      </c>
      <c r="HP16" s="132">
        <v>0</v>
      </c>
      <c r="HQ16" s="132">
        <v>0</v>
      </c>
      <c r="HR16" s="132">
        <v>0</v>
      </c>
      <c r="HS16" s="132">
        <v>0</v>
      </c>
      <c r="HT16" s="132">
        <v>0</v>
      </c>
      <c r="HU16" s="132">
        <v>0</v>
      </c>
      <c r="HV16" s="132">
        <v>0</v>
      </c>
      <c r="HW16" s="132">
        <v>0</v>
      </c>
      <c r="HX16" s="132">
        <v>0</v>
      </c>
      <c r="HY16" s="132">
        <v>0</v>
      </c>
      <c r="HZ16" s="132">
        <v>0</v>
      </c>
      <c r="IA16" s="132">
        <f t="shared" si="17"/>
        <v>0</v>
      </c>
      <c r="IB16" s="181">
        <v>0</v>
      </c>
      <c r="IC16" s="181">
        <v>0</v>
      </c>
      <c r="ID16" s="181">
        <v>0</v>
      </c>
      <c r="IE16" s="181">
        <v>0</v>
      </c>
      <c r="IF16" s="181">
        <v>0</v>
      </c>
      <c r="IG16" s="181">
        <v>0</v>
      </c>
      <c r="IH16" s="181">
        <v>0</v>
      </c>
      <c r="II16" s="181">
        <v>0</v>
      </c>
      <c r="IJ16" s="181">
        <v>0</v>
      </c>
      <c r="IK16" s="181">
        <v>0</v>
      </c>
      <c r="IL16" s="181">
        <v>0</v>
      </c>
      <c r="IM16" s="181">
        <v>0</v>
      </c>
      <c r="IN16" s="181">
        <f t="shared" si="18"/>
        <v>0</v>
      </c>
      <c r="IO16" s="181">
        <v>0</v>
      </c>
      <c r="IP16" s="181">
        <v>0</v>
      </c>
      <c r="IQ16" s="181">
        <v>0</v>
      </c>
      <c r="IR16" s="181">
        <v>0</v>
      </c>
      <c r="IS16" s="181">
        <v>0</v>
      </c>
      <c r="IT16" s="181">
        <v>0</v>
      </c>
      <c r="IU16" s="181">
        <v>0</v>
      </c>
      <c r="IV16" s="181">
        <v>0</v>
      </c>
      <c r="IW16" s="181">
        <v>0</v>
      </c>
      <c r="IX16" s="181">
        <v>0</v>
      </c>
      <c r="IY16" s="181">
        <v>0</v>
      </c>
      <c r="IZ16" s="181">
        <v>0</v>
      </c>
      <c r="JA16" s="181">
        <f t="shared" si="19"/>
        <v>0</v>
      </c>
      <c r="JC16" s="135">
        <f t="shared" si="20"/>
        <v>4516</v>
      </c>
      <c r="JD16" s="135">
        <f t="shared" si="21"/>
        <v>4516</v>
      </c>
      <c r="JE16" s="135">
        <f t="shared" si="22"/>
        <v>4516</v>
      </c>
      <c r="JF16" s="135">
        <f t="shared" si="23"/>
        <v>4516</v>
      </c>
      <c r="JG16" s="135">
        <f t="shared" si="24"/>
        <v>4516</v>
      </c>
      <c r="JH16" s="135">
        <f t="shared" si="25"/>
        <v>4516</v>
      </c>
      <c r="JI16" s="135">
        <f t="shared" si="26"/>
        <v>4516</v>
      </c>
      <c r="JJ16" s="135">
        <f t="shared" si="27"/>
        <v>4516</v>
      </c>
      <c r="JK16" s="135">
        <f t="shared" si="28"/>
        <v>4516</v>
      </c>
      <c r="JL16" s="135">
        <f t="shared" si="29"/>
        <v>4516</v>
      </c>
      <c r="JM16" s="135">
        <f t="shared" si="30"/>
        <v>4516</v>
      </c>
      <c r="JN16" s="135">
        <f t="shared" si="31"/>
        <v>4516</v>
      </c>
      <c r="JO16" s="132">
        <f t="shared" si="32"/>
        <v>54192</v>
      </c>
      <c r="JQ16" s="139">
        <f t="shared" si="33"/>
        <v>54192</v>
      </c>
    </row>
    <row r="17" spans="1:277" x14ac:dyDescent="0.25">
      <c r="A17" s="130" t="s">
        <v>419</v>
      </c>
      <c r="B17" s="131">
        <v>30</v>
      </c>
      <c r="C17" s="131">
        <v>30</v>
      </c>
      <c r="D17" s="131">
        <v>30</v>
      </c>
      <c r="E17" s="131">
        <v>30</v>
      </c>
      <c r="F17" s="131">
        <v>30</v>
      </c>
      <c r="G17" s="131">
        <v>30</v>
      </c>
      <c r="H17" s="131">
        <v>30</v>
      </c>
      <c r="I17" s="131">
        <v>30</v>
      </c>
      <c r="J17" s="131">
        <v>40</v>
      </c>
      <c r="K17" s="131">
        <v>40</v>
      </c>
      <c r="L17" s="131">
        <v>40</v>
      </c>
      <c r="M17" s="131">
        <v>40</v>
      </c>
      <c r="N17" s="132">
        <f t="shared" si="0"/>
        <v>400</v>
      </c>
      <c r="O17" s="133">
        <v>140</v>
      </c>
      <c r="P17" s="133">
        <v>140</v>
      </c>
      <c r="Q17" s="133">
        <v>140</v>
      </c>
      <c r="R17" s="133">
        <v>140</v>
      </c>
      <c r="S17" s="133">
        <v>140</v>
      </c>
      <c r="T17" s="133">
        <v>140</v>
      </c>
      <c r="U17" s="133">
        <v>140</v>
      </c>
      <c r="V17" s="133">
        <v>140</v>
      </c>
      <c r="W17" s="133">
        <v>140</v>
      </c>
      <c r="X17" s="133">
        <v>140</v>
      </c>
      <c r="Y17" s="133">
        <v>140</v>
      </c>
      <c r="Z17" s="133">
        <v>140</v>
      </c>
      <c r="AA17" s="132">
        <f t="shared" si="1"/>
        <v>1680</v>
      </c>
      <c r="AB17" s="131">
        <v>45</v>
      </c>
      <c r="AC17" s="131">
        <v>45</v>
      </c>
      <c r="AD17" s="131">
        <v>45</v>
      </c>
      <c r="AE17" s="131">
        <v>45</v>
      </c>
      <c r="AF17" s="131">
        <v>45</v>
      </c>
      <c r="AG17" s="131">
        <v>45</v>
      </c>
      <c r="AH17" s="131">
        <v>45</v>
      </c>
      <c r="AI17" s="131">
        <v>45</v>
      </c>
      <c r="AJ17" s="131">
        <v>0</v>
      </c>
      <c r="AK17" s="131">
        <v>0</v>
      </c>
      <c r="AL17" s="131">
        <v>0</v>
      </c>
      <c r="AM17" s="131">
        <v>0</v>
      </c>
      <c r="AN17" s="132">
        <f t="shared" si="2"/>
        <v>360</v>
      </c>
      <c r="AO17" s="133">
        <v>70</v>
      </c>
      <c r="AP17" s="133">
        <v>70</v>
      </c>
      <c r="AQ17" s="133">
        <v>70</v>
      </c>
      <c r="AR17" s="133">
        <v>70</v>
      </c>
      <c r="AS17" s="133">
        <v>70</v>
      </c>
      <c r="AT17" s="133">
        <v>70</v>
      </c>
      <c r="AU17" s="133">
        <v>70</v>
      </c>
      <c r="AV17" s="133">
        <v>70</v>
      </c>
      <c r="AW17" s="133">
        <v>280</v>
      </c>
      <c r="AX17" s="133">
        <v>280</v>
      </c>
      <c r="AY17" s="133">
        <v>280</v>
      </c>
      <c r="AZ17" s="133">
        <v>280</v>
      </c>
      <c r="BA17" s="132">
        <f t="shared" si="3"/>
        <v>1680</v>
      </c>
      <c r="BB17" s="134">
        <v>550</v>
      </c>
      <c r="BC17" s="134">
        <v>550</v>
      </c>
      <c r="BD17" s="134">
        <v>550</v>
      </c>
      <c r="BE17" s="134">
        <v>550</v>
      </c>
      <c r="BF17" s="134">
        <v>550</v>
      </c>
      <c r="BG17" s="134">
        <v>550</v>
      </c>
      <c r="BH17" s="134">
        <v>550</v>
      </c>
      <c r="BI17" s="134">
        <v>550</v>
      </c>
      <c r="BJ17" s="134">
        <v>450</v>
      </c>
      <c r="BK17" s="134">
        <v>450</v>
      </c>
      <c r="BL17" s="134">
        <v>450</v>
      </c>
      <c r="BM17" s="134">
        <v>450</v>
      </c>
      <c r="BN17" s="132">
        <f t="shared" si="4"/>
        <v>6200</v>
      </c>
      <c r="BO17" s="135">
        <v>120</v>
      </c>
      <c r="BP17" s="135">
        <v>120</v>
      </c>
      <c r="BQ17" s="135">
        <v>120</v>
      </c>
      <c r="BR17" s="135">
        <v>120</v>
      </c>
      <c r="BS17" s="135">
        <v>120</v>
      </c>
      <c r="BT17" s="135">
        <v>120</v>
      </c>
      <c r="BU17" s="135">
        <v>120</v>
      </c>
      <c r="BV17" s="135">
        <v>120</v>
      </c>
      <c r="BW17" s="135">
        <v>150</v>
      </c>
      <c r="BX17" s="135">
        <v>150</v>
      </c>
      <c r="BY17" s="135">
        <v>150</v>
      </c>
      <c r="BZ17" s="135">
        <v>150</v>
      </c>
      <c r="CA17" s="132">
        <f t="shared" si="5"/>
        <v>1560</v>
      </c>
      <c r="CB17" s="136">
        <v>1632</v>
      </c>
      <c r="CC17" s="136">
        <v>1632</v>
      </c>
      <c r="CD17" s="136">
        <v>1632</v>
      </c>
      <c r="CE17" s="136">
        <v>1632</v>
      </c>
      <c r="CF17" s="136">
        <v>1632</v>
      </c>
      <c r="CG17" s="136">
        <v>1632</v>
      </c>
      <c r="CH17" s="136">
        <v>1632</v>
      </c>
      <c r="CI17" s="136">
        <v>1632</v>
      </c>
      <c r="CJ17" s="136">
        <v>1632</v>
      </c>
      <c r="CK17" s="136">
        <v>1632</v>
      </c>
      <c r="CL17" s="136">
        <v>1632</v>
      </c>
      <c r="CM17" s="136">
        <v>1632</v>
      </c>
      <c r="CN17" s="132">
        <f t="shared" si="6"/>
        <v>19584</v>
      </c>
      <c r="CO17" s="137">
        <v>0</v>
      </c>
      <c r="CP17" s="137">
        <v>0</v>
      </c>
      <c r="CQ17" s="137">
        <v>0</v>
      </c>
      <c r="CR17" s="137">
        <v>0</v>
      </c>
      <c r="CS17" s="137">
        <v>0</v>
      </c>
      <c r="CT17" s="137">
        <v>0</v>
      </c>
      <c r="CU17" s="137">
        <v>0</v>
      </c>
      <c r="CV17" s="137">
        <v>0</v>
      </c>
      <c r="CW17" s="137">
        <v>0</v>
      </c>
      <c r="CX17" s="137">
        <v>0</v>
      </c>
      <c r="CY17" s="137">
        <v>0</v>
      </c>
      <c r="CZ17" s="137">
        <v>0</v>
      </c>
      <c r="DA17" s="132">
        <f t="shared" si="7"/>
        <v>0</v>
      </c>
      <c r="DB17" s="136">
        <v>0</v>
      </c>
      <c r="DC17" s="136">
        <v>0</v>
      </c>
      <c r="DD17" s="136">
        <v>0</v>
      </c>
      <c r="DE17" s="136">
        <v>0</v>
      </c>
      <c r="DF17" s="136">
        <v>0</v>
      </c>
      <c r="DG17" s="136">
        <v>0</v>
      </c>
      <c r="DH17" s="136">
        <v>0</v>
      </c>
      <c r="DI17" s="136">
        <v>0</v>
      </c>
      <c r="DJ17" s="136">
        <v>0</v>
      </c>
      <c r="DK17" s="136">
        <v>0</v>
      </c>
      <c r="DL17" s="136">
        <v>0</v>
      </c>
      <c r="DM17" s="136">
        <v>0</v>
      </c>
      <c r="DN17" s="132">
        <f t="shared" si="8"/>
        <v>0</v>
      </c>
      <c r="DO17" s="137">
        <v>0</v>
      </c>
      <c r="DP17" s="137">
        <v>0</v>
      </c>
      <c r="DQ17" s="137">
        <v>0</v>
      </c>
      <c r="DR17" s="137">
        <v>0</v>
      </c>
      <c r="DS17" s="137">
        <v>0</v>
      </c>
      <c r="DT17" s="137">
        <v>0</v>
      </c>
      <c r="DU17" s="137">
        <v>0</v>
      </c>
      <c r="DV17" s="137">
        <v>0</v>
      </c>
      <c r="DW17" s="137">
        <v>0</v>
      </c>
      <c r="DX17" s="137">
        <v>0</v>
      </c>
      <c r="DY17" s="137">
        <v>0</v>
      </c>
      <c r="DZ17" s="137">
        <v>0</v>
      </c>
      <c r="EA17" s="132">
        <f t="shared" si="9"/>
        <v>0</v>
      </c>
      <c r="EB17" s="216">
        <v>0</v>
      </c>
      <c r="EC17" s="216">
        <v>0</v>
      </c>
      <c r="ED17" s="216">
        <v>0</v>
      </c>
      <c r="EE17" s="216">
        <v>0</v>
      </c>
      <c r="EF17" s="216">
        <v>0</v>
      </c>
      <c r="EG17" s="216">
        <v>0</v>
      </c>
      <c r="EH17" s="216">
        <v>0</v>
      </c>
      <c r="EI17" s="216">
        <v>0</v>
      </c>
      <c r="EJ17" s="216">
        <v>0</v>
      </c>
      <c r="EK17" s="216">
        <v>0</v>
      </c>
      <c r="EL17" s="216">
        <v>0</v>
      </c>
      <c r="EM17" s="216">
        <v>0</v>
      </c>
      <c r="EN17" s="132">
        <f t="shared" si="10"/>
        <v>0</v>
      </c>
      <c r="EO17" s="132">
        <v>0</v>
      </c>
      <c r="EP17" s="132">
        <v>0</v>
      </c>
      <c r="EQ17" s="132">
        <v>0</v>
      </c>
      <c r="ER17" s="132">
        <v>0</v>
      </c>
      <c r="ES17" s="132">
        <v>0</v>
      </c>
      <c r="ET17" s="132">
        <v>0</v>
      </c>
      <c r="EU17" s="132">
        <v>0</v>
      </c>
      <c r="EV17" s="132">
        <v>0</v>
      </c>
      <c r="EW17" s="132">
        <v>0</v>
      </c>
      <c r="EX17" s="132">
        <v>0</v>
      </c>
      <c r="EY17" s="132">
        <v>0</v>
      </c>
      <c r="EZ17" s="132">
        <v>0</v>
      </c>
      <c r="FA17" s="132">
        <f t="shared" si="11"/>
        <v>0</v>
      </c>
      <c r="FB17" s="181">
        <v>336</v>
      </c>
      <c r="FC17" s="181">
        <v>336</v>
      </c>
      <c r="FD17" s="181">
        <v>336</v>
      </c>
      <c r="FE17" s="181">
        <v>336</v>
      </c>
      <c r="FF17" s="181">
        <v>336</v>
      </c>
      <c r="FG17" s="181">
        <v>336</v>
      </c>
      <c r="FH17" s="181">
        <v>336</v>
      </c>
      <c r="FI17" s="181">
        <v>336</v>
      </c>
      <c r="FJ17" s="181">
        <v>556</v>
      </c>
      <c r="FK17" s="181">
        <v>556</v>
      </c>
      <c r="FL17" s="181">
        <v>556</v>
      </c>
      <c r="FM17" s="181">
        <v>556</v>
      </c>
      <c r="FN17" s="132">
        <f t="shared" si="12"/>
        <v>4912</v>
      </c>
      <c r="FO17" s="132">
        <v>0</v>
      </c>
      <c r="FP17" s="132">
        <v>0</v>
      </c>
      <c r="FQ17" s="132">
        <v>0</v>
      </c>
      <c r="FR17" s="132">
        <v>0</v>
      </c>
      <c r="FS17" s="132">
        <v>0</v>
      </c>
      <c r="FT17" s="132">
        <v>0</v>
      </c>
      <c r="FU17" s="132">
        <v>0</v>
      </c>
      <c r="FV17" s="132">
        <v>0</v>
      </c>
      <c r="FW17" s="132">
        <v>0</v>
      </c>
      <c r="FX17" s="132">
        <v>0</v>
      </c>
      <c r="FY17" s="132">
        <v>0</v>
      </c>
      <c r="FZ17" s="132">
        <v>0</v>
      </c>
      <c r="GA17" s="132">
        <f t="shared" si="13"/>
        <v>0</v>
      </c>
      <c r="GB17" s="181">
        <v>0</v>
      </c>
      <c r="GC17" s="181">
        <v>0</v>
      </c>
      <c r="GD17" s="181">
        <v>0</v>
      </c>
      <c r="GE17" s="181">
        <v>0</v>
      </c>
      <c r="GF17" s="181">
        <v>0</v>
      </c>
      <c r="GG17" s="181">
        <v>0</v>
      </c>
      <c r="GH17" s="181">
        <v>0</v>
      </c>
      <c r="GI17" s="181">
        <v>0</v>
      </c>
      <c r="GJ17" s="181">
        <v>0</v>
      </c>
      <c r="GK17" s="181">
        <v>0</v>
      </c>
      <c r="GL17" s="181">
        <v>0</v>
      </c>
      <c r="GM17" s="181">
        <v>0</v>
      </c>
      <c r="GN17" s="181">
        <f t="shared" si="14"/>
        <v>0</v>
      </c>
      <c r="GO17" s="137">
        <v>0</v>
      </c>
      <c r="GP17" s="137">
        <v>0</v>
      </c>
      <c r="GQ17" s="137">
        <v>0</v>
      </c>
      <c r="GR17" s="137">
        <v>0</v>
      </c>
      <c r="GS17" s="137">
        <v>0</v>
      </c>
      <c r="GT17" s="137">
        <v>0</v>
      </c>
      <c r="GU17" s="137">
        <v>0</v>
      </c>
      <c r="GV17" s="137">
        <v>0</v>
      </c>
      <c r="GW17" s="137">
        <v>0</v>
      </c>
      <c r="GX17" s="137">
        <v>0</v>
      </c>
      <c r="GY17" s="137">
        <v>0</v>
      </c>
      <c r="GZ17" s="137">
        <v>0</v>
      </c>
      <c r="HA17" s="132">
        <f t="shared" si="15"/>
        <v>0</v>
      </c>
      <c r="HB17" s="181">
        <v>0</v>
      </c>
      <c r="HC17" s="181">
        <v>0</v>
      </c>
      <c r="HD17" s="181">
        <v>0</v>
      </c>
      <c r="HE17" s="181">
        <v>0</v>
      </c>
      <c r="HF17" s="181">
        <v>0</v>
      </c>
      <c r="HG17" s="181">
        <v>0</v>
      </c>
      <c r="HH17" s="181">
        <v>0</v>
      </c>
      <c r="HI17" s="181">
        <v>0</v>
      </c>
      <c r="HJ17" s="181">
        <v>0</v>
      </c>
      <c r="HK17" s="181">
        <v>0</v>
      </c>
      <c r="HL17" s="181">
        <v>0</v>
      </c>
      <c r="HM17" s="181">
        <v>0</v>
      </c>
      <c r="HN17" s="181">
        <f t="shared" si="16"/>
        <v>0</v>
      </c>
      <c r="HO17" s="132">
        <v>0</v>
      </c>
      <c r="HP17" s="132">
        <v>0</v>
      </c>
      <c r="HQ17" s="132">
        <v>0</v>
      </c>
      <c r="HR17" s="132">
        <v>0</v>
      </c>
      <c r="HS17" s="132">
        <v>0</v>
      </c>
      <c r="HT17" s="132">
        <v>0</v>
      </c>
      <c r="HU17" s="132">
        <v>0</v>
      </c>
      <c r="HV17" s="132">
        <v>0</v>
      </c>
      <c r="HW17" s="132">
        <v>0</v>
      </c>
      <c r="HX17" s="132">
        <v>0</v>
      </c>
      <c r="HY17" s="132">
        <v>0</v>
      </c>
      <c r="HZ17" s="132">
        <v>0</v>
      </c>
      <c r="IA17" s="132">
        <f t="shared" si="17"/>
        <v>0</v>
      </c>
      <c r="IB17" s="181">
        <v>0</v>
      </c>
      <c r="IC17" s="181">
        <v>0</v>
      </c>
      <c r="ID17" s="181">
        <v>0</v>
      </c>
      <c r="IE17" s="181">
        <v>0</v>
      </c>
      <c r="IF17" s="181">
        <v>0</v>
      </c>
      <c r="IG17" s="181">
        <v>0</v>
      </c>
      <c r="IH17" s="181">
        <v>0</v>
      </c>
      <c r="II17" s="181">
        <v>0</v>
      </c>
      <c r="IJ17" s="181">
        <v>0</v>
      </c>
      <c r="IK17" s="181">
        <v>0</v>
      </c>
      <c r="IL17" s="181">
        <v>0</v>
      </c>
      <c r="IM17" s="181">
        <v>0</v>
      </c>
      <c r="IN17" s="181">
        <f t="shared" si="18"/>
        <v>0</v>
      </c>
      <c r="IO17" s="181">
        <v>0</v>
      </c>
      <c r="IP17" s="181">
        <v>0</v>
      </c>
      <c r="IQ17" s="181">
        <v>0</v>
      </c>
      <c r="IR17" s="181">
        <v>0</v>
      </c>
      <c r="IS17" s="181">
        <v>0</v>
      </c>
      <c r="IT17" s="181">
        <v>0</v>
      </c>
      <c r="IU17" s="181">
        <v>0</v>
      </c>
      <c r="IV17" s="181">
        <v>0</v>
      </c>
      <c r="IW17" s="181">
        <v>0</v>
      </c>
      <c r="IX17" s="181">
        <v>0</v>
      </c>
      <c r="IY17" s="181">
        <v>0</v>
      </c>
      <c r="IZ17" s="181">
        <v>0</v>
      </c>
      <c r="JA17" s="181">
        <f t="shared" si="19"/>
        <v>0</v>
      </c>
      <c r="JC17" s="135">
        <f t="shared" si="20"/>
        <v>2923</v>
      </c>
      <c r="JD17" s="135">
        <f t="shared" si="21"/>
        <v>2923</v>
      </c>
      <c r="JE17" s="135">
        <f t="shared" si="22"/>
        <v>2923</v>
      </c>
      <c r="JF17" s="135">
        <f t="shared" si="23"/>
        <v>2923</v>
      </c>
      <c r="JG17" s="135">
        <f t="shared" si="24"/>
        <v>2923</v>
      </c>
      <c r="JH17" s="135">
        <f t="shared" si="25"/>
        <v>2923</v>
      </c>
      <c r="JI17" s="135">
        <f t="shared" si="26"/>
        <v>2923</v>
      </c>
      <c r="JJ17" s="135">
        <f t="shared" si="27"/>
        <v>2923</v>
      </c>
      <c r="JK17" s="135">
        <f t="shared" si="28"/>
        <v>3248</v>
      </c>
      <c r="JL17" s="135">
        <f t="shared" si="29"/>
        <v>3248</v>
      </c>
      <c r="JM17" s="135">
        <f t="shared" si="30"/>
        <v>3248</v>
      </c>
      <c r="JN17" s="135">
        <f t="shared" si="31"/>
        <v>3248</v>
      </c>
      <c r="JO17" s="132">
        <f t="shared" si="32"/>
        <v>36376</v>
      </c>
      <c r="JQ17" s="139">
        <f t="shared" si="33"/>
        <v>36376</v>
      </c>
    </row>
    <row r="18" spans="1:277" x14ac:dyDescent="0.25">
      <c r="A18" s="130" t="s">
        <v>423</v>
      </c>
      <c r="B18" s="131">
        <v>15</v>
      </c>
      <c r="C18" s="131">
        <v>15</v>
      </c>
      <c r="D18" s="131">
        <v>15</v>
      </c>
      <c r="E18" s="131">
        <v>15</v>
      </c>
      <c r="F18" s="131">
        <v>15</v>
      </c>
      <c r="G18" s="131">
        <v>15</v>
      </c>
      <c r="H18" s="131">
        <v>15</v>
      </c>
      <c r="I18" s="131">
        <v>15</v>
      </c>
      <c r="J18" s="131">
        <v>15</v>
      </c>
      <c r="K18" s="131">
        <v>15</v>
      </c>
      <c r="L18" s="131">
        <v>15</v>
      </c>
      <c r="M18" s="131">
        <v>15</v>
      </c>
      <c r="N18" s="132">
        <f t="shared" si="0"/>
        <v>180</v>
      </c>
      <c r="O18" s="133">
        <v>70</v>
      </c>
      <c r="P18" s="133">
        <v>70</v>
      </c>
      <c r="Q18" s="133">
        <v>70</v>
      </c>
      <c r="R18" s="133">
        <v>70</v>
      </c>
      <c r="S18" s="133">
        <v>70</v>
      </c>
      <c r="T18" s="133">
        <v>70</v>
      </c>
      <c r="U18" s="133">
        <v>70</v>
      </c>
      <c r="V18" s="133">
        <v>70</v>
      </c>
      <c r="W18" s="133">
        <v>70</v>
      </c>
      <c r="X18" s="133">
        <v>70</v>
      </c>
      <c r="Y18" s="133">
        <v>70</v>
      </c>
      <c r="Z18" s="133">
        <v>70</v>
      </c>
      <c r="AA18" s="132">
        <f t="shared" si="1"/>
        <v>840</v>
      </c>
      <c r="AB18" s="131">
        <v>45</v>
      </c>
      <c r="AC18" s="131">
        <v>45</v>
      </c>
      <c r="AD18" s="131">
        <v>45</v>
      </c>
      <c r="AE18" s="131">
        <v>45</v>
      </c>
      <c r="AF18" s="131">
        <v>45</v>
      </c>
      <c r="AG18" s="131">
        <v>45</v>
      </c>
      <c r="AH18" s="131">
        <v>45</v>
      </c>
      <c r="AI18" s="131">
        <v>45</v>
      </c>
      <c r="AJ18" s="131">
        <v>45</v>
      </c>
      <c r="AK18" s="131">
        <v>45</v>
      </c>
      <c r="AL18" s="131">
        <v>45</v>
      </c>
      <c r="AM18" s="131">
        <v>45</v>
      </c>
      <c r="AN18" s="132">
        <f t="shared" si="2"/>
        <v>540</v>
      </c>
      <c r="AO18" s="133">
        <v>70</v>
      </c>
      <c r="AP18" s="133">
        <v>70</v>
      </c>
      <c r="AQ18" s="133">
        <v>70</v>
      </c>
      <c r="AR18" s="133">
        <v>70</v>
      </c>
      <c r="AS18" s="133">
        <v>70</v>
      </c>
      <c r="AT18" s="133">
        <v>70</v>
      </c>
      <c r="AU18" s="133">
        <v>70</v>
      </c>
      <c r="AV18" s="133">
        <v>70</v>
      </c>
      <c r="AW18" s="133">
        <v>70</v>
      </c>
      <c r="AX18" s="133">
        <v>70</v>
      </c>
      <c r="AY18" s="133">
        <v>70</v>
      </c>
      <c r="AZ18" s="133">
        <v>70</v>
      </c>
      <c r="BA18" s="132">
        <f t="shared" si="3"/>
        <v>840</v>
      </c>
      <c r="BB18" s="134">
        <v>250</v>
      </c>
      <c r="BC18" s="134">
        <v>250</v>
      </c>
      <c r="BD18" s="134">
        <v>250</v>
      </c>
      <c r="BE18" s="134">
        <v>250</v>
      </c>
      <c r="BF18" s="134">
        <v>250</v>
      </c>
      <c r="BG18" s="134">
        <v>250</v>
      </c>
      <c r="BH18" s="134">
        <v>250</v>
      </c>
      <c r="BI18" s="134">
        <v>250</v>
      </c>
      <c r="BJ18" s="134">
        <v>250</v>
      </c>
      <c r="BK18" s="134">
        <v>250</v>
      </c>
      <c r="BL18" s="134">
        <v>250</v>
      </c>
      <c r="BM18" s="134">
        <v>250</v>
      </c>
      <c r="BN18" s="132">
        <f t="shared" si="4"/>
        <v>3000</v>
      </c>
      <c r="BO18" s="135">
        <v>120</v>
      </c>
      <c r="BP18" s="135">
        <v>120</v>
      </c>
      <c r="BQ18" s="135">
        <v>120</v>
      </c>
      <c r="BR18" s="135">
        <v>120</v>
      </c>
      <c r="BS18" s="135">
        <v>120</v>
      </c>
      <c r="BT18" s="135">
        <v>120</v>
      </c>
      <c r="BU18" s="135">
        <v>120</v>
      </c>
      <c r="BV18" s="135">
        <v>120</v>
      </c>
      <c r="BW18" s="135">
        <v>120</v>
      </c>
      <c r="BX18" s="135">
        <v>120</v>
      </c>
      <c r="BY18" s="135">
        <v>120</v>
      </c>
      <c r="BZ18" s="135">
        <v>120</v>
      </c>
      <c r="CA18" s="132">
        <f t="shared" si="5"/>
        <v>1440</v>
      </c>
      <c r="CB18" s="136">
        <v>1208</v>
      </c>
      <c r="CC18" s="136">
        <v>1208</v>
      </c>
      <c r="CD18" s="136">
        <v>1208</v>
      </c>
      <c r="CE18" s="136">
        <v>1208</v>
      </c>
      <c r="CF18" s="136">
        <v>1208</v>
      </c>
      <c r="CG18" s="136">
        <v>1208</v>
      </c>
      <c r="CH18" s="136">
        <v>1208</v>
      </c>
      <c r="CI18" s="136">
        <v>1208</v>
      </c>
      <c r="CJ18" s="136">
        <v>1208</v>
      </c>
      <c r="CK18" s="136">
        <v>1208</v>
      </c>
      <c r="CL18" s="136">
        <v>1208</v>
      </c>
      <c r="CM18" s="136">
        <v>1208</v>
      </c>
      <c r="CN18" s="132">
        <f t="shared" si="6"/>
        <v>14496</v>
      </c>
      <c r="CO18" s="137">
        <v>0</v>
      </c>
      <c r="CP18" s="137">
        <v>0</v>
      </c>
      <c r="CQ18" s="137">
        <v>0</v>
      </c>
      <c r="CR18" s="137">
        <v>0</v>
      </c>
      <c r="CS18" s="137">
        <v>0</v>
      </c>
      <c r="CT18" s="137">
        <v>0</v>
      </c>
      <c r="CU18" s="137">
        <v>0</v>
      </c>
      <c r="CV18" s="137">
        <v>0</v>
      </c>
      <c r="CW18" s="137">
        <v>0</v>
      </c>
      <c r="CX18" s="137">
        <v>0</v>
      </c>
      <c r="CY18" s="137">
        <v>0</v>
      </c>
      <c r="CZ18" s="137">
        <v>0</v>
      </c>
      <c r="DA18" s="132">
        <f t="shared" si="7"/>
        <v>0</v>
      </c>
      <c r="DB18" s="136">
        <v>0</v>
      </c>
      <c r="DC18" s="136">
        <v>0</v>
      </c>
      <c r="DD18" s="136">
        <v>0</v>
      </c>
      <c r="DE18" s="136">
        <v>0</v>
      </c>
      <c r="DF18" s="136">
        <v>0</v>
      </c>
      <c r="DG18" s="136">
        <v>0</v>
      </c>
      <c r="DH18" s="136">
        <v>0</v>
      </c>
      <c r="DI18" s="136">
        <v>0</v>
      </c>
      <c r="DJ18" s="136">
        <v>0</v>
      </c>
      <c r="DK18" s="136">
        <v>0</v>
      </c>
      <c r="DL18" s="136">
        <v>0</v>
      </c>
      <c r="DM18" s="136">
        <v>0</v>
      </c>
      <c r="DN18" s="132">
        <f t="shared" si="8"/>
        <v>0</v>
      </c>
      <c r="DO18" s="137">
        <v>0</v>
      </c>
      <c r="DP18" s="137">
        <v>0</v>
      </c>
      <c r="DQ18" s="137">
        <v>0</v>
      </c>
      <c r="DR18" s="137">
        <v>0</v>
      </c>
      <c r="DS18" s="137">
        <v>0</v>
      </c>
      <c r="DT18" s="137">
        <v>0</v>
      </c>
      <c r="DU18" s="137">
        <v>0</v>
      </c>
      <c r="DV18" s="137">
        <v>0</v>
      </c>
      <c r="DW18" s="137">
        <v>0</v>
      </c>
      <c r="DX18" s="137">
        <v>0</v>
      </c>
      <c r="DY18" s="137">
        <v>0</v>
      </c>
      <c r="DZ18" s="137">
        <v>0</v>
      </c>
      <c r="EA18" s="132">
        <f t="shared" si="9"/>
        <v>0</v>
      </c>
      <c r="EB18" s="216">
        <v>0</v>
      </c>
      <c r="EC18" s="216">
        <v>0</v>
      </c>
      <c r="ED18" s="216">
        <v>0</v>
      </c>
      <c r="EE18" s="216">
        <v>0</v>
      </c>
      <c r="EF18" s="216">
        <v>0</v>
      </c>
      <c r="EG18" s="216">
        <v>0</v>
      </c>
      <c r="EH18" s="216">
        <v>0</v>
      </c>
      <c r="EI18" s="216">
        <v>0</v>
      </c>
      <c r="EJ18" s="216">
        <v>0</v>
      </c>
      <c r="EK18" s="216">
        <v>0</v>
      </c>
      <c r="EL18" s="216">
        <v>0</v>
      </c>
      <c r="EM18" s="216">
        <v>0</v>
      </c>
      <c r="EN18" s="132">
        <f t="shared" si="10"/>
        <v>0</v>
      </c>
      <c r="EO18" s="132">
        <v>0</v>
      </c>
      <c r="EP18" s="132">
        <v>0</v>
      </c>
      <c r="EQ18" s="132">
        <v>0</v>
      </c>
      <c r="ER18" s="132">
        <v>0</v>
      </c>
      <c r="ES18" s="132">
        <v>0</v>
      </c>
      <c r="ET18" s="132">
        <v>0</v>
      </c>
      <c r="EU18" s="132">
        <v>0</v>
      </c>
      <c r="EV18" s="132">
        <v>0</v>
      </c>
      <c r="EW18" s="132">
        <v>0</v>
      </c>
      <c r="EX18" s="132">
        <v>0</v>
      </c>
      <c r="EY18" s="132">
        <v>0</v>
      </c>
      <c r="EZ18" s="132">
        <v>0</v>
      </c>
      <c r="FA18" s="132">
        <f t="shared" si="11"/>
        <v>0</v>
      </c>
      <c r="FB18" s="181">
        <v>0</v>
      </c>
      <c r="FC18" s="181">
        <v>0</v>
      </c>
      <c r="FD18" s="181">
        <v>0</v>
      </c>
      <c r="FE18" s="181">
        <v>0</v>
      </c>
      <c r="FF18" s="181">
        <v>0</v>
      </c>
      <c r="FG18" s="181">
        <v>0</v>
      </c>
      <c r="FH18" s="181">
        <v>0</v>
      </c>
      <c r="FI18" s="181">
        <v>0</v>
      </c>
      <c r="FJ18" s="181">
        <v>0</v>
      </c>
      <c r="FK18" s="181">
        <v>0</v>
      </c>
      <c r="FL18" s="181">
        <v>0</v>
      </c>
      <c r="FM18" s="181">
        <v>0</v>
      </c>
      <c r="FN18" s="132">
        <f t="shared" si="12"/>
        <v>0</v>
      </c>
      <c r="FO18" s="132">
        <v>0</v>
      </c>
      <c r="FP18" s="132">
        <v>0</v>
      </c>
      <c r="FQ18" s="132">
        <v>0</v>
      </c>
      <c r="FR18" s="132">
        <v>0</v>
      </c>
      <c r="FS18" s="132">
        <v>0</v>
      </c>
      <c r="FT18" s="132">
        <v>0</v>
      </c>
      <c r="FU18" s="132">
        <v>0</v>
      </c>
      <c r="FV18" s="132">
        <v>0</v>
      </c>
      <c r="FW18" s="132">
        <v>0</v>
      </c>
      <c r="FX18" s="132">
        <v>0</v>
      </c>
      <c r="FY18" s="132">
        <v>0</v>
      </c>
      <c r="FZ18" s="132">
        <v>0</v>
      </c>
      <c r="GA18" s="132">
        <f t="shared" si="13"/>
        <v>0</v>
      </c>
      <c r="GB18" s="181">
        <v>0</v>
      </c>
      <c r="GC18" s="181">
        <v>0</v>
      </c>
      <c r="GD18" s="181">
        <v>0</v>
      </c>
      <c r="GE18" s="181">
        <v>0</v>
      </c>
      <c r="GF18" s="181">
        <v>0</v>
      </c>
      <c r="GG18" s="181">
        <v>0</v>
      </c>
      <c r="GH18" s="181">
        <v>0</v>
      </c>
      <c r="GI18" s="181">
        <v>0</v>
      </c>
      <c r="GJ18" s="181">
        <v>0</v>
      </c>
      <c r="GK18" s="181">
        <v>0</v>
      </c>
      <c r="GL18" s="181">
        <v>0</v>
      </c>
      <c r="GM18" s="181">
        <v>0</v>
      </c>
      <c r="GN18" s="181">
        <f t="shared" si="14"/>
        <v>0</v>
      </c>
      <c r="GO18" s="137">
        <v>0</v>
      </c>
      <c r="GP18" s="137">
        <v>0</v>
      </c>
      <c r="GQ18" s="137">
        <v>0</v>
      </c>
      <c r="GR18" s="137">
        <v>0</v>
      </c>
      <c r="GS18" s="137">
        <v>0</v>
      </c>
      <c r="GT18" s="137">
        <v>0</v>
      </c>
      <c r="GU18" s="137">
        <v>0</v>
      </c>
      <c r="GV18" s="137">
        <v>0</v>
      </c>
      <c r="GW18" s="137">
        <v>0</v>
      </c>
      <c r="GX18" s="137">
        <v>0</v>
      </c>
      <c r="GY18" s="137">
        <v>0</v>
      </c>
      <c r="GZ18" s="137">
        <v>0</v>
      </c>
      <c r="HA18" s="132">
        <f t="shared" si="15"/>
        <v>0</v>
      </c>
      <c r="HB18" s="181">
        <v>0</v>
      </c>
      <c r="HC18" s="181">
        <v>0</v>
      </c>
      <c r="HD18" s="181">
        <v>0</v>
      </c>
      <c r="HE18" s="181">
        <v>0</v>
      </c>
      <c r="HF18" s="181">
        <v>0</v>
      </c>
      <c r="HG18" s="181">
        <v>0</v>
      </c>
      <c r="HH18" s="181">
        <v>0</v>
      </c>
      <c r="HI18" s="181">
        <v>0</v>
      </c>
      <c r="HJ18" s="181">
        <v>0</v>
      </c>
      <c r="HK18" s="181">
        <v>0</v>
      </c>
      <c r="HL18" s="181">
        <v>0</v>
      </c>
      <c r="HM18" s="181">
        <v>0</v>
      </c>
      <c r="HN18" s="181">
        <f t="shared" si="16"/>
        <v>0</v>
      </c>
      <c r="HO18" s="132">
        <v>0</v>
      </c>
      <c r="HP18" s="132">
        <v>0</v>
      </c>
      <c r="HQ18" s="132">
        <v>0</v>
      </c>
      <c r="HR18" s="132">
        <v>0</v>
      </c>
      <c r="HS18" s="132">
        <v>0</v>
      </c>
      <c r="HT18" s="132">
        <v>0</v>
      </c>
      <c r="HU18" s="132">
        <v>0</v>
      </c>
      <c r="HV18" s="132">
        <v>0</v>
      </c>
      <c r="HW18" s="132">
        <v>0</v>
      </c>
      <c r="HX18" s="132">
        <v>0</v>
      </c>
      <c r="HY18" s="132">
        <v>0</v>
      </c>
      <c r="HZ18" s="132">
        <v>0</v>
      </c>
      <c r="IA18" s="132">
        <f t="shared" si="17"/>
        <v>0</v>
      </c>
      <c r="IB18" s="181">
        <v>0</v>
      </c>
      <c r="IC18" s="181">
        <v>0</v>
      </c>
      <c r="ID18" s="181">
        <v>0</v>
      </c>
      <c r="IE18" s="181">
        <v>0</v>
      </c>
      <c r="IF18" s="181">
        <v>0</v>
      </c>
      <c r="IG18" s="181">
        <v>0</v>
      </c>
      <c r="IH18" s="181">
        <v>0</v>
      </c>
      <c r="II18" s="181">
        <v>0</v>
      </c>
      <c r="IJ18" s="181">
        <v>0</v>
      </c>
      <c r="IK18" s="181">
        <v>0</v>
      </c>
      <c r="IL18" s="181">
        <v>0</v>
      </c>
      <c r="IM18" s="181">
        <v>0</v>
      </c>
      <c r="IN18" s="181">
        <f t="shared" si="18"/>
        <v>0</v>
      </c>
      <c r="IO18" s="181">
        <v>0</v>
      </c>
      <c r="IP18" s="181">
        <v>0</v>
      </c>
      <c r="IQ18" s="181">
        <v>0</v>
      </c>
      <c r="IR18" s="181">
        <v>0</v>
      </c>
      <c r="IS18" s="181">
        <v>0</v>
      </c>
      <c r="IT18" s="181">
        <v>0</v>
      </c>
      <c r="IU18" s="181">
        <v>0</v>
      </c>
      <c r="IV18" s="181">
        <v>0</v>
      </c>
      <c r="IW18" s="181">
        <v>0</v>
      </c>
      <c r="IX18" s="181">
        <v>0</v>
      </c>
      <c r="IY18" s="181">
        <v>0</v>
      </c>
      <c r="IZ18" s="181">
        <v>0</v>
      </c>
      <c r="JA18" s="181">
        <f t="shared" si="19"/>
        <v>0</v>
      </c>
      <c r="JC18" s="135">
        <f t="shared" si="20"/>
        <v>1778</v>
      </c>
      <c r="JD18" s="135">
        <f t="shared" si="21"/>
        <v>1778</v>
      </c>
      <c r="JE18" s="135">
        <f t="shared" si="22"/>
        <v>1778</v>
      </c>
      <c r="JF18" s="135">
        <f t="shared" si="23"/>
        <v>1778</v>
      </c>
      <c r="JG18" s="135">
        <f t="shared" si="24"/>
        <v>1778</v>
      </c>
      <c r="JH18" s="135">
        <f t="shared" si="25"/>
        <v>1778</v>
      </c>
      <c r="JI18" s="135">
        <f t="shared" si="26"/>
        <v>1778</v>
      </c>
      <c r="JJ18" s="135">
        <f t="shared" si="27"/>
        <v>1778</v>
      </c>
      <c r="JK18" s="135">
        <f t="shared" si="28"/>
        <v>1778</v>
      </c>
      <c r="JL18" s="135">
        <f t="shared" si="29"/>
        <v>1778</v>
      </c>
      <c r="JM18" s="135">
        <f t="shared" si="30"/>
        <v>1778</v>
      </c>
      <c r="JN18" s="135">
        <f t="shared" si="31"/>
        <v>1778</v>
      </c>
      <c r="JO18" s="132">
        <f t="shared" si="32"/>
        <v>21336</v>
      </c>
      <c r="JQ18" s="139">
        <f t="shared" si="33"/>
        <v>21336</v>
      </c>
    </row>
    <row r="19" spans="1:277" x14ac:dyDescent="0.25">
      <c r="A19" s="130" t="s">
        <v>429</v>
      </c>
      <c r="B19" s="131">
        <v>0</v>
      </c>
      <c r="C19" s="131">
        <v>0</v>
      </c>
      <c r="D19" s="131">
        <v>0</v>
      </c>
      <c r="E19" s="131">
        <v>0</v>
      </c>
      <c r="F19" s="131">
        <v>0</v>
      </c>
      <c r="G19" s="131">
        <v>20</v>
      </c>
      <c r="H19" s="131">
        <v>20</v>
      </c>
      <c r="I19" s="131">
        <v>20</v>
      </c>
      <c r="J19" s="131">
        <v>20</v>
      </c>
      <c r="K19" s="131">
        <v>20</v>
      </c>
      <c r="L19" s="131">
        <v>20</v>
      </c>
      <c r="M19" s="131">
        <v>20</v>
      </c>
      <c r="N19" s="132">
        <f t="shared" si="0"/>
        <v>140</v>
      </c>
      <c r="O19" s="133">
        <v>0</v>
      </c>
      <c r="P19" s="133">
        <v>0</v>
      </c>
      <c r="Q19" s="133">
        <v>0</v>
      </c>
      <c r="R19" s="133">
        <v>0</v>
      </c>
      <c r="S19" s="133">
        <v>0</v>
      </c>
      <c r="T19" s="133">
        <v>70</v>
      </c>
      <c r="U19" s="133">
        <v>70</v>
      </c>
      <c r="V19" s="133">
        <v>70</v>
      </c>
      <c r="W19" s="133">
        <v>70</v>
      </c>
      <c r="X19" s="133">
        <v>70</v>
      </c>
      <c r="Y19" s="133">
        <v>70</v>
      </c>
      <c r="Z19" s="133">
        <v>70</v>
      </c>
      <c r="AA19" s="132">
        <f t="shared" si="1"/>
        <v>490</v>
      </c>
      <c r="AB19" s="131">
        <v>0</v>
      </c>
      <c r="AC19" s="131">
        <v>0</v>
      </c>
      <c r="AD19" s="131">
        <v>0</v>
      </c>
      <c r="AE19" s="131">
        <v>0</v>
      </c>
      <c r="AF19" s="131">
        <v>0</v>
      </c>
      <c r="AG19" s="131">
        <v>60</v>
      </c>
      <c r="AH19" s="131">
        <v>60</v>
      </c>
      <c r="AI19" s="131">
        <v>60</v>
      </c>
      <c r="AJ19" s="131">
        <v>60</v>
      </c>
      <c r="AK19" s="131">
        <v>60</v>
      </c>
      <c r="AL19" s="131">
        <v>60</v>
      </c>
      <c r="AM19" s="131">
        <v>60</v>
      </c>
      <c r="AN19" s="132">
        <f t="shared" si="2"/>
        <v>420</v>
      </c>
      <c r="AO19" s="133">
        <v>0</v>
      </c>
      <c r="AP19" s="133">
        <v>0</v>
      </c>
      <c r="AQ19" s="133">
        <v>0</v>
      </c>
      <c r="AR19" s="133">
        <v>0</v>
      </c>
      <c r="AS19" s="133">
        <v>0</v>
      </c>
      <c r="AT19" s="133">
        <v>140</v>
      </c>
      <c r="AU19" s="133">
        <v>140</v>
      </c>
      <c r="AV19" s="133">
        <v>140</v>
      </c>
      <c r="AW19" s="133">
        <v>140</v>
      </c>
      <c r="AX19" s="133">
        <v>140</v>
      </c>
      <c r="AY19" s="133">
        <v>140</v>
      </c>
      <c r="AZ19" s="133">
        <v>140</v>
      </c>
      <c r="BA19" s="132">
        <f t="shared" si="3"/>
        <v>980</v>
      </c>
      <c r="BB19" s="134">
        <v>0</v>
      </c>
      <c r="BC19" s="134">
        <v>0</v>
      </c>
      <c r="BD19" s="134">
        <v>0</v>
      </c>
      <c r="BE19" s="134">
        <v>0</v>
      </c>
      <c r="BF19" s="134">
        <v>0</v>
      </c>
      <c r="BG19" s="134">
        <v>300</v>
      </c>
      <c r="BH19" s="134">
        <v>300</v>
      </c>
      <c r="BI19" s="134">
        <v>300</v>
      </c>
      <c r="BJ19" s="134">
        <v>300</v>
      </c>
      <c r="BK19" s="134">
        <v>300</v>
      </c>
      <c r="BL19" s="134">
        <v>300</v>
      </c>
      <c r="BM19" s="134">
        <v>300</v>
      </c>
      <c r="BN19" s="132">
        <f t="shared" si="4"/>
        <v>2100</v>
      </c>
      <c r="BO19" s="135">
        <v>0</v>
      </c>
      <c r="BP19" s="135">
        <v>0</v>
      </c>
      <c r="BQ19" s="135">
        <v>0</v>
      </c>
      <c r="BR19" s="135">
        <v>0</v>
      </c>
      <c r="BS19" s="135">
        <v>0</v>
      </c>
      <c r="BT19" s="135">
        <v>190</v>
      </c>
      <c r="BU19" s="135">
        <v>190</v>
      </c>
      <c r="BV19" s="135">
        <v>190</v>
      </c>
      <c r="BW19" s="135">
        <v>190</v>
      </c>
      <c r="BX19" s="135">
        <v>190</v>
      </c>
      <c r="BY19" s="135">
        <v>190</v>
      </c>
      <c r="BZ19" s="135">
        <v>190</v>
      </c>
      <c r="CA19" s="132">
        <f t="shared" si="5"/>
        <v>1330</v>
      </c>
      <c r="CB19" s="136">
        <v>0</v>
      </c>
      <c r="CC19" s="136">
        <v>0</v>
      </c>
      <c r="CD19" s="136">
        <v>0</v>
      </c>
      <c r="CE19" s="136">
        <v>0</v>
      </c>
      <c r="CF19" s="136">
        <v>0</v>
      </c>
      <c r="CG19" s="136">
        <v>1363</v>
      </c>
      <c r="CH19" s="136">
        <v>1363</v>
      </c>
      <c r="CI19" s="136">
        <v>1363</v>
      </c>
      <c r="CJ19" s="136">
        <v>1363</v>
      </c>
      <c r="CK19" s="136">
        <v>1363</v>
      </c>
      <c r="CL19" s="136">
        <v>1363</v>
      </c>
      <c r="CM19" s="136">
        <v>1363</v>
      </c>
      <c r="CN19" s="132">
        <f t="shared" si="6"/>
        <v>9541</v>
      </c>
      <c r="CO19" s="137">
        <v>0</v>
      </c>
      <c r="CP19" s="137">
        <v>0</v>
      </c>
      <c r="CQ19" s="137">
        <v>0</v>
      </c>
      <c r="CR19" s="137">
        <v>0</v>
      </c>
      <c r="CS19" s="137">
        <v>0</v>
      </c>
      <c r="CT19" s="137">
        <v>0</v>
      </c>
      <c r="CU19" s="137">
        <v>0</v>
      </c>
      <c r="CV19" s="137">
        <v>0</v>
      </c>
      <c r="CW19" s="137">
        <v>0</v>
      </c>
      <c r="CX19" s="137">
        <v>0</v>
      </c>
      <c r="CY19" s="137">
        <v>0</v>
      </c>
      <c r="CZ19" s="137">
        <v>0</v>
      </c>
      <c r="DA19" s="132">
        <f t="shared" si="7"/>
        <v>0</v>
      </c>
      <c r="DB19" s="136">
        <v>0</v>
      </c>
      <c r="DC19" s="136">
        <v>0</v>
      </c>
      <c r="DD19" s="136">
        <v>0</v>
      </c>
      <c r="DE19" s="136">
        <v>0</v>
      </c>
      <c r="DF19" s="136">
        <v>0</v>
      </c>
      <c r="DG19" s="136">
        <v>0</v>
      </c>
      <c r="DH19" s="136">
        <v>0</v>
      </c>
      <c r="DI19" s="136">
        <v>0</v>
      </c>
      <c r="DJ19" s="136">
        <v>0</v>
      </c>
      <c r="DK19" s="136">
        <v>0</v>
      </c>
      <c r="DL19" s="136">
        <v>0</v>
      </c>
      <c r="DM19" s="136">
        <v>0</v>
      </c>
      <c r="DN19" s="132">
        <f t="shared" si="8"/>
        <v>0</v>
      </c>
      <c r="DO19" s="137">
        <v>0</v>
      </c>
      <c r="DP19" s="137">
        <v>0</v>
      </c>
      <c r="DQ19" s="137">
        <v>0</v>
      </c>
      <c r="DR19" s="137">
        <v>0</v>
      </c>
      <c r="DS19" s="137">
        <v>0</v>
      </c>
      <c r="DT19" s="137">
        <v>0</v>
      </c>
      <c r="DU19" s="137">
        <v>0</v>
      </c>
      <c r="DV19" s="137">
        <v>0</v>
      </c>
      <c r="DW19" s="137">
        <v>0</v>
      </c>
      <c r="DX19" s="137">
        <v>0</v>
      </c>
      <c r="DY19" s="137">
        <v>0</v>
      </c>
      <c r="DZ19" s="137">
        <v>0</v>
      </c>
      <c r="EA19" s="132">
        <f t="shared" si="9"/>
        <v>0</v>
      </c>
      <c r="EB19" s="216">
        <v>0</v>
      </c>
      <c r="EC19" s="216">
        <v>0</v>
      </c>
      <c r="ED19" s="216">
        <v>0</v>
      </c>
      <c r="EE19" s="216">
        <v>0</v>
      </c>
      <c r="EF19" s="216">
        <v>0</v>
      </c>
      <c r="EG19" s="216">
        <v>0</v>
      </c>
      <c r="EH19" s="216">
        <v>0</v>
      </c>
      <c r="EI19" s="216">
        <v>0</v>
      </c>
      <c r="EJ19" s="216">
        <v>0</v>
      </c>
      <c r="EK19" s="216">
        <v>0</v>
      </c>
      <c r="EL19" s="216">
        <v>0</v>
      </c>
      <c r="EM19" s="216">
        <v>0</v>
      </c>
      <c r="EN19" s="132">
        <f t="shared" si="10"/>
        <v>0</v>
      </c>
      <c r="EO19" s="132">
        <v>0</v>
      </c>
      <c r="EP19" s="132">
        <v>0</v>
      </c>
      <c r="EQ19" s="132">
        <v>0</v>
      </c>
      <c r="ER19" s="132">
        <v>0</v>
      </c>
      <c r="ES19" s="132">
        <v>0</v>
      </c>
      <c r="ET19" s="132">
        <v>0</v>
      </c>
      <c r="EU19" s="132">
        <v>0</v>
      </c>
      <c r="EV19" s="132">
        <v>0</v>
      </c>
      <c r="EW19" s="132">
        <v>0</v>
      </c>
      <c r="EX19" s="132">
        <v>0</v>
      </c>
      <c r="EY19" s="132">
        <v>0</v>
      </c>
      <c r="EZ19" s="132">
        <v>0</v>
      </c>
      <c r="FA19" s="132">
        <f t="shared" si="11"/>
        <v>0</v>
      </c>
      <c r="FB19" s="181">
        <v>0</v>
      </c>
      <c r="FC19" s="181">
        <v>0</v>
      </c>
      <c r="FD19" s="181">
        <v>0</v>
      </c>
      <c r="FE19" s="181">
        <v>0</v>
      </c>
      <c r="FF19" s="181">
        <v>0</v>
      </c>
      <c r="FG19" s="181">
        <v>0</v>
      </c>
      <c r="FH19" s="181">
        <v>0</v>
      </c>
      <c r="FI19" s="181">
        <v>0</v>
      </c>
      <c r="FJ19" s="181">
        <v>0</v>
      </c>
      <c r="FK19" s="181">
        <v>0</v>
      </c>
      <c r="FL19" s="181">
        <v>0</v>
      </c>
      <c r="FM19" s="181">
        <v>0</v>
      </c>
      <c r="FN19" s="132">
        <f t="shared" si="12"/>
        <v>0</v>
      </c>
      <c r="FO19" s="132">
        <v>0</v>
      </c>
      <c r="FP19" s="132">
        <v>0</v>
      </c>
      <c r="FQ19" s="132">
        <v>0</v>
      </c>
      <c r="FR19" s="132">
        <v>0</v>
      </c>
      <c r="FS19" s="132">
        <v>0</v>
      </c>
      <c r="FT19" s="132">
        <v>0</v>
      </c>
      <c r="FU19" s="132">
        <v>0</v>
      </c>
      <c r="FV19" s="132">
        <v>0</v>
      </c>
      <c r="FW19" s="132">
        <v>0</v>
      </c>
      <c r="FX19" s="132">
        <v>0</v>
      </c>
      <c r="FY19" s="132">
        <v>0</v>
      </c>
      <c r="FZ19" s="132">
        <v>0</v>
      </c>
      <c r="GA19" s="132">
        <f t="shared" si="13"/>
        <v>0</v>
      </c>
      <c r="GB19" s="181">
        <v>0</v>
      </c>
      <c r="GC19" s="181">
        <v>0</v>
      </c>
      <c r="GD19" s="181">
        <v>0</v>
      </c>
      <c r="GE19" s="181">
        <v>0</v>
      </c>
      <c r="GF19" s="181">
        <v>0</v>
      </c>
      <c r="GG19" s="181">
        <v>0</v>
      </c>
      <c r="GH19" s="181">
        <v>0</v>
      </c>
      <c r="GI19" s="181">
        <v>0</v>
      </c>
      <c r="GJ19" s="181">
        <v>0</v>
      </c>
      <c r="GK19" s="181">
        <v>0</v>
      </c>
      <c r="GL19" s="181">
        <v>0</v>
      </c>
      <c r="GM19" s="181">
        <v>0</v>
      </c>
      <c r="GN19" s="181">
        <f t="shared" si="14"/>
        <v>0</v>
      </c>
      <c r="GO19" s="137">
        <v>0</v>
      </c>
      <c r="GP19" s="137">
        <v>0</v>
      </c>
      <c r="GQ19" s="137">
        <v>0</v>
      </c>
      <c r="GR19" s="137">
        <v>0</v>
      </c>
      <c r="GS19" s="137">
        <v>0</v>
      </c>
      <c r="GT19" s="137">
        <v>0</v>
      </c>
      <c r="GU19" s="137">
        <v>0</v>
      </c>
      <c r="GV19" s="137">
        <v>0</v>
      </c>
      <c r="GW19" s="137">
        <v>0</v>
      </c>
      <c r="GX19" s="137">
        <v>0</v>
      </c>
      <c r="GY19" s="137">
        <v>0</v>
      </c>
      <c r="GZ19" s="137">
        <v>0</v>
      </c>
      <c r="HA19" s="132">
        <f t="shared" si="15"/>
        <v>0</v>
      </c>
      <c r="HB19" s="181">
        <v>0</v>
      </c>
      <c r="HC19" s="181">
        <v>0</v>
      </c>
      <c r="HD19" s="181">
        <v>0</v>
      </c>
      <c r="HE19" s="181">
        <v>0</v>
      </c>
      <c r="HF19" s="181">
        <v>0</v>
      </c>
      <c r="HG19" s="181">
        <v>0</v>
      </c>
      <c r="HH19" s="181">
        <v>0</v>
      </c>
      <c r="HI19" s="181">
        <v>0</v>
      </c>
      <c r="HJ19" s="181">
        <v>0</v>
      </c>
      <c r="HK19" s="181">
        <v>0</v>
      </c>
      <c r="HL19" s="181">
        <v>0</v>
      </c>
      <c r="HM19" s="181">
        <v>0</v>
      </c>
      <c r="HN19" s="181">
        <f t="shared" si="16"/>
        <v>0</v>
      </c>
      <c r="HO19" s="132">
        <v>0</v>
      </c>
      <c r="HP19" s="132">
        <v>0</v>
      </c>
      <c r="HQ19" s="132">
        <v>0</v>
      </c>
      <c r="HR19" s="132">
        <v>0</v>
      </c>
      <c r="HS19" s="132">
        <v>0</v>
      </c>
      <c r="HT19" s="132">
        <v>0</v>
      </c>
      <c r="HU19" s="132">
        <v>0</v>
      </c>
      <c r="HV19" s="132">
        <v>0</v>
      </c>
      <c r="HW19" s="132">
        <v>0</v>
      </c>
      <c r="HX19" s="132">
        <v>0</v>
      </c>
      <c r="HY19" s="132">
        <v>0</v>
      </c>
      <c r="HZ19" s="132">
        <v>0</v>
      </c>
      <c r="IA19" s="132">
        <f t="shared" si="17"/>
        <v>0</v>
      </c>
      <c r="IB19" s="181">
        <v>0</v>
      </c>
      <c r="IC19" s="181">
        <v>0</v>
      </c>
      <c r="ID19" s="181">
        <v>0</v>
      </c>
      <c r="IE19" s="181">
        <v>0</v>
      </c>
      <c r="IF19" s="181">
        <v>0</v>
      </c>
      <c r="IG19" s="181">
        <v>0</v>
      </c>
      <c r="IH19" s="181">
        <v>0</v>
      </c>
      <c r="II19" s="181">
        <v>0</v>
      </c>
      <c r="IJ19" s="181">
        <v>0</v>
      </c>
      <c r="IK19" s="181">
        <v>0</v>
      </c>
      <c r="IL19" s="181">
        <v>0</v>
      </c>
      <c r="IM19" s="181">
        <v>0</v>
      </c>
      <c r="IN19" s="181">
        <f t="shared" si="18"/>
        <v>0</v>
      </c>
      <c r="IO19" s="181">
        <v>0</v>
      </c>
      <c r="IP19" s="181">
        <v>0</v>
      </c>
      <c r="IQ19" s="181">
        <v>0</v>
      </c>
      <c r="IR19" s="181">
        <v>0</v>
      </c>
      <c r="IS19" s="181">
        <v>0</v>
      </c>
      <c r="IT19" s="181">
        <v>0</v>
      </c>
      <c r="IU19" s="181">
        <v>0</v>
      </c>
      <c r="IV19" s="181">
        <v>0</v>
      </c>
      <c r="IW19" s="181">
        <v>0</v>
      </c>
      <c r="IX19" s="181">
        <v>0</v>
      </c>
      <c r="IY19" s="181">
        <v>0</v>
      </c>
      <c r="IZ19" s="181">
        <v>0</v>
      </c>
      <c r="JA19" s="181">
        <f t="shared" si="19"/>
        <v>0</v>
      </c>
      <c r="JC19" s="135">
        <f t="shared" si="20"/>
        <v>0</v>
      </c>
      <c r="JD19" s="135">
        <f t="shared" si="21"/>
        <v>0</v>
      </c>
      <c r="JE19" s="135">
        <f t="shared" si="22"/>
        <v>0</v>
      </c>
      <c r="JF19" s="135">
        <f t="shared" si="23"/>
        <v>0</v>
      </c>
      <c r="JG19" s="135">
        <f t="shared" si="24"/>
        <v>0</v>
      </c>
      <c r="JH19" s="135">
        <f t="shared" si="25"/>
        <v>2143</v>
      </c>
      <c r="JI19" s="135">
        <f t="shared" si="26"/>
        <v>2143</v>
      </c>
      <c r="JJ19" s="135">
        <f t="shared" si="27"/>
        <v>2143</v>
      </c>
      <c r="JK19" s="135">
        <f t="shared" si="28"/>
        <v>2143</v>
      </c>
      <c r="JL19" s="135">
        <f t="shared" si="29"/>
        <v>2143</v>
      </c>
      <c r="JM19" s="135">
        <f t="shared" si="30"/>
        <v>2143</v>
      </c>
      <c r="JN19" s="135">
        <f t="shared" si="31"/>
        <v>2143</v>
      </c>
      <c r="JO19" s="132">
        <f t="shared" si="32"/>
        <v>15001</v>
      </c>
      <c r="JQ19" s="139">
        <f t="shared" si="33"/>
        <v>15001</v>
      </c>
    </row>
    <row r="20" spans="1:277" x14ac:dyDescent="0.25">
      <c r="A20" s="130" t="s">
        <v>435</v>
      </c>
      <c r="B20" s="131">
        <v>15</v>
      </c>
      <c r="C20" s="131">
        <v>15</v>
      </c>
      <c r="D20" s="131">
        <v>15</v>
      </c>
      <c r="E20" s="131">
        <v>15</v>
      </c>
      <c r="F20" s="131">
        <v>15</v>
      </c>
      <c r="G20" s="131">
        <v>0</v>
      </c>
      <c r="H20" s="131">
        <v>0</v>
      </c>
      <c r="I20" s="131">
        <v>0</v>
      </c>
      <c r="J20" s="131">
        <v>0</v>
      </c>
      <c r="K20" s="131">
        <v>0</v>
      </c>
      <c r="L20" s="131">
        <v>0</v>
      </c>
      <c r="M20" s="131">
        <v>0</v>
      </c>
      <c r="N20" s="132">
        <f t="shared" si="0"/>
        <v>75</v>
      </c>
      <c r="O20" s="133">
        <v>70</v>
      </c>
      <c r="P20" s="133">
        <v>70</v>
      </c>
      <c r="Q20" s="133">
        <v>70</v>
      </c>
      <c r="R20" s="133">
        <v>70</v>
      </c>
      <c r="S20" s="133">
        <v>70</v>
      </c>
      <c r="T20" s="133">
        <v>0</v>
      </c>
      <c r="U20" s="133">
        <v>0</v>
      </c>
      <c r="V20" s="133">
        <v>0</v>
      </c>
      <c r="W20" s="133">
        <v>0</v>
      </c>
      <c r="X20" s="133">
        <v>0</v>
      </c>
      <c r="Y20" s="133">
        <v>0</v>
      </c>
      <c r="Z20" s="133">
        <v>0</v>
      </c>
      <c r="AA20" s="132">
        <f t="shared" si="1"/>
        <v>350</v>
      </c>
      <c r="AB20" s="131">
        <v>45</v>
      </c>
      <c r="AC20" s="131">
        <v>45</v>
      </c>
      <c r="AD20" s="131">
        <v>45</v>
      </c>
      <c r="AE20" s="131">
        <v>45</v>
      </c>
      <c r="AF20" s="131">
        <v>45</v>
      </c>
      <c r="AG20" s="131">
        <v>0</v>
      </c>
      <c r="AH20" s="131">
        <v>0</v>
      </c>
      <c r="AI20" s="131">
        <v>0</v>
      </c>
      <c r="AJ20" s="131">
        <v>0</v>
      </c>
      <c r="AK20" s="131">
        <v>0</v>
      </c>
      <c r="AL20" s="131">
        <v>0</v>
      </c>
      <c r="AM20" s="131">
        <v>0</v>
      </c>
      <c r="AN20" s="132">
        <f t="shared" si="2"/>
        <v>225</v>
      </c>
      <c r="AO20" s="133">
        <v>70</v>
      </c>
      <c r="AP20" s="133">
        <v>70</v>
      </c>
      <c r="AQ20" s="133">
        <v>70</v>
      </c>
      <c r="AR20" s="133">
        <v>70</v>
      </c>
      <c r="AS20" s="133">
        <v>70</v>
      </c>
      <c r="AT20" s="133">
        <v>0</v>
      </c>
      <c r="AU20" s="133">
        <v>0</v>
      </c>
      <c r="AV20" s="133">
        <v>0</v>
      </c>
      <c r="AW20" s="133">
        <v>0</v>
      </c>
      <c r="AX20" s="133">
        <v>0</v>
      </c>
      <c r="AY20" s="133">
        <v>0</v>
      </c>
      <c r="AZ20" s="133">
        <v>0</v>
      </c>
      <c r="BA20" s="132">
        <f t="shared" si="3"/>
        <v>350</v>
      </c>
      <c r="BB20" s="134">
        <v>250</v>
      </c>
      <c r="BC20" s="134">
        <v>250</v>
      </c>
      <c r="BD20" s="134">
        <v>250</v>
      </c>
      <c r="BE20" s="134">
        <v>250</v>
      </c>
      <c r="BF20" s="134">
        <v>250</v>
      </c>
      <c r="BG20" s="134">
        <v>0</v>
      </c>
      <c r="BH20" s="134">
        <v>0</v>
      </c>
      <c r="BI20" s="134">
        <v>0</v>
      </c>
      <c r="BJ20" s="134">
        <v>0</v>
      </c>
      <c r="BK20" s="134">
        <v>0</v>
      </c>
      <c r="BL20" s="134">
        <v>0</v>
      </c>
      <c r="BM20" s="134">
        <v>0</v>
      </c>
      <c r="BN20" s="132">
        <f t="shared" si="4"/>
        <v>1250</v>
      </c>
      <c r="BO20" s="135">
        <v>120</v>
      </c>
      <c r="BP20" s="135">
        <v>120</v>
      </c>
      <c r="BQ20" s="135">
        <v>120</v>
      </c>
      <c r="BR20" s="135">
        <v>120</v>
      </c>
      <c r="BS20" s="135">
        <v>120</v>
      </c>
      <c r="BT20" s="135">
        <v>0</v>
      </c>
      <c r="BU20" s="135">
        <v>0</v>
      </c>
      <c r="BV20" s="135">
        <v>0</v>
      </c>
      <c r="BW20" s="135">
        <v>0</v>
      </c>
      <c r="BX20" s="135">
        <v>0</v>
      </c>
      <c r="BY20" s="135">
        <v>0</v>
      </c>
      <c r="BZ20" s="135">
        <v>0</v>
      </c>
      <c r="CA20" s="132">
        <f t="shared" si="5"/>
        <v>600</v>
      </c>
      <c r="CB20" s="136">
        <v>1363</v>
      </c>
      <c r="CC20" s="136">
        <v>1363</v>
      </c>
      <c r="CD20" s="136">
        <v>1363</v>
      </c>
      <c r="CE20" s="136">
        <v>1363</v>
      </c>
      <c r="CF20" s="136">
        <v>1363</v>
      </c>
      <c r="CG20" s="136">
        <v>0</v>
      </c>
      <c r="CH20" s="136">
        <v>0</v>
      </c>
      <c r="CI20" s="136">
        <v>0</v>
      </c>
      <c r="CJ20" s="136">
        <v>0</v>
      </c>
      <c r="CK20" s="136">
        <v>0</v>
      </c>
      <c r="CL20" s="136">
        <v>0</v>
      </c>
      <c r="CM20" s="136">
        <v>0</v>
      </c>
      <c r="CN20" s="132">
        <f t="shared" si="6"/>
        <v>6815</v>
      </c>
      <c r="CO20" s="137">
        <v>0</v>
      </c>
      <c r="CP20" s="137">
        <v>0</v>
      </c>
      <c r="CQ20" s="137">
        <v>0</v>
      </c>
      <c r="CR20" s="137">
        <v>0</v>
      </c>
      <c r="CS20" s="137">
        <v>0</v>
      </c>
      <c r="CT20" s="137">
        <v>0</v>
      </c>
      <c r="CU20" s="137">
        <v>0</v>
      </c>
      <c r="CV20" s="137">
        <v>0</v>
      </c>
      <c r="CW20" s="137">
        <v>0</v>
      </c>
      <c r="CX20" s="137">
        <v>0</v>
      </c>
      <c r="CY20" s="137">
        <v>0</v>
      </c>
      <c r="CZ20" s="137">
        <v>0</v>
      </c>
      <c r="DA20" s="132">
        <f t="shared" si="7"/>
        <v>0</v>
      </c>
      <c r="DB20" s="136">
        <v>0</v>
      </c>
      <c r="DC20" s="136">
        <v>0</v>
      </c>
      <c r="DD20" s="136">
        <v>0</v>
      </c>
      <c r="DE20" s="136">
        <v>0</v>
      </c>
      <c r="DF20" s="136">
        <v>0</v>
      </c>
      <c r="DG20" s="136">
        <v>0</v>
      </c>
      <c r="DH20" s="136">
        <v>0</v>
      </c>
      <c r="DI20" s="136">
        <v>0</v>
      </c>
      <c r="DJ20" s="136">
        <v>0</v>
      </c>
      <c r="DK20" s="136">
        <v>0</v>
      </c>
      <c r="DL20" s="136">
        <v>0</v>
      </c>
      <c r="DM20" s="136">
        <v>0</v>
      </c>
      <c r="DN20" s="132">
        <f t="shared" si="8"/>
        <v>0</v>
      </c>
      <c r="DO20" s="137">
        <v>0</v>
      </c>
      <c r="DP20" s="137">
        <v>0</v>
      </c>
      <c r="DQ20" s="137">
        <v>0</v>
      </c>
      <c r="DR20" s="137">
        <v>0</v>
      </c>
      <c r="DS20" s="137">
        <v>0</v>
      </c>
      <c r="DT20" s="137">
        <v>0</v>
      </c>
      <c r="DU20" s="137">
        <v>0</v>
      </c>
      <c r="DV20" s="137">
        <v>0</v>
      </c>
      <c r="DW20" s="137">
        <v>0</v>
      </c>
      <c r="DX20" s="137">
        <v>0</v>
      </c>
      <c r="DY20" s="137">
        <v>0</v>
      </c>
      <c r="DZ20" s="137">
        <v>0</v>
      </c>
      <c r="EA20" s="132">
        <f t="shared" si="9"/>
        <v>0</v>
      </c>
      <c r="EB20" s="216">
        <v>0</v>
      </c>
      <c r="EC20" s="216">
        <v>0</v>
      </c>
      <c r="ED20" s="216">
        <v>0</v>
      </c>
      <c r="EE20" s="216">
        <v>0</v>
      </c>
      <c r="EF20" s="216">
        <v>0</v>
      </c>
      <c r="EG20" s="216">
        <v>0</v>
      </c>
      <c r="EH20" s="216">
        <v>0</v>
      </c>
      <c r="EI20" s="216">
        <v>0</v>
      </c>
      <c r="EJ20" s="216">
        <v>0</v>
      </c>
      <c r="EK20" s="216">
        <v>0</v>
      </c>
      <c r="EL20" s="216">
        <v>0</v>
      </c>
      <c r="EM20" s="216">
        <v>0</v>
      </c>
      <c r="EN20" s="132">
        <f t="shared" si="10"/>
        <v>0</v>
      </c>
      <c r="EO20" s="132">
        <v>0</v>
      </c>
      <c r="EP20" s="132">
        <v>0</v>
      </c>
      <c r="EQ20" s="132">
        <v>0</v>
      </c>
      <c r="ER20" s="132">
        <v>0</v>
      </c>
      <c r="ES20" s="132">
        <v>0</v>
      </c>
      <c r="ET20" s="132">
        <v>0</v>
      </c>
      <c r="EU20" s="132">
        <v>0</v>
      </c>
      <c r="EV20" s="132">
        <v>0</v>
      </c>
      <c r="EW20" s="132">
        <v>0</v>
      </c>
      <c r="EX20" s="132">
        <v>0</v>
      </c>
      <c r="EY20" s="132">
        <v>0</v>
      </c>
      <c r="EZ20" s="132">
        <v>0</v>
      </c>
      <c r="FA20" s="132">
        <f t="shared" si="11"/>
        <v>0</v>
      </c>
      <c r="FB20" s="181">
        <v>0</v>
      </c>
      <c r="FC20" s="181">
        <v>0</v>
      </c>
      <c r="FD20" s="181">
        <v>0</v>
      </c>
      <c r="FE20" s="181">
        <v>0</v>
      </c>
      <c r="FF20" s="181">
        <v>0</v>
      </c>
      <c r="FG20" s="181">
        <v>0</v>
      </c>
      <c r="FH20" s="181">
        <v>0</v>
      </c>
      <c r="FI20" s="181">
        <v>0</v>
      </c>
      <c r="FJ20" s="181">
        <v>0</v>
      </c>
      <c r="FK20" s="181">
        <v>0</v>
      </c>
      <c r="FL20" s="181">
        <v>0</v>
      </c>
      <c r="FM20" s="181">
        <v>0</v>
      </c>
      <c r="FN20" s="132">
        <f t="shared" si="12"/>
        <v>0</v>
      </c>
      <c r="FO20" s="132">
        <v>0</v>
      </c>
      <c r="FP20" s="132">
        <v>0</v>
      </c>
      <c r="FQ20" s="132">
        <v>0</v>
      </c>
      <c r="FR20" s="132">
        <v>0</v>
      </c>
      <c r="FS20" s="132">
        <v>0</v>
      </c>
      <c r="FT20" s="132">
        <v>0</v>
      </c>
      <c r="FU20" s="132">
        <v>0</v>
      </c>
      <c r="FV20" s="132">
        <v>0</v>
      </c>
      <c r="FW20" s="132">
        <v>0</v>
      </c>
      <c r="FX20" s="132">
        <v>0</v>
      </c>
      <c r="FY20" s="132">
        <v>0</v>
      </c>
      <c r="FZ20" s="132">
        <v>0</v>
      </c>
      <c r="GA20" s="132">
        <f t="shared" si="13"/>
        <v>0</v>
      </c>
      <c r="GB20" s="181">
        <v>0</v>
      </c>
      <c r="GC20" s="181">
        <v>0</v>
      </c>
      <c r="GD20" s="181">
        <v>0</v>
      </c>
      <c r="GE20" s="181">
        <v>0</v>
      </c>
      <c r="GF20" s="181">
        <v>0</v>
      </c>
      <c r="GG20" s="181">
        <v>0</v>
      </c>
      <c r="GH20" s="181">
        <v>0</v>
      </c>
      <c r="GI20" s="181">
        <v>0</v>
      </c>
      <c r="GJ20" s="181">
        <v>0</v>
      </c>
      <c r="GK20" s="181">
        <v>0</v>
      </c>
      <c r="GL20" s="181">
        <v>0</v>
      </c>
      <c r="GM20" s="181">
        <v>0</v>
      </c>
      <c r="GN20" s="181">
        <f t="shared" si="14"/>
        <v>0</v>
      </c>
      <c r="GO20" s="137">
        <v>0</v>
      </c>
      <c r="GP20" s="137">
        <v>0</v>
      </c>
      <c r="GQ20" s="137">
        <v>0</v>
      </c>
      <c r="GR20" s="137">
        <v>0</v>
      </c>
      <c r="GS20" s="137">
        <v>0</v>
      </c>
      <c r="GT20" s="137">
        <v>0</v>
      </c>
      <c r="GU20" s="137">
        <v>0</v>
      </c>
      <c r="GV20" s="137">
        <v>0</v>
      </c>
      <c r="GW20" s="137">
        <v>0</v>
      </c>
      <c r="GX20" s="137">
        <v>0</v>
      </c>
      <c r="GY20" s="137">
        <v>0</v>
      </c>
      <c r="GZ20" s="137">
        <v>0</v>
      </c>
      <c r="HA20" s="132">
        <f t="shared" si="15"/>
        <v>0</v>
      </c>
      <c r="HB20" s="181">
        <v>0</v>
      </c>
      <c r="HC20" s="181">
        <v>0</v>
      </c>
      <c r="HD20" s="181">
        <v>0</v>
      </c>
      <c r="HE20" s="181">
        <v>0</v>
      </c>
      <c r="HF20" s="181">
        <v>0</v>
      </c>
      <c r="HG20" s="181">
        <v>0</v>
      </c>
      <c r="HH20" s="181">
        <v>0</v>
      </c>
      <c r="HI20" s="181">
        <v>0</v>
      </c>
      <c r="HJ20" s="181">
        <v>0</v>
      </c>
      <c r="HK20" s="181">
        <v>0</v>
      </c>
      <c r="HL20" s="181">
        <v>0</v>
      </c>
      <c r="HM20" s="181">
        <v>0</v>
      </c>
      <c r="HN20" s="181">
        <f t="shared" si="16"/>
        <v>0</v>
      </c>
      <c r="HO20" s="132">
        <v>0</v>
      </c>
      <c r="HP20" s="132">
        <v>0</v>
      </c>
      <c r="HQ20" s="132">
        <v>0</v>
      </c>
      <c r="HR20" s="132">
        <v>0</v>
      </c>
      <c r="HS20" s="132">
        <v>0</v>
      </c>
      <c r="HT20" s="132">
        <v>0</v>
      </c>
      <c r="HU20" s="132">
        <v>0</v>
      </c>
      <c r="HV20" s="132">
        <v>0</v>
      </c>
      <c r="HW20" s="132">
        <v>0</v>
      </c>
      <c r="HX20" s="132">
        <v>0</v>
      </c>
      <c r="HY20" s="132">
        <v>0</v>
      </c>
      <c r="HZ20" s="132">
        <v>0</v>
      </c>
      <c r="IA20" s="132">
        <f t="shared" si="17"/>
        <v>0</v>
      </c>
      <c r="IB20" s="181">
        <v>0</v>
      </c>
      <c r="IC20" s="181">
        <v>0</v>
      </c>
      <c r="ID20" s="181">
        <v>0</v>
      </c>
      <c r="IE20" s="181">
        <v>0</v>
      </c>
      <c r="IF20" s="181">
        <v>0</v>
      </c>
      <c r="IG20" s="181">
        <v>0</v>
      </c>
      <c r="IH20" s="181">
        <v>0</v>
      </c>
      <c r="II20" s="181">
        <v>0</v>
      </c>
      <c r="IJ20" s="181">
        <v>0</v>
      </c>
      <c r="IK20" s="181">
        <v>0</v>
      </c>
      <c r="IL20" s="181">
        <v>0</v>
      </c>
      <c r="IM20" s="181">
        <v>0</v>
      </c>
      <c r="IN20" s="181">
        <f t="shared" si="18"/>
        <v>0</v>
      </c>
      <c r="IO20" s="181">
        <v>0</v>
      </c>
      <c r="IP20" s="181">
        <v>0</v>
      </c>
      <c r="IQ20" s="181">
        <v>0</v>
      </c>
      <c r="IR20" s="181">
        <v>0</v>
      </c>
      <c r="IS20" s="181">
        <v>0</v>
      </c>
      <c r="IT20" s="181">
        <v>0</v>
      </c>
      <c r="IU20" s="181">
        <v>0</v>
      </c>
      <c r="IV20" s="181">
        <v>0</v>
      </c>
      <c r="IW20" s="181">
        <v>0</v>
      </c>
      <c r="IX20" s="181">
        <v>0</v>
      </c>
      <c r="IY20" s="181">
        <v>0</v>
      </c>
      <c r="IZ20" s="181">
        <v>0</v>
      </c>
      <c r="JA20" s="181">
        <f t="shared" si="19"/>
        <v>0</v>
      </c>
      <c r="JC20" s="135">
        <f t="shared" si="20"/>
        <v>1933</v>
      </c>
      <c r="JD20" s="135">
        <f t="shared" si="21"/>
        <v>1933</v>
      </c>
      <c r="JE20" s="135">
        <f t="shared" si="22"/>
        <v>1933</v>
      </c>
      <c r="JF20" s="135">
        <f t="shared" si="23"/>
        <v>1933</v>
      </c>
      <c r="JG20" s="135">
        <f t="shared" si="24"/>
        <v>1933</v>
      </c>
      <c r="JH20" s="135">
        <f t="shared" si="25"/>
        <v>0</v>
      </c>
      <c r="JI20" s="135">
        <f t="shared" si="26"/>
        <v>0</v>
      </c>
      <c r="JJ20" s="135">
        <f t="shared" si="27"/>
        <v>0</v>
      </c>
      <c r="JK20" s="135">
        <f t="shared" si="28"/>
        <v>0</v>
      </c>
      <c r="JL20" s="135">
        <f t="shared" si="29"/>
        <v>0</v>
      </c>
      <c r="JM20" s="135">
        <f t="shared" si="30"/>
        <v>0</v>
      </c>
      <c r="JN20" s="135">
        <f t="shared" si="31"/>
        <v>0</v>
      </c>
      <c r="JO20" s="132">
        <f t="shared" si="32"/>
        <v>9665</v>
      </c>
      <c r="JQ20" s="139">
        <f t="shared" si="33"/>
        <v>9665</v>
      </c>
    </row>
    <row r="21" spans="1:277" x14ac:dyDescent="0.25">
      <c r="A21" s="130" t="s">
        <v>443</v>
      </c>
      <c r="B21" s="131">
        <v>15</v>
      </c>
      <c r="C21" s="131">
        <v>15</v>
      </c>
      <c r="D21" s="131">
        <v>15</v>
      </c>
      <c r="E21" s="131">
        <v>15</v>
      </c>
      <c r="F21" s="131">
        <v>15</v>
      </c>
      <c r="G21" s="131">
        <v>15</v>
      </c>
      <c r="H21" s="131">
        <v>15</v>
      </c>
      <c r="I21" s="131">
        <v>15</v>
      </c>
      <c r="J21" s="131">
        <v>15</v>
      </c>
      <c r="K21" s="131">
        <v>15</v>
      </c>
      <c r="L21" s="131">
        <v>15</v>
      </c>
      <c r="M21" s="131">
        <v>15</v>
      </c>
      <c r="N21" s="132">
        <f t="shared" si="0"/>
        <v>180</v>
      </c>
      <c r="O21" s="133">
        <v>70</v>
      </c>
      <c r="P21" s="133">
        <v>70</v>
      </c>
      <c r="Q21" s="133">
        <v>70</v>
      </c>
      <c r="R21" s="133">
        <v>70</v>
      </c>
      <c r="S21" s="133">
        <v>70</v>
      </c>
      <c r="T21" s="133">
        <v>70</v>
      </c>
      <c r="U21" s="133">
        <v>70</v>
      </c>
      <c r="V21" s="133">
        <v>70</v>
      </c>
      <c r="W21" s="133">
        <v>70</v>
      </c>
      <c r="X21" s="133">
        <v>70</v>
      </c>
      <c r="Y21" s="133">
        <v>70</v>
      </c>
      <c r="Z21" s="133">
        <v>70</v>
      </c>
      <c r="AA21" s="132">
        <f t="shared" si="1"/>
        <v>840</v>
      </c>
      <c r="AB21" s="131">
        <v>45</v>
      </c>
      <c r="AC21" s="131">
        <v>45</v>
      </c>
      <c r="AD21" s="131">
        <v>45</v>
      </c>
      <c r="AE21" s="131">
        <v>45</v>
      </c>
      <c r="AF21" s="131">
        <v>45</v>
      </c>
      <c r="AG21" s="131">
        <v>45</v>
      </c>
      <c r="AH21" s="131">
        <v>45</v>
      </c>
      <c r="AI21" s="131">
        <v>45</v>
      </c>
      <c r="AJ21" s="131">
        <v>45</v>
      </c>
      <c r="AK21" s="131">
        <v>45</v>
      </c>
      <c r="AL21" s="131">
        <v>45</v>
      </c>
      <c r="AM21" s="131">
        <v>45</v>
      </c>
      <c r="AN21" s="132">
        <f t="shared" si="2"/>
        <v>540</v>
      </c>
      <c r="AO21" s="133">
        <v>70</v>
      </c>
      <c r="AP21" s="133">
        <v>70</v>
      </c>
      <c r="AQ21" s="133">
        <v>70</v>
      </c>
      <c r="AR21" s="133">
        <v>70</v>
      </c>
      <c r="AS21" s="133">
        <v>70</v>
      </c>
      <c r="AT21" s="133">
        <v>70</v>
      </c>
      <c r="AU21" s="133">
        <v>70</v>
      </c>
      <c r="AV21" s="133">
        <v>70</v>
      </c>
      <c r="AW21" s="133">
        <v>70</v>
      </c>
      <c r="AX21" s="133">
        <v>70</v>
      </c>
      <c r="AY21" s="133">
        <v>70</v>
      </c>
      <c r="AZ21" s="133">
        <v>70</v>
      </c>
      <c r="BA21" s="132">
        <f t="shared" si="3"/>
        <v>840</v>
      </c>
      <c r="BB21" s="134">
        <v>250</v>
      </c>
      <c r="BC21" s="134">
        <v>250</v>
      </c>
      <c r="BD21" s="134">
        <v>250</v>
      </c>
      <c r="BE21" s="134">
        <v>250</v>
      </c>
      <c r="BF21" s="134">
        <v>250</v>
      </c>
      <c r="BG21" s="134">
        <v>250</v>
      </c>
      <c r="BH21" s="134">
        <v>250</v>
      </c>
      <c r="BI21" s="134">
        <v>250</v>
      </c>
      <c r="BJ21" s="134">
        <v>250</v>
      </c>
      <c r="BK21" s="134">
        <v>250</v>
      </c>
      <c r="BL21" s="134">
        <v>250</v>
      </c>
      <c r="BM21" s="134">
        <v>250</v>
      </c>
      <c r="BN21" s="132">
        <f t="shared" si="4"/>
        <v>3000</v>
      </c>
      <c r="BO21" s="135">
        <v>120</v>
      </c>
      <c r="BP21" s="135">
        <v>120</v>
      </c>
      <c r="BQ21" s="135">
        <v>120</v>
      </c>
      <c r="BR21" s="135">
        <v>120</v>
      </c>
      <c r="BS21" s="135">
        <v>120</v>
      </c>
      <c r="BT21" s="135">
        <v>120</v>
      </c>
      <c r="BU21" s="135">
        <v>120</v>
      </c>
      <c r="BV21" s="135">
        <v>120</v>
      </c>
      <c r="BW21" s="135">
        <v>120</v>
      </c>
      <c r="BX21" s="135">
        <v>120</v>
      </c>
      <c r="BY21" s="135">
        <v>120</v>
      </c>
      <c r="BZ21" s="135">
        <v>120</v>
      </c>
      <c r="CA21" s="132">
        <f t="shared" si="5"/>
        <v>1440</v>
      </c>
      <c r="CB21" s="136">
        <v>800</v>
      </c>
      <c r="CC21" s="136">
        <v>800</v>
      </c>
      <c r="CD21" s="136">
        <v>800</v>
      </c>
      <c r="CE21" s="136">
        <v>800</v>
      </c>
      <c r="CF21" s="136">
        <v>800</v>
      </c>
      <c r="CG21" s="136">
        <v>800</v>
      </c>
      <c r="CH21" s="136">
        <v>800</v>
      </c>
      <c r="CI21" s="136">
        <v>800</v>
      </c>
      <c r="CJ21" s="136">
        <v>800</v>
      </c>
      <c r="CK21" s="136">
        <v>800</v>
      </c>
      <c r="CL21" s="136">
        <v>800</v>
      </c>
      <c r="CM21" s="136">
        <v>800</v>
      </c>
      <c r="CN21" s="132">
        <f t="shared" si="6"/>
        <v>9600</v>
      </c>
      <c r="CO21" s="137">
        <v>0</v>
      </c>
      <c r="CP21" s="137">
        <v>0</v>
      </c>
      <c r="CQ21" s="137">
        <v>0</v>
      </c>
      <c r="CR21" s="137">
        <v>0</v>
      </c>
      <c r="CS21" s="137">
        <v>0</v>
      </c>
      <c r="CT21" s="137">
        <v>0</v>
      </c>
      <c r="CU21" s="137">
        <v>0</v>
      </c>
      <c r="CV21" s="137">
        <v>0</v>
      </c>
      <c r="CW21" s="137">
        <v>0</v>
      </c>
      <c r="CX21" s="137">
        <v>0</v>
      </c>
      <c r="CY21" s="137">
        <v>0</v>
      </c>
      <c r="CZ21" s="137">
        <v>0</v>
      </c>
      <c r="DA21" s="132">
        <f t="shared" si="7"/>
        <v>0</v>
      </c>
      <c r="DB21" s="136">
        <v>0</v>
      </c>
      <c r="DC21" s="136">
        <v>0</v>
      </c>
      <c r="DD21" s="136">
        <v>0</v>
      </c>
      <c r="DE21" s="136">
        <v>0</v>
      </c>
      <c r="DF21" s="136">
        <v>0</v>
      </c>
      <c r="DG21" s="136">
        <v>0</v>
      </c>
      <c r="DH21" s="136">
        <v>0</v>
      </c>
      <c r="DI21" s="136">
        <v>0</v>
      </c>
      <c r="DJ21" s="136">
        <v>0</v>
      </c>
      <c r="DK21" s="136">
        <v>0</v>
      </c>
      <c r="DL21" s="136">
        <v>0</v>
      </c>
      <c r="DM21" s="136">
        <v>0</v>
      </c>
      <c r="DN21" s="132">
        <f t="shared" si="8"/>
        <v>0</v>
      </c>
      <c r="DO21" s="137">
        <v>0</v>
      </c>
      <c r="DP21" s="137">
        <v>0</v>
      </c>
      <c r="DQ21" s="137">
        <v>0</v>
      </c>
      <c r="DR21" s="137">
        <v>0</v>
      </c>
      <c r="DS21" s="137">
        <v>0</v>
      </c>
      <c r="DT21" s="137">
        <v>0</v>
      </c>
      <c r="DU21" s="137">
        <v>0</v>
      </c>
      <c r="DV21" s="137">
        <v>0</v>
      </c>
      <c r="DW21" s="137">
        <v>0</v>
      </c>
      <c r="DX21" s="137">
        <v>0</v>
      </c>
      <c r="DY21" s="137">
        <v>0</v>
      </c>
      <c r="DZ21" s="137">
        <v>0</v>
      </c>
      <c r="EA21" s="132">
        <f t="shared" si="9"/>
        <v>0</v>
      </c>
      <c r="EB21" s="216">
        <v>0</v>
      </c>
      <c r="EC21" s="216">
        <v>0</v>
      </c>
      <c r="ED21" s="216">
        <v>0</v>
      </c>
      <c r="EE21" s="216">
        <v>0</v>
      </c>
      <c r="EF21" s="216">
        <v>0</v>
      </c>
      <c r="EG21" s="216">
        <v>0</v>
      </c>
      <c r="EH21" s="216">
        <v>0</v>
      </c>
      <c r="EI21" s="216">
        <v>0</v>
      </c>
      <c r="EJ21" s="216">
        <v>0</v>
      </c>
      <c r="EK21" s="216">
        <v>0</v>
      </c>
      <c r="EL21" s="216">
        <v>0</v>
      </c>
      <c r="EM21" s="216">
        <v>0</v>
      </c>
      <c r="EN21" s="132">
        <f t="shared" si="10"/>
        <v>0</v>
      </c>
      <c r="EO21" s="132">
        <v>0</v>
      </c>
      <c r="EP21" s="132">
        <v>0</v>
      </c>
      <c r="EQ21" s="132">
        <v>0</v>
      </c>
      <c r="ER21" s="132">
        <v>0</v>
      </c>
      <c r="ES21" s="132">
        <v>0</v>
      </c>
      <c r="ET21" s="132">
        <v>0</v>
      </c>
      <c r="EU21" s="132">
        <v>0</v>
      </c>
      <c r="EV21" s="132">
        <v>0</v>
      </c>
      <c r="EW21" s="132">
        <v>0</v>
      </c>
      <c r="EX21" s="132">
        <v>0</v>
      </c>
      <c r="EY21" s="132">
        <v>0</v>
      </c>
      <c r="EZ21" s="132">
        <v>0</v>
      </c>
      <c r="FA21" s="132">
        <f t="shared" si="11"/>
        <v>0</v>
      </c>
      <c r="FB21" s="181">
        <v>0</v>
      </c>
      <c r="FC21" s="181">
        <v>0</v>
      </c>
      <c r="FD21" s="181">
        <v>0</v>
      </c>
      <c r="FE21" s="181">
        <v>0</v>
      </c>
      <c r="FF21" s="181">
        <v>0</v>
      </c>
      <c r="FG21" s="181">
        <v>0</v>
      </c>
      <c r="FH21" s="181">
        <v>0</v>
      </c>
      <c r="FI21" s="181">
        <v>0</v>
      </c>
      <c r="FJ21" s="181">
        <v>0</v>
      </c>
      <c r="FK21" s="181">
        <v>0</v>
      </c>
      <c r="FL21" s="181">
        <v>0</v>
      </c>
      <c r="FM21" s="181">
        <v>0</v>
      </c>
      <c r="FN21" s="132">
        <f t="shared" si="12"/>
        <v>0</v>
      </c>
      <c r="FO21" s="132">
        <v>0</v>
      </c>
      <c r="FP21" s="132">
        <v>0</v>
      </c>
      <c r="FQ21" s="132">
        <v>0</v>
      </c>
      <c r="FR21" s="132">
        <v>0</v>
      </c>
      <c r="FS21" s="132">
        <v>0</v>
      </c>
      <c r="FT21" s="132">
        <v>0</v>
      </c>
      <c r="FU21" s="132">
        <v>0</v>
      </c>
      <c r="FV21" s="132">
        <v>0</v>
      </c>
      <c r="FW21" s="132">
        <v>0</v>
      </c>
      <c r="FX21" s="132">
        <v>0</v>
      </c>
      <c r="FY21" s="132">
        <v>0</v>
      </c>
      <c r="FZ21" s="132">
        <v>0</v>
      </c>
      <c r="GA21" s="132">
        <f t="shared" si="13"/>
        <v>0</v>
      </c>
      <c r="GB21" s="181">
        <v>0</v>
      </c>
      <c r="GC21" s="181">
        <v>0</v>
      </c>
      <c r="GD21" s="181">
        <v>0</v>
      </c>
      <c r="GE21" s="181">
        <v>0</v>
      </c>
      <c r="GF21" s="181">
        <v>0</v>
      </c>
      <c r="GG21" s="181">
        <v>0</v>
      </c>
      <c r="GH21" s="181">
        <v>0</v>
      </c>
      <c r="GI21" s="181">
        <v>0</v>
      </c>
      <c r="GJ21" s="181">
        <v>0</v>
      </c>
      <c r="GK21" s="181">
        <v>0</v>
      </c>
      <c r="GL21" s="181">
        <v>0</v>
      </c>
      <c r="GM21" s="181">
        <v>0</v>
      </c>
      <c r="GN21" s="181">
        <f t="shared" si="14"/>
        <v>0</v>
      </c>
      <c r="GO21" s="137">
        <v>0</v>
      </c>
      <c r="GP21" s="137">
        <v>0</v>
      </c>
      <c r="GQ21" s="137">
        <v>0</v>
      </c>
      <c r="GR21" s="137">
        <v>0</v>
      </c>
      <c r="GS21" s="137">
        <v>0</v>
      </c>
      <c r="GT21" s="137">
        <v>0</v>
      </c>
      <c r="GU21" s="137">
        <v>0</v>
      </c>
      <c r="GV21" s="137">
        <v>0</v>
      </c>
      <c r="GW21" s="137">
        <v>0</v>
      </c>
      <c r="GX21" s="137">
        <v>0</v>
      </c>
      <c r="GY21" s="137">
        <v>0</v>
      </c>
      <c r="GZ21" s="137">
        <v>0</v>
      </c>
      <c r="HA21" s="132">
        <f t="shared" si="15"/>
        <v>0</v>
      </c>
      <c r="HB21" s="181">
        <v>0</v>
      </c>
      <c r="HC21" s="181">
        <v>0</v>
      </c>
      <c r="HD21" s="181">
        <v>0</v>
      </c>
      <c r="HE21" s="181">
        <v>0</v>
      </c>
      <c r="HF21" s="181">
        <v>0</v>
      </c>
      <c r="HG21" s="181">
        <v>0</v>
      </c>
      <c r="HH21" s="181">
        <v>0</v>
      </c>
      <c r="HI21" s="181">
        <v>0</v>
      </c>
      <c r="HJ21" s="181">
        <v>0</v>
      </c>
      <c r="HK21" s="181">
        <v>0</v>
      </c>
      <c r="HL21" s="181">
        <v>0</v>
      </c>
      <c r="HM21" s="181">
        <v>0</v>
      </c>
      <c r="HN21" s="181">
        <f t="shared" si="16"/>
        <v>0</v>
      </c>
      <c r="HO21" s="132">
        <v>0</v>
      </c>
      <c r="HP21" s="132">
        <v>0</v>
      </c>
      <c r="HQ21" s="132">
        <v>0</v>
      </c>
      <c r="HR21" s="132">
        <v>0</v>
      </c>
      <c r="HS21" s="132">
        <v>0</v>
      </c>
      <c r="HT21" s="132">
        <v>0</v>
      </c>
      <c r="HU21" s="132">
        <v>0</v>
      </c>
      <c r="HV21" s="132">
        <v>0</v>
      </c>
      <c r="HW21" s="132">
        <v>0</v>
      </c>
      <c r="HX21" s="132">
        <v>0</v>
      </c>
      <c r="HY21" s="132">
        <v>0</v>
      </c>
      <c r="HZ21" s="132">
        <v>0</v>
      </c>
      <c r="IA21" s="132">
        <f t="shared" si="17"/>
        <v>0</v>
      </c>
      <c r="IB21" s="181">
        <v>0</v>
      </c>
      <c r="IC21" s="181">
        <v>0</v>
      </c>
      <c r="ID21" s="181">
        <v>0</v>
      </c>
      <c r="IE21" s="181">
        <v>0</v>
      </c>
      <c r="IF21" s="181">
        <v>0</v>
      </c>
      <c r="IG21" s="181">
        <v>0</v>
      </c>
      <c r="IH21" s="181">
        <v>0</v>
      </c>
      <c r="II21" s="181">
        <v>0</v>
      </c>
      <c r="IJ21" s="181">
        <v>0</v>
      </c>
      <c r="IK21" s="181">
        <v>0</v>
      </c>
      <c r="IL21" s="181">
        <v>0</v>
      </c>
      <c r="IM21" s="181">
        <v>0</v>
      </c>
      <c r="IN21" s="181">
        <f t="shared" si="18"/>
        <v>0</v>
      </c>
      <c r="IO21" s="181">
        <v>0</v>
      </c>
      <c r="IP21" s="181">
        <v>0</v>
      </c>
      <c r="IQ21" s="181">
        <v>0</v>
      </c>
      <c r="IR21" s="181">
        <v>0</v>
      </c>
      <c r="IS21" s="181">
        <v>0</v>
      </c>
      <c r="IT21" s="181">
        <v>0</v>
      </c>
      <c r="IU21" s="181">
        <v>0</v>
      </c>
      <c r="IV21" s="181">
        <v>0</v>
      </c>
      <c r="IW21" s="181">
        <v>0</v>
      </c>
      <c r="IX21" s="181">
        <v>0</v>
      </c>
      <c r="IY21" s="181">
        <v>0</v>
      </c>
      <c r="IZ21" s="181">
        <v>0</v>
      </c>
      <c r="JA21" s="181">
        <f t="shared" si="19"/>
        <v>0</v>
      </c>
      <c r="JC21" s="135">
        <f t="shared" si="20"/>
        <v>1370</v>
      </c>
      <c r="JD21" s="135">
        <f t="shared" si="21"/>
        <v>1370</v>
      </c>
      <c r="JE21" s="135">
        <f t="shared" si="22"/>
        <v>1370</v>
      </c>
      <c r="JF21" s="135">
        <f t="shared" si="23"/>
        <v>1370</v>
      </c>
      <c r="JG21" s="135">
        <f t="shared" si="24"/>
        <v>1370</v>
      </c>
      <c r="JH21" s="135">
        <f t="shared" si="25"/>
        <v>1370</v>
      </c>
      <c r="JI21" s="135">
        <f t="shared" si="26"/>
        <v>1370</v>
      </c>
      <c r="JJ21" s="135">
        <f t="shared" si="27"/>
        <v>1370</v>
      </c>
      <c r="JK21" s="135">
        <f t="shared" si="28"/>
        <v>1370</v>
      </c>
      <c r="JL21" s="135">
        <f t="shared" si="29"/>
        <v>1370</v>
      </c>
      <c r="JM21" s="135">
        <f t="shared" si="30"/>
        <v>1370</v>
      </c>
      <c r="JN21" s="135">
        <f t="shared" si="31"/>
        <v>1370</v>
      </c>
      <c r="JO21" s="132">
        <f t="shared" si="32"/>
        <v>16440</v>
      </c>
      <c r="JQ21" s="139">
        <f t="shared" si="33"/>
        <v>16440</v>
      </c>
    </row>
    <row r="22" spans="1:277" x14ac:dyDescent="0.25">
      <c r="A22" s="130" t="s">
        <v>449</v>
      </c>
      <c r="B22" s="131">
        <v>15</v>
      </c>
      <c r="C22" s="131">
        <v>15</v>
      </c>
      <c r="D22" s="131">
        <v>15</v>
      </c>
      <c r="E22" s="131">
        <v>15</v>
      </c>
      <c r="F22" s="131">
        <v>15</v>
      </c>
      <c r="G22" s="131">
        <v>15</v>
      </c>
      <c r="H22" s="131">
        <v>15</v>
      </c>
      <c r="I22" s="131">
        <v>15</v>
      </c>
      <c r="J22" s="131">
        <v>15</v>
      </c>
      <c r="K22" s="131">
        <v>15</v>
      </c>
      <c r="L22" s="131">
        <v>15</v>
      </c>
      <c r="M22" s="131">
        <v>15</v>
      </c>
      <c r="N22" s="132">
        <f t="shared" si="0"/>
        <v>180</v>
      </c>
      <c r="O22" s="133">
        <v>70</v>
      </c>
      <c r="P22" s="133">
        <v>70</v>
      </c>
      <c r="Q22" s="133">
        <v>70</v>
      </c>
      <c r="R22" s="133">
        <v>70</v>
      </c>
      <c r="S22" s="133">
        <v>70</v>
      </c>
      <c r="T22" s="133">
        <v>70</v>
      </c>
      <c r="U22" s="133">
        <v>70</v>
      </c>
      <c r="V22" s="133">
        <v>70</v>
      </c>
      <c r="W22" s="133">
        <v>70</v>
      </c>
      <c r="X22" s="133">
        <v>70</v>
      </c>
      <c r="Y22" s="133">
        <v>70</v>
      </c>
      <c r="Z22" s="133">
        <v>70</v>
      </c>
      <c r="AA22" s="132">
        <f t="shared" si="1"/>
        <v>840</v>
      </c>
      <c r="AB22" s="131">
        <v>90</v>
      </c>
      <c r="AC22" s="131">
        <v>90</v>
      </c>
      <c r="AD22" s="131">
        <v>90</v>
      </c>
      <c r="AE22" s="131">
        <v>90</v>
      </c>
      <c r="AF22" s="131">
        <v>90</v>
      </c>
      <c r="AG22" s="131">
        <v>90</v>
      </c>
      <c r="AH22" s="131">
        <v>90</v>
      </c>
      <c r="AI22" s="131">
        <v>90</v>
      </c>
      <c r="AJ22" s="131">
        <v>90</v>
      </c>
      <c r="AK22" s="131">
        <v>90</v>
      </c>
      <c r="AL22" s="131">
        <v>90</v>
      </c>
      <c r="AM22" s="131">
        <v>90</v>
      </c>
      <c r="AN22" s="132">
        <f t="shared" si="2"/>
        <v>1080</v>
      </c>
      <c r="AO22" s="133">
        <v>70</v>
      </c>
      <c r="AP22" s="133">
        <v>70</v>
      </c>
      <c r="AQ22" s="133">
        <v>70</v>
      </c>
      <c r="AR22" s="133">
        <v>70</v>
      </c>
      <c r="AS22" s="133">
        <v>70</v>
      </c>
      <c r="AT22" s="133">
        <v>70</v>
      </c>
      <c r="AU22" s="133">
        <v>70</v>
      </c>
      <c r="AV22" s="133">
        <v>70</v>
      </c>
      <c r="AW22" s="133">
        <v>70</v>
      </c>
      <c r="AX22" s="133">
        <v>70</v>
      </c>
      <c r="AY22" s="133">
        <v>70</v>
      </c>
      <c r="AZ22" s="133">
        <v>70</v>
      </c>
      <c r="BA22" s="132">
        <f t="shared" si="3"/>
        <v>840</v>
      </c>
      <c r="BB22" s="134">
        <v>250</v>
      </c>
      <c r="BC22" s="134">
        <v>250</v>
      </c>
      <c r="BD22" s="134">
        <v>250</v>
      </c>
      <c r="BE22" s="134">
        <v>250</v>
      </c>
      <c r="BF22" s="134">
        <v>250</v>
      </c>
      <c r="BG22" s="134">
        <v>250</v>
      </c>
      <c r="BH22" s="134">
        <v>250</v>
      </c>
      <c r="BI22" s="134">
        <v>250</v>
      </c>
      <c r="BJ22" s="134">
        <v>250</v>
      </c>
      <c r="BK22" s="134">
        <v>250</v>
      </c>
      <c r="BL22" s="134">
        <v>250</v>
      </c>
      <c r="BM22" s="134">
        <v>250</v>
      </c>
      <c r="BN22" s="132">
        <f t="shared" si="4"/>
        <v>3000</v>
      </c>
      <c r="BO22" s="135">
        <v>120</v>
      </c>
      <c r="BP22" s="135">
        <v>120</v>
      </c>
      <c r="BQ22" s="135">
        <v>120</v>
      </c>
      <c r="BR22" s="135">
        <v>120</v>
      </c>
      <c r="BS22" s="135">
        <v>120</v>
      </c>
      <c r="BT22" s="135">
        <v>120</v>
      </c>
      <c r="BU22" s="135">
        <v>120</v>
      </c>
      <c r="BV22" s="135">
        <v>120</v>
      </c>
      <c r="BW22" s="135">
        <v>120</v>
      </c>
      <c r="BX22" s="135">
        <v>120</v>
      </c>
      <c r="BY22" s="135">
        <v>120</v>
      </c>
      <c r="BZ22" s="135">
        <v>120</v>
      </c>
      <c r="CA22" s="132">
        <f t="shared" si="5"/>
        <v>1440</v>
      </c>
      <c r="CB22" s="136">
        <v>3551</v>
      </c>
      <c r="CC22" s="136">
        <v>3551</v>
      </c>
      <c r="CD22" s="136">
        <v>3551</v>
      </c>
      <c r="CE22" s="136">
        <v>3551</v>
      </c>
      <c r="CF22" s="136">
        <v>3551</v>
      </c>
      <c r="CG22" s="136">
        <v>3551</v>
      </c>
      <c r="CH22" s="136">
        <v>3551</v>
      </c>
      <c r="CI22" s="136">
        <v>3551</v>
      </c>
      <c r="CJ22" s="136">
        <v>3551</v>
      </c>
      <c r="CK22" s="136">
        <v>3551</v>
      </c>
      <c r="CL22" s="136">
        <v>3551</v>
      </c>
      <c r="CM22" s="136">
        <v>3551</v>
      </c>
      <c r="CN22" s="132">
        <f t="shared" si="6"/>
        <v>42612</v>
      </c>
      <c r="CO22" s="137">
        <v>0</v>
      </c>
      <c r="CP22" s="137">
        <v>0</v>
      </c>
      <c r="CQ22" s="137">
        <v>0</v>
      </c>
      <c r="CR22" s="137">
        <v>0</v>
      </c>
      <c r="CS22" s="137">
        <v>0</v>
      </c>
      <c r="CT22" s="137">
        <v>0</v>
      </c>
      <c r="CU22" s="137">
        <v>0</v>
      </c>
      <c r="CV22" s="137">
        <v>0</v>
      </c>
      <c r="CW22" s="137">
        <v>0</v>
      </c>
      <c r="CX22" s="137">
        <v>0</v>
      </c>
      <c r="CY22" s="137">
        <v>0</v>
      </c>
      <c r="CZ22" s="137">
        <v>0</v>
      </c>
      <c r="DA22" s="132">
        <f t="shared" si="7"/>
        <v>0</v>
      </c>
      <c r="DB22" s="136">
        <v>0</v>
      </c>
      <c r="DC22" s="136">
        <v>0</v>
      </c>
      <c r="DD22" s="136">
        <v>0</v>
      </c>
      <c r="DE22" s="136">
        <v>0</v>
      </c>
      <c r="DF22" s="136">
        <v>0</v>
      </c>
      <c r="DG22" s="136">
        <v>0</v>
      </c>
      <c r="DH22" s="136">
        <v>0</v>
      </c>
      <c r="DI22" s="136">
        <v>0</v>
      </c>
      <c r="DJ22" s="136">
        <v>0</v>
      </c>
      <c r="DK22" s="136">
        <v>0</v>
      </c>
      <c r="DL22" s="136">
        <v>0</v>
      </c>
      <c r="DM22" s="136">
        <v>0</v>
      </c>
      <c r="DN22" s="132">
        <f t="shared" si="8"/>
        <v>0</v>
      </c>
      <c r="DO22" s="137">
        <v>0</v>
      </c>
      <c r="DP22" s="137">
        <v>0</v>
      </c>
      <c r="DQ22" s="137">
        <v>0</v>
      </c>
      <c r="DR22" s="137">
        <v>0</v>
      </c>
      <c r="DS22" s="137">
        <v>0</v>
      </c>
      <c r="DT22" s="137">
        <v>0</v>
      </c>
      <c r="DU22" s="137">
        <v>0</v>
      </c>
      <c r="DV22" s="137">
        <v>0</v>
      </c>
      <c r="DW22" s="137">
        <v>0</v>
      </c>
      <c r="DX22" s="137">
        <v>0</v>
      </c>
      <c r="DY22" s="137">
        <v>0</v>
      </c>
      <c r="DZ22" s="137">
        <v>0</v>
      </c>
      <c r="EA22" s="132">
        <f t="shared" si="9"/>
        <v>0</v>
      </c>
      <c r="EB22" s="216">
        <v>0</v>
      </c>
      <c r="EC22" s="216">
        <v>0</v>
      </c>
      <c r="ED22" s="216">
        <v>0</v>
      </c>
      <c r="EE22" s="216">
        <v>0</v>
      </c>
      <c r="EF22" s="216">
        <v>0</v>
      </c>
      <c r="EG22" s="216">
        <v>0</v>
      </c>
      <c r="EH22" s="216">
        <v>0</v>
      </c>
      <c r="EI22" s="216">
        <v>0</v>
      </c>
      <c r="EJ22" s="216">
        <v>0</v>
      </c>
      <c r="EK22" s="216">
        <v>0</v>
      </c>
      <c r="EL22" s="216">
        <v>0</v>
      </c>
      <c r="EM22" s="216">
        <v>0</v>
      </c>
      <c r="EN22" s="132">
        <f t="shared" si="10"/>
        <v>0</v>
      </c>
      <c r="EO22" s="132">
        <v>0</v>
      </c>
      <c r="EP22" s="132">
        <v>0</v>
      </c>
      <c r="EQ22" s="132">
        <v>0</v>
      </c>
      <c r="ER22" s="132">
        <v>0</v>
      </c>
      <c r="ES22" s="132">
        <v>0</v>
      </c>
      <c r="ET22" s="132">
        <v>0</v>
      </c>
      <c r="EU22" s="132">
        <v>0</v>
      </c>
      <c r="EV22" s="132">
        <v>0</v>
      </c>
      <c r="EW22" s="132">
        <v>0</v>
      </c>
      <c r="EX22" s="132">
        <v>0</v>
      </c>
      <c r="EY22" s="132">
        <v>0</v>
      </c>
      <c r="EZ22" s="132">
        <v>0</v>
      </c>
      <c r="FA22" s="132">
        <f t="shared" si="11"/>
        <v>0</v>
      </c>
      <c r="FB22" s="181">
        <v>0</v>
      </c>
      <c r="FC22" s="181">
        <v>0</v>
      </c>
      <c r="FD22" s="181">
        <v>0</v>
      </c>
      <c r="FE22" s="181">
        <v>0</v>
      </c>
      <c r="FF22" s="181">
        <v>0</v>
      </c>
      <c r="FG22" s="181">
        <v>0</v>
      </c>
      <c r="FH22" s="181">
        <v>0</v>
      </c>
      <c r="FI22" s="181">
        <v>0</v>
      </c>
      <c r="FJ22" s="181">
        <v>0</v>
      </c>
      <c r="FK22" s="181">
        <v>0</v>
      </c>
      <c r="FL22" s="181">
        <v>0</v>
      </c>
      <c r="FM22" s="181">
        <v>0</v>
      </c>
      <c r="FN22" s="132">
        <f t="shared" si="12"/>
        <v>0</v>
      </c>
      <c r="FO22" s="132">
        <v>0</v>
      </c>
      <c r="FP22" s="132">
        <v>0</v>
      </c>
      <c r="FQ22" s="132">
        <v>0</v>
      </c>
      <c r="FR22" s="132">
        <v>0</v>
      </c>
      <c r="FS22" s="132">
        <v>0</v>
      </c>
      <c r="FT22" s="132">
        <v>0</v>
      </c>
      <c r="FU22" s="132">
        <v>0</v>
      </c>
      <c r="FV22" s="132">
        <v>0</v>
      </c>
      <c r="FW22" s="132">
        <v>0</v>
      </c>
      <c r="FX22" s="132">
        <v>0</v>
      </c>
      <c r="FY22" s="132">
        <v>0</v>
      </c>
      <c r="FZ22" s="132">
        <v>0</v>
      </c>
      <c r="GA22" s="132">
        <f t="shared" si="13"/>
        <v>0</v>
      </c>
      <c r="GB22" s="181">
        <v>0</v>
      </c>
      <c r="GC22" s="181">
        <v>0</v>
      </c>
      <c r="GD22" s="181">
        <v>0</v>
      </c>
      <c r="GE22" s="181">
        <v>0</v>
      </c>
      <c r="GF22" s="181">
        <v>0</v>
      </c>
      <c r="GG22" s="181">
        <v>0</v>
      </c>
      <c r="GH22" s="181">
        <v>0</v>
      </c>
      <c r="GI22" s="181">
        <v>0</v>
      </c>
      <c r="GJ22" s="181">
        <v>0</v>
      </c>
      <c r="GK22" s="181">
        <v>0</v>
      </c>
      <c r="GL22" s="181">
        <v>0</v>
      </c>
      <c r="GM22" s="181">
        <v>0</v>
      </c>
      <c r="GN22" s="181">
        <f t="shared" si="14"/>
        <v>0</v>
      </c>
      <c r="GO22" s="137">
        <v>0</v>
      </c>
      <c r="GP22" s="137">
        <v>0</v>
      </c>
      <c r="GQ22" s="137">
        <v>0</v>
      </c>
      <c r="GR22" s="137">
        <v>0</v>
      </c>
      <c r="GS22" s="137">
        <v>0</v>
      </c>
      <c r="GT22" s="137">
        <v>0</v>
      </c>
      <c r="GU22" s="137">
        <v>0</v>
      </c>
      <c r="GV22" s="137">
        <v>0</v>
      </c>
      <c r="GW22" s="137">
        <v>0</v>
      </c>
      <c r="GX22" s="137">
        <v>0</v>
      </c>
      <c r="GY22" s="137">
        <v>0</v>
      </c>
      <c r="GZ22" s="137">
        <v>0</v>
      </c>
      <c r="HA22" s="132">
        <f t="shared" si="15"/>
        <v>0</v>
      </c>
      <c r="HB22" s="181">
        <v>0</v>
      </c>
      <c r="HC22" s="181">
        <v>0</v>
      </c>
      <c r="HD22" s="181">
        <v>0</v>
      </c>
      <c r="HE22" s="181">
        <v>0</v>
      </c>
      <c r="HF22" s="181">
        <v>0</v>
      </c>
      <c r="HG22" s="181">
        <v>0</v>
      </c>
      <c r="HH22" s="181">
        <v>0</v>
      </c>
      <c r="HI22" s="181">
        <v>0</v>
      </c>
      <c r="HJ22" s="181">
        <v>0</v>
      </c>
      <c r="HK22" s="181">
        <v>0</v>
      </c>
      <c r="HL22" s="181">
        <v>0</v>
      </c>
      <c r="HM22" s="181">
        <v>0</v>
      </c>
      <c r="HN22" s="181">
        <f t="shared" si="16"/>
        <v>0</v>
      </c>
      <c r="HO22" s="132">
        <v>0</v>
      </c>
      <c r="HP22" s="132">
        <v>0</v>
      </c>
      <c r="HQ22" s="132">
        <v>0</v>
      </c>
      <c r="HR22" s="132">
        <v>0</v>
      </c>
      <c r="HS22" s="132">
        <v>0</v>
      </c>
      <c r="HT22" s="132">
        <v>0</v>
      </c>
      <c r="HU22" s="132">
        <v>0</v>
      </c>
      <c r="HV22" s="132">
        <v>0</v>
      </c>
      <c r="HW22" s="132">
        <v>0</v>
      </c>
      <c r="HX22" s="132">
        <v>0</v>
      </c>
      <c r="HY22" s="132">
        <v>0</v>
      </c>
      <c r="HZ22" s="132">
        <v>0</v>
      </c>
      <c r="IA22" s="132">
        <f t="shared" si="17"/>
        <v>0</v>
      </c>
      <c r="IB22" s="181">
        <v>0</v>
      </c>
      <c r="IC22" s="181">
        <v>0</v>
      </c>
      <c r="ID22" s="181">
        <v>0</v>
      </c>
      <c r="IE22" s="181">
        <v>0</v>
      </c>
      <c r="IF22" s="181">
        <v>0</v>
      </c>
      <c r="IG22" s="181">
        <v>0</v>
      </c>
      <c r="IH22" s="181">
        <v>0</v>
      </c>
      <c r="II22" s="181">
        <v>0</v>
      </c>
      <c r="IJ22" s="181">
        <v>0</v>
      </c>
      <c r="IK22" s="181">
        <v>0</v>
      </c>
      <c r="IL22" s="181">
        <v>0</v>
      </c>
      <c r="IM22" s="181">
        <v>0</v>
      </c>
      <c r="IN22" s="181">
        <f t="shared" si="18"/>
        <v>0</v>
      </c>
      <c r="IO22" s="181">
        <v>0</v>
      </c>
      <c r="IP22" s="181">
        <v>0</v>
      </c>
      <c r="IQ22" s="181">
        <v>0</v>
      </c>
      <c r="IR22" s="181">
        <v>0</v>
      </c>
      <c r="IS22" s="181">
        <v>0</v>
      </c>
      <c r="IT22" s="181">
        <v>0</v>
      </c>
      <c r="IU22" s="181">
        <v>0</v>
      </c>
      <c r="IV22" s="181">
        <v>0</v>
      </c>
      <c r="IW22" s="181">
        <v>0</v>
      </c>
      <c r="IX22" s="181">
        <v>0</v>
      </c>
      <c r="IY22" s="181">
        <v>0</v>
      </c>
      <c r="IZ22" s="181">
        <v>0</v>
      </c>
      <c r="JA22" s="181">
        <f t="shared" si="19"/>
        <v>0</v>
      </c>
      <c r="JC22" s="135">
        <f t="shared" si="20"/>
        <v>4166</v>
      </c>
      <c r="JD22" s="135">
        <f t="shared" si="21"/>
        <v>4166</v>
      </c>
      <c r="JE22" s="135">
        <f t="shared" si="22"/>
        <v>4166</v>
      </c>
      <c r="JF22" s="135">
        <f t="shared" si="23"/>
        <v>4166</v>
      </c>
      <c r="JG22" s="135">
        <f t="shared" si="24"/>
        <v>4166</v>
      </c>
      <c r="JH22" s="135">
        <f t="shared" si="25"/>
        <v>4166</v>
      </c>
      <c r="JI22" s="135">
        <f t="shared" si="26"/>
        <v>4166</v>
      </c>
      <c r="JJ22" s="135">
        <f t="shared" si="27"/>
        <v>4166</v>
      </c>
      <c r="JK22" s="135">
        <f t="shared" si="28"/>
        <v>4166</v>
      </c>
      <c r="JL22" s="135">
        <f t="shared" si="29"/>
        <v>4166</v>
      </c>
      <c r="JM22" s="135">
        <f t="shared" si="30"/>
        <v>4166</v>
      </c>
      <c r="JN22" s="135">
        <f t="shared" si="31"/>
        <v>4166</v>
      </c>
      <c r="JO22" s="132">
        <f t="shared" si="32"/>
        <v>49992</v>
      </c>
      <c r="JQ22" s="139">
        <f t="shared" si="33"/>
        <v>49992</v>
      </c>
    </row>
    <row r="23" spans="1:277" x14ac:dyDescent="0.25">
      <c r="A23" s="130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2">
        <f t="shared" si="0"/>
        <v>0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2">
        <f t="shared" si="1"/>
        <v>0</v>
      </c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2">
        <f t="shared" si="2"/>
        <v>0</v>
      </c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2">
        <f t="shared" si="3"/>
        <v>0</v>
      </c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2">
        <f t="shared" si="4"/>
        <v>0</v>
      </c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2">
        <f t="shared" si="5"/>
        <v>0</v>
      </c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2">
        <f t="shared" si="6"/>
        <v>0</v>
      </c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2">
        <f t="shared" si="7"/>
        <v>0</v>
      </c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2">
        <f t="shared" si="8"/>
        <v>0</v>
      </c>
      <c r="DO23" s="137"/>
      <c r="DP23" s="137"/>
      <c r="DQ23" s="137"/>
      <c r="DR23" s="137"/>
      <c r="DS23" s="137"/>
      <c r="DT23" s="137"/>
      <c r="DU23" s="137"/>
      <c r="DV23" s="137"/>
      <c r="DW23" s="137"/>
      <c r="DX23" s="137"/>
      <c r="DY23" s="137"/>
      <c r="DZ23" s="137"/>
      <c r="EA23" s="132">
        <f t="shared" si="9"/>
        <v>0</v>
      </c>
      <c r="EB23" s="216"/>
      <c r="EC23" s="216"/>
      <c r="ED23" s="216"/>
      <c r="EE23" s="216"/>
      <c r="EF23" s="216"/>
      <c r="EG23" s="216"/>
      <c r="EH23" s="216"/>
      <c r="EI23" s="216"/>
      <c r="EJ23" s="216"/>
      <c r="EK23" s="216"/>
      <c r="EL23" s="216"/>
      <c r="EM23" s="216"/>
      <c r="EN23" s="132">
        <f t="shared" si="10"/>
        <v>0</v>
      </c>
      <c r="EO23" s="132"/>
      <c r="EP23" s="132"/>
      <c r="EQ23" s="132"/>
      <c r="ER23" s="132"/>
      <c r="ES23" s="132"/>
      <c r="ET23" s="132"/>
      <c r="EU23" s="132"/>
      <c r="EV23" s="132"/>
      <c r="EW23" s="132"/>
      <c r="EX23" s="132"/>
      <c r="EY23" s="132"/>
      <c r="EZ23" s="132"/>
      <c r="FA23" s="132">
        <f t="shared" si="11"/>
        <v>0</v>
      </c>
      <c r="FB23" s="181"/>
      <c r="FC23" s="181"/>
      <c r="FD23" s="181"/>
      <c r="FE23" s="181"/>
      <c r="FF23" s="181"/>
      <c r="FG23" s="181"/>
      <c r="FH23" s="181"/>
      <c r="FI23" s="181"/>
      <c r="FJ23" s="181"/>
      <c r="FK23" s="181"/>
      <c r="FL23" s="181"/>
      <c r="FM23" s="181"/>
      <c r="FN23" s="132">
        <f t="shared" si="12"/>
        <v>0</v>
      </c>
      <c r="FO23" s="132"/>
      <c r="FP23" s="132"/>
      <c r="FQ23" s="132"/>
      <c r="FR23" s="132"/>
      <c r="FS23" s="132"/>
      <c r="FT23" s="132"/>
      <c r="FU23" s="132"/>
      <c r="FV23" s="132"/>
      <c r="FW23" s="132"/>
      <c r="FX23" s="132"/>
      <c r="FY23" s="132"/>
      <c r="FZ23" s="132"/>
      <c r="GA23" s="132">
        <f t="shared" si="13"/>
        <v>0</v>
      </c>
      <c r="GB23" s="181"/>
      <c r="GC23" s="181"/>
      <c r="GD23" s="181"/>
      <c r="GE23" s="181"/>
      <c r="GF23" s="181"/>
      <c r="GG23" s="181"/>
      <c r="GH23" s="181"/>
      <c r="GI23" s="181"/>
      <c r="GJ23" s="181"/>
      <c r="GK23" s="181"/>
      <c r="GL23" s="181"/>
      <c r="GM23" s="181"/>
      <c r="GN23" s="181">
        <f t="shared" si="14"/>
        <v>0</v>
      </c>
      <c r="GO23" s="137"/>
      <c r="GP23" s="137"/>
      <c r="GQ23" s="137"/>
      <c r="GR23" s="137"/>
      <c r="GS23" s="137"/>
      <c r="GT23" s="137"/>
      <c r="GU23" s="137"/>
      <c r="GV23" s="137"/>
      <c r="GW23" s="137"/>
      <c r="GX23" s="137"/>
      <c r="GY23" s="137"/>
      <c r="GZ23" s="137"/>
      <c r="HA23" s="132">
        <f t="shared" si="15"/>
        <v>0</v>
      </c>
      <c r="HB23" s="181"/>
      <c r="HC23" s="181"/>
      <c r="HD23" s="181"/>
      <c r="HE23" s="181"/>
      <c r="HF23" s="181"/>
      <c r="HG23" s="181"/>
      <c r="HH23" s="181"/>
      <c r="HI23" s="181"/>
      <c r="HJ23" s="181"/>
      <c r="HK23" s="181"/>
      <c r="HL23" s="181"/>
      <c r="HM23" s="181"/>
      <c r="HN23" s="181">
        <f t="shared" si="16"/>
        <v>0</v>
      </c>
      <c r="HO23" s="132"/>
      <c r="HP23" s="132"/>
      <c r="HQ23" s="132"/>
      <c r="HR23" s="132"/>
      <c r="HS23" s="132"/>
      <c r="HT23" s="132"/>
      <c r="HU23" s="132"/>
      <c r="HV23" s="132"/>
      <c r="HW23" s="132"/>
      <c r="HX23" s="132"/>
      <c r="HY23" s="132"/>
      <c r="HZ23" s="132"/>
      <c r="IA23" s="132">
        <f t="shared" si="17"/>
        <v>0</v>
      </c>
      <c r="IB23" s="181"/>
      <c r="IC23" s="181"/>
      <c r="ID23" s="181"/>
      <c r="IE23" s="181"/>
      <c r="IF23" s="181"/>
      <c r="IG23" s="181"/>
      <c r="IH23" s="181"/>
      <c r="II23" s="181"/>
      <c r="IJ23" s="181"/>
      <c r="IK23" s="181"/>
      <c r="IL23" s="181"/>
      <c r="IM23" s="181"/>
      <c r="IN23" s="181">
        <f t="shared" si="18"/>
        <v>0</v>
      </c>
      <c r="IO23" s="181"/>
      <c r="IP23" s="181"/>
      <c r="IQ23" s="181"/>
      <c r="IR23" s="181"/>
      <c r="IS23" s="181"/>
      <c r="IT23" s="181"/>
      <c r="IU23" s="181"/>
      <c r="IV23" s="181"/>
      <c r="IW23" s="181"/>
      <c r="IX23" s="181"/>
      <c r="IY23" s="181"/>
      <c r="IZ23" s="181"/>
      <c r="JA23" s="181">
        <f t="shared" si="19"/>
        <v>0</v>
      </c>
      <c r="JC23" s="135">
        <f t="shared" si="20"/>
        <v>0</v>
      </c>
      <c r="JD23" s="135">
        <f t="shared" si="21"/>
        <v>0</v>
      </c>
      <c r="JE23" s="135">
        <f t="shared" si="22"/>
        <v>0</v>
      </c>
      <c r="JF23" s="135">
        <f t="shared" si="23"/>
        <v>0</v>
      </c>
      <c r="JG23" s="135">
        <f t="shared" si="24"/>
        <v>0</v>
      </c>
      <c r="JH23" s="135">
        <f t="shared" si="25"/>
        <v>0</v>
      </c>
      <c r="JI23" s="135">
        <f t="shared" si="26"/>
        <v>0</v>
      </c>
      <c r="JJ23" s="135">
        <f t="shared" si="27"/>
        <v>0</v>
      </c>
      <c r="JK23" s="135">
        <f t="shared" si="28"/>
        <v>0</v>
      </c>
      <c r="JL23" s="135">
        <f t="shared" si="29"/>
        <v>0</v>
      </c>
      <c r="JM23" s="135">
        <f t="shared" si="30"/>
        <v>0</v>
      </c>
      <c r="JN23" s="135">
        <f t="shared" si="31"/>
        <v>0</v>
      </c>
      <c r="JO23" s="132">
        <f t="shared" si="32"/>
        <v>0</v>
      </c>
      <c r="JQ23" s="139">
        <f t="shared" si="33"/>
        <v>0</v>
      </c>
    </row>
    <row r="24" spans="1:277" x14ac:dyDescent="0.25">
      <c r="A24" s="130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2">
        <f t="shared" si="0"/>
        <v>0</v>
      </c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2">
        <f t="shared" si="1"/>
        <v>0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2">
        <f t="shared" si="2"/>
        <v>0</v>
      </c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2">
        <f t="shared" si="3"/>
        <v>0</v>
      </c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2">
        <f t="shared" si="4"/>
        <v>0</v>
      </c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2">
        <f t="shared" si="5"/>
        <v>0</v>
      </c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2">
        <f t="shared" si="6"/>
        <v>0</v>
      </c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  <c r="CZ24" s="137"/>
      <c r="DA24" s="132">
        <f t="shared" si="7"/>
        <v>0</v>
      </c>
      <c r="DB24" s="136"/>
      <c r="DC24" s="136"/>
      <c r="DD24" s="136"/>
      <c r="DE24" s="136"/>
      <c r="DF24" s="136"/>
      <c r="DG24" s="136"/>
      <c r="DH24" s="136"/>
      <c r="DI24" s="136"/>
      <c r="DJ24" s="136"/>
      <c r="DK24" s="136"/>
      <c r="DL24" s="136"/>
      <c r="DM24" s="136"/>
      <c r="DN24" s="132">
        <f t="shared" si="8"/>
        <v>0</v>
      </c>
      <c r="DO24" s="137"/>
      <c r="DP24" s="137"/>
      <c r="DQ24" s="137"/>
      <c r="DR24" s="137"/>
      <c r="DS24" s="137"/>
      <c r="DT24" s="137"/>
      <c r="DU24" s="137"/>
      <c r="DV24" s="137"/>
      <c r="DW24" s="137"/>
      <c r="DX24" s="137"/>
      <c r="DY24" s="137"/>
      <c r="DZ24" s="137"/>
      <c r="EA24" s="132">
        <f t="shared" si="9"/>
        <v>0</v>
      </c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132">
        <f t="shared" si="10"/>
        <v>0</v>
      </c>
      <c r="EO24" s="132"/>
      <c r="EP24" s="132"/>
      <c r="EQ24" s="132"/>
      <c r="ER24" s="132"/>
      <c r="ES24" s="132"/>
      <c r="ET24" s="132"/>
      <c r="EU24" s="132"/>
      <c r="EV24" s="132"/>
      <c r="EW24" s="132"/>
      <c r="EX24" s="132"/>
      <c r="EY24" s="132"/>
      <c r="EZ24" s="132"/>
      <c r="FA24" s="132">
        <f t="shared" si="11"/>
        <v>0</v>
      </c>
      <c r="FB24" s="181"/>
      <c r="FC24" s="181"/>
      <c r="FD24" s="181"/>
      <c r="FE24" s="181"/>
      <c r="FF24" s="181"/>
      <c r="FG24" s="181"/>
      <c r="FH24" s="181"/>
      <c r="FI24" s="181"/>
      <c r="FJ24" s="181"/>
      <c r="FK24" s="181"/>
      <c r="FL24" s="181"/>
      <c r="FM24" s="181"/>
      <c r="FN24" s="132">
        <f t="shared" si="12"/>
        <v>0</v>
      </c>
      <c r="FO24" s="132"/>
      <c r="FP24" s="132"/>
      <c r="FQ24" s="132"/>
      <c r="FR24" s="132"/>
      <c r="FS24" s="132"/>
      <c r="FT24" s="132"/>
      <c r="FU24" s="132"/>
      <c r="FV24" s="132"/>
      <c r="FW24" s="132"/>
      <c r="FX24" s="132"/>
      <c r="FY24" s="132"/>
      <c r="FZ24" s="132"/>
      <c r="GA24" s="132">
        <f t="shared" si="13"/>
        <v>0</v>
      </c>
      <c r="GB24" s="181"/>
      <c r="GC24" s="181"/>
      <c r="GD24" s="181"/>
      <c r="GE24" s="181"/>
      <c r="GF24" s="181"/>
      <c r="GG24" s="181"/>
      <c r="GH24" s="181"/>
      <c r="GI24" s="181"/>
      <c r="GJ24" s="181"/>
      <c r="GK24" s="181"/>
      <c r="GL24" s="181"/>
      <c r="GM24" s="181"/>
      <c r="GN24" s="181">
        <f t="shared" si="14"/>
        <v>0</v>
      </c>
      <c r="GO24" s="137"/>
      <c r="GP24" s="137"/>
      <c r="GQ24" s="137"/>
      <c r="GR24" s="137"/>
      <c r="GS24" s="137"/>
      <c r="GT24" s="137"/>
      <c r="GU24" s="137"/>
      <c r="GV24" s="137"/>
      <c r="GW24" s="137"/>
      <c r="GX24" s="137"/>
      <c r="GY24" s="137"/>
      <c r="GZ24" s="137"/>
      <c r="HA24" s="132">
        <f t="shared" si="15"/>
        <v>0</v>
      </c>
      <c r="HB24" s="181"/>
      <c r="HC24" s="181"/>
      <c r="HD24" s="181"/>
      <c r="HE24" s="181"/>
      <c r="HF24" s="181"/>
      <c r="HG24" s="181"/>
      <c r="HH24" s="181"/>
      <c r="HI24" s="181"/>
      <c r="HJ24" s="181"/>
      <c r="HK24" s="181"/>
      <c r="HL24" s="181"/>
      <c r="HM24" s="181"/>
      <c r="HN24" s="181">
        <f t="shared" si="16"/>
        <v>0</v>
      </c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>
        <f t="shared" si="17"/>
        <v>0</v>
      </c>
      <c r="IB24" s="181"/>
      <c r="IC24" s="181"/>
      <c r="ID24" s="181"/>
      <c r="IE24" s="181"/>
      <c r="IF24" s="181"/>
      <c r="IG24" s="181"/>
      <c r="IH24" s="181"/>
      <c r="II24" s="181"/>
      <c r="IJ24" s="181"/>
      <c r="IK24" s="181"/>
      <c r="IL24" s="181"/>
      <c r="IM24" s="181"/>
      <c r="IN24" s="181">
        <f t="shared" si="18"/>
        <v>0</v>
      </c>
      <c r="IO24" s="181"/>
      <c r="IP24" s="181"/>
      <c r="IQ24" s="181"/>
      <c r="IR24" s="181"/>
      <c r="IS24" s="181"/>
      <c r="IT24" s="181"/>
      <c r="IU24" s="181"/>
      <c r="IV24" s="181"/>
      <c r="IW24" s="181"/>
      <c r="IX24" s="181"/>
      <c r="IY24" s="181"/>
      <c r="IZ24" s="181"/>
      <c r="JA24" s="181">
        <f t="shared" si="19"/>
        <v>0</v>
      </c>
      <c r="JC24" s="135">
        <f t="shared" si="20"/>
        <v>0</v>
      </c>
      <c r="JD24" s="135">
        <f t="shared" si="21"/>
        <v>0</v>
      </c>
      <c r="JE24" s="135">
        <f t="shared" si="22"/>
        <v>0</v>
      </c>
      <c r="JF24" s="135">
        <f t="shared" si="23"/>
        <v>0</v>
      </c>
      <c r="JG24" s="135">
        <f t="shared" si="24"/>
        <v>0</v>
      </c>
      <c r="JH24" s="135">
        <f t="shared" si="25"/>
        <v>0</v>
      </c>
      <c r="JI24" s="135">
        <f t="shared" si="26"/>
        <v>0</v>
      </c>
      <c r="JJ24" s="135">
        <f t="shared" si="27"/>
        <v>0</v>
      </c>
      <c r="JK24" s="135">
        <f t="shared" si="28"/>
        <v>0</v>
      </c>
      <c r="JL24" s="135">
        <f t="shared" si="29"/>
        <v>0</v>
      </c>
      <c r="JM24" s="135">
        <f t="shared" si="30"/>
        <v>0</v>
      </c>
      <c r="JN24" s="135">
        <f t="shared" si="31"/>
        <v>0</v>
      </c>
      <c r="JO24" s="132">
        <f t="shared" si="32"/>
        <v>0</v>
      </c>
      <c r="JQ24" s="139">
        <f t="shared" si="33"/>
        <v>0</v>
      </c>
    </row>
    <row r="25" spans="1:277" x14ac:dyDescent="0.25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2">
        <f t="shared" si="0"/>
        <v>0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2">
        <f t="shared" si="1"/>
        <v>0</v>
      </c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2">
        <f t="shared" si="2"/>
        <v>0</v>
      </c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2">
        <f t="shared" si="3"/>
        <v>0</v>
      </c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2">
        <f t="shared" si="4"/>
        <v>0</v>
      </c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2">
        <f t="shared" si="5"/>
        <v>0</v>
      </c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2">
        <f t="shared" si="6"/>
        <v>0</v>
      </c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2">
        <f t="shared" si="7"/>
        <v>0</v>
      </c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2">
        <f t="shared" si="8"/>
        <v>0</v>
      </c>
      <c r="DO25" s="137"/>
      <c r="DP25" s="137"/>
      <c r="DQ25" s="137"/>
      <c r="DR25" s="137"/>
      <c r="DS25" s="137"/>
      <c r="DT25" s="137"/>
      <c r="DU25" s="137"/>
      <c r="DV25" s="137"/>
      <c r="DW25" s="137"/>
      <c r="DX25" s="137"/>
      <c r="DY25" s="137"/>
      <c r="DZ25" s="137"/>
      <c r="EA25" s="132">
        <f t="shared" si="9"/>
        <v>0</v>
      </c>
      <c r="EB25" s="216"/>
      <c r="EC25" s="216"/>
      <c r="ED25" s="216"/>
      <c r="EE25" s="216"/>
      <c r="EF25" s="216"/>
      <c r="EG25" s="216"/>
      <c r="EH25" s="216"/>
      <c r="EI25" s="216"/>
      <c r="EJ25" s="216"/>
      <c r="EK25" s="216"/>
      <c r="EL25" s="216"/>
      <c r="EM25" s="216"/>
      <c r="EN25" s="132">
        <f t="shared" si="10"/>
        <v>0</v>
      </c>
      <c r="EO25" s="132"/>
      <c r="EP25" s="132"/>
      <c r="EQ25" s="132"/>
      <c r="ER25" s="132"/>
      <c r="ES25" s="132"/>
      <c r="ET25" s="132"/>
      <c r="EU25" s="132"/>
      <c r="EV25" s="132"/>
      <c r="EW25" s="132"/>
      <c r="EX25" s="132"/>
      <c r="EY25" s="132"/>
      <c r="EZ25" s="132"/>
      <c r="FA25" s="132">
        <f t="shared" si="11"/>
        <v>0</v>
      </c>
      <c r="FB25" s="181"/>
      <c r="FC25" s="181"/>
      <c r="FD25" s="181"/>
      <c r="FE25" s="181"/>
      <c r="FF25" s="181"/>
      <c r="FG25" s="181"/>
      <c r="FH25" s="181"/>
      <c r="FI25" s="181"/>
      <c r="FJ25" s="181"/>
      <c r="FK25" s="181"/>
      <c r="FL25" s="181"/>
      <c r="FM25" s="181"/>
      <c r="FN25" s="132">
        <f t="shared" si="12"/>
        <v>0</v>
      </c>
      <c r="FO25" s="132"/>
      <c r="FP25" s="132"/>
      <c r="FQ25" s="132"/>
      <c r="FR25" s="132"/>
      <c r="FS25" s="132"/>
      <c r="FT25" s="132"/>
      <c r="FU25" s="132"/>
      <c r="FV25" s="132"/>
      <c r="FW25" s="132"/>
      <c r="FX25" s="132"/>
      <c r="FY25" s="132"/>
      <c r="FZ25" s="132"/>
      <c r="GA25" s="132">
        <f t="shared" si="13"/>
        <v>0</v>
      </c>
      <c r="GB25" s="181"/>
      <c r="GC25" s="181"/>
      <c r="GD25" s="181"/>
      <c r="GE25" s="181"/>
      <c r="GF25" s="181"/>
      <c r="GG25" s="181"/>
      <c r="GH25" s="181"/>
      <c r="GI25" s="181"/>
      <c r="GJ25" s="181"/>
      <c r="GK25" s="181"/>
      <c r="GL25" s="181"/>
      <c r="GM25" s="181"/>
      <c r="GN25" s="181">
        <f t="shared" si="14"/>
        <v>0</v>
      </c>
      <c r="GO25" s="137"/>
      <c r="GP25" s="137"/>
      <c r="GQ25" s="137"/>
      <c r="GR25" s="137"/>
      <c r="GS25" s="137"/>
      <c r="GT25" s="137"/>
      <c r="GU25" s="137"/>
      <c r="GV25" s="137"/>
      <c r="GW25" s="137"/>
      <c r="GX25" s="137"/>
      <c r="GY25" s="137"/>
      <c r="GZ25" s="137"/>
      <c r="HA25" s="132">
        <f t="shared" si="15"/>
        <v>0</v>
      </c>
      <c r="HB25" s="181"/>
      <c r="HC25" s="181"/>
      <c r="HD25" s="181"/>
      <c r="HE25" s="181"/>
      <c r="HF25" s="181"/>
      <c r="HG25" s="181"/>
      <c r="HH25" s="181"/>
      <c r="HI25" s="181"/>
      <c r="HJ25" s="181"/>
      <c r="HK25" s="181"/>
      <c r="HL25" s="181"/>
      <c r="HM25" s="181"/>
      <c r="HN25" s="181">
        <f t="shared" si="16"/>
        <v>0</v>
      </c>
      <c r="HO25" s="132"/>
      <c r="HP25" s="132"/>
      <c r="HQ25" s="132"/>
      <c r="HR25" s="132"/>
      <c r="HS25" s="132"/>
      <c r="HT25" s="132"/>
      <c r="HU25" s="132"/>
      <c r="HV25" s="132"/>
      <c r="HW25" s="132"/>
      <c r="HX25" s="132"/>
      <c r="HY25" s="132"/>
      <c r="HZ25" s="132"/>
      <c r="IA25" s="132">
        <f t="shared" si="17"/>
        <v>0</v>
      </c>
      <c r="IB25" s="181"/>
      <c r="IC25" s="181"/>
      <c r="ID25" s="181"/>
      <c r="IE25" s="181"/>
      <c r="IF25" s="181"/>
      <c r="IG25" s="181"/>
      <c r="IH25" s="181"/>
      <c r="II25" s="181"/>
      <c r="IJ25" s="181"/>
      <c r="IK25" s="181"/>
      <c r="IL25" s="181"/>
      <c r="IM25" s="181"/>
      <c r="IN25" s="181">
        <f t="shared" si="18"/>
        <v>0</v>
      </c>
      <c r="IO25" s="181"/>
      <c r="IP25" s="181"/>
      <c r="IQ25" s="181"/>
      <c r="IR25" s="181"/>
      <c r="IS25" s="181"/>
      <c r="IT25" s="181"/>
      <c r="IU25" s="181"/>
      <c r="IV25" s="181"/>
      <c r="IW25" s="181"/>
      <c r="IX25" s="181"/>
      <c r="IY25" s="181"/>
      <c r="IZ25" s="181"/>
      <c r="JA25" s="181">
        <f t="shared" si="19"/>
        <v>0</v>
      </c>
      <c r="JC25" s="135">
        <f t="shared" si="20"/>
        <v>0</v>
      </c>
      <c r="JD25" s="135">
        <f t="shared" si="21"/>
        <v>0</v>
      </c>
      <c r="JE25" s="135">
        <f t="shared" si="22"/>
        <v>0</v>
      </c>
      <c r="JF25" s="135">
        <f t="shared" si="23"/>
        <v>0</v>
      </c>
      <c r="JG25" s="135">
        <f t="shared" si="24"/>
        <v>0</v>
      </c>
      <c r="JH25" s="135">
        <f t="shared" si="25"/>
        <v>0</v>
      </c>
      <c r="JI25" s="135">
        <f t="shared" si="26"/>
        <v>0</v>
      </c>
      <c r="JJ25" s="135">
        <f t="shared" si="27"/>
        <v>0</v>
      </c>
      <c r="JK25" s="135">
        <f t="shared" si="28"/>
        <v>0</v>
      </c>
      <c r="JL25" s="135">
        <f t="shared" si="29"/>
        <v>0</v>
      </c>
      <c r="JM25" s="135">
        <f t="shared" si="30"/>
        <v>0</v>
      </c>
      <c r="JN25" s="135">
        <f t="shared" si="31"/>
        <v>0</v>
      </c>
      <c r="JO25" s="132">
        <f t="shared" si="32"/>
        <v>0</v>
      </c>
      <c r="JQ25" s="139">
        <f t="shared" si="33"/>
        <v>0</v>
      </c>
    </row>
    <row r="26" spans="1:277" x14ac:dyDescent="0.25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2">
        <f t="shared" si="0"/>
        <v>0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2">
        <f t="shared" si="1"/>
        <v>0</v>
      </c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2">
        <f t="shared" si="2"/>
        <v>0</v>
      </c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2">
        <f t="shared" si="3"/>
        <v>0</v>
      </c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2">
        <f t="shared" si="4"/>
        <v>0</v>
      </c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2">
        <f t="shared" si="5"/>
        <v>0</v>
      </c>
      <c r="CB26" s="136"/>
      <c r="CC26" s="136"/>
      <c r="CD26" s="136"/>
      <c r="CE26" s="136"/>
      <c r="CF26" s="136"/>
      <c r="CG26" s="136"/>
      <c r="CH26" s="136"/>
      <c r="CI26" s="136"/>
      <c r="CJ26" s="136"/>
      <c r="CK26" s="136"/>
      <c r="CL26" s="136"/>
      <c r="CM26" s="136"/>
      <c r="CN26" s="132">
        <f t="shared" si="6"/>
        <v>0</v>
      </c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  <c r="CZ26" s="137"/>
      <c r="DA26" s="132">
        <f t="shared" si="7"/>
        <v>0</v>
      </c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2">
        <f t="shared" si="8"/>
        <v>0</v>
      </c>
      <c r="DO26" s="137"/>
      <c r="DP26" s="137"/>
      <c r="DQ26" s="137"/>
      <c r="DR26" s="137"/>
      <c r="DS26" s="137"/>
      <c r="DT26" s="137"/>
      <c r="DU26" s="137"/>
      <c r="DV26" s="137"/>
      <c r="DW26" s="137"/>
      <c r="DX26" s="137"/>
      <c r="DY26" s="137"/>
      <c r="DZ26" s="137"/>
      <c r="EA26" s="132">
        <f t="shared" si="9"/>
        <v>0</v>
      </c>
      <c r="EB26" s="216"/>
      <c r="EC26" s="216"/>
      <c r="ED26" s="216"/>
      <c r="EE26" s="216"/>
      <c r="EF26" s="216"/>
      <c r="EG26" s="216"/>
      <c r="EH26" s="216"/>
      <c r="EI26" s="216"/>
      <c r="EJ26" s="216"/>
      <c r="EK26" s="216"/>
      <c r="EL26" s="216"/>
      <c r="EM26" s="216"/>
      <c r="EN26" s="132">
        <f t="shared" si="10"/>
        <v>0</v>
      </c>
      <c r="EO26" s="132"/>
      <c r="EP26" s="132"/>
      <c r="EQ26" s="132"/>
      <c r="ER26" s="132"/>
      <c r="ES26" s="132"/>
      <c r="ET26" s="132"/>
      <c r="EU26" s="132"/>
      <c r="EV26" s="132"/>
      <c r="EW26" s="132"/>
      <c r="EX26" s="132"/>
      <c r="EY26" s="132"/>
      <c r="EZ26" s="132"/>
      <c r="FA26" s="132">
        <f t="shared" si="11"/>
        <v>0</v>
      </c>
      <c r="FB26" s="181"/>
      <c r="FC26" s="181"/>
      <c r="FD26" s="181"/>
      <c r="FE26" s="181"/>
      <c r="FF26" s="181"/>
      <c r="FG26" s="181"/>
      <c r="FH26" s="181"/>
      <c r="FI26" s="181"/>
      <c r="FJ26" s="181"/>
      <c r="FK26" s="181"/>
      <c r="FL26" s="181"/>
      <c r="FM26" s="181"/>
      <c r="FN26" s="132">
        <f t="shared" si="12"/>
        <v>0</v>
      </c>
      <c r="FO26" s="132"/>
      <c r="FP26" s="132"/>
      <c r="FQ26" s="132"/>
      <c r="FR26" s="132"/>
      <c r="FS26" s="132"/>
      <c r="FT26" s="132"/>
      <c r="FU26" s="132"/>
      <c r="FV26" s="132"/>
      <c r="FW26" s="132"/>
      <c r="FX26" s="132"/>
      <c r="FY26" s="132"/>
      <c r="FZ26" s="132"/>
      <c r="GA26" s="132">
        <f t="shared" si="13"/>
        <v>0</v>
      </c>
      <c r="GB26" s="181"/>
      <c r="GC26" s="181"/>
      <c r="GD26" s="181"/>
      <c r="GE26" s="181"/>
      <c r="GF26" s="181"/>
      <c r="GG26" s="181"/>
      <c r="GH26" s="181"/>
      <c r="GI26" s="181"/>
      <c r="GJ26" s="181"/>
      <c r="GK26" s="181"/>
      <c r="GL26" s="181"/>
      <c r="GM26" s="181"/>
      <c r="GN26" s="181">
        <f t="shared" si="14"/>
        <v>0</v>
      </c>
      <c r="GO26" s="137"/>
      <c r="GP26" s="137"/>
      <c r="GQ26" s="137"/>
      <c r="GR26" s="137"/>
      <c r="GS26" s="137"/>
      <c r="GT26" s="137"/>
      <c r="GU26" s="137"/>
      <c r="GV26" s="137"/>
      <c r="GW26" s="137"/>
      <c r="GX26" s="137"/>
      <c r="GY26" s="137"/>
      <c r="GZ26" s="137"/>
      <c r="HA26" s="132">
        <f t="shared" si="15"/>
        <v>0</v>
      </c>
      <c r="HB26" s="181"/>
      <c r="HC26" s="181"/>
      <c r="HD26" s="181"/>
      <c r="HE26" s="181"/>
      <c r="HF26" s="181"/>
      <c r="HG26" s="181"/>
      <c r="HH26" s="181"/>
      <c r="HI26" s="181"/>
      <c r="HJ26" s="181"/>
      <c r="HK26" s="181"/>
      <c r="HL26" s="181"/>
      <c r="HM26" s="181"/>
      <c r="HN26" s="181">
        <f t="shared" si="16"/>
        <v>0</v>
      </c>
      <c r="HO26" s="132"/>
      <c r="HP26" s="132"/>
      <c r="HQ26" s="132"/>
      <c r="HR26" s="132"/>
      <c r="HS26" s="132"/>
      <c r="HT26" s="132"/>
      <c r="HU26" s="132"/>
      <c r="HV26" s="132"/>
      <c r="HW26" s="132"/>
      <c r="HX26" s="132"/>
      <c r="HY26" s="132"/>
      <c r="HZ26" s="132"/>
      <c r="IA26" s="132">
        <f t="shared" si="17"/>
        <v>0</v>
      </c>
      <c r="IB26" s="181"/>
      <c r="IC26" s="181"/>
      <c r="ID26" s="181"/>
      <c r="IE26" s="181"/>
      <c r="IF26" s="181"/>
      <c r="IG26" s="181"/>
      <c r="IH26" s="181"/>
      <c r="II26" s="181"/>
      <c r="IJ26" s="181"/>
      <c r="IK26" s="181"/>
      <c r="IL26" s="181"/>
      <c r="IM26" s="181"/>
      <c r="IN26" s="181">
        <f t="shared" si="18"/>
        <v>0</v>
      </c>
      <c r="IO26" s="181"/>
      <c r="IP26" s="181"/>
      <c r="IQ26" s="181"/>
      <c r="IR26" s="181"/>
      <c r="IS26" s="181"/>
      <c r="IT26" s="181"/>
      <c r="IU26" s="181"/>
      <c r="IV26" s="181"/>
      <c r="IW26" s="181"/>
      <c r="IX26" s="181"/>
      <c r="IY26" s="181"/>
      <c r="IZ26" s="181"/>
      <c r="JA26" s="181">
        <f t="shared" si="19"/>
        <v>0</v>
      </c>
      <c r="JC26" s="135">
        <f t="shared" si="20"/>
        <v>0</v>
      </c>
      <c r="JD26" s="135">
        <f t="shared" si="21"/>
        <v>0</v>
      </c>
      <c r="JE26" s="135">
        <f t="shared" si="22"/>
        <v>0</v>
      </c>
      <c r="JF26" s="135">
        <f t="shared" si="23"/>
        <v>0</v>
      </c>
      <c r="JG26" s="135">
        <f t="shared" si="24"/>
        <v>0</v>
      </c>
      <c r="JH26" s="135">
        <f t="shared" si="25"/>
        <v>0</v>
      </c>
      <c r="JI26" s="135">
        <f t="shared" si="26"/>
        <v>0</v>
      </c>
      <c r="JJ26" s="135">
        <f t="shared" si="27"/>
        <v>0</v>
      </c>
      <c r="JK26" s="135">
        <f t="shared" si="28"/>
        <v>0</v>
      </c>
      <c r="JL26" s="135">
        <f t="shared" si="29"/>
        <v>0</v>
      </c>
      <c r="JM26" s="135">
        <f t="shared" si="30"/>
        <v>0</v>
      </c>
      <c r="JN26" s="135">
        <f t="shared" si="31"/>
        <v>0</v>
      </c>
      <c r="JO26" s="132">
        <f t="shared" si="32"/>
        <v>0</v>
      </c>
      <c r="JQ26" s="139">
        <f t="shared" si="33"/>
        <v>0</v>
      </c>
    </row>
    <row r="27" spans="1:277" x14ac:dyDescent="0.25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2">
        <f t="shared" si="0"/>
        <v>0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2">
        <f t="shared" si="1"/>
        <v>0</v>
      </c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2">
        <f t="shared" si="2"/>
        <v>0</v>
      </c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2">
        <f t="shared" si="3"/>
        <v>0</v>
      </c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2">
        <f t="shared" si="4"/>
        <v>0</v>
      </c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2">
        <f t="shared" si="5"/>
        <v>0</v>
      </c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2">
        <f t="shared" si="6"/>
        <v>0</v>
      </c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2">
        <f t="shared" si="7"/>
        <v>0</v>
      </c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2">
        <f t="shared" si="8"/>
        <v>0</v>
      </c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2">
        <f t="shared" si="9"/>
        <v>0</v>
      </c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132">
        <f t="shared" si="10"/>
        <v>0</v>
      </c>
      <c r="EO27" s="132"/>
      <c r="EP27" s="132"/>
      <c r="EQ27" s="132"/>
      <c r="ER27" s="132"/>
      <c r="ES27" s="132"/>
      <c r="ET27" s="132"/>
      <c r="EU27" s="132"/>
      <c r="EV27" s="132"/>
      <c r="EW27" s="132"/>
      <c r="EX27" s="132"/>
      <c r="EY27" s="132"/>
      <c r="EZ27" s="132"/>
      <c r="FA27" s="132">
        <f t="shared" si="11"/>
        <v>0</v>
      </c>
      <c r="FB27" s="181"/>
      <c r="FC27" s="181"/>
      <c r="FD27" s="181"/>
      <c r="FE27" s="181"/>
      <c r="FF27" s="181"/>
      <c r="FG27" s="181"/>
      <c r="FH27" s="181"/>
      <c r="FI27" s="181"/>
      <c r="FJ27" s="181"/>
      <c r="FK27" s="181"/>
      <c r="FL27" s="181"/>
      <c r="FM27" s="181"/>
      <c r="FN27" s="132">
        <f t="shared" si="12"/>
        <v>0</v>
      </c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>
        <f t="shared" si="13"/>
        <v>0</v>
      </c>
      <c r="GB27" s="181"/>
      <c r="GC27" s="181"/>
      <c r="GD27" s="181"/>
      <c r="GE27" s="181"/>
      <c r="GF27" s="181"/>
      <c r="GG27" s="181"/>
      <c r="GH27" s="181"/>
      <c r="GI27" s="181"/>
      <c r="GJ27" s="181"/>
      <c r="GK27" s="181"/>
      <c r="GL27" s="181"/>
      <c r="GM27" s="181"/>
      <c r="GN27" s="181">
        <f t="shared" si="14"/>
        <v>0</v>
      </c>
      <c r="GO27" s="137"/>
      <c r="GP27" s="137"/>
      <c r="GQ27" s="137"/>
      <c r="GR27" s="137"/>
      <c r="GS27" s="137"/>
      <c r="GT27" s="137"/>
      <c r="GU27" s="137"/>
      <c r="GV27" s="137"/>
      <c r="GW27" s="137"/>
      <c r="GX27" s="137"/>
      <c r="GY27" s="137"/>
      <c r="GZ27" s="137"/>
      <c r="HA27" s="132">
        <f t="shared" si="15"/>
        <v>0</v>
      </c>
      <c r="HB27" s="181"/>
      <c r="HC27" s="181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>
        <f t="shared" si="16"/>
        <v>0</v>
      </c>
      <c r="HO27" s="132"/>
      <c r="HP27" s="132"/>
      <c r="HQ27" s="132"/>
      <c r="HR27" s="132"/>
      <c r="HS27" s="132"/>
      <c r="HT27" s="132"/>
      <c r="HU27" s="132"/>
      <c r="HV27" s="132"/>
      <c r="HW27" s="132"/>
      <c r="HX27" s="132"/>
      <c r="HY27" s="132"/>
      <c r="HZ27" s="132"/>
      <c r="IA27" s="132">
        <f t="shared" si="17"/>
        <v>0</v>
      </c>
      <c r="IB27" s="181"/>
      <c r="IC27" s="181"/>
      <c r="ID27" s="181"/>
      <c r="IE27" s="181"/>
      <c r="IF27" s="181"/>
      <c r="IG27" s="181"/>
      <c r="IH27" s="181"/>
      <c r="II27" s="181"/>
      <c r="IJ27" s="181"/>
      <c r="IK27" s="181"/>
      <c r="IL27" s="181"/>
      <c r="IM27" s="181"/>
      <c r="IN27" s="181">
        <f t="shared" si="18"/>
        <v>0</v>
      </c>
      <c r="IO27" s="181"/>
      <c r="IP27" s="181"/>
      <c r="IQ27" s="181"/>
      <c r="IR27" s="181"/>
      <c r="IS27" s="181"/>
      <c r="IT27" s="181"/>
      <c r="IU27" s="181"/>
      <c r="IV27" s="181"/>
      <c r="IW27" s="181"/>
      <c r="IX27" s="181"/>
      <c r="IY27" s="181"/>
      <c r="IZ27" s="181"/>
      <c r="JA27" s="181">
        <f t="shared" si="19"/>
        <v>0</v>
      </c>
      <c r="JC27" s="135">
        <f t="shared" si="20"/>
        <v>0</v>
      </c>
      <c r="JD27" s="135">
        <f t="shared" si="21"/>
        <v>0</v>
      </c>
      <c r="JE27" s="135">
        <f t="shared" si="22"/>
        <v>0</v>
      </c>
      <c r="JF27" s="135">
        <f t="shared" si="23"/>
        <v>0</v>
      </c>
      <c r="JG27" s="135">
        <f t="shared" si="24"/>
        <v>0</v>
      </c>
      <c r="JH27" s="135">
        <f t="shared" si="25"/>
        <v>0</v>
      </c>
      <c r="JI27" s="135">
        <f t="shared" si="26"/>
        <v>0</v>
      </c>
      <c r="JJ27" s="135">
        <f t="shared" si="27"/>
        <v>0</v>
      </c>
      <c r="JK27" s="135">
        <f t="shared" si="28"/>
        <v>0</v>
      </c>
      <c r="JL27" s="135">
        <f t="shared" si="29"/>
        <v>0</v>
      </c>
      <c r="JM27" s="135">
        <f t="shared" si="30"/>
        <v>0</v>
      </c>
      <c r="JN27" s="135">
        <f t="shared" si="31"/>
        <v>0</v>
      </c>
      <c r="JO27" s="132">
        <f t="shared" si="32"/>
        <v>0</v>
      </c>
      <c r="JQ27" s="139">
        <f t="shared" si="33"/>
        <v>0</v>
      </c>
    </row>
    <row r="28" spans="1:277" x14ac:dyDescent="0.25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2">
        <f t="shared" si="0"/>
        <v>0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2">
        <f t="shared" si="1"/>
        <v>0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2">
        <f t="shared" si="2"/>
        <v>0</v>
      </c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2">
        <f t="shared" si="3"/>
        <v>0</v>
      </c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2">
        <f t="shared" si="4"/>
        <v>0</v>
      </c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2">
        <f t="shared" si="5"/>
        <v>0</v>
      </c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2">
        <f t="shared" si="6"/>
        <v>0</v>
      </c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2">
        <f t="shared" si="7"/>
        <v>0</v>
      </c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2">
        <f t="shared" si="8"/>
        <v>0</v>
      </c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2">
        <f t="shared" si="9"/>
        <v>0</v>
      </c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132">
        <f t="shared" si="10"/>
        <v>0</v>
      </c>
      <c r="EO28" s="132"/>
      <c r="EP28" s="132"/>
      <c r="EQ28" s="132"/>
      <c r="ER28" s="132"/>
      <c r="ES28" s="132"/>
      <c r="ET28" s="132"/>
      <c r="EU28" s="132"/>
      <c r="EV28" s="132"/>
      <c r="EW28" s="132"/>
      <c r="EX28" s="132"/>
      <c r="EY28" s="132"/>
      <c r="EZ28" s="132"/>
      <c r="FA28" s="132">
        <f t="shared" si="11"/>
        <v>0</v>
      </c>
      <c r="FB28" s="181"/>
      <c r="FC28" s="181"/>
      <c r="FD28" s="181"/>
      <c r="FE28" s="181"/>
      <c r="FF28" s="181"/>
      <c r="FG28" s="181"/>
      <c r="FH28" s="181"/>
      <c r="FI28" s="181"/>
      <c r="FJ28" s="181"/>
      <c r="FK28" s="181"/>
      <c r="FL28" s="181"/>
      <c r="FM28" s="181"/>
      <c r="FN28" s="132">
        <f t="shared" si="12"/>
        <v>0</v>
      </c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>
        <f t="shared" si="13"/>
        <v>0</v>
      </c>
      <c r="GB28" s="181"/>
      <c r="GC28" s="181"/>
      <c r="GD28" s="181"/>
      <c r="GE28" s="181"/>
      <c r="GF28" s="181"/>
      <c r="GG28" s="181"/>
      <c r="GH28" s="181"/>
      <c r="GI28" s="181"/>
      <c r="GJ28" s="181"/>
      <c r="GK28" s="181"/>
      <c r="GL28" s="181"/>
      <c r="GM28" s="181"/>
      <c r="GN28" s="181">
        <f t="shared" si="14"/>
        <v>0</v>
      </c>
      <c r="GO28" s="137"/>
      <c r="GP28" s="137"/>
      <c r="GQ28" s="137"/>
      <c r="GR28" s="137"/>
      <c r="GS28" s="137"/>
      <c r="GT28" s="137"/>
      <c r="GU28" s="137"/>
      <c r="GV28" s="137"/>
      <c r="GW28" s="137"/>
      <c r="GX28" s="137"/>
      <c r="GY28" s="137"/>
      <c r="GZ28" s="137"/>
      <c r="HA28" s="132">
        <f t="shared" si="15"/>
        <v>0</v>
      </c>
      <c r="HB28" s="181"/>
      <c r="HC28" s="181"/>
      <c r="HD28" s="181"/>
      <c r="HE28" s="181"/>
      <c r="HF28" s="181"/>
      <c r="HG28" s="181"/>
      <c r="HH28" s="181"/>
      <c r="HI28" s="181"/>
      <c r="HJ28" s="181"/>
      <c r="HK28" s="181"/>
      <c r="HL28" s="181"/>
      <c r="HM28" s="181"/>
      <c r="HN28" s="181">
        <f t="shared" si="16"/>
        <v>0</v>
      </c>
      <c r="HO28" s="132"/>
      <c r="HP28" s="132"/>
      <c r="HQ28" s="132"/>
      <c r="HR28" s="132"/>
      <c r="HS28" s="132"/>
      <c r="HT28" s="132"/>
      <c r="HU28" s="132"/>
      <c r="HV28" s="132"/>
      <c r="HW28" s="132"/>
      <c r="HX28" s="132"/>
      <c r="HY28" s="132"/>
      <c r="HZ28" s="132"/>
      <c r="IA28" s="132">
        <f t="shared" si="17"/>
        <v>0</v>
      </c>
      <c r="IB28" s="181"/>
      <c r="IC28" s="181"/>
      <c r="ID28" s="181"/>
      <c r="IE28" s="181"/>
      <c r="IF28" s="181"/>
      <c r="IG28" s="181"/>
      <c r="IH28" s="181"/>
      <c r="II28" s="181"/>
      <c r="IJ28" s="181"/>
      <c r="IK28" s="181"/>
      <c r="IL28" s="181"/>
      <c r="IM28" s="181"/>
      <c r="IN28" s="181">
        <f t="shared" si="18"/>
        <v>0</v>
      </c>
      <c r="IO28" s="181"/>
      <c r="IP28" s="181"/>
      <c r="IQ28" s="181"/>
      <c r="IR28" s="181"/>
      <c r="IS28" s="181"/>
      <c r="IT28" s="181"/>
      <c r="IU28" s="181"/>
      <c r="IV28" s="181"/>
      <c r="IW28" s="181"/>
      <c r="IX28" s="181"/>
      <c r="IY28" s="181"/>
      <c r="IZ28" s="181"/>
      <c r="JA28" s="181">
        <f t="shared" si="19"/>
        <v>0</v>
      </c>
      <c r="JC28" s="135">
        <f t="shared" si="20"/>
        <v>0</v>
      </c>
      <c r="JD28" s="135">
        <f t="shared" si="21"/>
        <v>0</v>
      </c>
      <c r="JE28" s="135">
        <f t="shared" si="22"/>
        <v>0</v>
      </c>
      <c r="JF28" s="135">
        <f t="shared" si="23"/>
        <v>0</v>
      </c>
      <c r="JG28" s="135">
        <f t="shared" si="24"/>
        <v>0</v>
      </c>
      <c r="JH28" s="135">
        <f t="shared" si="25"/>
        <v>0</v>
      </c>
      <c r="JI28" s="135">
        <f t="shared" si="26"/>
        <v>0</v>
      </c>
      <c r="JJ28" s="135">
        <f t="shared" si="27"/>
        <v>0</v>
      </c>
      <c r="JK28" s="135">
        <f t="shared" si="28"/>
        <v>0</v>
      </c>
      <c r="JL28" s="135">
        <f t="shared" si="29"/>
        <v>0</v>
      </c>
      <c r="JM28" s="135">
        <f t="shared" si="30"/>
        <v>0</v>
      </c>
      <c r="JN28" s="135">
        <f t="shared" si="31"/>
        <v>0</v>
      </c>
      <c r="JO28" s="132">
        <f t="shared" si="32"/>
        <v>0</v>
      </c>
      <c r="JQ28" s="139">
        <f t="shared" si="33"/>
        <v>0</v>
      </c>
    </row>
    <row r="29" spans="1:277" x14ac:dyDescent="0.25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2">
        <f t="shared" si="0"/>
        <v>0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2">
        <f t="shared" si="1"/>
        <v>0</v>
      </c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2">
        <f t="shared" si="2"/>
        <v>0</v>
      </c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2">
        <f t="shared" si="3"/>
        <v>0</v>
      </c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2">
        <f t="shared" si="4"/>
        <v>0</v>
      </c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2">
        <f t="shared" si="5"/>
        <v>0</v>
      </c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2">
        <f t="shared" si="6"/>
        <v>0</v>
      </c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2">
        <f t="shared" si="7"/>
        <v>0</v>
      </c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2">
        <f t="shared" si="8"/>
        <v>0</v>
      </c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2">
        <f t="shared" si="9"/>
        <v>0</v>
      </c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132">
        <f t="shared" si="10"/>
        <v>0</v>
      </c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2"/>
      <c r="EZ29" s="132"/>
      <c r="FA29" s="132">
        <f t="shared" si="11"/>
        <v>0</v>
      </c>
      <c r="FB29" s="181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32">
        <f t="shared" si="12"/>
        <v>0</v>
      </c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132"/>
      <c r="FZ29" s="132"/>
      <c r="GA29" s="132">
        <f t="shared" si="13"/>
        <v>0</v>
      </c>
      <c r="GB29" s="181"/>
      <c r="GC29" s="181"/>
      <c r="GD29" s="181"/>
      <c r="GE29" s="181"/>
      <c r="GF29" s="181"/>
      <c r="GG29" s="181"/>
      <c r="GH29" s="181"/>
      <c r="GI29" s="181"/>
      <c r="GJ29" s="181"/>
      <c r="GK29" s="181"/>
      <c r="GL29" s="181"/>
      <c r="GM29" s="181"/>
      <c r="GN29" s="181">
        <f t="shared" si="14"/>
        <v>0</v>
      </c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2">
        <f t="shared" si="15"/>
        <v>0</v>
      </c>
      <c r="HB29" s="181"/>
      <c r="HC29" s="181"/>
      <c r="HD29" s="181"/>
      <c r="HE29" s="181"/>
      <c r="HF29" s="181"/>
      <c r="HG29" s="181"/>
      <c r="HH29" s="181"/>
      <c r="HI29" s="181"/>
      <c r="HJ29" s="181"/>
      <c r="HK29" s="181"/>
      <c r="HL29" s="181"/>
      <c r="HM29" s="181"/>
      <c r="HN29" s="181">
        <f t="shared" si="16"/>
        <v>0</v>
      </c>
      <c r="HO29" s="132"/>
      <c r="HP29" s="132"/>
      <c r="HQ29" s="132"/>
      <c r="HR29" s="132"/>
      <c r="HS29" s="132"/>
      <c r="HT29" s="132"/>
      <c r="HU29" s="132"/>
      <c r="HV29" s="132"/>
      <c r="HW29" s="132"/>
      <c r="HX29" s="132"/>
      <c r="HY29" s="132"/>
      <c r="HZ29" s="132"/>
      <c r="IA29" s="132">
        <f t="shared" si="17"/>
        <v>0</v>
      </c>
      <c r="IB29" s="181"/>
      <c r="IC29" s="181"/>
      <c r="ID29" s="181"/>
      <c r="IE29" s="181"/>
      <c r="IF29" s="181"/>
      <c r="IG29" s="181"/>
      <c r="IH29" s="181"/>
      <c r="II29" s="181"/>
      <c r="IJ29" s="181"/>
      <c r="IK29" s="181"/>
      <c r="IL29" s="181"/>
      <c r="IM29" s="181"/>
      <c r="IN29" s="181">
        <f t="shared" si="18"/>
        <v>0</v>
      </c>
      <c r="IO29" s="181"/>
      <c r="IP29" s="181"/>
      <c r="IQ29" s="181"/>
      <c r="IR29" s="181"/>
      <c r="IS29" s="181"/>
      <c r="IT29" s="181"/>
      <c r="IU29" s="181"/>
      <c r="IV29" s="181"/>
      <c r="IW29" s="181"/>
      <c r="IX29" s="181"/>
      <c r="IY29" s="181"/>
      <c r="IZ29" s="181"/>
      <c r="JA29" s="181">
        <f t="shared" si="19"/>
        <v>0</v>
      </c>
      <c r="JC29" s="135">
        <f t="shared" si="20"/>
        <v>0</v>
      </c>
      <c r="JD29" s="135">
        <f t="shared" si="21"/>
        <v>0</v>
      </c>
      <c r="JE29" s="135">
        <f t="shared" si="22"/>
        <v>0</v>
      </c>
      <c r="JF29" s="135">
        <f t="shared" si="23"/>
        <v>0</v>
      </c>
      <c r="JG29" s="135">
        <f t="shared" si="24"/>
        <v>0</v>
      </c>
      <c r="JH29" s="135">
        <f t="shared" si="25"/>
        <v>0</v>
      </c>
      <c r="JI29" s="135">
        <f t="shared" si="26"/>
        <v>0</v>
      </c>
      <c r="JJ29" s="135">
        <f t="shared" si="27"/>
        <v>0</v>
      </c>
      <c r="JK29" s="135">
        <f t="shared" si="28"/>
        <v>0</v>
      </c>
      <c r="JL29" s="135">
        <f t="shared" si="29"/>
        <v>0</v>
      </c>
      <c r="JM29" s="135">
        <f t="shared" si="30"/>
        <v>0</v>
      </c>
      <c r="JN29" s="135">
        <f t="shared" si="31"/>
        <v>0</v>
      </c>
      <c r="JO29" s="132">
        <f t="shared" si="32"/>
        <v>0</v>
      </c>
      <c r="JQ29" s="139">
        <f t="shared" si="33"/>
        <v>0</v>
      </c>
    </row>
    <row r="30" spans="1:277" x14ac:dyDescent="0.25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2">
        <f t="shared" si="0"/>
        <v>0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2">
        <f t="shared" si="1"/>
        <v>0</v>
      </c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2">
        <f t="shared" si="2"/>
        <v>0</v>
      </c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2">
        <f t="shared" si="3"/>
        <v>0</v>
      </c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2">
        <f t="shared" si="4"/>
        <v>0</v>
      </c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2">
        <f t="shared" si="5"/>
        <v>0</v>
      </c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2">
        <f t="shared" si="6"/>
        <v>0</v>
      </c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2">
        <f t="shared" si="7"/>
        <v>0</v>
      </c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2">
        <f t="shared" si="8"/>
        <v>0</v>
      </c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2">
        <f t="shared" si="9"/>
        <v>0</v>
      </c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16"/>
      <c r="EM30" s="216"/>
      <c r="EN30" s="132">
        <f t="shared" si="10"/>
        <v>0</v>
      </c>
      <c r="EO30" s="132"/>
      <c r="EP30" s="132"/>
      <c r="EQ30" s="132"/>
      <c r="ER30" s="132"/>
      <c r="ES30" s="132"/>
      <c r="ET30" s="132"/>
      <c r="EU30" s="132"/>
      <c r="EV30" s="132"/>
      <c r="EW30" s="132"/>
      <c r="EX30" s="132"/>
      <c r="EY30" s="132"/>
      <c r="EZ30" s="132"/>
      <c r="FA30" s="132">
        <f t="shared" si="11"/>
        <v>0</v>
      </c>
      <c r="FB30" s="181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32">
        <f t="shared" si="12"/>
        <v>0</v>
      </c>
      <c r="FO30" s="132"/>
      <c r="FP30" s="132"/>
      <c r="FQ30" s="132"/>
      <c r="FR30" s="132"/>
      <c r="FS30" s="132"/>
      <c r="FT30" s="132"/>
      <c r="FU30" s="132"/>
      <c r="FV30" s="132"/>
      <c r="FW30" s="132"/>
      <c r="FX30" s="132"/>
      <c r="FY30" s="132"/>
      <c r="FZ30" s="132"/>
      <c r="GA30" s="132">
        <f t="shared" si="13"/>
        <v>0</v>
      </c>
      <c r="GB30" s="181"/>
      <c r="GC30" s="181"/>
      <c r="GD30" s="181"/>
      <c r="GE30" s="181"/>
      <c r="GF30" s="181"/>
      <c r="GG30" s="181"/>
      <c r="GH30" s="181"/>
      <c r="GI30" s="181"/>
      <c r="GJ30" s="181"/>
      <c r="GK30" s="181"/>
      <c r="GL30" s="181"/>
      <c r="GM30" s="181"/>
      <c r="GN30" s="181">
        <f t="shared" si="14"/>
        <v>0</v>
      </c>
      <c r="GO30" s="137"/>
      <c r="GP30" s="137"/>
      <c r="GQ30" s="137"/>
      <c r="GR30" s="137"/>
      <c r="GS30" s="137"/>
      <c r="GT30" s="137"/>
      <c r="GU30" s="137"/>
      <c r="GV30" s="137"/>
      <c r="GW30" s="137"/>
      <c r="GX30" s="137"/>
      <c r="GY30" s="137"/>
      <c r="GZ30" s="137"/>
      <c r="HA30" s="132">
        <f t="shared" si="15"/>
        <v>0</v>
      </c>
      <c r="HB30" s="181"/>
      <c r="HC30" s="181"/>
      <c r="HD30" s="181"/>
      <c r="HE30" s="181"/>
      <c r="HF30" s="181"/>
      <c r="HG30" s="181"/>
      <c r="HH30" s="181"/>
      <c r="HI30" s="181"/>
      <c r="HJ30" s="181"/>
      <c r="HK30" s="181"/>
      <c r="HL30" s="181"/>
      <c r="HM30" s="181"/>
      <c r="HN30" s="181">
        <f t="shared" si="16"/>
        <v>0</v>
      </c>
      <c r="HO30" s="132"/>
      <c r="HP30" s="132"/>
      <c r="HQ30" s="132"/>
      <c r="HR30" s="132"/>
      <c r="HS30" s="132"/>
      <c r="HT30" s="132"/>
      <c r="HU30" s="132"/>
      <c r="HV30" s="132"/>
      <c r="HW30" s="132"/>
      <c r="HX30" s="132"/>
      <c r="HY30" s="132"/>
      <c r="HZ30" s="132"/>
      <c r="IA30" s="132">
        <f t="shared" si="17"/>
        <v>0</v>
      </c>
      <c r="IB30" s="181"/>
      <c r="IC30" s="181"/>
      <c r="ID30" s="181"/>
      <c r="IE30" s="181"/>
      <c r="IF30" s="181"/>
      <c r="IG30" s="181"/>
      <c r="IH30" s="181"/>
      <c r="II30" s="181"/>
      <c r="IJ30" s="181"/>
      <c r="IK30" s="181"/>
      <c r="IL30" s="181"/>
      <c r="IM30" s="181"/>
      <c r="IN30" s="181">
        <f t="shared" si="18"/>
        <v>0</v>
      </c>
      <c r="IO30" s="181"/>
      <c r="IP30" s="181"/>
      <c r="IQ30" s="181"/>
      <c r="IR30" s="181"/>
      <c r="IS30" s="181"/>
      <c r="IT30" s="181"/>
      <c r="IU30" s="181"/>
      <c r="IV30" s="181"/>
      <c r="IW30" s="181"/>
      <c r="IX30" s="181"/>
      <c r="IY30" s="181"/>
      <c r="IZ30" s="181"/>
      <c r="JA30" s="181">
        <f t="shared" si="19"/>
        <v>0</v>
      </c>
      <c r="JC30" s="135">
        <f t="shared" si="20"/>
        <v>0</v>
      </c>
      <c r="JD30" s="135">
        <f t="shared" si="21"/>
        <v>0</v>
      </c>
      <c r="JE30" s="135">
        <f t="shared" si="22"/>
        <v>0</v>
      </c>
      <c r="JF30" s="135">
        <f t="shared" si="23"/>
        <v>0</v>
      </c>
      <c r="JG30" s="135">
        <f t="shared" si="24"/>
        <v>0</v>
      </c>
      <c r="JH30" s="135">
        <f t="shared" si="25"/>
        <v>0</v>
      </c>
      <c r="JI30" s="135">
        <f t="shared" si="26"/>
        <v>0</v>
      </c>
      <c r="JJ30" s="135">
        <f t="shared" si="27"/>
        <v>0</v>
      </c>
      <c r="JK30" s="135">
        <f t="shared" si="28"/>
        <v>0</v>
      </c>
      <c r="JL30" s="135">
        <f t="shared" si="29"/>
        <v>0</v>
      </c>
      <c r="JM30" s="135">
        <f t="shared" si="30"/>
        <v>0</v>
      </c>
      <c r="JN30" s="135">
        <f t="shared" si="31"/>
        <v>0</v>
      </c>
      <c r="JO30" s="132">
        <f t="shared" si="32"/>
        <v>0</v>
      </c>
      <c r="JQ30" s="139">
        <f t="shared" si="33"/>
        <v>0</v>
      </c>
    </row>
    <row r="31" spans="1:277" x14ac:dyDescent="0.25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2">
        <f t="shared" si="0"/>
        <v>0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2">
        <f t="shared" si="1"/>
        <v>0</v>
      </c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2">
        <f t="shared" si="2"/>
        <v>0</v>
      </c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2">
        <f t="shared" si="3"/>
        <v>0</v>
      </c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2">
        <f t="shared" si="4"/>
        <v>0</v>
      </c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2">
        <f t="shared" si="5"/>
        <v>0</v>
      </c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2">
        <f t="shared" si="6"/>
        <v>0</v>
      </c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2">
        <f t="shared" si="7"/>
        <v>0</v>
      </c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2">
        <f t="shared" si="8"/>
        <v>0</v>
      </c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2">
        <f t="shared" si="9"/>
        <v>0</v>
      </c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132">
        <f t="shared" si="10"/>
        <v>0</v>
      </c>
      <c r="EO31" s="132"/>
      <c r="EP31" s="132"/>
      <c r="EQ31" s="132"/>
      <c r="ER31" s="132"/>
      <c r="ES31" s="132"/>
      <c r="ET31" s="132"/>
      <c r="EU31" s="132"/>
      <c r="EV31" s="132"/>
      <c r="EW31" s="132"/>
      <c r="EX31" s="132"/>
      <c r="EY31" s="132"/>
      <c r="EZ31" s="132"/>
      <c r="FA31" s="132">
        <f t="shared" si="11"/>
        <v>0</v>
      </c>
      <c r="FB31" s="181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32">
        <f t="shared" si="12"/>
        <v>0</v>
      </c>
      <c r="FO31" s="132"/>
      <c r="FP31" s="132"/>
      <c r="FQ31" s="132"/>
      <c r="FR31" s="132"/>
      <c r="FS31" s="132"/>
      <c r="FT31" s="132"/>
      <c r="FU31" s="132"/>
      <c r="FV31" s="132"/>
      <c r="FW31" s="132"/>
      <c r="FX31" s="132"/>
      <c r="FY31" s="132"/>
      <c r="FZ31" s="132"/>
      <c r="GA31" s="132">
        <f t="shared" si="13"/>
        <v>0</v>
      </c>
      <c r="GB31" s="181"/>
      <c r="GC31" s="181"/>
      <c r="GD31" s="181"/>
      <c r="GE31" s="181"/>
      <c r="GF31" s="181"/>
      <c r="GG31" s="181"/>
      <c r="GH31" s="181"/>
      <c r="GI31" s="181"/>
      <c r="GJ31" s="181"/>
      <c r="GK31" s="181"/>
      <c r="GL31" s="181"/>
      <c r="GM31" s="181"/>
      <c r="GN31" s="181">
        <f t="shared" si="14"/>
        <v>0</v>
      </c>
      <c r="GO31" s="137"/>
      <c r="GP31" s="137"/>
      <c r="GQ31" s="137"/>
      <c r="GR31" s="137"/>
      <c r="GS31" s="137"/>
      <c r="GT31" s="137"/>
      <c r="GU31" s="137"/>
      <c r="GV31" s="137"/>
      <c r="GW31" s="137"/>
      <c r="GX31" s="137"/>
      <c r="GY31" s="137"/>
      <c r="GZ31" s="137"/>
      <c r="HA31" s="132">
        <f t="shared" si="15"/>
        <v>0</v>
      </c>
      <c r="HB31" s="181"/>
      <c r="HC31" s="181"/>
      <c r="HD31" s="181"/>
      <c r="HE31" s="181"/>
      <c r="HF31" s="181"/>
      <c r="HG31" s="181"/>
      <c r="HH31" s="181"/>
      <c r="HI31" s="181"/>
      <c r="HJ31" s="181"/>
      <c r="HK31" s="181"/>
      <c r="HL31" s="181"/>
      <c r="HM31" s="181"/>
      <c r="HN31" s="181">
        <f t="shared" si="16"/>
        <v>0</v>
      </c>
      <c r="HO31" s="132"/>
      <c r="HP31" s="132"/>
      <c r="HQ31" s="132"/>
      <c r="HR31" s="132"/>
      <c r="HS31" s="132"/>
      <c r="HT31" s="132"/>
      <c r="HU31" s="132"/>
      <c r="HV31" s="132"/>
      <c r="HW31" s="132"/>
      <c r="HX31" s="132"/>
      <c r="HY31" s="132"/>
      <c r="HZ31" s="132"/>
      <c r="IA31" s="132">
        <f t="shared" si="17"/>
        <v>0</v>
      </c>
      <c r="IB31" s="181"/>
      <c r="IC31" s="181"/>
      <c r="ID31" s="181"/>
      <c r="IE31" s="181"/>
      <c r="IF31" s="181"/>
      <c r="IG31" s="181"/>
      <c r="IH31" s="181"/>
      <c r="II31" s="181"/>
      <c r="IJ31" s="181"/>
      <c r="IK31" s="181"/>
      <c r="IL31" s="181"/>
      <c r="IM31" s="181"/>
      <c r="IN31" s="181">
        <f t="shared" si="18"/>
        <v>0</v>
      </c>
      <c r="IO31" s="181"/>
      <c r="IP31" s="181"/>
      <c r="IQ31" s="181"/>
      <c r="IR31" s="181"/>
      <c r="IS31" s="181"/>
      <c r="IT31" s="181"/>
      <c r="IU31" s="181"/>
      <c r="IV31" s="181"/>
      <c r="IW31" s="181"/>
      <c r="IX31" s="181"/>
      <c r="IY31" s="181"/>
      <c r="IZ31" s="181"/>
      <c r="JA31" s="181">
        <f t="shared" si="19"/>
        <v>0</v>
      </c>
      <c r="JC31" s="135">
        <f t="shared" si="20"/>
        <v>0</v>
      </c>
      <c r="JD31" s="135">
        <f t="shared" si="21"/>
        <v>0</v>
      </c>
      <c r="JE31" s="135">
        <f t="shared" si="22"/>
        <v>0</v>
      </c>
      <c r="JF31" s="135">
        <f t="shared" si="23"/>
        <v>0</v>
      </c>
      <c r="JG31" s="135">
        <f t="shared" si="24"/>
        <v>0</v>
      </c>
      <c r="JH31" s="135">
        <f t="shared" si="25"/>
        <v>0</v>
      </c>
      <c r="JI31" s="135">
        <f t="shared" si="26"/>
        <v>0</v>
      </c>
      <c r="JJ31" s="135">
        <f t="shared" si="27"/>
        <v>0</v>
      </c>
      <c r="JK31" s="135">
        <f t="shared" si="28"/>
        <v>0</v>
      </c>
      <c r="JL31" s="135">
        <f t="shared" si="29"/>
        <v>0</v>
      </c>
      <c r="JM31" s="135">
        <f t="shared" si="30"/>
        <v>0</v>
      </c>
      <c r="JN31" s="135">
        <f t="shared" si="31"/>
        <v>0</v>
      </c>
      <c r="JO31" s="132">
        <f t="shared" si="32"/>
        <v>0</v>
      </c>
      <c r="JQ31" s="139">
        <f t="shared" si="33"/>
        <v>0</v>
      </c>
    </row>
    <row r="32" spans="1:277" x14ac:dyDescent="0.25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2">
        <f t="shared" si="0"/>
        <v>0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2">
        <f t="shared" si="1"/>
        <v>0</v>
      </c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2">
        <f t="shared" si="2"/>
        <v>0</v>
      </c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2">
        <f t="shared" si="3"/>
        <v>0</v>
      </c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2">
        <f t="shared" si="4"/>
        <v>0</v>
      </c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2">
        <f t="shared" si="5"/>
        <v>0</v>
      </c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2">
        <f t="shared" si="6"/>
        <v>0</v>
      </c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2">
        <f t="shared" si="7"/>
        <v>0</v>
      </c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2">
        <f t="shared" si="8"/>
        <v>0</v>
      </c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2">
        <f t="shared" si="9"/>
        <v>0</v>
      </c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132">
        <f t="shared" si="10"/>
        <v>0</v>
      </c>
      <c r="EO32" s="132"/>
      <c r="EP32" s="132"/>
      <c r="EQ32" s="132"/>
      <c r="ER32" s="132"/>
      <c r="ES32" s="132"/>
      <c r="ET32" s="132"/>
      <c r="EU32" s="132"/>
      <c r="EV32" s="132"/>
      <c r="EW32" s="132"/>
      <c r="EX32" s="132"/>
      <c r="EY32" s="132"/>
      <c r="EZ32" s="132"/>
      <c r="FA32" s="132">
        <f t="shared" si="11"/>
        <v>0</v>
      </c>
      <c r="FB32" s="181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32">
        <f t="shared" si="12"/>
        <v>0</v>
      </c>
      <c r="FO32" s="132"/>
      <c r="FP32" s="132"/>
      <c r="FQ32" s="132"/>
      <c r="FR32" s="132"/>
      <c r="FS32" s="132"/>
      <c r="FT32" s="132"/>
      <c r="FU32" s="132"/>
      <c r="FV32" s="132"/>
      <c r="FW32" s="132"/>
      <c r="FX32" s="132"/>
      <c r="FY32" s="132"/>
      <c r="FZ32" s="132"/>
      <c r="GA32" s="132">
        <f t="shared" si="13"/>
        <v>0</v>
      </c>
      <c r="GB32" s="181"/>
      <c r="GC32" s="181"/>
      <c r="GD32" s="181"/>
      <c r="GE32" s="181"/>
      <c r="GF32" s="181"/>
      <c r="GG32" s="181"/>
      <c r="GH32" s="181"/>
      <c r="GI32" s="181"/>
      <c r="GJ32" s="181"/>
      <c r="GK32" s="181"/>
      <c r="GL32" s="181"/>
      <c r="GM32" s="181"/>
      <c r="GN32" s="181">
        <f t="shared" si="14"/>
        <v>0</v>
      </c>
      <c r="GO32" s="137"/>
      <c r="GP32" s="137"/>
      <c r="GQ32" s="137"/>
      <c r="GR32" s="137"/>
      <c r="GS32" s="137"/>
      <c r="GT32" s="137"/>
      <c r="GU32" s="137"/>
      <c r="GV32" s="137"/>
      <c r="GW32" s="137"/>
      <c r="GX32" s="137"/>
      <c r="GY32" s="137"/>
      <c r="GZ32" s="137"/>
      <c r="HA32" s="132">
        <f t="shared" si="15"/>
        <v>0</v>
      </c>
      <c r="HB32" s="181"/>
      <c r="HC32" s="181"/>
      <c r="HD32" s="181"/>
      <c r="HE32" s="181"/>
      <c r="HF32" s="181"/>
      <c r="HG32" s="181"/>
      <c r="HH32" s="181"/>
      <c r="HI32" s="181"/>
      <c r="HJ32" s="181"/>
      <c r="HK32" s="181"/>
      <c r="HL32" s="181"/>
      <c r="HM32" s="181"/>
      <c r="HN32" s="181">
        <f t="shared" si="16"/>
        <v>0</v>
      </c>
      <c r="HO32" s="132"/>
      <c r="HP32" s="132"/>
      <c r="HQ32" s="132"/>
      <c r="HR32" s="132"/>
      <c r="HS32" s="132"/>
      <c r="HT32" s="132"/>
      <c r="HU32" s="132"/>
      <c r="HV32" s="132"/>
      <c r="HW32" s="132"/>
      <c r="HX32" s="132"/>
      <c r="HY32" s="132"/>
      <c r="HZ32" s="132"/>
      <c r="IA32" s="132">
        <f t="shared" si="17"/>
        <v>0</v>
      </c>
      <c r="IB32" s="181"/>
      <c r="IC32" s="181"/>
      <c r="ID32" s="181"/>
      <c r="IE32" s="181"/>
      <c r="IF32" s="181"/>
      <c r="IG32" s="181"/>
      <c r="IH32" s="181"/>
      <c r="II32" s="181"/>
      <c r="IJ32" s="181"/>
      <c r="IK32" s="181"/>
      <c r="IL32" s="181"/>
      <c r="IM32" s="181"/>
      <c r="IN32" s="181">
        <f t="shared" si="18"/>
        <v>0</v>
      </c>
      <c r="IO32" s="181"/>
      <c r="IP32" s="181"/>
      <c r="IQ32" s="181"/>
      <c r="IR32" s="181"/>
      <c r="IS32" s="181"/>
      <c r="IT32" s="181"/>
      <c r="IU32" s="181"/>
      <c r="IV32" s="181"/>
      <c r="IW32" s="181"/>
      <c r="IX32" s="181"/>
      <c r="IY32" s="181"/>
      <c r="IZ32" s="181"/>
      <c r="JA32" s="181">
        <f t="shared" si="19"/>
        <v>0</v>
      </c>
      <c r="JC32" s="135">
        <f t="shared" si="20"/>
        <v>0</v>
      </c>
      <c r="JD32" s="135">
        <f t="shared" si="21"/>
        <v>0</v>
      </c>
      <c r="JE32" s="135">
        <f t="shared" si="22"/>
        <v>0</v>
      </c>
      <c r="JF32" s="135">
        <f t="shared" si="23"/>
        <v>0</v>
      </c>
      <c r="JG32" s="135">
        <f t="shared" si="24"/>
        <v>0</v>
      </c>
      <c r="JH32" s="135">
        <f t="shared" si="25"/>
        <v>0</v>
      </c>
      <c r="JI32" s="135">
        <f t="shared" si="26"/>
        <v>0</v>
      </c>
      <c r="JJ32" s="135">
        <f t="shared" si="27"/>
        <v>0</v>
      </c>
      <c r="JK32" s="135">
        <f t="shared" si="28"/>
        <v>0</v>
      </c>
      <c r="JL32" s="135">
        <f t="shared" si="29"/>
        <v>0</v>
      </c>
      <c r="JM32" s="135">
        <f t="shared" si="30"/>
        <v>0</v>
      </c>
      <c r="JN32" s="135">
        <f t="shared" si="31"/>
        <v>0</v>
      </c>
      <c r="JO32" s="132">
        <f t="shared" si="32"/>
        <v>0</v>
      </c>
      <c r="JQ32" s="139">
        <f t="shared" si="33"/>
        <v>0</v>
      </c>
    </row>
    <row r="33" spans="1:277" x14ac:dyDescent="0.25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2">
        <f t="shared" si="0"/>
        <v>0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2">
        <f t="shared" si="1"/>
        <v>0</v>
      </c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2">
        <f t="shared" si="2"/>
        <v>0</v>
      </c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2">
        <f t="shared" si="3"/>
        <v>0</v>
      </c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2">
        <f t="shared" si="4"/>
        <v>0</v>
      </c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2">
        <f t="shared" si="5"/>
        <v>0</v>
      </c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2">
        <f t="shared" si="6"/>
        <v>0</v>
      </c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2">
        <f t="shared" si="7"/>
        <v>0</v>
      </c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2">
        <f t="shared" si="8"/>
        <v>0</v>
      </c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2">
        <f t="shared" si="9"/>
        <v>0</v>
      </c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132">
        <f t="shared" si="10"/>
        <v>0</v>
      </c>
      <c r="EO33" s="132"/>
      <c r="EP33" s="132"/>
      <c r="EQ33" s="132"/>
      <c r="ER33" s="132"/>
      <c r="ES33" s="132"/>
      <c r="ET33" s="132"/>
      <c r="EU33" s="132"/>
      <c r="EV33" s="132"/>
      <c r="EW33" s="132"/>
      <c r="EX33" s="132"/>
      <c r="EY33" s="132"/>
      <c r="EZ33" s="132"/>
      <c r="FA33" s="132">
        <f t="shared" si="11"/>
        <v>0</v>
      </c>
      <c r="FB33" s="181"/>
      <c r="FC33" s="181"/>
      <c r="FD33" s="181"/>
      <c r="FE33" s="181"/>
      <c r="FF33" s="181"/>
      <c r="FG33" s="181"/>
      <c r="FH33" s="181"/>
      <c r="FI33" s="181"/>
      <c r="FJ33" s="181"/>
      <c r="FK33" s="181"/>
      <c r="FL33" s="181"/>
      <c r="FM33" s="181"/>
      <c r="FN33" s="132">
        <f t="shared" si="12"/>
        <v>0</v>
      </c>
      <c r="FO33" s="132"/>
      <c r="FP33" s="132"/>
      <c r="FQ33" s="132"/>
      <c r="FR33" s="132"/>
      <c r="FS33" s="132"/>
      <c r="FT33" s="132"/>
      <c r="FU33" s="132"/>
      <c r="FV33" s="132"/>
      <c r="FW33" s="132"/>
      <c r="FX33" s="132"/>
      <c r="FY33" s="132"/>
      <c r="FZ33" s="132"/>
      <c r="GA33" s="132">
        <f t="shared" si="13"/>
        <v>0</v>
      </c>
      <c r="GB33" s="181"/>
      <c r="GC33" s="181"/>
      <c r="GD33" s="181"/>
      <c r="GE33" s="181"/>
      <c r="GF33" s="181"/>
      <c r="GG33" s="181"/>
      <c r="GH33" s="181"/>
      <c r="GI33" s="181"/>
      <c r="GJ33" s="181"/>
      <c r="GK33" s="181"/>
      <c r="GL33" s="181"/>
      <c r="GM33" s="181"/>
      <c r="GN33" s="181">
        <f t="shared" si="14"/>
        <v>0</v>
      </c>
      <c r="GO33" s="137"/>
      <c r="GP33" s="137"/>
      <c r="GQ33" s="137"/>
      <c r="GR33" s="137"/>
      <c r="GS33" s="137"/>
      <c r="GT33" s="137"/>
      <c r="GU33" s="137"/>
      <c r="GV33" s="137"/>
      <c r="GW33" s="137"/>
      <c r="GX33" s="137"/>
      <c r="GY33" s="137"/>
      <c r="GZ33" s="137"/>
      <c r="HA33" s="132">
        <f t="shared" si="15"/>
        <v>0</v>
      </c>
      <c r="HB33" s="181"/>
      <c r="HC33" s="181"/>
      <c r="HD33" s="181"/>
      <c r="HE33" s="181"/>
      <c r="HF33" s="181"/>
      <c r="HG33" s="181"/>
      <c r="HH33" s="181"/>
      <c r="HI33" s="181"/>
      <c r="HJ33" s="181"/>
      <c r="HK33" s="181"/>
      <c r="HL33" s="181"/>
      <c r="HM33" s="181"/>
      <c r="HN33" s="181">
        <f t="shared" si="16"/>
        <v>0</v>
      </c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>
        <f t="shared" si="17"/>
        <v>0</v>
      </c>
      <c r="IB33" s="181"/>
      <c r="IC33" s="181"/>
      <c r="ID33" s="181"/>
      <c r="IE33" s="181"/>
      <c r="IF33" s="181"/>
      <c r="IG33" s="181"/>
      <c r="IH33" s="181"/>
      <c r="II33" s="181"/>
      <c r="IJ33" s="181"/>
      <c r="IK33" s="181"/>
      <c r="IL33" s="181"/>
      <c r="IM33" s="181"/>
      <c r="IN33" s="181">
        <f t="shared" si="18"/>
        <v>0</v>
      </c>
      <c r="IO33" s="181"/>
      <c r="IP33" s="181"/>
      <c r="IQ33" s="181"/>
      <c r="IR33" s="181"/>
      <c r="IS33" s="181"/>
      <c r="IT33" s="181"/>
      <c r="IU33" s="181"/>
      <c r="IV33" s="181"/>
      <c r="IW33" s="181"/>
      <c r="IX33" s="181"/>
      <c r="IY33" s="181"/>
      <c r="IZ33" s="181"/>
      <c r="JA33" s="181">
        <f t="shared" si="19"/>
        <v>0</v>
      </c>
      <c r="JC33" s="135">
        <f t="shared" si="20"/>
        <v>0</v>
      </c>
      <c r="JD33" s="135">
        <f t="shared" si="21"/>
        <v>0</v>
      </c>
      <c r="JE33" s="135">
        <f t="shared" si="22"/>
        <v>0</v>
      </c>
      <c r="JF33" s="135">
        <f t="shared" si="23"/>
        <v>0</v>
      </c>
      <c r="JG33" s="135">
        <f t="shared" si="24"/>
        <v>0</v>
      </c>
      <c r="JH33" s="135">
        <f t="shared" si="25"/>
        <v>0</v>
      </c>
      <c r="JI33" s="135">
        <f t="shared" si="26"/>
        <v>0</v>
      </c>
      <c r="JJ33" s="135">
        <f t="shared" si="27"/>
        <v>0</v>
      </c>
      <c r="JK33" s="135">
        <f t="shared" si="28"/>
        <v>0</v>
      </c>
      <c r="JL33" s="135">
        <f t="shared" si="29"/>
        <v>0</v>
      </c>
      <c r="JM33" s="135">
        <f t="shared" si="30"/>
        <v>0</v>
      </c>
      <c r="JN33" s="135">
        <f t="shared" si="31"/>
        <v>0</v>
      </c>
      <c r="JO33" s="132">
        <f t="shared" si="32"/>
        <v>0</v>
      </c>
      <c r="JQ33" s="139">
        <f t="shared" si="33"/>
        <v>0</v>
      </c>
    </row>
    <row r="34" spans="1:277" x14ac:dyDescent="0.25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>
        <f t="shared" si="0"/>
        <v>0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2">
        <f t="shared" si="1"/>
        <v>0</v>
      </c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2">
        <f t="shared" si="2"/>
        <v>0</v>
      </c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2">
        <f t="shared" si="3"/>
        <v>0</v>
      </c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2">
        <f t="shared" si="4"/>
        <v>0</v>
      </c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2">
        <f t="shared" si="5"/>
        <v>0</v>
      </c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2">
        <f t="shared" si="6"/>
        <v>0</v>
      </c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2">
        <f t="shared" si="7"/>
        <v>0</v>
      </c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2">
        <f t="shared" si="8"/>
        <v>0</v>
      </c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2">
        <f t="shared" si="9"/>
        <v>0</v>
      </c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132">
        <f t="shared" si="10"/>
        <v>0</v>
      </c>
      <c r="EO34" s="132"/>
      <c r="EP34" s="132"/>
      <c r="EQ34" s="132"/>
      <c r="ER34" s="132"/>
      <c r="ES34" s="132"/>
      <c r="ET34" s="132"/>
      <c r="EU34" s="132"/>
      <c r="EV34" s="132"/>
      <c r="EW34" s="132"/>
      <c r="EX34" s="132"/>
      <c r="EY34" s="132"/>
      <c r="EZ34" s="132"/>
      <c r="FA34" s="132">
        <f t="shared" si="11"/>
        <v>0</v>
      </c>
      <c r="FB34" s="181"/>
      <c r="FC34" s="181"/>
      <c r="FD34" s="181"/>
      <c r="FE34" s="181"/>
      <c r="FF34" s="181"/>
      <c r="FG34" s="181"/>
      <c r="FH34" s="181"/>
      <c r="FI34" s="181"/>
      <c r="FJ34" s="181"/>
      <c r="FK34" s="181"/>
      <c r="FL34" s="181"/>
      <c r="FM34" s="181"/>
      <c r="FN34" s="132">
        <f t="shared" si="12"/>
        <v>0</v>
      </c>
      <c r="FO34" s="132"/>
      <c r="FP34" s="132"/>
      <c r="FQ34" s="132"/>
      <c r="FR34" s="132"/>
      <c r="FS34" s="132"/>
      <c r="FT34" s="132"/>
      <c r="FU34" s="132"/>
      <c r="FV34" s="132"/>
      <c r="FW34" s="132"/>
      <c r="FX34" s="132"/>
      <c r="FY34" s="132"/>
      <c r="FZ34" s="132"/>
      <c r="GA34" s="132">
        <f t="shared" si="13"/>
        <v>0</v>
      </c>
      <c r="GB34" s="181"/>
      <c r="GC34" s="181"/>
      <c r="GD34" s="181"/>
      <c r="GE34" s="181"/>
      <c r="GF34" s="181"/>
      <c r="GG34" s="181"/>
      <c r="GH34" s="181"/>
      <c r="GI34" s="181"/>
      <c r="GJ34" s="181"/>
      <c r="GK34" s="181"/>
      <c r="GL34" s="181"/>
      <c r="GM34" s="181"/>
      <c r="GN34" s="181">
        <f t="shared" si="14"/>
        <v>0</v>
      </c>
      <c r="GO34" s="137"/>
      <c r="GP34" s="137"/>
      <c r="GQ34" s="137"/>
      <c r="GR34" s="137"/>
      <c r="GS34" s="137"/>
      <c r="GT34" s="137"/>
      <c r="GU34" s="137"/>
      <c r="GV34" s="137"/>
      <c r="GW34" s="137"/>
      <c r="GX34" s="137"/>
      <c r="GY34" s="137"/>
      <c r="GZ34" s="137"/>
      <c r="HA34" s="132">
        <f t="shared" si="15"/>
        <v>0</v>
      </c>
      <c r="HB34" s="181"/>
      <c r="HC34" s="181"/>
      <c r="HD34" s="181"/>
      <c r="HE34" s="181"/>
      <c r="HF34" s="181"/>
      <c r="HG34" s="181"/>
      <c r="HH34" s="181"/>
      <c r="HI34" s="181"/>
      <c r="HJ34" s="181"/>
      <c r="HK34" s="181"/>
      <c r="HL34" s="181"/>
      <c r="HM34" s="181"/>
      <c r="HN34" s="181">
        <f t="shared" si="16"/>
        <v>0</v>
      </c>
      <c r="HO34" s="132"/>
      <c r="HP34" s="132"/>
      <c r="HQ34" s="132"/>
      <c r="HR34" s="132"/>
      <c r="HS34" s="132"/>
      <c r="HT34" s="132"/>
      <c r="HU34" s="132"/>
      <c r="HV34" s="132"/>
      <c r="HW34" s="132"/>
      <c r="HX34" s="132"/>
      <c r="HY34" s="132"/>
      <c r="HZ34" s="132"/>
      <c r="IA34" s="132">
        <f t="shared" si="17"/>
        <v>0</v>
      </c>
      <c r="IB34" s="181"/>
      <c r="IC34" s="181"/>
      <c r="ID34" s="181"/>
      <c r="IE34" s="181"/>
      <c r="IF34" s="181"/>
      <c r="IG34" s="181"/>
      <c r="IH34" s="181"/>
      <c r="II34" s="181"/>
      <c r="IJ34" s="181"/>
      <c r="IK34" s="181"/>
      <c r="IL34" s="181"/>
      <c r="IM34" s="181"/>
      <c r="IN34" s="181">
        <f t="shared" si="18"/>
        <v>0</v>
      </c>
      <c r="IO34" s="181"/>
      <c r="IP34" s="181"/>
      <c r="IQ34" s="181"/>
      <c r="IR34" s="181"/>
      <c r="IS34" s="181"/>
      <c r="IT34" s="181"/>
      <c r="IU34" s="181"/>
      <c r="IV34" s="181"/>
      <c r="IW34" s="181"/>
      <c r="IX34" s="181"/>
      <c r="IY34" s="181"/>
      <c r="IZ34" s="181"/>
      <c r="JA34" s="181">
        <f t="shared" si="19"/>
        <v>0</v>
      </c>
      <c r="JC34" s="135">
        <f t="shared" si="20"/>
        <v>0</v>
      </c>
      <c r="JD34" s="135">
        <f t="shared" si="21"/>
        <v>0</v>
      </c>
      <c r="JE34" s="135">
        <f t="shared" si="22"/>
        <v>0</v>
      </c>
      <c r="JF34" s="135">
        <f t="shared" si="23"/>
        <v>0</v>
      </c>
      <c r="JG34" s="135">
        <f t="shared" si="24"/>
        <v>0</v>
      </c>
      <c r="JH34" s="135">
        <f t="shared" si="25"/>
        <v>0</v>
      </c>
      <c r="JI34" s="135">
        <f t="shared" si="26"/>
        <v>0</v>
      </c>
      <c r="JJ34" s="135">
        <f t="shared" si="27"/>
        <v>0</v>
      </c>
      <c r="JK34" s="135">
        <f t="shared" si="28"/>
        <v>0</v>
      </c>
      <c r="JL34" s="135">
        <f t="shared" si="29"/>
        <v>0</v>
      </c>
      <c r="JM34" s="135">
        <f t="shared" si="30"/>
        <v>0</v>
      </c>
      <c r="JN34" s="135">
        <f t="shared" si="31"/>
        <v>0</v>
      </c>
      <c r="JO34" s="132">
        <f t="shared" si="32"/>
        <v>0</v>
      </c>
      <c r="JQ34" s="139">
        <f t="shared" si="33"/>
        <v>0</v>
      </c>
    </row>
    <row r="35" spans="1:277" x14ac:dyDescent="0.25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2">
        <f t="shared" ref="N35:N66" si="34">SUM(B35:M35)</f>
        <v>0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2">
        <f t="shared" ref="AA35:AA66" si="35">SUM(O35:Z35)</f>
        <v>0</v>
      </c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2">
        <f t="shared" ref="AN35:AN66" si="36">SUM(AB35:AM35)</f>
        <v>0</v>
      </c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2">
        <f t="shared" ref="BA35:BA66" si="37">SUM(AO35:AZ35)</f>
        <v>0</v>
      </c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2">
        <f t="shared" ref="BN35:BN66" si="38">SUM(BB35:BM35)</f>
        <v>0</v>
      </c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2">
        <f t="shared" ref="CA35:CA66" si="39">SUM(BO35:BZ35)</f>
        <v>0</v>
      </c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2">
        <f t="shared" ref="CN35:CN66" si="40">SUM(CB35:CM35)</f>
        <v>0</v>
      </c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2">
        <f t="shared" ref="DA35:DA66" si="41">SUM(CO35:CZ35)</f>
        <v>0</v>
      </c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2">
        <f t="shared" ref="DN35:DN66" si="42">SUM(DB35:DM35)</f>
        <v>0</v>
      </c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2">
        <f t="shared" ref="EA35:EA66" si="43">SUM(DO35:DZ35)</f>
        <v>0</v>
      </c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132">
        <f t="shared" ref="EN35:EN66" si="44">SUM(EB35:EM35)</f>
        <v>0</v>
      </c>
      <c r="EO35" s="132"/>
      <c r="EP35" s="132"/>
      <c r="EQ35" s="132"/>
      <c r="ER35" s="132"/>
      <c r="ES35" s="132"/>
      <c r="ET35" s="132"/>
      <c r="EU35" s="132"/>
      <c r="EV35" s="132"/>
      <c r="EW35" s="132"/>
      <c r="EX35" s="132"/>
      <c r="EY35" s="132"/>
      <c r="EZ35" s="132"/>
      <c r="FA35" s="132">
        <f t="shared" ref="FA35:FA66" si="45">SUM(EO35:EZ35)</f>
        <v>0</v>
      </c>
      <c r="FB35" s="181"/>
      <c r="FC35" s="181"/>
      <c r="FD35" s="181"/>
      <c r="FE35" s="181"/>
      <c r="FF35" s="181"/>
      <c r="FG35" s="181"/>
      <c r="FH35" s="181"/>
      <c r="FI35" s="181"/>
      <c r="FJ35" s="181"/>
      <c r="FK35" s="181"/>
      <c r="FL35" s="181"/>
      <c r="FM35" s="181"/>
      <c r="FN35" s="132">
        <f t="shared" ref="FN35:FN66" si="46">SUM(FB35:FM35)</f>
        <v>0</v>
      </c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>
        <f t="shared" ref="GA35:GA66" si="47">SUM(FO35:FZ35)</f>
        <v>0</v>
      </c>
      <c r="GB35" s="181"/>
      <c r="GC35" s="181"/>
      <c r="GD35" s="181"/>
      <c r="GE35" s="181"/>
      <c r="GF35" s="181"/>
      <c r="GG35" s="181"/>
      <c r="GH35" s="181"/>
      <c r="GI35" s="181"/>
      <c r="GJ35" s="181"/>
      <c r="GK35" s="181"/>
      <c r="GL35" s="181"/>
      <c r="GM35" s="181"/>
      <c r="GN35" s="181">
        <f t="shared" ref="GN35:GN66" si="48">SUM(GB35:GM35)</f>
        <v>0</v>
      </c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2">
        <f t="shared" ref="HA35:HA66" si="49">SUM(GO35:GZ35)</f>
        <v>0</v>
      </c>
      <c r="HB35" s="181"/>
      <c r="HC35" s="181"/>
      <c r="HD35" s="181"/>
      <c r="HE35" s="181"/>
      <c r="HF35" s="181"/>
      <c r="HG35" s="181"/>
      <c r="HH35" s="181"/>
      <c r="HI35" s="181"/>
      <c r="HJ35" s="181"/>
      <c r="HK35" s="181"/>
      <c r="HL35" s="181"/>
      <c r="HM35" s="181"/>
      <c r="HN35" s="181">
        <f t="shared" ref="HN35:HN66" si="50">SUM(HB35:HM35)</f>
        <v>0</v>
      </c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>
        <f t="shared" ref="IA35:IA66" si="51">SUM(HO35:HZ35)</f>
        <v>0</v>
      </c>
      <c r="IB35" s="181"/>
      <c r="IC35" s="181"/>
      <c r="ID35" s="181"/>
      <c r="IE35" s="181"/>
      <c r="IF35" s="181"/>
      <c r="IG35" s="181"/>
      <c r="IH35" s="181"/>
      <c r="II35" s="181"/>
      <c r="IJ35" s="181"/>
      <c r="IK35" s="181"/>
      <c r="IL35" s="181"/>
      <c r="IM35" s="181"/>
      <c r="IN35" s="181">
        <f t="shared" ref="IN35:IN66" si="52">SUM(IB35:IM35)</f>
        <v>0</v>
      </c>
      <c r="IO35" s="181"/>
      <c r="IP35" s="181"/>
      <c r="IQ35" s="181"/>
      <c r="IR35" s="181"/>
      <c r="IS35" s="181"/>
      <c r="IT35" s="181"/>
      <c r="IU35" s="181"/>
      <c r="IV35" s="181"/>
      <c r="IW35" s="181"/>
      <c r="IX35" s="181"/>
      <c r="IY35" s="181"/>
      <c r="IZ35" s="181"/>
      <c r="JA35" s="181">
        <f t="shared" ref="JA35:JA66" si="53">SUM(IO35:IZ35)</f>
        <v>0</v>
      </c>
      <c r="JC35" s="135">
        <f t="shared" ref="JC35:JC66" si="54">B35+O35+AB35+AO35+BB35+BO35+CB35+CO35+DB35+DO35+EB35+EO35+FB35+FO35+GB35+GO35+HB35+HO35+IB35+IO35</f>
        <v>0</v>
      </c>
      <c r="JD35" s="135">
        <f t="shared" ref="JD35:JD66" si="55">C35+P35+AC35+AP35+BC35+BP35+CC35+CP35+DC35+DP35+EC35+EP35+FC35+FP35+GC35+GP35+HC35+HP35+IC35+IP35</f>
        <v>0</v>
      </c>
      <c r="JE35" s="135">
        <f t="shared" ref="JE35:JE66" si="56">D35+Q35+AD35+AQ35+BD35+BQ35+CD35+CQ35+DD35+DQ35+ED35+EQ35+FD35+FQ35+GD35+GQ35+HD35+HQ35+ID35+IQ35</f>
        <v>0</v>
      </c>
      <c r="JF35" s="135">
        <f t="shared" ref="JF35:JF66" si="57">E35+R35+AE35+AR35+BE35+BR35+CE35+CR35+DE35+DR35+EE35+ER35+FE35+FR35+GE35+GR35+HE35+HR35+IE35+IR35</f>
        <v>0</v>
      </c>
      <c r="JG35" s="135">
        <f t="shared" ref="JG35:JG66" si="58">F35+S35+AF35+AS35+BF35+BS35+CF35+CS35+DF35+DS35+EF35+ES35+FF35+FS35+GF35+GS35+HF35+HS35+IF35+IS35</f>
        <v>0</v>
      </c>
      <c r="JH35" s="135">
        <f t="shared" ref="JH35:JH66" si="59">G35+T35+AG35+AT35+BG35+BT35+CG35+CT35+DG35+DT35+EG35+ET35+FG35+FT35+GG35+GT35+HG35+HT35+IG35+IT35</f>
        <v>0</v>
      </c>
      <c r="JI35" s="135">
        <f t="shared" ref="JI35:JI66" si="60">H35+U35+AH35+AU35+BH35+BU35+CH35+CU35+DH35+DU35+EH35+EU35+FH35+FU35+GH35+GU35+HH35+HU35+IH35+IU35</f>
        <v>0</v>
      </c>
      <c r="JJ35" s="135">
        <f t="shared" ref="JJ35:JJ66" si="61">I35+V35+AI35+AV35+BI35+BV35+CI35+CV35+DI35+DV35+EI35+EV35+FI35+FV35+GI35+GV35+HI35+HV35+II35+IV35</f>
        <v>0</v>
      </c>
      <c r="JK35" s="135">
        <f t="shared" ref="JK35:JK66" si="62">J35+W35+AJ35+AW35+BJ35+BW35+CJ35+CW35+DJ35+DW35+EJ35+EW35+FJ35+FW35+GJ35+GW35+HJ35+HW35+IJ35+IW35</f>
        <v>0</v>
      </c>
      <c r="JL35" s="135">
        <f t="shared" ref="JL35:JL66" si="63">K35+X35+AK35+AX35+BK35+BX35+CK35+CX35+DK35+DX35+EK35+EX35+FK35+FX35+GK35+GX35+HK35+HX35+IK35+IX35</f>
        <v>0</v>
      </c>
      <c r="JM35" s="135">
        <f t="shared" ref="JM35:JM66" si="64">L35+Y35+AL35+AY35+BL35+BY35+CL35+CY35+DL35+DY35+EL35+EY35+FL35+FY35+GL35+GY35+HL35+HY35+IL35+IY35</f>
        <v>0</v>
      </c>
      <c r="JN35" s="135">
        <f t="shared" ref="JN35:JN66" si="65">M35+Z35+AM35+AZ35+BM35+BZ35+CM35+CZ35+DM35+DZ35+EM35+EZ35+FM35+FZ35+GM35+GZ35+HM35+HZ35+IM35+IZ35</f>
        <v>0</v>
      </c>
      <c r="JO35" s="132">
        <f t="shared" ref="JO35:JO66" si="66">SUM(JC35:JN35)</f>
        <v>0</v>
      </c>
      <c r="JQ35" s="139">
        <f t="shared" ref="JQ35:JQ66" si="67">N35+AA35+AN35+BA35+BN35+CA35+CN35+DA35+DN35+EA35+EN35+FA35+FN35+GA35+GN35+HA35+HN35+IA35+IN35+JA35</f>
        <v>0</v>
      </c>
    </row>
    <row r="36" spans="1:277" x14ac:dyDescent="0.25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2">
        <f t="shared" si="34"/>
        <v>0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2">
        <f t="shared" si="35"/>
        <v>0</v>
      </c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2">
        <f t="shared" si="36"/>
        <v>0</v>
      </c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2">
        <f t="shared" si="37"/>
        <v>0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2">
        <f t="shared" si="38"/>
        <v>0</v>
      </c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2">
        <f t="shared" si="39"/>
        <v>0</v>
      </c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2">
        <f t="shared" si="40"/>
        <v>0</v>
      </c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2">
        <f t="shared" si="41"/>
        <v>0</v>
      </c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2">
        <f t="shared" si="42"/>
        <v>0</v>
      </c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2">
        <f t="shared" si="43"/>
        <v>0</v>
      </c>
      <c r="EB36" s="216"/>
      <c r="EC36" s="216"/>
      <c r="ED36" s="216"/>
      <c r="EE36" s="216"/>
      <c r="EF36" s="216"/>
      <c r="EG36" s="216"/>
      <c r="EH36" s="216"/>
      <c r="EI36" s="216"/>
      <c r="EJ36" s="216"/>
      <c r="EK36" s="216"/>
      <c r="EL36" s="216"/>
      <c r="EM36" s="216"/>
      <c r="EN36" s="132">
        <f t="shared" si="44"/>
        <v>0</v>
      </c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>
        <f t="shared" si="45"/>
        <v>0</v>
      </c>
      <c r="FB36" s="181"/>
      <c r="FC36" s="181"/>
      <c r="FD36" s="181"/>
      <c r="FE36" s="181"/>
      <c r="FF36" s="181"/>
      <c r="FG36" s="181"/>
      <c r="FH36" s="181"/>
      <c r="FI36" s="181"/>
      <c r="FJ36" s="181"/>
      <c r="FK36" s="181"/>
      <c r="FL36" s="181"/>
      <c r="FM36" s="181"/>
      <c r="FN36" s="132">
        <f t="shared" si="46"/>
        <v>0</v>
      </c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>
        <f t="shared" si="47"/>
        <v>0</v>
      </c>
      <c r="GB36" s="181"/>
      <c r="GC36" s="181"/>
      <c r="GD36" s="181"/>
      <c r="GE36" s="181"/>
      <c r="GF36" s="181"/>
      <c r="GG36" s="181"/>
      <c r="GH36" s="181"/>
      <c r="GI36" s="181"/>
      <c r="GJ36" s="181"/>
      <c r="GK36" s="181"/>
      <c r="GL36" s="181"/>
      <c r="GM36" s="181"/>
      <c r="GN36" s="181">
        <f t="shared" si="48"/>
        <v>0</v>
      </c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2">
        <f t="shared" si="49"/>
        <v>0</v>
      </c>
      <c r="HB36" s="181"/>
      <c r="HC36" s="181"/>
      <c r="HD36" s="181"/>
      <c r="HE36" s="181"/>
      <c r="HF36" s="181"/>
      <c r="HG36" s="181"/>
      <c r="HH36" s="181"/>
      <c r="HI36" s="181"/>
      <c r="HJ36" s="181"/>
      <c r="HK36" s="181"/>
      <c r="HL36" s="181"/>
      <c r="HM36" s="181"/>
      <c r="HN36" s="181">
        <f t="shared" si="50"/>
        <v>0</v>
      </c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>
        <f t="shared" si="51"/>
        <v>0</v>
      </c>
      <c r="IB36" s="181"/>
      <c r="IC36" s="181"/>
      <c r="ID36" s="181"/>
      <c r="IE36" s="181"/>
      <c r="IF36" s="181"/>
      <c r="IG36" s="181"/>
      <c r="IH36" s="181"/>
      <c r="II36" s="181"/>
      <c r="IJ36" s="181"/>
      <c r="IK36" s="181"/>
      <c r="IL36" s="181"/>
      <c r="IM36" s="181"/>
      <c r="IN36" s="181">
        <f t="shared" si="52"/>
        <v>0</v>
      </c>
      <c r="IO36" s="181"/>
      <c r="IP36" s="181"/>
      <c r="IQ36" s="181"/>
      <c r="IR36" s="181"/>
      <c r="IS36" s="181"/>
      <c r="IT36" s="181"/>
      <c r="IU36" s="181"/>
      <c r="IV36" s="181"/>
      <c r="IW36" s="181"/>
      <c r="IX36" s="181"/>
      <c r="IY36" s="181"/>
      <c r="IZ36" s="181"/>
      <c r="JA36" s="181">
        <f t="shared" si="53"/>
        <v>0</v>
      </c>
      <c r="JC36" s="135">
        <f t="shared" si="54"/>
        <v>0</v>
      </c>
      <c r="JD36" s="135">
        <f t="shared" si="55"/>
        <v>0</v>
      </c>
      <c r="JE36" s="135">
        <f t="shared" si="56"/>
        <v>0</v>
      </c>
      <c r="JF36" s="135">
        <f t="shared" si="57"/>
        <v>0</v>
      </c>
      <c r="JG36" s="135">
        <f t="shared" si="58"/>
        <v>0</v>
      </c>
      <c r="JH36" s="135">
        <f t="shared" si="59"/>
        <v>0</v>
      </c>
      <c r="JI36" s="135">
        <f t="shared" si="60"/>
        <v>0</v>
      </c>
      <c r="JJ36" s="135">
        <f t="shared" si="61"/>
        <v>0</v>
      </c>
      <c r="JK36" s="135">
        <f t="shared" si="62"/>
        <v>0</v>
      </c>
      <c r="JL36" s="135">
        <f t="shared" si="63"/>
        <v>0</v>
      </c>
      <c r="JM36" s="135">
        <f t="shared" si="64"/>
        <v>0</v>
      </c>
      <c r="JN36" s="135">
        <f t="shared" si="65"/>
        <v>0</v>
      </c>
      <c r="JO36" s="132">
        <f t="shared" si="66"/>
        <v>0</v>
      </c>
      <c r="JQ36" s="139">
        <f t="shared" si="67"/>
        <v>0</v>
      </c>
    </row>
    <row r="37" spans="1:277" x14ac:dyDescent="0.2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2">
        <f t="shared" si="34"/>
        <v>0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2">
        <f t="shared" si="35"/>
        <v>0</v>
      </c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2">
        <f t="shared" si="36"/>
        <v>0</v>
      </c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2">
        <f t="shared" si="37"/>
        <v>0</v>
      </c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2">
        <f t="shared" si="38"/>
        <v>0</v>
      </c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2">
        <f t="shared" si="39"/>
        <v>0</v>
      </c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2">
        <f t="shared" si="40"/>
        <v>0</v>
      </c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2">
        <f t="shared" si="41"/>
        <v>0</v>
      </c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2">
        <f t="shared" si="42"/>
        <v>0</v>
      </c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2">
        <f t="shared" si="43"/>
        <v>0</v>
      </c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132">
        <f t="shared" si="44"/>
        <v>0</v>
      </c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>
        <f t="shared" si="45"/>
        <v>0</v>
      </c>
      <c r="FB37" s="181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32">
        <f t="shared" si="46"/>
        <v>0</v>
      </c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>
        <f t="shared" si="47"/>
        <v>0</v>
      </c>
      <c r="GB37" s="181"/>
      <c r="GC37" s="181"/>
      <c r="GD37" s="181"/>
      <c r="GE37" s="181"/>
      <c r="GF37" s="181"/>
      <c r="GG37" s="181"/>
      <c r="GH37" s="181"/>
      <c r="GI37" s="181"/>
      <c r="GJ37" s="181"/>
      <c r="GK37" s="181"/>
      <c r="GL37" s="181"/>
      <c r="GM37" s="181"/>
      <c r="GN37" s="181">
        <f t="shared" si="48"/>
        <v>0</v>
      </c>
      <c r="GO37" s="137"/>
      <c r="GP37" s="137"/>
      <c r="GQ37" s="137"/>
      <c r="GR37" s="137"/>
      <c r="GS37" s="137"/>
      <c r="GT37" s="137"/>
      <c r="GU37" s="137"/>
      <c r="GV37" s="137"/>
      <c r="GW37" s="137"/>
      <c r="GX37" s="137"/>
      <c r="GY37" s="137"/>
      <c r="GZ37" s="137"/>
      <c r="HA37" s="132">
        <f t="shared" si="49"/>
        <v>0</v>
      </c>
      <c r="HB37" s="181"/>
      <c r="HC37" s="181"/>
      <c r="HD37" s="181"/>
      <c r="HE37" s="181"/>
      <c r="HF37" s="181"/>
      <c r="HG37" s="181"/>
      <c r="HH37" s="181"/>
      <c r="HI37" s="181"/>
      <c r="HJ37" s="181"/>
      <c r="HK37" s="181"/>
      <c r="HL37" s="181"/>
      <c r="HM37" s="181"/>
      <c r="HN37" s="181">
        <f t="shared" si="50"/>
        <v>0</v>
      </c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>
        <f t="shared" si="51"/>
        <v>0</v>
      </c>
      <c r="IB37" s="181"/>
      <c r="IC37" s="181"/>
      <c r="ID37" s="181"/>
      <c r="IE37" s="181"/>
      <c r="IF37" s="181"/>
      <c r="IG37" s="181"/>
      <c r="IH37" s="181"/>
      <c r="II37" s="181"/>
      <c r="IJ37" s="181"/>
      <c r="IK37" s="181"/>
      <c r="IL37" s="181"/>
      <c r="IM37" s="181"/>
      <c r="IN37" s="181">
        <f t="shared" si="52"/>
        <v>0</v>
      </c>
      <c r="IO37" s="181"/>
      <c r="IP37" s="181"/>
      <c r="IQ37" s="181"/>
      <c r="IR37" s="181"/>
      <c r="IS37" s="181"/>
      <c r="IT37" s="181"/>
      <c r="IU37" s="181"/>
      <c r="IV37" s="181"/>
      <c r="IW37" s="181"/>
      <c r="IX37" s="181"/>
      <c r="IY37" s="181"/>
      <c r="IZ37" s="181"/>
      <c r="JA37" s="181">
        <f t="shared" si="53"/>
        <v>0</v>
      </c>
      <c r="JC37" s="135">
        <f t="shared" si="54"/>
        <v>0</v>
      </c>
      <c r="JD37" s="135">
        <f t="shared" si="55"/>
        <v>0</v>
      </c>
      <c r="JE37" s="135">
        <f t="shared" si="56"/>
        <v>0</v>
      </c>
      <c r="JF37" s="135">
        <f t="shared" si="57"/>
        <v>0</v>
      </c>
      <c r="JG37" s="135">
        <f t="shared" si="58"/>
        <v>0</v>
      </c>
      <c r="JH37" s="135">
        <f t="shared" si="59"/>
        <v>0</v>
      </c>
      <c r="JI37" s="135">
        <f t="shared" si="60"/>
        <v>0</v>
      </c>
      <c r="JJ37" s="135">
        <f t="shared" si="61"/>
        <v>0</v>
      </c>
      <c r="JK37" s="135">
        <f t="shared" si="62"/>
        <v>0</v>
      </c>
      <c r="JL37" s="135">
        <f t="shared" si="63"/>
        <v>0</v>
      </c>
      <c r="JM37" s="135">
        <f t="shared" si="64"/>
        <v>0</v>
      </c>
      <c r="JN37" s="135">
        <f t="shared" si="65"/>
        <v>0</v>
      </c>
      <c r="JO37" s="132">
        <f t="shared" si="66"/>
        <v>0</v>
      </c>
      <c r="JQ37" s="139">
        <f t="shared" si="67"/>
        <v>0</v>
      </c>
    </row>
    <row r="38" spans="1:277" x14ac:dyDescent="0.2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2">
        <f t="shared" si="34"/>
        <v>0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2">
        <f t="shared" si="35"/>
        <v>0</v>
      </c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2">
        <f t="shared" si="36"/>
        <v>0</v>
      </c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2">
        <f t="shared" si="37"/>
        <v>0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2">
        <f t="shared" si="38"/>
        <v>0</v>
      </c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2">
        <f t="shared" si="39"/>
        <v>0</v>
      </c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2">
        <f t="shared" si="40"/>
        <v>0</v>
      </c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2">
        <f t="shared" si="41"/>
        <v>0</v>
      </c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2">
        <f t="shared" si="42"/>
        <v>0</v>
      </c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2">
        <f t="shared" si="43"/>
        <v>0</v>
      </c>
      <c r="EB38" s="216"/>
      <c r="EC38" s="216"/>
      <c r="ED38" s="216"/>
      <c r="EE38" s="216"/>
      <c r="EF38" s="216"/>
      <c r="EG38" s="216"/>
      <c r="EH38" s="216"/>
      <c r="EI38" s="216"/>
      <c r="EJ38" s="216"/>
      <c r="EK38" s="216"/>
      <c r="EL38" s="216"/>
      <c r="EM38" s="216"/>
      <c r="EN38" s="132">
        <f t="shared" si="44"/>
        <v>0</v>
      </c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>
        <f t="shared" si="45"/>
        <v>0</v>
      </c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32">
        <f t="shared" si="46"/>
        <v>0</v>
      </c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>
        <f t="shared" si="47"/>
        <v>0</v>
      </c>
      <c r="GB38" s="181"/>
      <c r="GC38" s="181"/>
      <c r="GD38" s="181"/>
      <c r="GE38" s="181"/>
      <c r="GF38" s="181"/>
      <c r="GG38" s="181"/>
      <c r="GH38" s="181"/>
      <c r="GI38" s="181"/>
      <c r="GJ38" s="181"/>
      <c r="GK38" s="181"/>
      <c r="GL38" s="181"/>
      <c r="GM38" s="181"/>
      <c r="GN38" s="181">
        <f t="shared" si="48"/>
        <v>0</v>
      </c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2">
        <f t="shared" si="49"/>
        <v>0</v>
      </c>
      <c r="HB38" s="181"/>
      <c r="HC38" s="181"/>
      <c r="HD38" s="181"/>
      <c r="HE38" s="181"/>
      <c r="HF38" s="181"/>
      <c r="HG38" s="181"/>
      <c r="HH38" s="181"/>
      <c r="HI38" s="181"/>
      <c r="HJ38" s="181"/>
      <c r="HK38" s="181"/>
      <c r="HL38" s="181"/>
      <c r="HM38" s="181"/>
      <c r="HN38" s="181">
        <f t="shared" si="50"/>
        <v>0</v>
      </c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>
        <f t="shared" si="51"/>
        <v>0</v>
      </c>
      <c r="IB38" s="181"/>
      <c r="IC38" s="181"/>
      <c r="ID38" s="181"/>
      <c r="IE38" s="181"/>
      <c r="IF38" s="181"/>
      <c r="IG38" s="181"/>
      <c r="IH38" s="181"/>
      <c r="II38" s="181"/>
      <c r="IJ38" s="181"/>
      <c r="IK38" s="181"/>
      <c r="IL38" s="181"/>
      <c r="IM38" s="181"/>
      <c r="IN38" s="181">
        <f t="shared" si="52"/>
        <v>0</v>
      </c>
      <c r="IO38" s="181"/>
      <c r="IP38" s="181"/>
      <c r="IQ38" s="181"/>
      <c r="IR38" s="181"/>
      <c r="IS38" s="181"/>
      <c r="IT38" s="181"/>
      <c r="IU38" s="181"/>
      <c r="IV38" s="181"/>
      <c r="IW38" s="181"/>
      <c r="IX38" s="181"/>
      <c r="IY38" s="181"/>
      <c r="IZ38" s="181"/>
      <c r="JA38" s="181">
        <f t="shared" si="53"/>
        <v>0</v>
      </c>
      <c r="JC38" s="135">
        <f t="shared" si="54"/>
        <v>0</v>
      </c>
      <c r="JD38" s="135">
        <f t="shared" si="55"/>
        <v>0</v>
      </c>
      <c r="JE38" s="135">
        <f t="shared" si="56"/>
        <v>0</v>
      </c>
      <c r="JF38" s="135">
        <f t="shared" si="57"/>
        <v>0</v>
      </c>
      <c r="JG38" s="135">
        <f t="shared" si="58"/>
        <v>0</v>
      </c>
      <c r="JH38" s="135">
        <f t="shared" si="59"/>
        <v>0</v>
      </c>
      <c r="JI38" s="135">
        <f t="shared" si="60"/>
        <v>0</v>
      </c>
      <c r="JJ38" s="135">
        <f t="shared" si="61"/>
        <v>0</v>
      </c>
      <c r="JK38" s="135">
        <f t="shared" si="62"/>
        <v>0</v>
      </c>
      <c r="JL38" s="135">
        <f t="shared" si="63"/>
        <v>0</v>
      </c>
      <c r="JM38" s="135">
        <f t="shared" si="64"/>
        <v>0</v>
      </c>
      <c r="JN38" s="135">
        <f t="shared" si="65"/>
        <v>0</v>
      </c>
      <c r="JO38" s="132">
        <f t="shared" si="66"/>
        <v>0</v>
      </c>
      <c r="JQ38" s="139">
        <f t="shared" si="67"/>
        <v>0</v>
      </c>
    </row>
    <row r="39" spans="1:277" x14ac:dyDescent="0.2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2">
        <f t="shared" si="34"/>
        <v>0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2">
        <f t="shared" si="35"/>
        <v>0</v>
      </c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>
        <f t="shared" si="36"/>
        <v>0</v>
      </c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2">
        <f t="shared" si="37"/>
        <v>0</v>
      </c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2">
        <f t="shared" si="38"/>
        <v>0</v>
      </c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2">
        <f t="shared" si="39"/>
        <v>0</v>
      </c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2">
        <f t="shared" si="40"/>
        <v>0</v>
      </c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2">
        <f t="shared" si="41"/>
        <v>0</v>
      </c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2">
        <f t="shared" si="42"/>
        <v>0</v>
      </c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2">
        <f t="shared" si="43"/>
        <v>0</v>
      </c>
      <c r="EB39" s="216"/>
      <c r="EC39" s="216"/>
      <c r="ED39" s="216"/>
      <c r="EE39" s="216"/>
      <c r="EF39" s="216"/>
      <c r="EG39" s="216"/>
      <c r="EH39" s="216"/>
      <c r="EI39" s="216"/>
      <c r="EJ39" s="216"/>
      <c r="EK39" s="216"/>
      <c r="EL39" s="216"/>
      <c r="EM39" s="216"/>
      <c r="EN39" s="132">
        <f t="shared" si="44"/>
        <v>0</v>
      </c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>
        <f t="shared" si="45"/>
        <v>0</v>
      </c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32">
        <f t="shared" si="46"/>
        <v>0</v>
      </c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>
        <f t="shared" si="47"/>
        <v>0</v>
      </c>
      <c r="GB39" s="181"/>
      <c r="GC39" s="181"/>
      <c r="GD39" s="181"/>
      <c r="GE39" s="181"/>
      <c r="GF39" s="181"/>
      <c r="GG39" s="181"/>
      <c r="GH39" s="181"/>
      <c r="GI39" s="181"/>
      <c r="GJ39" s="181"/>
      <c r="GK39" s="181"/>
      <c r="GL39" s="181"/>
      <c r="GM39" s="181"/>
      <c r="GN39" s="181">
        <f t="shared" si="48"/>
        <v>0</v>
      </c>
      <c r="GO39" s="137"/>
      <c r="GP39" s="137"/>
      <c r="GQ39" s="137"/>
      <c r="GR39" s="137"/>
      <c r="GS39" s="137"/>
      <c r="GT39" s="137"/>
      <c r="GU39" s="137"/>
      <c r="GV39" s="137"/>
      <c r="GW39" s="137"/>
      <c r="GX39" s="137"/>
      <c r="GY39" s="137"/>
      <c r="GZ39" s="137"/>
      <c r="HA39" s="132">
        <f t="shared" si="49"/>
        <v>0</v>
      </c>
      <c r="HB39" s="181"/>
      <c r="HC39" s="181"/>
      <c r="HD39" s="181"/>
      <c r="HE39" s="181"/>
      <c r="HF39" s="181"/>
      <c r="HG39" s="181"/>
      <c r="HH39" s="181"/>
      <c r="HI39" s="181"/>
      <c r="HJ39" s="181"/>
      <c r="HK39" s="181"/>
      <c r="HL39" s="181"/>
      <c r="HM39" s="181"/>
      <c r="HN39" s="181">
        <f t="shared" si="50"/>
        <v>0</v>
      </c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>
        <f t="shared" si="51"/>
        <v>0</v>
      </c>
      <c r="IB39" s="181"/>
      <c r="IC39" s="181"/>
      <c r="ID39" s="181"/>
      <c r="IE39" s="181"/>
      <c r="IF39" s="181"/>
      <c r="IG39" s="181"/>
      <c r="IH39" s="181"/>
      <c r="II39" s="181"/>
      <c r="IJ39" s="181"/>
      <c r="IK39" s="181"/>
      <c r="IL39" s="181"/>
      <c r="IM39" s="181"/>
      <c r="IN39" s="181">
        <f t="shared" si="52"/>
        <v>0</v>
      </c>
      <c r="IO39" s="181"/>
      <c r="IP39" s="181"/>
      <c r="IQ39" s="181"/>
      <c r="IR39" s="181"/>
      <c r="IS39" s="181"/>
      <c r="IT39" s="181"/>
      <c r="IU39" s="181"/>
      <c r="IV39" s="181"/>
      <c r="IW39" s="181"/>
      <c r="IX39" s="181"/>
      <c r="IY39" s="181"/>
      <c r="IZ39" s="181"/>
      <c r="JA39" s="181">
        <f t="shared" si="53"/>
        <v>0</v>
      </c>
      <c r="JC39" s="135">
        <f t="shared" si="54"/>
        <v>0</v>
      </c>
      <c r="JD39" s="135">
        <f t="shared" si="55"/>
        <v>0</v>
      </c>
      <c r="JE39" s="135">
        <f t="shared" si="56"/>
        <v>0</v>
      </c>
      <c r="JF39" s="135">
        <f t="shared" si="57"/>
        <v>0</v>
      </c>
      <c r="JG39" s="135">
        <f t="shared" si="58"/>
        <v>0</v>
      </c>
      <c r="JH39" s="135">
        <f t="shared" si="59"/>
        <v>0</v>
      </c>
      <c r="JI39" s="135">
        <f t="shared" si="60"/>
        <v>0</v>
      </c>
      <c r="JJ39" s="135">
        <f t="shared" si="61"/>
        <v>0</v>
      </c>
      <c r="JK39" s="135">
        <f t="shared" si="62"/>
        <v>0</v>
      </c>
      <c r="JL39" s="135">
        <f t="shared" si="63"/>
        <v>0</v>
      </c>
      <c r="JM39" s="135">
        <f t="shared" si="64"/>
        <v>0</v>
      </c>
      <c r="JN39" s="135">
        <f t="shared" si="65"/>
        <v>0</v>
      </c>
      <c r="JO39" s="132">
        <f t="shared" si="66"/>
        <v>0</v>
      </c>
      <c r="JQ39" s="139">
        <f t="shared" si="67"/>
        <v>0</v>
      </c>
    </row>
    <row r="40" spans="1:277" x14ac:dyDescent="0.25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2">
        <f t="shared" si="34"/>
        <v>0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2">
        <f t="shared" si="35"/>
        <v>0</v>
      </c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2">
        <f t="shared" si="36"/>
        <v>0</v>
      </c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2">
        <f t="shared" si="37"/>
        <v>0</v>
      </c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2">
        <f t="shared" si="38"/>
        <v>0</v>
      </c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2">
        <f t="shared" si="39"/>
        <v>0</v>
      </c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2">
        <f t="shared" si="40"/>
        <v>0</v>
      </c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2">
        <f t="shared" si="41"/>
        <v>0</v>
      </c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2">
        <f t="shared" si="42"/>
        <v>0</v>
      </c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2">
        <f t="shared" si="43"/>
        <v>0</v>
      </c>
      <c r="EB40" s="216"/>
      <c r="EC40" s="216"/>
      <c r="ED40" s="216"/>
      <c r="EE40" s="216"/>
      <c r="EF40" s="216"/>
      <c r="EG40" s="216"/>
      <c r="EH40" s="216"/>
      <c r="EI40" s="216"/>
      <c r="EJ40" s="216"/>
      <c r="EK40" s="216"/>
      <c r="EL40" s="216"/>
      <c r="EM40" s="216"/>
      <c r="EN40" s="132">
        <f t="shared" si="44"/>
        <v>0</v>
      </c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>
        <f t="shared" si="45"/>
        <v>0</v>
      </c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32">
        <f t="shared" si="46"/>
        <v>0</v>
      </c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>
        <f t="shared" si="47"/>
        <v>0</v>
      </c>
      <c r="GB40" s="181"/>
      <c r="GC40" s="181"/>
      <c r="GD40" s="181"/>
      <c r="GE40" s="181"/>
      <c r="GF40" s="181"/>
      <c r="GG40" s="181"/>
      <c r="GH40" s="181"/>
      <c r="GI40" s="181"/>
      <c r="GJ40" s="181"/>
      <c r="GK40" s="181"/>
      <c r="GL40" s="181"/>
      <c r="GM40" s="181"/>
      <c r="GN40" s="181">
        <f t="shared" si="48"/>
        <v>0</v>
      </c>
      <c r="GO40" s="137"/>
      <c r="GP40" s="137"/>
      <c r="GQ40" s="137"/>
      <c r="GR40" s="137"/>
      <c r="GS40" s="137"/>
      <c r="GT40" s="137"/>
      <c r="GU40" s="137"/>
      <c r="GV40" s="137"/>
      <c r="GW40" s="137"/>
      <c r="GX40" s="137"/>
      <c r="GY40" s="137"/>
      <c r="GZ40" s="137"/>
      <c r="HA40" s="132">
        <f t="shared" si="49"/>
        <v>0</v>
      </c>
      <c r="HB40" s="181"/>
      <c r="HC40" s="181"/>
      <c r="HD40" s="181"/>
      <c r="HE40" s="181"/>
      <c r="HF40" s="181"/>
      <c r="HG40" s="181"/>
      <c r="HH40" s="181"/>
      <c r="HI40" s="181"/>
      <c r="HJ40" s="181"/>
      <c r="HK40" s="181"/>
      <c r="HL40" s="181"/>
      <c r="HM40" s="181"/>
      <c r="HN40" s="181">
        <f t="shared" si="50"/>
        <v>0</v>
      </c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>
        <f t="shared" si="51"/>
        <v>0</v>
      </c>
      <c r="IB40" s="181"/>
      <c r="IC40" s="181"/>
      <c r="ID40" s="181"/>
      <c r="IE40" s="181"/>
      <c r="IF40" s="181"/>
      <c r="IG40" s="181"/>
      <c r="IH40" s="181"/>
      <c r="II40" s="181"/>
      <c r="IJ40" s="181"/>
      <c r="IK40" s="181"/>
      <c r="IL40" s="181"/>
      <c r="IM40" s="181"/>
      <c r="IN40" s="181">
        <f t="shared" si="52"/>
        <v>0</v>
      </c>
      <c r="IO40" s="181"/>
      <c r="IP40" s="181"/>
      <c r="IQ40" s="181"/>
      <c r="IR40" s="181"/>
      <c r="IS40" s="181"/>
      <c r="IT40" s="181"/>
      <c r="IU40" s="181"/>
      <c r="IV40" s="181"/>
      <c r="IW40" s="181"/>
      <c r="IX40" s="181"/>
      <c r="IY40" s="181"/>
      <c r="IZ40" s="181"/>
      <c r="JA40" s="181">
        <f t="shared" si="53"/>
        <v>0</v>
      </c>
      <c r="JC40" s="135">
        <f t="shared" si="54"/>
        <v>0</v>
      </c>
      <c r="JD40" s="135">
        <f t="shared" si="55"/>
        <v>0</v>
      </c>
      <c r="JE40" s="135">
        <f t="shared" si="56"/>
        <v>0</v>
      </c>
      <c r="JF40" s="135">
        <f t="shared" si="57"/>
        <v>0</v>
      </c>
      <c r="JG40" s="135">
        <f t="shared" si="58"/>
        <v>0</v>
      </c>
      <c r="JH40" s="135">
        <f t="shared" si="59"/>
        <v>0</v>
      </c>
      <c r="JI40" s="135">
        <f t="shared" si="60"/>
        <v>0</v>
      </c>
      <c r="JJ40" s="135">
        <f t="shared" si="61"/>
        <v>0</v>
      </c>
      <c r="JK40" s="135">
        <f t="shared" si="62"/>
        <v>0</v>
      </c>
      <c r="JL40" s="135">
        <f t="shared" si="63"/>
        <v>0</v>
      </c>
      <c r="JM40" s="135">
        <f t="shared" si="64"/>
        <v>0</v>
      </c>
      <c r="JN40" s="135">
        <f t="shared" si="65"/>
        <v>0</v>
      </c>
      <c r="JO40" s="132">
        <f t="shared" si="66"/>
        <v>0</v>
      </c>
      <c r="JQ40" s="139">
        <f t="shared" si="67"/>
        <v>0</v>
      </c>
    </row>
    <row r="41" spans="1:277" x14ac:dyDescent="0.25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2">
        <f t="shared" si="34"/>
        <v>0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2">
        <f t="shared" si="35"/>
        <v>0</v>
      </c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2">
        <f t="shared" si="36"/>
        <v>0</v>
      </c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2">
        <f t="shared" si="37"/>
        <v>0</v>
      </c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2">
        <f t="shared" si="38"/>
        <v>0</v>
      </c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2">
        <f t="shared" si="39"/>
        <v>0</v>
      </c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2">
        <f t="shared" si="40"/>
        <v>0</v>
      </c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2">
        <f t="shared" si="41"/>
        <v>0</v>
      </c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2">
        <f t="shared" si="42"/>
        <v>0</v>
      </c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2">
        <f t="shared" si="43"/>
        <v>0</v>
      </c>
      <c r="EB41" s="216"/>
      <c r="EC41" s="216"/>
      <c r="ED41" s="216"/>
      <c r="EE41" s="216"/>
      <c r="EF41" s="216"/>
      <c r="EG41" s="216"/>
      <c r="EH41" s="216"/>
      <c r="EI41" s="216"/>
      <c r="EJ41" s="216"/>
      <c r="EK41" s="216"/>
      <c r="EL41" s="216"/>
      <c r="EM41" s="216"/>
      <c r="EN41" s="132">
        <f t="shared" si="44"/>
        <v>0</v>
      </c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>
        <f t="shared" si="45"/>
        <v>0</v>
      </c>
      <c r="FB41" s="181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32">
        <f t="shared" si="46"/>
        <v>0</v>
      </c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>
        <f t="shared" si="47"/>
        <v>0</v>
      </c>
      <c r="GB41" s="181"/>
      <c r="GC41" s="181"/>
      <c r="GD41" s="181"/>
      <c r="GE41" s="181"/>
      <c r="GF41" s="181"/>
      <c r="GG41" s="181"/>
      <c r="GH41" s="181"/>
      <c r="GI41" s="181"/>
      <c r="GJ41" s="181"/>
      <c r="GK41" s="181"/>
      <c r="GL41" s="181"/>
      <c r="GM41" s="181"/>
      <c r="GN41" s="181">
        <f t="shared" si="48"/>
        <v>0</v>
      </c>
      <c r="GO41" s="137"/>
      <c r="GP41" s="137"/>
      <c r="GQ41" s="137"/>
      <c r="GR41" s="137"/>
      <c r="GS41" s="137"/>
      <c r="GT41" s="137"/>
      <c r="GU41" s="137"/>
      <c r="GV41" s="137"/>
      <c r="GW41" s="137"/>
      <c r="GX41" s="137"/>
      <c r="GY41" s="137"/>
      <c r="GZ41" s="137"/>
      <c r="HA41" s="132">
        <f t="shared" si="49"/>
        <v>0</v>
      </c>
      <c r="HB41" s="181"/>
      <c r="HC41" s="181"/>
      <c r="HD41" s="181"/>
      <c r="HE41" s="181"/>
      <c r="HF41" s="181"/>
      <c r="HG41" s="181"/>
      <c r="HH41" s="181"/>
      <c r="HI41" s="181"/>
      <c r="HJ41" s="181"/>
      <c r="HK41" s="181"/>
      <c r="HL41" s="181"/>
      <c r="HM41" s="181"/>
      <c r="HN41" s="181">
        <f t="shared" si="50"/>
        <v>0</v>
      </c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>
        <f t="shared" si="51"/>
        <v>0</v>
      </c>
      <c r="IB41" s="181"/>
      <c r="IC41" s="181"/>
      <c r="ID41" s="181"/>
      <c r="IE41" s="181"/>
      <c r="IF41" s="181"/>
      <c r="IG41" s="181"/>
      <c r="IH41" s="181"/>
      <c r="II41" s="181"/>
      <c r="IJ41" s="181"/>
      <c r="IK41" s="181"/>
      <c r="IL41" s="181"/>
      <c r="IM41" s="181"/>
      <c r="IN41" s="181">
        <f t="shared" si="52"/>
        <v>0</v>
      </c>
      <c r="IO41" s="181"/>
      <c r="IP41" s="181"/>
      <c r="IQ41" s="181"/>
      <c r="IR41" s="181"/>
      <c r="IS41" s="181"/>
      <c r="IT41" s="181"/>
      <c r="IU41" s="181"/>
      <c r="IV41" s="181"/>
      <c r="IW41" s="181"/>
      <c r="IX41" s="181"/>
      <c r="IY41" s="181"/>
      <c r="IZ41" s="181"/>
      <c r="JA41" s="181">
        <f t="shared" si="53"/>
        <v>0</v>
      </c>
      <c r="JC41" s="135">
        <f t="shared" si="54"/>
        <v>0</v>
      </c>
      <c r="JD41" s="135">
        <f t="shared" si="55"/>
        <v>0</v>
      </c>
      <c r="JE41" s="135">
        <f t="shared" si="56"/>
        <v>0</v>
      </c>
      <c r="JF41" s="135">
        <f t="shared" si="57"/>
        <v>0</v>
      </c>
      <c r="JG41" s="135">
        <f t="shared" si="58"/>
        <v>0</v>
      </c>
      <c r="JH41" s="135">
        <f t="shared" si="59"/>
        <v>0</v>
      </c>
      <c r="JI41" s="135">
        <f t="shared" si="60"/>
        <v>0</v>
      </c>
      <c r="JJ41" s="135">
        <f t="shared" si="61"/>
        <v>0</v>
      </c>
      <c r="JK41" s="135">
        <f t="shared" si="62"/>
        <v>0</v>
      </c>
      <c r="JL41" s="135">
        <f t="shared" si="63"/>
        <v>0</v>
      </c>
      <c r="JM41" s="135">
        <f t="shared" si="64"/>
        <v>0</v>
      </c>
      <c r="JN41" s="135">
        <f t="shared" si="65"/>
        <v>0</v>
      </c>
      <c r="JO41" s="132">
        <f t="shared" si="66"/>
        <v>0</v>
      </c>
      <c r="JQ41" s="139">
        <f t="shared" si="67"/>
        <v>0</v>
      </c>
    </row>
    <row r="42" spans="1:277" x14ac:dyDescent="0.25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2">
        <f t="shared" si="34"/>
        <v>0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2">
        <f t="shared" si="35"/>
        <v>0</v>
      </c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2">
        <f t="shared" si="36"/>
        <v>0</v>
      </c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2">
        <f t="shared" si="37"/>
        <v>0</v>
      </c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2">
        <f t="shared" si="38"/>
        <v>0</v>
      </c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2">
        <f t="shared" si="39"/>
        <v>0</v>
      </c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2">
        <f t="shared" si="40"/>
        <v>0</v>
      </c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2">
        <f t="shared" si="41"/>
        <v>0</v>
      </c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2">
        <f t="shared" si="42"/>
        <v>0</v>
      </c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2">
        <f t="shared" si="43"/>
        <v>0</v>
      </c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132">
        <f t="shared" si="44"/>
        <v>0</v>
      </c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>
        <f t="shared" si="45"/>
        <v>0</v>
      </c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32">
        <f t="shared" si="46"/>
        <v>0</v>
      </c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>
        <f t="shared" si="47"/>
        <v>0</v>
      </c>
      <c r="GB42" s="181"/>
      <c r="GC42" s="181"/>
      <c r="GD42" s="181"/>
      <c r="GE42" s="181"/>
      <c r="GF42" s="181"/>
      <c r="GG42" s="181"/>
      <c r="GH42" s="181"/>
      <c r="GI42" s="181"/>
      <c r="GJ42" s="181"/>
      <c r="GK42" s="181"/>
      <c r="GL42" s="181"/>
      <c r="GM42" s="181"/>
      <c r="GN42" s="181">
        <f t="shared" si="48"/>
        <v>0</v>
      </c>
      <c r="GO42" s="137"/>
      <c r="GP42" s="137"/>
      <c r="GQ42" s="137"/>
      <c r="GR42" s="137"/>
      <c r="GS42" s="137"/>
      <c r="GT42" s="137"/>
      <c r="GU42" s="137"/>
      <c r="GV42" s="137"/>
      <c r="GW42" s="137"/>
      <c r="GX42" s="137"/>
      <c r="GY42" s="137"/>
      <c r="GZ42" s="137"/>
      <c r="HA42" s="132">
        <f t="shared" si="49"/>
        <v>0</v>
      </c>
      <c r="HB42" s="181"/>
      <c r="HC42" s="181"/>
      <c r="HD42" s="181"/>
      <c r="HE42" s="181"/>
      <c r="HF42" s="181"/>
      <c r="HG42" s="181"/>
      <c r="HH42" s="181"/>
      <c r="HI42" s="181"/>
      <c r="HJ42" s="181"/>
      <c r="HK42" s="181"/>
      <c r="HL42" s="181"/>
      <c r="HM42" s="181"/>
      <c r="HN42" s="181">
        <f t="shared" si="50"/>
        <v>0</v>
      </c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>
        <f t="shared" si="51"/>
        <v>0</v>
      </c>
      <c r="IB42" s="181"/>
      <c r="IC42" s="181"/>
      <c r="ID42" s="181"/>
      <c r="IE42" s="181"/>
      <c r="IF42" s="181"/>
      <c r="IG42" s="181"/>
      <c r="IH42" s="181"/>
      <c r="II42" s="181"/>
      <c r="IJ42" s="181"/>
      <c r="IK42" s="181"/>
      <c r="IL42" s="181"/>
      <c r="IM42" s="181"/>
      <c r="IN42" s="181">
        <f t="shared" si="52"/>
        <v>0</v>
      </c>
      <c r="IO42" s="181"/>
      <c r="IP42" s="181"/>
      <c r="IQ42" s="181"/>
      <c r="IR42" s="181"/>
      <c r="IS42" s="181"/>
      <c r="IT42" s="181"/>
      <c r="IU42" s="181"/>
      <c r="IV42" s="181"/>
      <c r="IW42" s="181"/>
      <c r="IX42" s="181"/>
      <c r="IY42" s="181"/>
      <c r="IZ42" s="181"/>
      <c r="JA42" s="181">
        <f t="shared" si="53"/>
        <v>0</v>
      </c>
      <c r="JC42" s="135">
        <f t="shared" si="54"/>
        <v>0</v>
      </c>
      <c r="JD42" s="135">
        <f t="shared" si="55"/>
        <v>0</v>
      </c>
      <c r="JE42" s="135">
        <f t="shared" si="56"/>
        <v>0</v>
      </c>
      <c r="JF42" s="135">
        <f t="shared" si="57"/>
        <v>0</v>
      </c>
      <c r="JG42" s="135">
        <f t="shared" si="58"/>
        <v>0</v>
      </c>
      <c r="JH42" s="135">
        <f t="shared" si="59"/>
        <v>0</v>
      </c>
      <c r="JI42" s="135">
        <f t="shared" si="60"/>
        <v>0</v>
      </c>
      <c r="JJ42" s="135">
        <f t="shared" si="61"/>
        <v>0</v>
      </c>
      <c r="JK42" s="135">
        <f t="shared" si="62"/>
        <v>0</v>
      </c>
      <c r="JL42" s="135">
        <f t="shared" si="63"/>
        <v>0</v>
      </c>
      <c r="JM42" s="135">
        <f t="shared" si="64"/>
        <v>0</v>
      </c>
      <c r="JN42" s="135">
        <f t="shared" si="65"/>
        <v>0</v>
      </c>
      <c r="JO42" s="132">
        <f t="shared" si="66"/>
        <v>0</v>
      </c>
      <c r="JQ42" s="139">
        <f t="shared" si="67"/>
        <v>0</v>
      </c>
    </row>
    <row r="43" spans="1:277" x14ac:dyDescent="0.25">
      <c r="A43" s="13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2">
        <f t="shared" si="34"/>
        <v>0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2">
        <f t="shared" si="35"/>
        <v>0</v>
      </c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2">
        <f t="shared" si="36"/>
        <v>0</v>
      </c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2">
        <f t="shared" si="37"/>
        <v>0</v>
      </c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2">
        <f t="shared" si="38"/>
        <v>0</v>
      </c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2">
        <f t="shared" si="39"/>
        <v>0</v>
      </c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2">
        <f t="shared" si="40"/>
        <v>0</v>
      </c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2">
        <f t="shared" si="41"/>
        <v>0</v>
      </c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2">
        <f t="shared" si="42"/>
        <v>0</v>
      </c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2">
        <f t="shared" si="43"/>
        <v>0</v>
      </c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132">
        <f t="shared" si="44"/>
        <v>0</v>
      </c>
      <c r="EO43" s="132"/>
      <c r="EP43" s="132"/>
      <c r="EQ43" s="132"/>
      <c r="ER43" s="132"/>
      <c r="ES43" s="132"/>
      <c r="ET43" s="132"/>
      <c r="EU43" s="132"/>
      <c r="EV43" s="132"/>
      <c r="EW43" s="132"/>
      <c r="EX43" s="132"/>
      <c r="EY43" s="132"/>
      <c r="EZ43" s="132"/>
      <c r="FA43" s="132">
        <f t="shared" si="45"/>
        <v>0</v>
      </c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32">
        <f t="shared" si="46"/>
        <v>0</v>
      </c>
      <c r="FO43" s="132"/>
      <c r="FP43" s="132"/>
      <c r="FQ43" s="132"/>
      <c r="FR43" s="132"/>
      <c r="FS43" s="132"/>
      <c r="FT43" s="132"/>
      <c r="FU43" s="132"/>
      <c r="FV43" s="132"/>
      <c r="FW43" s="132"/>
      <c r="FX43" s="132"/>
      <c r="FY43" s="132"/>
      <c r="FZ43" s="132"/>
      <c r="GA43" s="132">
        <f t="shared" si="47"/>
        <v>0</v>
      </c>
      <c r="GB43" s="181"/>
      <c r="GC43" s="181"/>
      <c r="GD43" s="181"/>
      <c r="GE43" s="181"/>
      <c r="GF43" s="181"/>
      <c r="GG43" s="181"/>
      <c r="GH43" s="181"/>
      <c r="GI43" s="181"/>
      <c r="GJ43" s="181"/>
      <c r="GK43" s="181"/>
      <c r="GL43" s="181"/>
      <c r="GM43" s="181"/>
      <c r="GN43" s="181">
        <f t="shared" si="48"/>
        <v>0</v>
      </c>
      <c r="GO43" s="137"/>
      <c r="GP43" s="137"/>
      <c r="GQ43" s="137"/>
      <c r="GR43" s="137"/>
      <c r="GS43" s="137"/>
      <c r="GT43" s="137"/>
      <c r="GU43" s="137"/>
      <c r="GV43" s="137"/>
      <c r="GW43" s="137"/>
      <c r="GX43" s="137"/>
      <c r="GY43" s="137"/>
      <c r="GZ43" s="137"/>
      <c r="HA43" s="132">
        <f t="shared" si="49"/>
        <v>0</v>
      </c>
      <c r="HB43" s="181"/>
      <c r="HC43" s="181"/>
      <c r="HD43" s="181"/>
      <c r="HE43" s="181"/>
      <c r="HF43" s="181"/>
      <c r="HG43" s="181"/>
      <c r="HH43" s="181"/>
      <c r="HI43" s="181"/>
      <c r="HJ43" s="181"/>
      <c r="HK43" s="181"/>
      <c r="HL43" s="181"/>
      <c r="HM43" s="181"/>
      <c r="HN43" s="181">
        <f t="shared" si="50"/>
        <v>0</v>
      </c>
      <c r="HO43" s="132"/>
      <c r="HP43" s="132"/>
      <c r="HQ43" s="132"/>
      <c r="HR43" s="132"/>
      <c r="HS43" s="132"/>
      <c r="HT43" s="132"/>
      <c r="HU43" s="132"/>
      <c r="HV43" s="132"/>
      <c r="HW43" s="132"/>
      <c r="HX43" s="132"/>
      <c r="HY43" s="132"/>
      <c r="HZ43" s="132"/>
      <c r="IA43" s="132">
        <f t="shared" si="51"/>
        <v>0</v>
      </c>
      <c r="IB43" s="181"/>
      <c r="IC43" s="181"/>
      <c r="ID43" s="181"/>
      <c r="IE43" s="181"/>
      <c r="IF43" s="181"/>
      <c r="IG43" s="181"/>
      <c r="IH43" s="181"/>
      <c r="II43" s="181"/>
      <c r="IJ43" s="181"/>
      <c r="IK43" s="181"/>
      <c r="IL43" s="181"/>
      <c r="IM43" s="181"/>
      <c r="IN43" s="181">
        <f t="shared" si="52"/>
        <v>0</v>
      </c>
      <c r="IO43" s="181"/>
      <c r="IP43" s="181"/>
      <c r="IQ43" s="181"/>
      <c r="IR43" s="181"/>
      <c r="IS43" s="181"/>
      <c r="IT43" s="181"/>
      <c r="IU43" s="181"/>
      <c r="IV43" s="181"/>
      <c r="IW43" s="181"/>
      <c r="IX43" s="181"/>
      <c r="IY43" s="181"/>
      <c r="IZ43" s="181"/>
      <c r="JA43" s="181">
        <f t="shared" si="53"/>
        <v>0</v>
      </c>
      <c r="JC43" s="135">
        <f t="shared" si="54"/>
        <v>0</v>
      </c>
      <c r="JD43" s="135">
        <f t="shared" si="55"/>
        <v>0</v>
      </c>
      <c r="JE43" s="135">
        <f t="shared" si="56"/>
        <v>0</v>
      </c>
      <c r="JF43" s="135">
        <f t="shared" si="57"/>
        <v>0</v>
      </c>
      <c r="JG43" s="135">
        <f t="shared" si="58"/>
        <v>0</v>
      </c>
      <c r="JH43" s="135">
        <f t="shared" si="59"/>
        <v>0</v>
      </c>
      <c r="JI43" s="135">
        <f t="shared" si="60"/>
        <v>0</v>
      </c>
      <c r="JJ43" s="135">
        <f t="shared" si="61"/>
        <v>0</v>
      </c>
      <c r="JK43" s="135">
        <f t="shared" si="62"/>
        <v>0</v>
      </c>
      <c r="JL43" s="135">
        <f t="shared" si="63"/>
        <v>0</v>
      </c>
      <c r="JM43" s="135">
        <f t="shared" si="64"/>
        <v>0</v>
      </c>
      <c r="JN43" s="135">
        <f t="shared" si="65"/>
        <v>0</v>
      </c>
      <c r="JO43" s="132">
        <f t="shared" si="66"/>
        <v>0</v>
      </c>
      <c r="JQ43" s="139">
        <f t="shared" si="67"/>
        <v>0</v>
      </c>
    </row>
    <row r="44" spans="1:277" x14ac:dyDescent="0.25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2">
        <f t="shared" si="34"/>
        <v>0</v>
      </c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2">
        <f t="shared" si="35"/>
        <v>0</v>
      </c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2">
        <f t="shared" si="36"/>
        <v>0</v>
      </c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2">
        <f t="shared" si="37"/>
        <v>0</v>
      </c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2">
        <f t="shared" si="38"/>
        <v>0</v>
      </c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2">
        <f t="shared" si="39"/>
        <v>0</v>
      </c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2">
        <f t="shared" si="40"/>
        <v>0</v>
      </c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2">
        <f t="shared" si="41"/>
        <v>0</v>
      </c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2">
        <f t="shared" si="42"/>
        <v>0</v>
      </c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2">
        <f t="shared" si="43"/>
        <v>0</v>
      </c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132">
        <f t="shared" si="44"/>
        <v>0</v>
      </c>
      <c r="EO44" s="132"/>
      <c r="EP44" s="132"/>
      <c r="EQ44" s="132"/>
      <c r="ER44" s="132"/>
      <c r="ES44" s="132"/>
      <c r="ET44" s="132"/>
      <c r="EU44" s="132"/>
      <c r="EV44" s="132"/>
      <c r="EW44" s="132"/>
      <c r="EX44" s="132"/>
      <c r="EY44" s="132"/>
      <c r="EZ44" s="132"/>
      <c r="FA44" s="132">
        <f t="shared" si="45"/>
        <v>0</v>
      </c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32">
        <f t="shared" si="46"/>
        <v>0</v>
      </c>
      <c r="FO44" s="132"/>
      <c r="FP44" s="132"/>
      <c r="FQ44" s="132"/>
      <c r="FR44" s="132"/>
      <c r="FS44" s="132"/>
      <c r="FT44" s="132"/>
      <c r="FU44" s="132"/>
      <c r="FV44" s="132"/>
      <c r="FW44" s="132"/>
      <c r="FX44" s="132"/>
      <c r="FY44" s="132"/>
      <c r="FZ44" s="132"/>
      <c r="GA44" s="132">
        <f t="shared" si="47"/>
        <v>0</v>
      </c>
      <c r="GB44" s="181"/>
      <c r="GC44" s="181"/>
      <c r="GD44" s="181"/>
      <c r="GE44" s="181"/>
      <c r="GF44" s="181"/>
      <c r="GG44" s="181"/>
      <c r="GH44" s="181"/>
      <c r="GI44" s="181"/>
      <c r="GJ44" s="181"/>
      <c r="GK44" s="181"/>
      <c r="GL44" s="181"/>
      <c r="GM44" s="181"/>
      <c r="GN44" s="181">
        <f t="shared" si="48"/>
        <v>0</v>
      </c>
      <c r="GO44" s="137"/>
      <c r="GP44" s="137"/>
      <c r="GQ44" s="137"/>
      <c r="GR44" s="137"/>
      <c r="GS44" s="137"/>
      <c r="GT44" s="137"/>
      <c r="GU44" s="137"/>
      <c r="GV44" s="137"/>
      <c r="GW44" s="137"/>
      <c r="GX44" s="137"/>
      <c r="GY44" s="137"/>
      <c r="GZ44" s="137"/>
      <c r="HA44" s="132">
        <f t="shared" si="49"/>
        <v>0</v>
      </c>
      <c r="HB44" s="181"/>
      <c r="HC44" s="181"/>
      <c r="HD44" s="181"/>
      <c r="HE44" s="181"/>
      <c r="HF44" s="181"/>
      <c r="HG44" s="181"/>
      <c r="HH44" s="181"/>
      <c r="HI44" s="181"/>
      <c r="HJ44" s="181"/>
      <c r="HK44" s="181"/>
      <c r="HL44" s="181"/>
      <c r="HM44" s="181"/>
      <c r="HN44" s="181">
        <f t="shared" si="50"/>
        <v>0</v>
      </c>
      <c r="HO44" s="132"/>
      <c r="HP44" s="132"/>
      <c r="HQ44" s="132"/>
      <c r="HR44" s="132"/>
      <c r="HS44" s="132"/>
      <c r="HT44" s="132"/>
      <c r="HU44" s="132"/>
      <c r="HV44" s="132"/>
      <c r="HW44" s="132"/>
      <c r="HX44" s="132"/>
      <c r="HY44" s="132"/>
      <c r="HZ44" s="132"/>
      <c r="IA44" s="132">
        <f t="shared" si="51"/>
        <v>0</v>
      </c>
      <c r="IB44" s="181"/>
      <c r="IC44" s="181"/>
      <c r="ID44" s="181"/>
      <c r="IE44" s="181"/>
      <c r="IF44" s="181"/>
      <c r="IG44" s="181"/>
      <c r="IH44" s="181"/>
      <c r="II44" s="181"/>
      <c r="IJ44" s="181"/>
      <c r="IK44" s="181"/>
      <c r="IL44" s="181"/>
      <c r="IM44" s="181"/>
      <c r="IN44" s="181">
        <f t="shared" si="52"/>
        <v>0</v>
      </c>
      <c r="IO44" s="181"/>
      <c r="IP44" s="181"/>
      <c r="IQ44" s="181"/>
      <c r="IR44" s="181"/>
      <c r="IS44" s="181"/>
      <c r="IT44" s="181"/>
      <c r="IU44" s="181"/>
      <c r="IV44" s="181"/>
      <c r="IW44" s="181"/>
      <c r="IX44" s="181"/>
      <c r="IY44" s="181"/>
      <c r="IZ44" s="181"/>
      <c r="JA44" s="181">
        <f t="shared" si="53"/>
        <v>0</v>
      </c>
      <c r="JC44" s="135">
        <f t="shared" si="54"/>
        <v>0</v>
      </c>
      <c r="JD44" s="135">
        <f t="shared" si="55"/>
        <v>0</v>
      </c>
      <c r="JE44" s="135">
        <f t="shared" si="56"/>
        <v>0</v>
      </c>
      <c r="JF44" s="135">
        <f t="shared" si="57"/>
        <v>0</v>
      </c>
      <c r="JG44" s="135">
        <f t="shared" si="58"/>
        <v>0</v>
      </c>
      <c r="JH44" s="135">
        <f t="shared" si="59"/>
        <v>0</v>
      </c>
      <c r="JI44" s="135">
        <f t="shared" si="60"/>
        <v>0</v>
      </c>
      <c r="JJ44" s="135">
        <f t="shared" si="61"/>
        <v>0</v>
      </c>
      <c r="JK44" s="135">
        <f t="shared" si="62"/>
        <v>0</v>
      </c>
      <c r="JL44" s="135">
        <f t="shared" si="63"/>
        <v>0</v>
      </c>
      <c r="JM44" s="135">
        <f t="shared" si="64"/>
        <v>0</v>
      </c>
      <c r="JN44" s="135">
        <f t="shared" si="65"/>
        <v>0</v>
      </c>
      <c r="JO44" s="132">
        <f t="shared" si="66"/>
        <v>0</v>
      </c>
      <c r="JQ44" s="139">
        <f t="shared" si="67"/>
        <v>0</v>
      </c>
    </row>
    <row r="45" spans="1:277" x14ac:dyDescent="0.25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2">
        <f t="shared" si="34"/>
        <v>0</v>
      </c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2">
        <f t="shared" si="35"/>
        <v>0</v>
      </c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2">
        <f t="shared" si="36"/>
        <v>0</v>
      </c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2">
        <f t="shared" si="37"/>
        <v>0</v>
      </c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2">
        <f t="shared" si="38"/>
        <v>0</v>
      </c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2">
        <f t="shared" si="39"/>
        <v>0</v>
      </c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2">
        <f t="shared" si="40"/>
        <v>0</v>
      </c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2">
        <f t="shared" si="41"/>
        <v>0</v>
      </c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2">
        <f t="shared" si="42"/>
        <v>0</v>
      </c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2">
        <f t="shared" si="43"/>
        <v>0</v>
      </c>
      <c r="EB45" s="216"/>
      <c r="EC45" s="216"/>
      <c r="ED45" s="216"/>
      <c r="EE45" s="216"/>
      <c r="EF45" s="216"/>
      <c r="EG45" s="216"/>
      <c r="EH45" s="216"/>
      <c r="EI45" s="216"/>
      <c r="EJ45" s="216"/>
      <c r="EK45" s="216"/>
      <c r="EL45" s="216"/>
      <c r="EM45" s="216"/>
      <c r="EN45" s="132">
        <f t="shared" si="44"/>
        <v>0</v>
      </c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>
        <f t="shared" si="45"/>
        <v>0</v>
      </c>
      <c r="FB45" s="181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32">
        <f t="shared" si="46"/>
        <v>0</v>
      </c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>
        <f t="shared" si="47"/>
        <v>0</v>
      </c>
      <c r="GB45" s="181"/>
      <c r="GC45" s="181"/>
      <c r="GD45" s="181"/>
      <c r="GE45" s="181"/>
      <c r="GF45" s="181"/>
      <c r="GG45" s="181"/>
      <c r="GH45" s="181"/>
      <c r="GI45" s="181"/>
      <c r="GJ45" s="181"/>
      <c r="GK45" s="181"/>
      <c r="GL45" s="181"/>
      <c r="GM45" s="181"/>
      <c r="GN45" s="181">
        <f t="shared" si="48"/>
        <v>0</v>
      </c>
      <c r="GO45" s="137"/>
      <c r="GP45" s="137"/>
      <c r="GQ45" s="137"/>
      <c r="GR45" s="137"/>
      <c r="GS45" s="137"/>
      <c r="GT45" s="137"/>
      <c r="GU45" s="137"/>
      <c r="GV45" s="137"/>
      <c r="GW45" s="137"/>
      <c r="GX45" s="137"/>
      <c r="GY45" s="137"/>
      <c r="GZ45" s="137"/>
      <c r="HA45" s="132">
        <f t="shared" si="49"/>
        <v>0</v>
      </c>
      <c r="HB45" s="181"/>
      <c r="HC45" s="181"/>
      <c r="HD45" s="181"/>
      <c r="HE45" s="181"/>
      <c r="HF45" s="181"/>
      <c r="HG45" s="181"/>
      <c r="HH45" s="181"/>
      <c r="HI45" s="181"/>
      <c r="HJ45" s="181"/>
      <c r="HK45" s="181"/>
      <c r="HL45" s="181"/>
      <c r="HM45" s="181"/>
      <c r="HN45" s="181">
        <f t="shared" si="50"/>
        <v>0</v>
      </c>
      <c r="HO45" s="132"/>
      <c r="HP45" s="132"/>
      <c r="HQ45" s="132"/>
      <c r="HR45" s="132"/>
      <c r="HS45" s="132"/>
      <c r="HT45" s="132"/>
      <c r="HU45" s="132"/>
      <c r="HV45" s="132"/>
      <c r="HW45" s="132"/>
      <c r="HX45" s="132"/>
      <c r="HY45" s="132"/>
      <c r="HZ45" s="132"/>
      <c r="IA45" s="132">
        <f t="shared" si="51"/>
        <v>0</v>
      </c>
      <c r="IB45" s="181"/>
      <c r="IC45" s="181"/>
      <c r="ID45" s="181"/>
      <c r="IE45" s="181"/>
      <c r="IF45" s="181"/>
      <c r="IG45" s="181"/>
      <c r="IH45" s="181"/>
      <c r="II45" s="181"/>
      <c r="IJ45" s="181"/>
      <c r="IK45" s="181"/>
      <c r="IL45" s="181"/>
      <c r="IM45" s="181"/>
      <c r="IN45" s="181">
        <f t="shared" si="52"/>
        <v>0</v>
      </c>
      <c r="IO45" s="181"/>
      <c r="IP45" s="181"/>
      <c r="IQ45" s="181"/>
      <c r="IR45" s="181"/>
      <c r="IS45" s="181"/>
      <c r="IT45" s="181"/>
      <c r="IU45" s="181"/>
      <c r="IV45" s="181"/>
      <c r="IW45" s="181"/>
      <c r="IX45" s="181"/>
      <c r="IY45" s="181"/>
      <c r="IZ45" s="181"/>
      <c r="JA45" s="181">
        <f t="shared" si="53"/>
        <v>0</v>
      </c>
      <c r="JC45" s="135">
        <f t="shared" si="54"/>
        <v>0</v>
      </c>
      <c r="JD45" s="135">
        <f t="shared" si="55"/>
        <v>0</v>
      </c>
      <c r="JE45" s="135">
        <f t="shared" si="56"/>
        <v>0</v>
      </c>
      <c r="JF45" s="135">
        <f t="shared" si="57"/>
        <v>0</v>
      </c>
      <c r="JG45" s="135">
        <f t="shared" si="58"/>
        <v>0</v>
      </c>
      <c r="JH45" s="135">
        <f t="shared" si="59"/>
        <v>0</v>
      </c>
      <c r="JI45" s="135">
        <f t="shared" si="60"/>
        <v>0</v>
      </c>
      <c r="JJ45" s="135">
        <f t="shared" si="61"/>
        <v>0</v>
      </c>
      <c r="JK45" s="135">
        <f t="shared" si="62"/>
        <v>0</v>
      </c>
      <c r="JL45" s="135">
        <f t="shared" si="63"/>
        <v>0</v>
      </c>
      <c r="JM45" s="135">
        <f t="shared" si="64"/>
        <v>0</v>
      </c>
      <c r="JN45" s="135">
        <f t="shared" si="65"/>
        <v>0</v>
      </c>
      <c r="JO45" s="132">
        <f t="shared" si="66"/>
        <v>0</v>
      </c>
      <c r="JQ45" s="139">
        <f t="shared" si="67"/>
        <v>0</v>
      </c>
    </row>
    <row r="46" spans="1:277" x14ac:dyDescent="0.25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2">
        <f t="shared" si="34"/>
        <v>0</v>
      </c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2">
        <f t="shared" si="35"/>
        <v>0</v>
      </c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2">
        <f t="shared" si="36"/>
        <v>0</v>
      </c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2">
        <f t="shared" si="37"/>
        <v>0</v>
      </c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2">
        <f t="shared" si="38"/>
        <v>0</v>
      </c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2">
        <f t="shared" si="39"/>
        <v>0</v>
      </c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2">
        <f t="shared" si="40"/>
        <v>0</v>
      </c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2">
        <f t="shared" si="41"/>
        <v>0</v>
      </c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2">
        <f t="shared" si="42"/>
        <v>0</v>
      </c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2">
        <f t="shared" si="43"/>
        <v>0</v>
      </c>
      <c r="EB46" s="216"/>
      <c r="EC46" s="216"/>
      <c r="ED46" s="216"/>
      <c r="EE46" s="216"/>
      <c r="EF46" s="216"/>
      <c r="EG46" s="216"/>
      <c r="EH46" s="216"/>
      <c r="EI46" s="216"/>
      <c r="EJ46" s="216"/>
      <c r="EK46" s="216"/>
      <c r="EL46" s="216"/>
      <c r="EM46" s="216"/>
      <c r="EN46" s="132">
        <f t="shared" si="44"/>
        <v>0</v>
      </c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>
        <f t="shared" si="45"/>
        <v>0</v>
      </c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32">
        <f t="shared" si="46"/>
        <v>0</v>
      </c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>
        <f t="shared" si="47"/>
        <v>0</v>
      </c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>
        <f t="shared" si="48"/>
        <v>0</v>
      </c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2">
        <f t="shared" si="49"/>
        <v>0</v>
      </c>
      <c r="HB46" s="181"/>
      <c r="HC46" s="181"/>
      <c r="HD46" s="181"/>
      <c r="HE46" s="181"/>
      <c r="HF46" s="181"/>
      <c r="HG46" s="181"/>
      <c r="HH46" s="181"/>
      <c r="HI46" s="181"/>
      <c r="HJ46" s="181"/>
      <c r="HK46" s="181"/>
      <c r="HL46" s="181"/>
      <c r="HM46" s="181"/>
      <c r="HN46" s="181">
        <f t="shared" si="50"/>
        <v>0</v>
      </c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>
        <f t="shared" si="51"/>
        <v>0</v>
      </c>
      <c r="IB46" s="181"/>
      <c r="IC46" s="181"/>
      <c r="ID46" s="181"/>
      <c r="IE46" s="181"/>
      <c r="IF46" s="181"/>
      <c r="IG46" s="181"/>
      <c r="IH46" s="181"/>
      <c r="II46" s="181"/>
      <c r="IJ46" s="181"/>
      <c r="IK46" s="181"/>
      <c r="IL46" s="181"/>
      <c r="IM46" s="181"/>
      <c r="IN46" s="181">
        <f t="shared" si="52"/>
        <v>0</v>
      </c>
      <c r="IO46" s="181"/>
      <c r="IP46" s="181"/>
      <c r="IQ46" s="181"/>
      <c r="IR46" s="181"/>
      <c r="IS46" s="181"/>
      <c r="IT46" s="181"/>
      <c r="IU46" s="181"/>
      <c r="IV46" s="181"/>
      <c r="IW46" s="181"/>
      <c r="IX46" s="181"/>
      <c r="IY46" s="181"/>
      <c r="IZ46" s="181"/>
      <c r="JA46" s="181">
        <f t="shared" si="53"/>
        <v>0</v>
      </c>
      <c r="JC46" s="135">
        <f t="shared" si="54"/>
        <v>0</v>
      </c>
      <c r="JD46" s="135">
        <f t="shared" si="55"/>
        <v>0</v>
      </c>
      <c r="JE46" s="135">
        <f t="shared" si="56"/>
        <v>0</v>
      </c>
      <c r="JF46" s="135">
        <f t="shared" si="57"/>
        <v>0</v>
      </c>
      <c r="JG46" s="135">
        <f t="shared" si="58"/>
        <v>0</v>
      </c>
      <c r="JH46" s="135">
        <f t="shared" si="59"/>
        <v>0</v>
      </c>
      <c r="JI46" s="135">
        <f t="shared" si="60"/>
        <v>0</v>
      </c>
      <c r="JJ46" s="135">
        <f t="shared" si="61"/>
        <v>0</v>
      </c>
      <c r="JK46" s="135">
        <f t="shared" si="62"/>
        <v>0</v>
      </c>
      <c r="JL46" s="135">
        <f t="shared" si="63"/>
        <v>0</v>
      </c>
      <c r="JM46" s="135">
        <f t="shared" si="64"/>
        <v>0</v>
      </c>
      <c r="JN46" s="135">
        <f t="shared" si="65"/>
        <v>0</v>
      </c>
      <c r="JO46" s="132">
        <f t="shared" si="66"/>
        <v>0</v>
      </c>
      <c r="JQ46" s="139">
        <f t="shared" si="67"/>
        <v>0</v>
      </c>
    </row>
    <row r="47" spans="1:277" x14ac:dyDescent="0.25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2">
        <f t="shared" si="34"/>
        <v>0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2">
        <f t="shared" si="35"/>
        <v>0</v>
      </c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2">
        <f t="shared" si="36"/>
        <v>0</v>
      </c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2">
        <f t="shared" si="37"/>
        <v>0</v>
      </c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2">
        <f t="shared" si="38"/>
        <v>0</v>
      </c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2">
        <f t="shared" si="39"/>
        <v>0</v>
      </c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2">
        <f t="shared" si="40"/>
        <v>0</v>
      </c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2">
        <f t="shared" si="41"/>
        <v>0</v>
      </c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2">
        <f t="shared" si="42"/>
        <v>0</v>
      </c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2">
        <f t="shared" si="43"/>
        <v>0</v>
      </c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132">
        <f t="shared" si="44"/>
        <v>0</v>
      </c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>
        <f t="shared" si="45"/>
        <v>0</v>
      </c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32">
        <f t="shared" si="46"/>
        <v>0</v>
      </c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>
        <f t="shared" si="47"/>
        <v>0</v>
      </c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>
        <f t="shared" si="48"/>
        <v>0</v>
      </c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2">
        <f t="shared" si="49"/>
        <v>0</v>
      </c>
      <c r="HB47" s="181"/>
      <c r="HC47" s="181"/>
      <c r="HD47" s="181"/>
      <c r="HE47" s="181"/>
      <c r="HF47" s="181"/>
      <c r="HG47" s="181"/>
      <c r="HH47" s="181"/>
      <c r="HI47" s="181"/>
      <c r="HJ47" s="181"/>
      <c r="HK47" s="181"/>
      <c r="HL47" s="181"/>
      <c r="HM47" s="181"/>
      <c r="HN47" s="181">
        <f t="shared" si="50"/>
        <v>0</v>
      </c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>
        <f t="shared" si="51"/>
        <v>0</v>
      </c>
      <c r="IB47" s="181"/>
      <c r="IC47" s="181"/>
      <c r="ID47" s="181"/>
      <c r="IE47" s="181"/>
      <c r="IF47" s="181"/>
      <c r="IG47" s="181"/>
      <c r="IH47" s="181"/>
      <c r="II47" s="181"/>
      <c r="IJ47" s="181"/>
      <c r="IK47" s="181"/>
      <c r="IL47" s="181"/>
      <c r="IM47" s="181"/>
      <c r="IN47" s="181">
        <f t="shared" si="52"/>
        <v>0</v>
      </c>
      <c r="IO47" s="181"/>
      <c r="IP47" s="181"/>
      <c r="IQ47" s="181"/>
      <c r="IR47" s="181"/>
      <c r="IS47" s="181"/>
      <c r="IT47" s="181"/>
      <c r="IU47" s="181"/>
      <c r="IV47" s="181"/>
      <c r="IW47" s="181"/>
      <c r="IX47" s="181"/>
      <c r="IY47" s="181"/>
      <c r="IZ47" s="181"/>
      <c r="JA47" s="181">
        <f t="shared" si="53"/>
        <v>0</v>
      </c>
      <c r="JC47" s="135">
        <f t="shared" si="54"/>
        <v>0</v>
      </c>
      <c r="JD47" s="135">
        <f t="shared" si="55"/>
        <v>0</v>
      </c>
      <c r="JE47" s="135">
        <f t="shared" si="56"/>
        <v>0</v>
      </c>
      <c r="JF47" s="135">
        <f t="shared" si="57"/>
        <v>0</v>
      </c>
      <c r="JG47" s="135">
        <f t="shared" si="58"/>
        <v>0</v>
      </c>
      <c r="JH47" s="135">
        <f t="shared" si="59"/>
        <v>0</v>
      </c>
      <c r="JI47" s="135">
        <f t="shared" si="60"/>
        <v>0</v>
      </c>
      <c r="JJ47" s="135">
        <f t="shared" si="61"/>
        <v>0</v>
      </c>
      <c r="JK47" s="135">
        <f t="shared" si="62"/>
        <v>0</v>
      </c>
      <c r="JL47" s="135">
        <f t="shared" si="63"/>
        <v>0</v>
      </c>
      <c r="JM47" s="135">
        <f t="shared" si="64"/>
        <v>0</v>
      </c>
      <c r="JN47" s="135">
        <f t="shared" si="65"/>
        <v>0</v>
      </c>
      <c r="JO47" s="132">
        <f t="shared" si="66"/>
        <v>0</v>
      </c>
      <c r="JQ47" s="139">
        <f t="shared" si="67"/>
        <v>0</v>
      </c>
    </row>
    <row r="48" spans="1:277" x14ac:dyDescent="0.25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2">
        <f t="shared" si="34"/>
        <v>0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2">
        <f t="shared" si="35"/>
        <v>0</v>
      </c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2">
        <f t="shared" si="36"/>
        <v>0</v>
      </c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2">
        <f t="shared" si="37"/>
        <v>0</v>
      </c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2">
        <f t="shared" si="38"/>
        <v>0</v>
      </c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2">
        <f t="shared" si="39"/>
        <v>0</v>
      </c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2">
        <f t="shared" si="40"/>
        <v>0</v>
      </c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2">
        <f t="shared" si="41"/>
        <v>0</v>
      </c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2">
        <f t="shared" si="42"/>
        <v>0</v>
      </c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2">
        <f t="shared" si="43"/>
        <v>0</v>
      </c>
      <c r="EB48" s="216"/>
      <c r="EC48" s="216"/>
      <c r="ED48" s="216"/>
      <c r="EE48" s="216"/>
      <c r="EF48" s="216"/>
      <c r="EG48" s="216"/>
      <c r="EH48" s="216"/>
      <c r="EI48" s="216"/>
      <c r="EJ48" s="216"/>
      <c r="EK48" s="216"/>
      <c r="EL48" s="216"/>
      <c r="EM48" s="216"/>
      <c r="EN48" s="132">
        <f t="shared" si="44"/>
        <v>0</v>
      </c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>
        <f t="shared" si="45"/>
        <v>0</v>
      </c>
      <c r="FB48" s="181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32">
        <f t="shared" si="46"/>
        <v>0</v>
      </c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>
        <f t="shared" si="47"/>
        <v>0</v>
      </c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>
        <f t="shared" si="48"/>
        <v>0</v>
      </c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2">
        <f t="shared" si="49"/>
        <v>0</v>
      </c>
      <c r="HB48" s="181"/>
      <c r="HC48" s="181"/>
      <c r="HD48" s="181"/>
      <c r="HE48" s="181"/>
      <c r="HF48" s="181"/>
      <c r="HG48" s="181"/>
      <c r="HH48" s="181"/>
      <c r="HI48" s="181"/>
      <c r="HJ48" s="181"/>
      <c r="HK48" s="181"/>
      <c r="HL48" s="181"/>
      <c r="HM48" s="181"/>
      <c r="HN48" s="181">
        <f t="shared" si="50"/>
        <v>0</v>
      </c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>
        <f t="shared" si="51"/>
        <v>0</v>
      </c>
      <c r="IB48" s="181"/>
      <c r="IC48" s="181"/>
      <c r="ID48" s="181"/>
      <c r="IE48" s="181"/>
      <c r="IF48" s="181"/>
      <c r="IG48" s="181"/>
      <c r="IH48" s="181"/>
      <c r="II48" s="181"/>
      <c r="IJ48" s="181"/>
      <c r="IK48" s="181"/>
      <c r="IL48" s="181"/>
      <c r="IM48" s="181"/>
      <c r="IN48" s="181">
        <f t="shared" si="52"/>
        <v>0</v>
      </c>
      <c r="IO48" s="181"/>
      <c r="IP48" s="181"/>
      <c r="IQ48" s="181"/>
      <c r="IR48" s="181"/>
      <c r="IS48" s="181"/>
      <c r="IT48" s="181"/>
      <c r="IU48" s="181"/>
      <c r="IV48" s="181"/>
      <c r="IW48" s="181"/>
      <c r="IX48" s="181"/>
      <c r="IY48" s="181"/>
      <c r="IZ48" s="181"/>
      <c r="JA48" s="181">
        <f t="shared" si="53"/>
        <v>0</v>
      </c>
      <c r="JC48" s="135">
        <f t="shared" si="54"/>
        <v>0</v>
      </c>
      <c r="JD48" s="135">
        <f t="shared" si="55"/>
        <v>0</v>
      </c>
      <c r="JE48" s="135">
        <f t="shared" si="56"/>
        <v>0</v>
      </c>
      <c r="JF48" s="135">
        <f t="shared" si="57"/>
        <v>0</v>
      </c>
      <c r="JG48" s="135">
        <f t="shared" si="58"/>
        <v>0</v>
      </c>
      <c r="JH48" s="135">
        <f t="shared" si="59"/>
        <v>0</v>
      </c>
      <c r="JI48" s="135">
        <f t="shared" si="60"/>
        <v>0</v>
      </c>
      <c r="JJ48" s="135">
        <f t="shared" si="61"/>
        <v>0</v>
      </c>
      <c r="JK48" s="135">
        <f t="shared" si="62"/>
        <v>0</v>
      </c>
      <c r="JL48" s="135">
        <f t="shared" si="63"/>
        <v>0</v>
      </c>
      <c r="JM48" s="135">
        <f t="shared" si="64"/>
        <v>0</v>
      </c>
      <c r="JN48" s="135">
        <f t="shared" si="65"/>
        <v>0</v>
      </c>
      <c r="JO48" s="132">
        <f t="shared" si="66"/>
        <v>0</v>
      </c>
      <c r="JQ48" s="139">
        <f t="shared" si="67"/>
        <v>0</v>
      </c>
    </row>
    <row r="49" spans="1:277" x14ac:dyDescent="0.25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2">
        <f t="shared" si="34"/>
        <v>0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2">
        <f t="shared" si="35"/>
        <v>0</v>
      </c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2">
        <f t="shared" si="36"/>
        <v>0</v>
      </c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2">
        <f t="shared" si="37"/>
        <v>0</v>
      </c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2">
        <f t="shared" si="38"/>
        <v>0</v>
      </c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2">
        <f t="shared" si="39"/>
        <v>0</v>
      </c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2">
        <f t="shared" si="40"/>
        <v>0</v>
      </c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2">
        <f t="shared" si="41"/>
        <v>0</v>
      </c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2">
        <f t="shared" si="42"/>
        <v>0</v>
      </c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2">
        <f t="shared" si="43"/>
        <v>0</v>
      </c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132">
        <f t="shared" si="44"/>
        <v>0</v>
      </c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>
        <f t="shared" si="45"/>
        <v>0</v>
      </c>
      <c r="FB49" s="181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32">
        <f t="shared" si="46"/>
        <v>0</v>
      </c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>
        <f t="shared" si="47"/>
        <v>0</v>
      </c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>
        <f t="shared" si="48"/>
        <v>0</v>
      </c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2">
        <f t="shared" si="49"/>
        <v>0</v>
      </c>
      <c r="HB49" s="181"/>
      <c r="HC49" s="181"/>
      <c r="HD49" s="181"/>
      <c r="HE49" s="181"/>
      <c r="HF49" s="181"/>
      <c r="HG49" s="181"/>
      <c r="HH49" s="181"/>
      <c r="HI49" s="181"/>
      <c r="HJ49" s="181"/>
      <c r="HK49" s="181"/>
      <c r="HL49" s="181"/>
      <c r="HM49" s="181"/>
      <c r="HN49" s="181">
        <f t="shared" si="50"/>
        <v>0</v>
      </c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>
        <f t="shared" si="51"/>
        <v>0</v>
      </c>
      <c r="IB49" s="181"/>
      <c r="IC49" s="181"/>
      <c r="ID49" s="181"/>
      <c r="IE49" s="181"/>
      <c r="IF49" s="181"/>
      <c r="IG49" s="181"/>
      <c r="IH49" s="181"/>
      <c r="II49" s="181"/>
      <c r="IJ49" s="181"/>
      <c r="IK49" s="181"/>
      <c r="IL49" s="181"/>
      <c r="IM49" s="181"/>
      <c r="IN49" s="181">
        <f t="shared" si="52"/>
        <v>0</v>
      </c>
      <c r="IO49" s="181"/>
      <c r="IP49" s="181"/>
      <c r="IQ49" s="181"/>
      <c r="IR49" s="181"/>
      <c r="IS49" s="181"/>
      <c r="IT49" s="181"/>
      <c r="IU49" s="181"/>
      <c r="IV49" s="181"/>
      <c r="IW49" s="181"/>
      <c r="IX49" s="181"/>
      <c r="IY49" s="181"/>
      <c r="IZ49" s="181"/>
      <c r="JA49" s="181">
        <f t="shared" si="53"/>
        <v>0</v>
      </c>
      <c r="JC49" s="135">
        <f t="shared" si="54"/>
        <v>0</v>
      </c>
      <c r="JD49" s="135">
        <f t="shared" si="55"/>
        <v>0</v>
      </c>
      <c r="JE49" s="135">
        <f t="shared" si="56"/>
        <v>0</v>
      </c>
      <c r="JF49" s="135">
        <f t="shared" si="57"/>
        <v>0</v>
      </c>
      <c r="JG49" s="135">
        <f t="shared" si="58"/>
        <v>0</v>
      </c>
      <c r="JH49" s="135">
        <f t="shared" si="59"/>
        <v>0</v>
      </c>
      <c r="JI49" s="135">
        <f t="shared" si="60"/>
        <v>0</v>
      </c>
      <c r="JJ49" s="135">
        <f t="shared" si="61"/>
        <v>0</v>
      </c>
      <c r="JK49" s="135">
        <f t="shared" si="62"/>
        <v>0</v>
      </c>
      <c r="JL49" s="135">
        <f t="shared" si="63"/>
        <v>0</v>
      </c>
      <c r="JM49" s="135">
        <f t="shared" si="64"/>
        <v>0</v>
      </c>
      <c r="JN49" s="135">
        <f t="shared" si="65"/>
        <v>0</v>
      </c>
      <c r="JO49" s="132">
        <f t="shared" si="66"/>
        <v>0</v>
      </c>
      <c r="JQ49" s="139">
        <f t="shared" si="67"/>
        <v>0</v>
      </c>
    </row>
    <row r="50" spans="1:277" x14ac:dyDescent="0.25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2">
        <f t="shared" si="34"/>
        <v>0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2">
        <f t="shared" si="35"/>
        <v>0</v>
      </c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2">
        <f t="shared" si="36"/>
        <v>0</v>
      </c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2">
        <f t="shared" si="37"/>
        <v>0</v>
      </c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2">
        <f t="shared" si="38"/>
        <v>0</v>
      </c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2">
        <f t="shared" si="39"/>
        <v>0</v>
      </c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2">
        <f t="shared" si="40"/>
        <v>0</v>
      </c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2">
        <f t="shared" si="41"/>
        <v>0</v>
      </c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2">
        <f t="shared" si="42"/>
        <v>0</v>
      </c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2">
        <f t="shared" si="43"/>
        <v>0</v>
      </c>
      <c r="EB50" s="216"/>
      <c r="EC50" s="216"/>
      <c r="ED50" s="216"/>
      <c r="EE50" s="216"/>
      <c r="EF50" s="216"/>
      <c r="EG50" s="216"/>
      <c r="EH50" s="216"/>
      <c r="EI50" s="216"/>
      <c r="EJ50" s="216"/>
      <c r="EK50" s="216"/>
      <c r="EL50" s="216"/>
      <c r="EM50" s="216"/>
      <c r="EN50" s="132">
        <f t="shared" si="44"/>
        <v>0</v>
      </c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>
        <f t="shared" si="45"/>
        <v>0</v>
      </c>
      <c r="FB50" s="181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32">
        <f t="shared" si="46"/>
        <v>0</v>
      </c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>
        <f t="shared" si="47"/>
        <v>0</v>
      </c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>
        <f t="shared" si="48"/>
        <v>0</v>
      </c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2">
        <f t="shared" si="49"/>
        <v>0</v>
      </c>
      <c r="HB50" s="181"/>
      <c r="HC50" s="181"/>
      <c r="HD50" s="181"/>
      <c r="HE50" s="181"/>
      <c r="HF50" s="181"/>
      <c r="HG50" s="181"/>
      <c r="HH50" s="181"/>
      <c r="HI50" s="181"/>
      <c r="HJ50" s="181"/>
      <c r="HK50" s="181"/>
      <c r="HL50" s="181"/>
      <c r="HM50" s="181"/>
      <c r="HN50" s="181">
        <f t="shared" si="50"/>
        <v>0</v>
      </c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>
        <f t="shared" si="51"/>
        <v>0</v>
      </c>
      <c r="IB50" s="181"/>
      <c r="IC50" s="181"/>
      <c r="ID50" s="181"/>
      <c r="IE50" s="181"/>
      <c r="IF50" s="181"/>
      <c r="IG50" s="181"/>
      <c r="IH50" s="181"/>
      <c r="II50" s="181"/>
      <c r="IJ50" s="181"/>
      <c r="IK50" s="181"/>
      <c r="IL50" s="181"/>
      <c r="IM50" s="181"/>
      <c r="IN50" s="181">
        <f t="shared" si="52"/>
        <v>0</v>
      </c>
      <c r="IO50" s="181"/>
      <c r="IP50" s="181"/>
      <c r="IQ50" s="181"/>
      <c r="IR50" s="181"/>
      <c r="IS50" s="181"/>
      <c r="IT50" s="181"/>
      <c r="IU50" s="181"/>
      <c r="IV50" s="181"/>
      <c r="IW50" s="181"/>
      <c r="IX50" s="181"/>
      <c r="IY50" s="181"/>
      <c r="IZ50" s="181"/>
      <c r="JA50" s="181">
        <f t="shared" si="53"/>
        <v>0</v>
      </c>
      <c r="JC50" s="135">
        <f t="shared" si="54"/>
        <v>0</v>
      </c>
      <c r="JD50" s="135">
        <f t="shared" si="55"/>
        <v>0</v>
      </c>
      <c r="JE50" s="135">
        <f t="shared" si="56"/>
        <v>0</v>
      </c>
      <c r="JF50" s="135">
        <f t="shared" si="57"/>
        <v>0</v>
      </c>
      <c r="JG50" s="135">
        <f t="shared" si="58"/>
        <v>0</v>
      </c>
      <c r="JH50" s="135">
        <f t="shared" si="59"/>
        <v>0</v>
      </c>
      <c r="JI50" s="135">
        <f t="shared" si="60"/>
        <v>0</v>
      </c>
      <c r="JJ50" s="135">
        <f t="shared" si="61"/>
        <v>0</v>
      </c>
      <c r="JK50" s="135">
        <f t="shared" si="62"/>
        <v>0</v>
      </c>
      <c r="JL50" s="135">
        <f t="shared" si="63"/>
        <v>0</v>
      </c>
      <c r="JM50" s="135">
        <f t="shared" si="64"/>
        <v>0</v>
      </c>
      <c r="JN50" s="135">
        <f t="shared" si="65"/>
        <v>0</v>
      </c>
      <c r="JO50" s="132">
        <f t="shared" si="66"/>
        <v>0</v>
      </c>
      <c r="JQ50" s="139">
        <f t="shared" si="67"/>
        <v>0</v>
      </c>
    </row>
    <row r="51" spans="1:277" x14ac:dyDescent="0.25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2">
        <f t="shared" si="34"/>
        <v>0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2">
        <f t="shared" si="35"/>
        <v>0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2">
        <f t="shared" si="36"/>
        <v>0</v>
      </c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2">
        <f t="shared" si="37"/>
        <v>0</v>
      </c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2">
        <f t="shared" si="38"/>
        <v>0</v>
      </c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2">
        <f t="shared" si="39"/>
        <v>0</v>
      </c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2">
        <f t="shared" si="40"/>
        <v>0</v>
      </c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2">
        <f t="shared" si="41"/>
        <v>0</v>
      </c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2">
        <f t="shared" si="42"/>
        <v>0</v>
      </c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2">
        <f t="shared" si="43"/>
        <v>0</v>
      </c>
      <c r="EB51" s="216"/>
      <c r="EC51" s="216"/>
      <c r="ED51" s="216"/>
      <c r="EE51" s="216"/>
      <c r="EF51" s="216"/>
      <c r="EG51" s="216"/>
      <c r="EH51" s="216"/>
      <c r="EI51" s="216"/>
      <c r="EJ51" s="216"/>
      <c r="EK51" s="216"/>
      <c r="EL51" s="216"/>
      <c r="EM51" s="216"/>
      <c r="EN51" s="132">
        <f t="shared" si="44"/>
        <v>0</v>
      </c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>
        <f t="shared" si="45"/>
        <v>0</v>
      </c>
      <c r="FB51" s="181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32">
        <f t="shared" si="46"/>
        <v>0</v>
      </c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>
        <f t="shared" si="47"/>
        <v>0</v>
      </c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>
        <f t="shared" si="48"/>
        <v>0</v>
      </c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2">
        <f t="shared" si="49"/>
        <v>0</v>
      </c>
      <c r="HB51" s="181"/>
      <c r="HC51" s="181"/>
      <c r="HD51" s="181"/>
      <c r="HE51" s="181"/>
      <c r="HF51" s="181"/>
      <c r="HG51" s="181"/>
      <c r="HH51" s="181"/>
      <c r="HI51" s="181"/>
      <c r="HJ51" s="181"/>
      <c r="HK51" s="181"/>
      <c r="HL51" s="181"/>
      <c r="HM51" s="181"/>
      <c r="HN51" s="181">
        <f t="shared" si="50"/>
        <v>0</v>
      </c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>
        <f t="shared" si="51"/>
        <v>0</v>
      </c>
      <c r="IB51" s="181"/>
      <c r="IC51" s="181"/>
      <c r="ID51" s="181"/>
      <c r="IE51" s="181"/>
      <c r="IF51" s="181"/>
      <c r="IG51" s="181"/>
      <c r="IH51" s="181"/>
      <c r="II51" s="181"/>
      <c r="IJ51" s="181"/>
      <c r="IK51" s="181"/>
      <c r="IL51" s="181"/>
      <c r="IM51" s="181"/>
      <c r="IN51" s="181">
        <f t="shared" si="52"/>
        <v>0</v>
      </c>
      <c r="IO51" s="181"/>
      <c r="IP51" s="181"/>
      <c r="IQ51" s="181"/>
      <c r="IR51" s="181"/>
      <c r="IS51" s="181"/>
      <c r="IT51" s="181"/>
      <c r="IU51" s="181"/>
      <c r="IV51" s="181"/>
      <c r="IW51" s="181"/>
      <c r="IX51" s="181"/>
      <c r="IY51" s="181"/>
      <c r="IZ51" s="181"/>
      <c r="JA51" s="181">
        <f t="shared" si="53"/>
        <v>0</v>
      </c>
      <c r="JC51" s="135">
        <f t="shared" si="54"/>
        <v>0</v>
      </c>
      <c r="JD51" s="135">
        <f t="shared" si="55"/>
        <v>0</v>
      </c>
      <c r="JE51" s="135">
        <f t="shared" si="56"/>
        <v>0</v>
      </c>
      <c r="JF51" s="135">
        <f t="shared" si="57"/>
        <v>0</v>
      </c>
      <c r="JG51" s="135">
        <f t="shared" si="58"/>
        <v>0</v>
      </c>
      <c r="JH51" s="135">
        <f t="shared" si="59"/>
        <v>0</v>
      </c>
      <c r="JI51" s="135">
        <f t="shared" si="60"/>
        <v>0</v>
      </c>
      <c r="JJ51" s="135">
        <f t="shared" si="61"/>
        <v>0</v>
      </c>
      <c r="JK51" s="135">
        <f t="shared" si="62"/>
        <v>0</v>
      </c>
      <c r="JL51" s="135">
        <f t="shared" si="63"/>
        <v>0</v>
      </c>
      <c r="JM51" s="135">
        <f t="shared" si="64"/>
        <v>0</v>
      </c>
      <c r="JN51" s="135">
        <f t="shared" si="65"/>
        <v>0</v>
      </c>
      <c r="JO51" s="132">
        <f t="shared" si="66"/>
        <v>0</v>
      </c>
      <c r="JQ51" s="139">
        <f t="shared" si="67"/>
        <v>0</v>
      </c>
    </row>
    <row r="52" spans="1:277" x14ac:dyDescent="0.25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2">
        <f t="shared" si="34"/>
        <v>0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2">
        <f t="shared" si="35"/>
        <v>0</v>
      </c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2">
        <f t="shared" si="36"/>
        <v>0</v>
      </c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2">
        <f t="shared" si="37"/>
        <v>0</v>
      </c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2">
        <f t="shared" si="38"/>
        <v>0</v>
      </c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2">
        <f t="shared" si="39"/>
        <v>0</v>
      </c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2">
        <f t="shared" si="40"/>
        <v>0</v>
      </c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2">
        <f t="shared" si="41"/>
        <v>0</v>
      </c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2">
        <f t="shared" si="42"/>
        <v>0</v>
      </c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2">
        <f t="shared" si="43"/>
        <v>0</v>
      </c>
      <c r="EB52" s="216"/>
      <c r="EC52" s="216"/>
      <c r="ED52" s="216"/>
      <c r="EE52" s="216"/>
      <c r="EF52" s="216"/>
      <c r="EG52" s="216"/>
      <c r="EH52" s="216"/>
      <c r="EI52" s="216"/>
      <c r="EJ52" s="216"/>
      <c r="EK52" s="216"/>
      <c r="EL52" s="216"/>
      <c r="EM52" s="216"/>
      <c r="EN52" s="132">
        <f t="shared" si="44"/>
        <v>0</v>
      </c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>
        <f t="shared" si="45"/>
        <v>0</v>
      </c>
      <c r="FB52" s="181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32">
        <f t="shared" si="46"/>
        <v>0</v>
      </c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>
        <f t="shared" si="47"/>
        <v>0</v>
      </c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>
        <f t="shared" si="48"/>
        <v>0</v>
      </c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2">
        <f t="shared" si="49"/>
        <v>0</v>
      </c>
      <c r="HB52" s="181"/>
      <c r="HC52" s="181"/>
      <c r="HD52" s="181"/>
      <c r="HE52" s="181"/>
      <c r="HF52" s="181"/>
      <c r="HG52" s="181"/>
      <c r="HH52" s="181"/>
      <c r="HI52" s="181"/>
      <c r="HJ52" s="181"/>
      <c r="HK52" s="181"/>
      <c r="HL52" s="181"/>
      <c r="HM52" s="181"/>
      <c r="HN52" s="181">
        <f t="shared" si="50"/>
        <v>0</v>
      </c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>
        <f t="shared" si="51"/>
        <v>0</v>
      </c>
      <c r="IB52" s="181"/>
      <c r="IC52" s="181"/>
      <c r="ID52" s="181"/>
      <c r="IE52" s="181"/>
      <c r="IF52" s="181"/>
      <c r="IG52" s="181"/>
      <c r="IH52" s="181"/>
      <c r="II52" s="181"/>
      <c r="IJ52" s="181"/>
      <c r="IK52" s="181"/>
      <c r="IL52" s="181"/>
      <c r="IM52" s="181"/>
      <c r="IN52" s="181">
        <f t="shared" si="52"/>
        <v>0</v>
      </c>
      <c r="IO52" s="181"/>
      <c r="IP52" s="181"/>
      <c r="IQ52" s="181"/>
      <c r="IR52" s="181"/>
      <c r="IS52" s="181"/>
      <c r="IT52" s="181"/>
      <c r="IU52" s="181"/>
      <c r="IV52" s="181"/>
      <c r="IW52" s="181"/>
      <c r="IX52" s="181"/>
      <c r="IY52" s="181"/>
      <c r="IZ52" s="181"/>
      <c r="JA52" s="181">
        <f t="shared" si="53"/>
        <v>0</v>
      </c>
      <c r="JC52" s="135">
        <f t="shared" si="54"/>
        <v>0</v>
      </c>
      <c r="JD52" s="135">
        <f t="shared" si="55"/>
        <v>0</v>
      </c>
      <c r="JE52" s="135">
        <f t="shared" si="56"/>
        <v>0</v>
      </c>
      <c r="JF52" s="135">
        <f t="shared" si="57"/>
        <v>0</v>
      </c>
      <c r="JG52" s="135">
        <f t="shared" si="58"/>
        <v>0</v>
      </c>
      <c r="JH52" s="135">
        <f t="shared" si="59"/>
        <v>0</v>
      </c>
      <c r="JI52" s="135">
        <f t="shared" si="60"/>
        <v>0</v>
      </c>
      <c r="JJ52" s="135">
        <f t="shared" si="61"/>
        <v>0</v>
      </c>
      <c r="JK52" s="135">
        <f t="shared" si="62"/>
        <v>0</v>
      </c>
      <c r="JL52" s="135">
        <f t="shared" si="63"/>
        <v>0</v>
      </c>
      <c r="JM52" s="135">
        <f t="shared" si="64"/>
        <v>0</v>
      </c>
      <c r="JN52" s="135">
        <f t="shared" si="65"/>
        <v>0</v>
      </c>
      <c r="JO52" s="132">
        <f t="shared" si="66"/>
        <v>0</v>
      </c>
      <c r="JQ52" s="139">
        <f t="shared" si="67"/>
        <v>0</v>
      </c>
    </row>
    <row r="53" spans="1:277" x14ac:dyDescent="0.25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2">
        <f t="shared" si="34"/>
        <v>0</v>
      </c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2">
        <f t="shared" si="35"/>
        <v>0</v>
      </c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2">
        <f t="shared" si="36"/>
        <v>0</v>
      </c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2">
        <f t="shared" si="37"/>
        <v>0</v>
      </c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2">
        <f t="shared" si="38"/>
        <v>0</v>
      </c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2">
        <f t="shared" si="39"/>
        <v>0</v>
      </c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2">
        <f t="shared" si="40"/>
        <v>0</v>
      </c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2">
        <f t="shared" si="41"/>
        <v>0</v>
      </c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2">
        <f t="shared" si="42"/>
        <v>0</v>
      </c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2">
        <f t="shared" si="43"/>
        <v>0</v>
      </c>
      <c r="EB53" s="216"/>
      <c r="EC53" s="216"/>
      <c r="ED53" s="216"/>
      <c r="EE53" s="216"/>
      <c r="EF53" s="216"/>
      <c r="EG53" s="216"/>
      <c r="EH53" s="216"/>
      <c r="EI53" s="216"/>
      <c r="EJ53" s="216"/>
      <c r="EK53" s="216"/>
      <c r="EL53" s="216"/>
      <c r="EM53" s="216"/>
      <c r="EN53" s="132">
        <f t="shared" si="44"/>
        <v>0</v>
      </c>
      <c r="EO53" s="132"/>
      <c r="EP53" s="132"/>
      <c r="EQ53" s="132"/>
      <c r="ER53" s="132"/>
      <c r="ES53" s="132"/>
      <c r="ET53" s="132"/>
      <c r="EU53" s="132"/>
      <c r="EV53" s="132"/>
      <c r="EW53" s="132"/>
      <c r="EX53" s="132"/>
      <c r="EY53" s="132"/>
      <c r="EZ53" s="132"/>
      <c r="FA53" s="132">
        <f t="shared" si="45"/>
        <v>0</v>
      </c>
      <c r="FB53" s="181"/>
      <c r="FC53" s="181"/>
      <c r="FD53" s="181"/>
      <c r="FE53" s="181"/>
      <c r="FF53" s="181"/>
      <c r="FG53" s="181"/>
      <c r="FH53" s="181"/>
      <c r="FI53" s="181"/>
      <c r="FJ53" s="181"/>
      <c r="FK53" s="181"/>
      <c r="FL53" s="181"/>
      <c r="FM53" s="181"/>
      <c r="FN53" s="132">
        <f t="shared" si="46"/>
        <v>0</v>
      </c>
      <c r="FO53" s="132"/>
      <c r="FP53" s="132"/>
      <c r="FQ53" s="132"/>
      <c r="FR53" s="132"/>
      <c r="FS53" s="132"/>
      <c r="FT53" s="132"/>
      <c r="FU53" s="132"/>
      <c r="FV53" s="132"/>
      <c r="FW53" s="132"/>
      <c r="FX53" s="132"/>
      <c r="FY53" s="132"/>
      <c r="FZ53" s="132"/>
      <c r="GA53" s="132">
        <f t="shared" si="47"/>
        <v>0</v>
      </c>
      <c r="GB53" s="181"/>
      <c r="GC53" s="181"/>
      <c r="GD53" s="181"/>
      <c r="GE53" s="181"/>
      <c r="GF53" s="181"/>
      <c r="GG53" s="181"/>
      <c r="GH53" s="181"/>
      <c r="GI53" s="181"/>
      <c r="GJ53" s="181"/>
      <c r="GK53" s="181"/>
      <c r="GL53" s="181"/>
      <c r="GM53" s="181"/>
      <c r="GN53" s="181">
        <f t="shared" si="48"/>
        <v>0</v>
      </c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2">
        <f t="shared" si="49"/>
        <v>0</v>
      </c>
      <c r="HB53" s="181"/>
      <c r="HC53" s="181"/>
      <c r="HD53" s="181"/>
      <c r="HE53" s="181"/>
      <c r="HF53" s="181"/>
      <c r="HG53" s="181"/>
      <c r="HH53" s="181"/>
      <c r="HI53" s="181"/>
      <c r="HJ53" s="181"/>
      <c r="HK53" s="181"/>
      <c r="HL53" s="181"/>
      <c r="HM53" s="181"/>
      <c r="HN53" s="181">
        <f t="shared" si="50"/>
        <v>0</v>
      </c>
      <c r="HO53" s="132"/>
      <c r="HP53" s="132"/>
      <c r="HQ53" s="132"/>
      <c r="HR53" s="132"/>
      <c r="HS53" s="132"/>
      <c r="HT53" s="132"/>
      <c r="HU53" s="132"/>
      <c r="HV53" s="132"/>
      <c r="HW53" s="132"/>
      <c r="HX53" s="132"/>
      <c r="HY53" s="132"/>
      <c r="HZ53" s="132"/>
      <c r="IA53" s="132">
        <f t="shared" si="51"/>
        <v>0</v>
      </c>
      <c r="IB53" s="181"/>
      <c r="IC53" s="181"/>
      <c r="ID53" s="181"/>
      <c r="IE53" s="181"/>
      <c r="IF53" s="181"/>
      <c r="IG53" s="181"/>
      <c r="IH53" s="181"/>
      <c r="II53" s="181"/>
      <c r="IJ53" s="181"/>
      <c r="IK53" s="181"/>
      <c r="IL53" s="181"/>
      <c r="IM53" s="181"/>
      <c r="IN53" s="181">
        <f t="shared" si="52"/>
        <v>0</v>
      </c>
      <c r="IO53" s="181"/>
      <c r="IP53" s="181"/>
      <c r="IQ53" s="181"/>
      <c r="IR53" s="181"/>
      <c r="IS53" s="181"/>
      <c r="IT53" s="181"/>
      <c r="IU53" s="181"/>
      <c r="IV53" s="181"/>
      <c r="IW53" s="181"/>
      <c r="IX53" s="181"/>
      <c r="IY53" s="181"/>
      <c r="IZ53" s="181"/>
      <c r="JA53" s="181">
        <f t="shared" si="53"/>
        <v>0</v>
      </c>
      <c r="JC53" s="135">
        <f t="shared" si="54"/>
        <v>0</v>
      </c>
      <c r="JD53" s="135">
        <f t="shared" si="55"/>
        <v>0</v>
      </c>
      <c r="JE53" s="135">
        <f t="shared" si="56"/>
        <v>0</v>
      </c>
      <c r="JF53" s="135">
        <f t="shared" si="57"/>
        <v>0</v>
      </c>
      <c r="JG53" s="135">
        <f t="shared" si="58"/>
        <v>0</v>
      </c>
      <c r="JH53" s="135">
        <f t="shared" si="59"/>
        <v>0</v>
      </c>
      <c r="JI53" s="135">
        <f t="shared" si="60"/>
        <v>0</v>
      </c>
      <c r="JJ53" s="135">
        <f t="shared" si="61"/>
        <v>0</v>
      </c>
      <c r="JK53" s="135">
        <f t="shared" si="62"/>
        <v>0</v>
      </c>
      <c r="JL53" s="135">
        <f t="shared" si="63"/>
        <v>0</v>
      </c>
      <c r="JM53" s="135">
        <f t="shared" si="64"/>
        <v>0</v>
      </c>
      <c r="JN53" s="135">
        <f t="shared" si="65"/>
        <v>0</v>
      </c>
      <c r="JO53" s="132">
        <f t="shared" si="66"/>
        <v>0</v>
      </c>
      <c r="JQ53" s="139">
        <f t="shared" si="67"/>
        <v>0</v>
      </c>
    </row>
    <row r="54" spans="1:277" x14ac:dyDescent="0.25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2">
        <f t="shared" si="34"/>
        <v>0</v>
      </c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2">
        <f t="shared" si="35"/>
        <v>0</v>
      </c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2">
        <f t="shared" si="36"/>
        <v>0</v>
      </c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2">
        <f t="shared" si="37"/>
        <v>0</v>
      </c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2">
        <f t="shared" si="38"/>
        <v>0</v>
      </c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2">
        <f t="shared" si="39"/>
        <v>0</v>
      </c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2">
        <f t="shared" si="40"/>
        <v>0</v>
      </c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2">
        <f t="shared" si="41"/>
        <v>0</v>
      </c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2">
        <f t="shared" si="42"/>
        <v>0</v>
      </c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2">
        <f t="shared" si="43"/>
        <v>0</v>
      </c>
      <c r="EB54" s="216"/>
      <c r="EC54" s="216"/>
      <c r="ED54" s="216"/>
      <c r="EE54" s="216"/>
      <c r="EF54" s="216"/>
      <c r="EG54" s="216"/>
      <c r="EH54" s="216"/>
      <c r="EI54" s="216"/>
      <c r="EJ54" s="216"/>
      <c r="EK54" s="216"/>
      <c r="EL54" s="216"/>
      <c r="EM54" s="216"/>
      <c r="EN54" s="132">
        <f t="shared" si="44"/>
        <v>0</v>
      </c>
      <c r="EO54" s="132"/>
      <c r="EP54" s="132"/>
      <c r="EQ54" s="132"/>
      <c r="ER54" s="132"/>
      <c r="ES54" s="132"/>
      <c r="ET54" s="132"/>
      <c r="EU54" s="132"/>
      <c r="EV54" s="132"/>
      <c r="EW54" s="132"/>
      <c r="EX54" s="132"/>
      <c r="EY54" s="132"/>
      <c r="EZ54" s="132"/>
      <c r="FA54" s="132">
        <f t="shared" si="45"/>
        <v>0</v>
      </c>
      <c r="FB54" s="181"/>
      <c r="FC54" s="181"/>
      <c r="FD54" s="181"/>
      <c r="FE54" s="181"/>
      <c r="FF54" s="181"/>
      <c r="FG54" s="181"/>
      <c r="FH54" s="181"/>
      <c r="FI54" s="181"/>
      <c r="FJ54" s="181"/>
      <c r="FK54" s="181"/>
      <c r="FL54" s="181"/>
      <c r="FM54" s="181"/>
      <c r="FN54" s="132">
        <f t="shared" si="46"/>
        <v>0</v>
      </c>
      <c r="FO54" s="132"/>
      <c r="FP54" s="132"/>
      <c r="FQ54" s="132"/>
      <c r="FR54" s="132"/>
      <c r="FS54" s="132"/>
      <c r="FT54" s="132"/>
      <c r="FU54" s="132"/>
      <c r="FV54" s="132"/>
      <c r="FW54" s="132"/>
      <c r="FX54" s="132"/>
      <c r="FY54" s="132"/>
      <c r="FZ54" s="132"/>
      <c r="GA54" s="132">
        <f t="shared" si="47"/>
        <v>0</v>
      </c>
      <c r="GB54" s="181"/>
      <c r="GC54" s="181"/>
      <c r="GD54" s="181"/>
      <c r="GE54" s="181"/>
      <c r="GF54" s="181"/>
      <c r="GG54" s="181"/>
      <c r="GH54" s="181"/>
      <c r="GI54" s="181"/>
      <c r="GJ54" s="181"/>
      <c r="GK54" s="181"/>
      <c r="GL54" s="181"/>
      <c r="GM54" s="181"/>
      <c r="GN54" s="181">
        <f t="shared" si="48"/>
        <v>0</v>
      </c>
      <c r="GO54" s="137"/>
      <c r="GP54" s="137"/>
      <c r="GQ54" s="137"/>
      <c r="GR54" s="137"/>
      <c r="GS54" s="137"/>
      <c r="GT54" s="137"/>
      <c r="GU54" s="137"/>
      <c r="GV54" s="137"/>
      <c r="GW54" s="137"/>
      <c r="GX54" s="137"/>
      <c r="GY54" s="137"/>
      <c r="GZ54" s="137"/>
      <c r="HA54" s="132">
        <f t="shared" si="49"/>
        <v>0</v>
      </c>
      <c r="HB54" s="181"/>
      <c r="HC54" s="181"/>
      <c r="HD54" s="181"/>
      <c r="HE54" s="181"/>
      <c r="HF54" s="181"/>
      <c r="HG54" s="181"/>
      <c r="HH54" s="181"/>
      <c r="HI54" s="181"/>
      <c r="HJ54" s="181"/>
      <c r="HK54" s="181"/>
      <c r="HL54" s="181"/>
      <c r="HM54" s="181"/>
      <c r="HN54" s="181">
        <f t="shared" si="50"/>
        <v>0</v>
      </c>
      <c r="HO54" s="132"/>
      <c r="HP54" s="132"/>
      <c r="HQ54" s="132"/>
      <c r="HR54" s="132"/>
      <c r="HS54" s="132"/>
      <c r="HT54" s="132"/>
      <c r="HU54" s="132"/>
      <c r="HV54" s="132"/>
      <c r="HW54" s="132"/>
      <c r="HX54" s="132"/>
      <c r="HY54" s="132"/>
      <c r="HZ54" s="132"/>
      <c r="IA54" s="132">
        <f t="shared" si="51"/>
        <v>0</v>
      </c>
      <c r="IB54" s="181"/>
      <c r="IC54" s="181"/>
      <c r="ID54" s="181"/>
      <c r="IE54" s="181"/>
      <c r="IF54" s="181"/>
      <c r="IG54" s="181"/>
      <c r="IH54" s="181"/>
      <c r="II54" s="181"/>
      <c r="IJ54" s="181"/>
      <c r="IK54" s="181"/>
      <c r="IL54" s="181"/>
      <c r="IM54" s="181"/>
      <c r="IN54" s="181">
        <f t="shared" si="52"/>
        <v>0</v>
      </c>
      <c r="IO54" s="181"/>
      <c r="IP54" s="181"/>
      <c r="IQ54" s="181"/>
      <c r="IR54" s="181"/>
      <c r="IS54" s="181"/>
      <c r="IT54" s="181"/>
      <c r="IU54" s="181"/>
      <c r="IV54" s="181"/>
      <c r="IW54" s="181"/>
      <c r="IX54" s="181"/>
      <c r="IY54" s="181"/>
      <c r="IZ54" s="181"/>
      <c r="JA54" s="181">
        <f t="shared" si="53"/>
        <v>0</v>
      </c>
      <c r="JC54" s="135">
        <f t="shared" si="54"/>
        <v>0</v>
      </c>
      <c r="JD54" s="135">
        <f t="shared" si="55"/>
        <v>0</v>
      </c>
      <c r="JE54" s="135">
        <f t="shared" si="56"/>
        <v>0</v>
      </c>
      <c r="JF54" s="135">
        <f t="shared" si="57"/>
        <v>0</v>
      </c>
      <c r="JG54" s="135">
        <f t="shared" si="58"/>
        <v>0</v>
      </c>
      <c r="JH54" s="135">
        <f t="shared" si="59"/>
        <v>0</v>
      </c>
      <c r="JI54" s="135">
        <f t="shared" si="60"/>
        <v>0</v>
      </c>
      <c r="JJ54" s="135">
        <f t="shared" si="61"/>
        <v>0</v>
      </c>
      <c r="JK54" s="135">
        <f t="shared" si="62"/>
        <v>0</v>
      </c>
      <c r="JL54" s="135">
        <f t="shared" si="63"/>
        <v>0</v>
      </c>
      <c r="JM54" s="135">
        <f t="shared" si="64"/>
        <v>0</v>
      </c>
      <c r="JN54" s="135">
        <f t="shared" si="65"/>
        <v>0</v>
      </c>
      <c r="JO54" s="132">
        <f t="shared" si="66"/>
        <v>0</v>
      </c>
      <c r="JQ54" s="139">
        <f t="shared" si="67"/>
        <v>0</v>
      </c>
    </row>
    <row r="55" spans="1:277" x14ac:dyDescent="0.25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2">
        <f t="shared" si="34"/>
        <v>0</v>
      </c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2">
        <f t="shared" si="35"/>
        <v>0</v>
      </c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2">
        <f t="shared" si="36"/>
        <v>0</v>
      </c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2">
        <f t="shared" si="37"/>
        <v>0</v>
      </c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2">
        <f t="shared" si="38"/>
        <v>0</v>
      </c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2">
        <f t="shared" si="39"/>
        <v>0</v>
      </c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2">
        <f t="shared" si="40"/>
        <v>0</v>
      </c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2">
        <f t="shared" si="41"/>
        <v>0</v>
      </c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2">
        <f t="shared" si="42"/>
        <v>0</v>
      </c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2">
        <f t="shared" si="43"/>
        <v>0</v>
      </c>
      <c r="EB55" s="216"/>
      <c r="EC55" s="216"/>
      <c r="ED55" s="216"/>
      <c r="EE55" s="216"/>
      <c r="EF55" s="216"/>
      <c r="EG55" s="216"/>
      <c r="EH55" s="216"/>
      <c r="EI55" s="216"/>
      <c r="EJ55" s="216"/>
      <c r="EK55" s="216"/>
      <c r="EL55" s="216"/>
      <c r="EM55" s="216"/>
      <c r="EN55" s="132">
        <f t="shared" si="44"/>
        <v>0</v>
      </c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>
        <f t="shared" si="45"/>
        <v>0</v>
      </c>
      <c r="FB55" s="181"/>
      <c r="FC55" s="181"/>
      <c r="FD55" s="181"/>
      <c r="FE55" s="181"/>
      <c r="FF55" s="181"/>
      <c r="FG55" s="181"/>
      <c r="FH55" s="181"/>
      <c r="FI55" s="181"/>
      <c r="FJ55" s="181"/>
      <c r="FK55" s="181"/>
      <c r="FL55" s="181"/>
      <c r="FM55" s="181"/>
      <c r="FN55" s="132">
        <f t="shared" si="46"/>
        <v>0</v>
      </c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>
        <f t="shared" si="47"/>
        <v>0</v>
      </c>
      <c r="GB55" s="181"/>
      <c r="GC55" s="181"/>
      <c r="GD55" s="181"/>
      <c r="GE55" s="181"/>
      <c r="GF55" s="181"/>
      <c r="GG55" s="181"/>
      <c r="GH55" s="181"/>
      <c r="GI55" s="181"/>
      <c r="GJ55" s="181"/>
      <c r="GK55" s="181"/>
      <c r="GL55" s="181"/>
      <c r="GM55" s="181"/>
      <c r="GN55" s="181">
        <f t="shared" si="48"/>
        <v>0</v>
      </c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2">
        <f t="shared" si="49"/>
        <v>0</v>
      </c>
      <c r="HB55" s="181"/>
      <c r="HC55" s="181"/>
      <c r="HD55" s="181"/>
      <c r="HE55" s="181"/>
      <c r="HF55" s="181"/>
      <c r="HG55" s="181"/>
      <c r="HH55" s="181"/>
      <c r="HI55" s="181"/>
      <c r="HJ55" s="181"/>
      <c r="HK55" s="181"/>
      <c r="HL55" s="181"/>
      <c r="HM55" s="181"/>
      <c r="HN55" s="181">
        <f t="shared" si="50"/>
        <v>0</v>
      </c>
      <c r="HO55" s="132"/>
      <c r="HP55" s="132"/>
      <c r="HQ55" s="132"/>
      <c r="HR55" s="132"/>
      <c r="HS55" s="132"/>
      <c r="HT55" s="132"/>
      <c r="HU55" s="132"/>
      <c r="HV55" s="132"/>
      <c r="HW55" s="132"/>
      <c r="HX55" s="132"/>
      <c r="HY55" s="132"/>
      <c r="HZ55" s="132"/>
      <c r="IA55" s="132">
        <f t="shared" si="51"/>
        <v>0</v>
      </c>
      <c r="IB55" s="181"/>
      <c r="IC55" s="181"/>
      <c r="ID55" s="181"/>
      <c r="IE55" s="181"/>
      <c r="IF55" s="181"/>
      <c r="IG55" s="181"/>
      <c r="IH55" s="181"/>
      <c r="II55" s="181"/>
      <c r="IJ55" s="181"/>
      <c r="IK55" s="181"/>
      <c r="IL55" s="181"/>
      <c r="IM55" s="181"/>
      <c r="IN55" s="181">
        <f t="shared" si="52"/>
        <v>0</v>
      </c>
      <c r="IO55" s="181"/>
      <c r="IP55" s="181"/>
      <c r="IQ55" s="181"/>
      <c r="IR55" s="181"/>
      <c r="IS55" s="181"/>
      <c r="IT55" s="181"/>
      <c r="IU55" s="181"/>
      <c r="IV55" s="181"/>
      <c r="IW55" s="181"/>
      <c r="IX55" s="181"/>
      <c r="IY55" s="181"/>
      <c r="IZ55" s="181"/>
      <c r="JA55" s="181">
        <f t="shared" si="53"/>
        <v>0</v>
      </c>
      <c r="JC55" s="135">
        <f t="shared" si="54"/>
        <v>0</v>
      </c>
      <c r="JD55" s="135">
        <f t="shared" si="55"/>
        <v>0</v>
      </c>
      <c r="JE55" s="135">
        <f t="shared" si="56"/>
        <v>0</v>
      </c>
      <c r="JF55" s="135">
        <f t="shared" si="57"/>
        <v>0</v>
      </c>
      <c r="JG55" s="135">
        <f t="shared" si="58"/>
        <v>0</v>
      </c>
      <c r="JH55" s="135">
        <f t="shared" si="59"/>
        <v>0</v>
      </c>
      <c r="JI55" s="135">
        <f t="shared" si="60"/>
        <v>0</v>
      </c>
      <c r="JJ55" s="135">
        <f t="shared" si="61"/>
        <v>0</v>
      </c>
      <c r="JK55" s="135">
        <f t="shared" si="62"/>
        <v>0</v>
      </c>
      <c r="JL55" s="135">
        <f t="shared" si="63"/>
        <v>0</v>
      </c>
      <c r="JM55" s="135">
        <f t="shared" si="64"/>
        <v>0</v>
      </c>
      <c r="JN55" s="135">
        <f t="shared" si="65"/>
        <v>0</v>
      </c>
      <c r="JO55" s="132">
        <f t="shared" si="66"/>
        <v>0</v>
      </c>
      <c r="JQ55" s="139">
        <f t="shared" si="67"/>
        <v>0</v>
      </c>
    </row>
    <row r="56" spans="1:277" x14ac:dyDescent="0.25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2">
        <f t="shared" si="34"/>
        <v>0</v>
      </c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2">
        <f t="shared" si="35"/>
        <v>0</v>
      </c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2">
        <f t="shared" si="36"/>
        <v>0</v>
      </c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2">
        <f t="shared" si="37"/>
        <v>0</v>
      </c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2">
        <f t="shared" si="38"/>
        <v>0</v>
      </c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2">
        <f t="shared" si="39"/>
        <v>0</v>
      </c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2">
        <f t="shared" si="40"/>
        <v>0</v>
      </c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2">
        <f t="shared" si="41"/>
        <v>0</v>
      </c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2">
        <f t="shared" si="42"/>
        <v>0</v>
      </c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2">
        <f t="shared" si="43"/>
        <v>0</v>
      </c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132">
        <f t="shared" si="44"/>
        <v>0</v>
      </c>
      <c r="EO56" s="132"/>
      <c r="EP56" s="132"/>
      <c r="EQ56" s="132"/>
      <c r="ER56" s="132"/>
      <c r="ES56" s="132"/>
      <c r="ET56" s="132"/>
      <c r="EU56" s="132"/>
      <c r="EV56" s="132"/>
      <c r="EW56" s="132"/>
      <c r="EX56" s="132"/>
      <c r="EY56" s="132"/>
      <c r="EZ56" s="132"/>
      <c r="FA56" s="132">
        <f t="shared" si="45"/>
        <v>0</v>
      </c>
      <c r="FB56" s="181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32">
        <f t="shared" si="46"/>
        <v>0</v>
      </c>
      <c r="FO56" s="132"/>
      <c r="FP56" s="132"/>
      <c r="FQ56" s="132"/>
      <c r="FR56" s="132"/>
      <c r="FS56" s="132"/>
      <c r="FT56" s="132"/>
      <c r="FU56" s="132"/>
      <c r="FV56" s="132"/>
      <c r="FW56" s="132"/>
      <c r="FX56" s="132"/>
      <c r="FY56" s="132"/>
      <c r="FZ56" s="132"/>
      <c r="GA56" s="132">
        <f t="shared" si="47"/>
        <v>0</v>
      </c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>
        <f t="shared" si="48"/>
        <v>0</v>
      </c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2">
        <f t="shared" si="49"/>
        <v>0</v>
      </c>
      <c r="HB56" s="181"/>
      <c r="HC56" s="181"/>
      <c r="HD56" s="181"/>
      <c r="HE56" s="181"/>
      <c r="HF56" s="181"/>
      <c r="HG56" s="181"/>
      <c r="HH56" s="181"/>
      <c r="HI56" s="181"/>
      <c r="HJ56" s="181"/>
      <c r="HK56" s="181"/>
      <c r="HL56" s="181"/>
      <c r="HM56" s="181"/>
      <c r="HN56" s="181">
        <f t="shared" si="50"/>
        <v>0</v>
      </c>
      <c r="HO56" s="132"/>
      <c r="HP56" s="132"/>
      <c r="HQ56" s="132"/>
      <c r="HR56" s="132"/>
      <c r="HS56" s="132"/>
      <c r="HT56" s="132"/>
      <c r="HU56" s="132"/>
      <c r="HV56" s="132"/>
      <c r="HW56" s="132"/>
      <c r="HX56" s="132"/>
      <c r="HY56" s="132"/>
      <c r="HZ56" s="132"/>
      <c r="IA56" s="132">
        <f t="shared" si="51"/>
        <v>0</v>
      </c>
      <c r="IB56" s="181"/>
      <c r="IC56" s="181"/>
      <c r="ID56" s="181"/>
      <c r="IE56" s="181"/>
      <c r="IF56" s="181"/>
      <c r="IG56" s="181"/>
      <c r="IH56" s="181"/>
      <c r="II56" s="181"/>
      <c r="IJ56" s="181"/>
      <c r="IK56" s="181"/>
      <c r="IL56" s="181"/>
      <c r="IM56" s="181"/>
      <c r="IN56" s="181">
        <f t="shared" si="52"/>
        <v>0</v>
      </c>
      <c r="IO56" s="181"/>
      <c r="IP56" s="181"/>
      <c r="IQ56" s="181"/>
      <c r="IR56" s="181"/>
      <c r="IS56" s="181"/>
      <c r="IT56" s="181"/>
      <c r="IU56" s="181"/>
      <c r="IV56" s="181"/>
      <c r="IW56" s="181"/>
      <c r="IX56" s="181"/>
      <c r="IY56" s="181"/>
      <c r="IZ56" s="181"/>
      <c r="JA56" s="181">
        <f t="shared" si="53"/>
        <v>0</v>
      </c>
      <c r="JC56" s="135">
        <f t="shared" si="54"/>
        <v>0</v>
      </c>
      <c r="JD56" s="135">
        <f t="shared" si="55"/>
        <v>0</v>
      </c>
      <c r="JE56" s="135">
        <f t="shared" si="56"/>
        <v>0</v>
      </c>
      <c r="JF56" s="135">
        <f t="shared" si="57"/>
        <v>0</v>
      </c>
      <c r="JG56" s="135">
        <f t="shared" si="58"/>
        <v>0</v>
      </c>
      <c r="JH56" s="135">
        <f t="shared" si="59"/>
        <v>0</v>
      </c>
      <c r="JI56" s="135">
        <f t="shared" si="60"/>
        <v>0</v>
      </c>
      <c r="JJ56" s="135">
        <f t="shared" si="61"/>
        <v>0</v>
      </c>
      <c r="JK56" s="135">
        <f t="shared" si="62"/>
        <v>0</v>
      </c>
      <c r="JL56" s="135">
        <f t="shared" si="63"/>
        <v>0</v>
      </c>
      <c r="JM56" s="135">
        <f t="shared" si="64"/>
        <v>0</v>
      </c>
      <c r="JN56" s="135">
        <f t="shared" si="65"/>
        <v>0</v>
      </c>
      <c r="JO56" s="132">
        <f t="shared" si="66"/>
        <v>0</v>
      </c>
      <c r="JQ56" s="139">
        <f t="shared" si="67"/>
        <v>0</v>
      </c>
    </row>
    <row r="57" spans="1:277" x14ac:dyDescent="0.25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2">
        <f t="shared" si="34"/>
        <v>0</v>
      </c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2">
        <f t="shared" si="35"/>
        <v>0</v>
      </c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2">
        <f t="shared" si="36"/>
        <v>0</v>
      </c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2">
        <f t="shared" si="37"/>
        <v>0</v>
      </c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2">
        <f t="shared" si="38"/>
        <v>0</v>
      </c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2">
        <f t="shared" si="39"/>
        <v>0</v>
      </c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2">
        <f t="shared" si="40"/>
        <v>0</v>
      </c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2">
        <f t="shared" si="41"/>
        <v>0</v>
      </c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2">
        <f t="shared" si="42"/>
        <v>0</v>
      </c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2">
        <f t="shared" si="43"/>
        <v>0</v>
      </c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132">
        <f t="shared" si="44"/>
        <v>0</v>
      </c>
      <c r="EO57" s="132"/>
      <c r="EP57" s="132"/>
      <c r="EQ57" s="132"/>
      <c r="ER57" s="132"/>
      <c r="ES57" s="132"/>
      <c r="ET57" s="132"/>
      <c r="EU57" s="132"/>
      <c r="EV57" s="132"/>
      <c r="EW57" s="132"/>
      <c r="EX57" s="132"/>
      <c r="EY57" s="132"/>
      <c r="EZ57" s="132"/>
      <c r="FA57" s="132">
        <f t="shared" si="45"/>
        <v>0</v>
      </c>
      <c r="FB57" s="181"/>
      <c r="FC57" s="181"/>
      <c r="FD57" s="181"/>
      <c r="FE57" s="181"/>
      <c r="FF57" s="181"/>
      <c r="FG57" s="181"/>
      <c r="FH57" s="181"/>
      <c r="FI57" s="181"/>
      <c r="FJ57" s="181"/>
      <c r="FK57" s="181"/>
      <c r="FL57" s="181"/>
      <c r="FM57" s="181"/>
      <c r="FN57" s="132">
        <f t="shared" si="46"/>
        <v>0</v>
      </c>
      <c r="FO57" s="132"/>
      <c r="FP57" s="132"/>
      <c r="FQ57" s="132"/>
      <c r="FR57" s="132"/>
      <c r="FS57" s="132"/>
      <c r="FT57" s="132"/>
      <c r="FU57" s="132"/>
      <c r="FV57" s="132"/>
      <c r="FW57" s="132"/>
      <c r="FX57" s="132"/>
      <c r="FY57" s="132"/>
      <c r="FZ57" s="132"/>
      <c r="GA57" s="132">
        <f t="shared" si="47"/>
        <v>0</v>
      </c>
      <c r="GB57" s="181"/>
      <c r="GC57" s="181"/>
      <c r="GD57" s="181"/>
      <c r="GE57" s="181"/>
      <c r="GF57" s="181"/>
      <c r="GG57" s="181"/>
      <c r="GH57" s="181"/>
      <c r="GI57" s="181"/>
      <c r="GJ57" s="181"/>
      <c r="GK57" s="181"/>
      <c r="GL57" s="181"/>
      <c r="GM57" s="181"/>
      <c r="GN57" s="181">
        <f t="shared" si="48"/>
        <v>0</v>
      </c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2">
        <f t="shared" si="49"/>
        <v>0</v>
      </c>
      <c r="HB57" s="181"/>
      <c r="HC57" s="181"/>
      <c r="HD57" s="181"/>
      <c r="HE57" s="181"/>
      <c r="HF57" s="181"/>
      <c r="HG57" s="181"/>
      <c r="HH57" s="181"/>
      <c r="HI57" s="181"/>
      <c r="HJ57" s="181"/>
      <c r="HK57" s="181"/>
      <c r="HL57" s="181"/>
      <c r="HM57" s="181"/>
      <c r="HN57" s="181">
        <f t="shared" si="50"/>
        <v>0</v>
      </c>
      <c r="HO57" s="132"/>
      <c r="HP57" s="132"/>
      <c r="HQ57" s="132"/>
      <c r="HR57" s="132"/>
      <c r="HS57" s="132"/>
      <c r="HT57" s="132"/>
      <c r="HU57" s="132"/>
      <c r="HV57" s="132"/>
      <c r="HW57" s="132"/>
      <c r="HX57" s="132"/>
      <c r="HY57" s="132"/>
      <c r="HZ57" s="132"/>
      <c r="IA57" s="132">
        <f t="shared" si="51"/>
        <v>0</v>
      </c>
      <c r="IB57" s="181"/>
      <c r="IC57" s="181"/>
      <c r="ID57" s="181"/>
      <c r="IE57" s="181"/>
      <c r="IF57" s="181"/>
      <c r="IG57" s="181"/>
      <c r="IH57" s="181"/>
      <c r="II57" s="181"/>
      <c r="IJ57" s="181"/>
      <c r="IK57" s="181"/>
      <c r="IL57" s="181"/>
      <c r="IM57" s="181"/>
      <c r="IN57" s="181">
        <f t="shared" si="52"/>
        <v>0</v>
      </c>
      <c r="IO57" s="181"/>
      <c r="IP57" s="181"/>
      <c r="IQ57" s="181"/>
      <c r="IR57" s="181"/>
      <c r="IS57" s="181"/>
      <c r="IT57" s="181"/>
      <c r="IU57" s="181"/>
      <c r="IV57" s="181"/>
      <c r="IW57" s="181"/>
      <c r="IX57" s="181"/>
      <c r="IY57" s="181"/>
      <c r="IZ57" s="181"/>
      <c r="JA57" s="181">
        <f t="shared" si="53"/>
        <v>0</v>
      </c>
      <c r="JC57" s="135">
        <f t="shared" si="54"/>
        <v>0</v>
      </c>
      <c r="JD57" s="135">
        <f t="shared" si="55"/>
        <v>0</v>
      </c>
      <c r="JE57" s="135">
        <f t="shared" si="56"/>
        <v>0</v>
      </c>
      <c r="JF57" s="135">
        <f t="shared" si="57"/>
        <v>0</v>
      </c>
      <c r="JG57" s="135">
        <f t="shared" si="58"/>
        <v>0</v>
      </c>
      <c r="JH57" s="135">
        <f t="shared" si="59"/>
        <v>0</v>
      </c>
      <c r="JI57" s="135">
        <f t="shared" si="60"/>
        <v>0</v>
      </c>
      <c r="JJ57" s="135">
        <f t="shared" si="61"/>
        <v>0</v>
      </c>
      <c r="JK57" s="135">
        <f t="shared" si="62"/>
        <v>0</v>
      </c>
      <c r="JL57" s="135">
        <f t="shared" si="63"/>
        <v>0</v>
      </c>
      <c r="JM57" s="135">
        <f t="shared" si="64"/>
        <v>0</v>
      </c>
      <c r="JN57" s="135">
        <f t="shared" si="65"/>
        <v>0</v>
      </c>
      <c r="JO57" s="132">
        <f t="shared" si="66"/>
        <v>0</v>
      </c>
      <c r="JQ57" s="139">
        <f t="shared" si="67"/>
        <v>0</v>
      </c>
    </row>
    <row r="58" spans="1:277" x14ac:dyDescent="0.25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2">
        <f t="shared" si="34"/>
        <v>0</v>
      </c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2">
        <f t="shared" si="35"/>
        <v>0</v>
      </c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2">
        <f t="shared" si="36"/>
        <v>0</v>
      </c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2">
        <f t="shared" si="37"/>
        <v>0</v>
      </c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2">
        <f t="shared" si="38"/>
        <v>0</v>
      </c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2">
        <f t="shared" si="39"/>
        <v>0</v>
      </c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2">
        <f t="shared" si="40"/>
        <v>0</v>
      </c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2">
        <f t="shared" si="41"/>
        <v>0</v>
      </c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2">
        <f t="shared" si="42"/>
        <v>0</v>
      </c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2">
        <f t="shared" si="43"/>
        <v>0</v>
      </c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132">
        <f t="shared" si="44"/>
        <v>0</v>
      </c>
      <c r="EO58" s="132"/>
      <c r="EP58" s="132"/>
      <c r="EQ58" s="132"/>
      <c r="ER58" s="132"/>
      <c r="ES58" s="132"/>
      <c r="ET58" s="132"/>
      <c r="EU58" s="132"/>
      <c r="EV58" s="132"/>
      <c r="EW58" s="132"/>
      <c r="EX58" s="132"/>
      <c r="EY58" s="132"/>
      <c r="EZ58" s="132"/>
      <c r="FA58" s="132">
        <f t="shared" si="45"/>
        <v>0</v>
      </c>
      <c r="FB58" s="181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32">
        <f t="shared" si="46"/>
        <v>0</v>
      </c>
      <c r="FO58" s="132"/>
      <c r="FP58" s="132"/>
      <c r="FQ58" s="132"/>
      <c r="FR58" s="132"/>
      <c r="FS58" s="132"/>
      <c r="FT58" s="132"/>
      <c r="FU58" s="132"/>
      <c r="FV58" s="132"/>
      <c r="FW58" s="132"/>
      <c r="FX58" s="132"/>
      <c r="FY58" s="132"/>
      <c r="FZ58" s="132"/>
      <c r="GA58" s="132">
        <f t="shared" si="47"/>
        <v>0</v>
      </c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>
        <f t="shared" si="48"/>
        <v>0</v>
      </c>
      <c r="GO58" s="137"/>
      <c r="GP58" s="137"/>
      <c r="GQ58" s="137"/>
      <c r="GR58" s="137"/>
      <c r="GS58" s="137"/>
      <c r="GT58" s="137"/>
      <c r="GU58" s="137"/>
      <c r="GV58" s="137"/>
      <c r="GW58" s="137"/>
      <c r="GX58" s="137"/>
      <c r="GY58" s="137"/>
      <c r="GZ58" s="137"/>
      <c r="HA58" s="132">
        <f t="shared" si="49"/>
        <v>0</v>
      </c>
      <c r="HB58" s="181"/>
      <c r="HC58" s="181"/>
      <c r="HD58" s="181"/>
      <c r="HE58" s="181"/>
      <c r="HF58" s="181"/>
      <c r="HG58" s="181"/>
      <c r="HH58" s="181"/>
      <c r="HI58" s="181"/>
      <c r="HJ58" s="181"/>
      <c r="HK58" s="181"/>
      <c r="HL58" s="181"/>
      <c r="HM58" s="181"/>
      <c r="HN58" s="181">
        <f t="shared" si="50"/>
        <v>0</v>
      </c>
      <c r="HO58" s="132"/>
      <c r="HP58" s="132"/>
      <c r="HQ58" s="132"/>
      <c r="HR58" s="132"/>
      <c r="HS58" s="132"/>
      <c r="HT58" s="132"/>
      <c r="HU58" s="132"/>
      <c r="HV58" s="132"/>
      <c r="HW58" s="132"/>
      <c r="HX58" s="132"/>
      <c r="HY58" s="132"/>
      <c r="HZ58" s="132"/>
      <c r="IA58" s="132">
        <f t="shared" si="51"/>
        <v>0</v>
      </c>
      <c r="IB58" s="181"/>
      <c r="IC58" s="181"/>
      <c r="ID58" s="181"/>
      <c r="IE58" s="181"/>
      <c r="IF58" s="181"/>
      <c r="IG58" s="181"/>
      <c r="IH58" s="181"/>
      <c r="II58" s="181"/>
      <c r="IJ58" s="181"/>
      <c r="IK58" s="181"/>
      <c r="IL58" s="181"/>
      <c r="IM58" s="181"/>
      <c r="IN58" s="181">
        <f t="shared" si="52"/>
        <v>0</v>
      </c>
      <c r="IO58" s="181"/>
      <c r="IP58" s="181"/>
      <c r="IQ58" s="181"/>
      <c r="IR58" s="181"/>
      <c r="IS58" s="181"/>
      <c r="IT58" s="181"/>
      <c r="IU58" s="181"/>
      <c r="IV58" s="181"/>
      <c r="IW58" s="181"/>
      <c r="IX58" s="181"/>
      <c r="IY58" s="181"/>
      <c r="IZ58" s="181"/>
      <c r="JA58" s="181">
        <f t="shared" si="53"/>
        <v>0</v>
      </c>
      <c r="JC58" s="135">
        <f t="shared" si="54"/>
        <v>0</v>
      </c>
      <c r="JD58" s="135">
        <f t="shared" si="55"/>
        <v>0</v>
      </c>
      <c r="JE58" s="135">
        <f t="shared" si="56"/>
        <v>0</v>
      </c>
      <c r="JF58" s="135">
        <f t="shared" si="57"/>
        <v>0</v>
      </c>
      <c r="JG58" s="135">
        <f t="shared" si="58"/>
        <v>0</v>
      </c>
      <c r="JH58" s="135">
        <f t="shared" si="59"/>
        <v>0</v>
      </c>
      <c r="JI58" s="135">
        <f t="shared" si="60"/>
        <v>0</v>
      </c>
      <c r="JJ58" s="135">
        <f t="shared" si="61"/>
        <v>0</v>
      </c>
      <c r="JK58" s="135">
        <f t="shared" si="62"/>
        <v>0</v>
      </c>
      <c r="JL58" s="135">
        <f t="shared" si="63"/>
        <v>0</v>
      </c>
      <c r="JM58" s="135">
        <f t="shared" si="64"/>
        <v>0</v>
      </c>
      <c r="JN58" s="135">
        <f t="shared" si="65"/>
        <v>0</v>
      </c>
      <c r="JO58" s="132">
        <f t="shared" si="66"/>
        <v>0</v>
      </c>
      <c r="JQ58" s="139">
        <f t="shared" si="67"/>
        <v>0</v>
      </c>
    </row>
    <row r="59" spans="1:277" x14ac:dyDescent="0.25">
      <c r="A59" s="130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2">
        <f t="shared" si="34"/>
        <v>0</v>
      </c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2">
        <f t="shared" si="35"/>
        <v>0</v>
      </c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2">
        <f t="shared" si="36"/>
        <v>0</v>
      </c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2">
        <f t="shared" si="37"/>
        <v>0</v>
      </c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2">
        <f t="shared" si="38"/>
        <v>0</v>
      </c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2">
        <f t="shared" si="39"/>
        <v>0</v>
      </c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2">
        <f t="shared" si="40"/>
        <v>0</v>
      </c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2">
        <f t="shared" si="41"/>
        <v>0</v>
      </c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2">
        <f t="shared" si="42"/>
        <v>0</v>
      </c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2">
        <f t="shared" si="43"/>
        <v>0</v>
      </c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132">
        <f t="shared" si="44"/>
        <v>0</v>
      </c>
      <c r="EO59" s="132"/>
      <c r="EP59" s="132"/>
      <c r="EQ59" s="132"/>
      <c r="ER59" s="132"/>
      <c r="ES59" s="132"/>
      <c r="ET59" s="132"/>
      <c r="EU59" s="132"/>
      <c r="EV59" s="132"/>
      <c r="EW59" s="132"/>
      <c r="EX59" s="132"/>
      <c r="EY59" s="132"/>
      <c r="EZ59" s="132"/>
      <c r="FA59" s="132">
        <f t="shared" si="45"/>
        <v>0</v>
      </c>
      <c r="FB59" s="181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32">
        <f t="shared" si="46"/>
        <v>0</v>
      </c>
      <c r="FO59" s="132"/>
      <c r="FP59" s="132"/>
      <c r="FQ59" s="132"/>
      <c r="FR59" s="132"/>
      <c r="FS59" s="132"/>
      <c r="FT59" s="132"/>
      <c r="FU59" s="132"/>
      <c r="FV59" s="132"/>
      <c r="FW59" s="132"/>
      <c r="FX59" s="132"/>
      <c r="FY59" s="132"/>
      <c r="FZ59" s="132"/>
      <c r="GA59" s="132">
        <f t="shared" si="47"/>
        <v>0</v>
      </c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>
        <f t="shared" si="48"/>
        <v>0</v>
      </c>
      <c r="GO59" s="137"/>
      <c r="GP59" s="137"/>
      <c r="GQ59" s="137"/>
      <c r="GR59" s="137"/>
      <c r="GS59" s="137"/>
      <c r="GT59" s="137"/>
      <c r="GU59" s="137"/>
      <c r="GV59" s="137"/>
      <c r="GW59" s="137"/>
      <c r="GX59" s="137"/>
      <c r="GY59" s="137"/>
      <c r="GZ59" s="137"/>
      <c r="HA59" s="132">
        <f t="shared" si="49"/>
        <v>0</v>
      </c>
      <c r="HB59" s="181"/>
      <c r="HC59" s="181"/>
      <c r="HD59" s="181"/>
      <c r="HE59" s="181"/>
      <c r="HF59" s="181"/>
      <c r="HG59" s="181"/>
      <c r="HH59" s="181"/>
      <c r="HI59" s="181"/>
      <c r="HJ59" s="181"/>
      <c r="HK59" s="181"/>
      <c r="HL59" s="181"/>
      <c r="HM59" s="181"/>
      <c r="HN59" s="181">
        <f t="shared" si="50"/>
        <v>0</v>
      </c>
      <c r="HO59" s="132"/>
      <c r="HP59" s="132"/>
      <c r="HQ59" s="132"/>
      <c r="HR59" s="132"/>
      <c r="HS59" s="132"/>
      <c r="HT59" s="132"/>
      <c r="HU59" s="132"/>
      <c r="HV59" s="132"/>
      <c r="HW59" s="132"/>
      <c r="HX59" s="132"/>
      <c r="HY59" s="132"/>
      <c r="HZ59" s="132"/>
      <c r="IA59" s="132">
        <f t="shared" si="51"/>
        <v>0</v>
      </c>
      <c r="IB59" s="181"/>
      <c r="IC59" s="181"/>
      <c r="ID59" s="181"/>
      <c r="IE59" s="181"/>
      <c r="IF59" s="181"/>
      <c r="IG59" s="181"/>
      <c r="IH59" s="181"/>
      <c r="II59" s="181"/>
      <c r="IJ59" s="181"/>
      <c r="IK59" s="181"/>
      <c r="IL59" s="181"/>
      <c r="IM59" s="181"/>
      <c r="IN59" s="181">
        <f t="shared" si="52"/>
        <v>0</v>
      </c>
      <c r="IO59" s="181"/>
      <c r="IP59" s="181"/>
      <c r="IQ59" s="181"/>
      <c r="IR59" s="181"/>
      <c r="IS59" s="181"/>
      <c r="IT59" s="181"/>
      <c r="IU59" s="181"/>
      <c r="IV59" s="181"/>
      <c r="IW59" s="181"/>
      <c r="IX59" s="181"/>
      <c r="IY59" s="181"/>
      <c r="IZ59" s="181"/>
      <c r="JA59" s="181">
        <f t="shared" si="53"/>
        <v>0</v>
      </c>
      <c r="JC59" s="135">
        <f t="shared" si="54"/>
        <v>0</v>
      </c>
      <c r="JD59" s="135">
        <f t="shared" si="55"/>
        <v>0</v>
      </c>
      <c r="JE59" s="135">
        <f t="shared" si="56"/>
        <v>0</v>
      </c>
      <c r="JF59" s="135">
        <f t="shared" si="57"/>
        <v>0</v>
      </c>
      <c r="JG59" s="135">
        <f t="shared" si="58"/>
        <v>0</v>
      </c>
      <c r="JH59" s="135">
        <f t="shared" si="59"/>
        <v>0</v>
      </c>
      <c r="JI59" s="135">
        <f t="shared" si="60"/>
        <v>0</v>
      </c>
      <c r="JJ59" s="135">
        <f t="shared" si="61"/>
        <v>0</v>
      </c>
      <c r="JK59" s="135">
        <f t="shared" si="62"/>
        <v>0</v>
      </c>
      <c r="JL59" s="135">
        <f t="shared" si="63"/>
        <v>0</v>
      </c>
      <c r="JM59" s="135">
        <f t="shared" si="64"/>
        <v>0</v>
      </c>
      <c r="JN59" s="135">
        <f t="shared" si="65"/>
        <v>0</v>
      </c>
      <c r="JO59" s="132">
        <f t="shared" si="66"/>
        <v>0</v>
      </c>
      <c r="JQ59" s="139">
        <f t="shared" si="67"/>
        <v>0</v>
      </c>
    </row>
    <row r="60" spans="1:277" x14ac:dyDescent="0.25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2">
        <f t="shared" si="34"/>
        <v>0</v>
      </c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2">
        <f t="shared" si="35"/>
        <v>0</v>
      </c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2">
        <f t="shared" si="36"/>
        <v>0</v>
      </c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2">
        <f t="shared" si="37"/>
        <v>0</v>
      </c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2">
        <f t="shared" si="38"/>
        <v>0</v>
      </c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2">
        <f t="shared" si="39"/>
        <v>0</v>
      </c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2">
        <f t="shared" si="40"/>
        <v>0</v>
      </c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2">
        <f t="shared" si="41"/>
        <v>0</v>
      </c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2">
        <f t="shared" si="42"/>
        <v>0</v>
      </c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2">
        <f t="shared" si="43"/>
        <v>0</v>
      </c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132">
        <f t="shared" si="44"/>
        <v>0</v>
      </c>
      <c r="EO60" s="132"/>
      <c r="EP60" s="132"/>
      <c r="EQ60" s="132"/>
      <c r="ER60" s="132"/>
      <c r="ES60" s="132"/>
      <c r="ET60" s="132"/>
      <c r="EU60" s="132"/>
      <c r="EV60" s="132"/>
      <c r="EW60" s="132"/>
      <c r="EX60" s="132"/>
      <c r="EY60" s="132"/>
      <c r="EZ60" s="132"/>
      <c r="FA60" s="132">
        <f t="shared" si="45"/>
        <v>0</v>
      </c>
      <c r="FB60" s="181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32">
        <f t="shared" si="46"/>
        <v>0</v>
      </c>
      <c r="FO60" s="132"/>
      <c r="FP60" s="132"/>
      <c r="FQ60" s="132"/>
      <c r="FR60" s="132"/>
      <c r="FS60" s="132"/>
      <c r="FT60" s="132"/>
      <c r="FU60" s="132"/>
      <c r="FV60" s="132"/>
      <c r="FW60" s="132"/>
      <c r="FX60" s="132"/>
      <c r="FY60" s="132"/>
      <c r="FZ60" s="132"/>
      <c r="GA60" s="132">
        <f t="shared" si="47"/>
        <v>0</v>
      </c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>
        <f t="shared" si="48"/>
        <v>0</v>
      </c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2">
        <f t="shared" si="49"/>
        <v>0</v>
      </c>
      <c r="HB60" s="181"/>
      <c r="HC60" s="181"/>
      <c r="HD60" s="181"/>
      <c r="HE60" s="181"/>
      <c r="HF60" s="181"/>
      <c r="HG60" s="181"/>
      <c r="HH60" s="181"/>
      <c r="HI60" s="181"/>
      <c r="HJ60" s="181"/>
      <c r="HK60" s="181"/>
      <c r="HL60" s="181"/>
      <c r="HM60" s="181"/>
      <c r="HN60" s="181">
        <f t="shared" si="50"/>
        <v>0</v>
      </c>
      <c r="HO60" s="132"/>
      <c r="HP60" s="132"/>
      <c r="HQ60" s="132"/>
      <c r="HR60" s="132"/>
      <c r="HS60" s="132"/>
      <c r="HT60" s="132"/>
      <c r="HU60" s="132"/>
      <c r="HV60" s="132"/>
      <c r="HW60" s="132"/>
      <c r="HX60" s="132"/>
      <c r="HY60" s="132"/>
      <c r="HZ60" s="132"/>
      <c r="IA60" s="132">
        <f t="shared" si="51"/>
        <v>0</v>
      </c>
      <c r="IB60" s="181"/>
      <c r="IC60" s="181"/>
      <c r="ID60" s="181"/>
      <c r="IE60" s="181"/>
      <c r="IF60" s="181"/>
      <c r="IG60" s="181"/>
      <c r="IH60" s="181"/>
      <c r="II60" s="181"/>
      <c r="IJ60" s="181"/>
      <c r="IK60" s="181"/>
      <c r="IL60" s="181"/>
      <c r="IM60" s="181"/>
      <c r="IN60" s="181">
        <f t="shared" si="52"/>
        <v>0</v>
      </c>
      <c r="IO60" s="181"/>
      <c r="IP60" s="181"/>
      <c r="IQ60" s="181"/>
      <c r="IR60" s="181"/>
      <c r="IS60" s="181"/>
      <c r="IT60" s="181"/>
      <c r="IU60" s="181"/>
      <c r="IV60" s="181"/>
      <c r="IW60" s="181"/>
      <c r="IX60" s="181"/>
      <c r="IY60" s="181"/>
      <c r="IZ60" s="181"/>
      <c r="JA60" s="181">
        <f t="shared" si="53"/>
        <v>0</v>
      </c>
      <c r="JC60" s="135">
        <f t="shared" si="54"/>
        <v>0</v>
      </c>
      <c r="JD60" s="135">
        <f t="shared" si="55"/>
        <v>0</v>
      </c>
      <c r="JE60" s="135">
        <f t="shared" si="56"/>
        <v>0</v>
      </c>
      <c r="JF60" s="135">
        <f t="shared" si="57"/>
        <v>0</v>
      </c>
      <c r="JG60" s="135">
        <f t="shared" si="58"/>
        <v>0</v>
      </c>
      <c r="JH60" s="135">
        <f t="shared" si="59"/>
        <v>0</v>
      </c>
      <c r="JI60" s="135">
        <f t="shared" si="60"/>
        <v>0</v>
      </c>
      <c r="JJ60" s="135">
        <f t="shared" si="61"/>
        <v>0</v>
      </c>
      <c r="JK60" s="135">
        <f t="shared" si="62"/>
        <v>0</v>
      </c>
      <c r="JL60" s="135">
        <f t="shared" si="63"/>
        <v>0</v>
      </c>
      <c r="JM60" s="135">
        <f t="shared" si="64"/>
        <v>0</v>
      </c>
      <c r="JN60" s="135">
        <f t="shared" si="65"/>
        <v>0</v>
      </c>
      <c r="JO60" s="132">
        <f t="shared" si="66"/>
        <v>0</v>
      </c>
      <c r="JQ60" s="139">
        <f t="shared" si="67"/>
        <v>0</v>
      </c>
    </row>
    <row r="61" spans="1:277" x14ac:dyDescent="0.25">
      <c r="A61" s="130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2">
        <f t="shared" si="34"/>
        <v>0</v>
      </c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2">
        <f t="shared" si="35"/>
        <v>0</v>
      </c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2">
        <f t="shared" si="36"/>
        <v>0</v>
      </c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2">
        <f t="shared" si="37"/>
        <v>0</v>
      </c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2">
        <f t="shared" si="38"/>
        <v>0</v>
      </c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2">
        <f t="shared" si="39"/>
        <v>0</v>
      </c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2">
        <f t="shared" si="40"/>
        <v>0</v>
      </c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2">
        <f t="shared" si="41"/>
        <v>0</v>
      </c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2">
        <f t="shared" si="42"/>
        <v>0</v>
      </c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2">
        <f t="shared" si="43"/>
        <v>0</v>
      </c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132">
        <f t="shared" si="44"/>
        <v>0</v>
      </c>
      <c r="EO61" s="132"/>
      <c r="EP61" s="132"/>
      <c r="EQ61" s="132"/>
      <c r="ER61" s="132"/>
      <c r="ES61" s="132"/>
      <c r="ET61" s="132"/>
      <c r="EU61" s="132"/>
      <c r="EV61" s="132"/>
      <c r="EW61" s="132"/>
      <c r="EX61" s="132"/>
      <c r="EY61" s="132"/>
      <c r="EZ61" s="132"/>
      <c r="FA61" s="132">
        <f t="shared" si="45"/>
        <v>0</v>
      </c>
      <c r="FB61" s="181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32">
        <f t="shared" si="46"/>
        <v>0</v>
      </c>
      <c r="FO61" s="132"/>
      <c r="FP61" s="132"/>
      <c r="FQ61" s="132"/>
      <c r="FR61" s="132"/>
      <c r="FS61" s="132"/>
      <c r="FT61" s="132"/>
      <c r="FU61" s="132"/>
      <c r="FV61" s="132"/>
      <c r="FW61" s="132"/>
      <c r="FX61" s="132"/>
      <c r="FY61" s="132"/>
      <c r="FZ61" s="132"/>
      <c r="GA61" s="132">
        <f t="shared" si="47"/>
        <v>0</v>
      </c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>
        <f t="shared" si="48"/>
        <v>0</v>
      </c>
      <c r="GO61" s="137"/>
      <c r="GP61" s="137"/>
      <c r="GQ61" s="137"/>
      <c r="GR61" s="137"/>
      <c r="GS61" s="137"/>
      <c r="GT61" s="137"/>
      <c r="GU61" s="137"/>
      <c r="GV61" s="137"/>
      <c r="GW61" s="137"/>
      <c r="GX61" s="137"/>
      <c r="GY61" s="137"/>
      <c r="GZ61" s="137"/>
      <c r="HA61" s="132">
        <f t="shared" si="49"/>
        <v>0</v>
      </c>
      <c r="HB61" s="181"/>
      <c r="HC61" s="181"/>
      <c r="HD61" s="181"/>
      <c r="HE61" s="181"/>
      <c r="HF61" s="181"/>
      <c r="HG61" s="181"/>
      <c r="HH61" s="181"/>
      <c r="HI61" s="181"/>
      <c r="HJ61" s="181"/>
      <c r="HK61" s="181"/>
      <c r="HL61" s="181"/>
      <c r="HM61" s="181"/>
      <c r="HN61" s="181">
        <f t="shared" si="50"/>
        <v>0</v>
      </c>
      <c r="HO61" s="132"/>
      <c r="HP61" s="132"/>
      <c r="HQ61" s="132"/>
      <c r="HR61" s="132"/>
      <c r="HS61" s="132"/>
      <c r="HT61" s="132"/>
      <c r="HU61" s="132"/>
      <c r="HV61" s="132"/>
      <c r="HW61" s="132"/>
      <c r="HX61" s="132"/>
      <c r="HY61" s="132"/>
      <c r="HZ61" s="132"/>
      <c r="IA61" s="132">
        <f t="shared" si="51"/>
        <v>0</v>
      </c>
      <c r="IB61" s="181"/>
      <c r="IC61" s="181"/>
      <c r="ID61" s="181"/>
      <c r="IE61" s="181"/>
      <c r="IF61" s="181"/>
      <c r="IG61" s="181"/>
      <c r="IH61" s="181"/>
      <c r="II61" s="181"/>
      <c r="IJ61" s="181"/>
      <c r="IK61" s="181"/>
      <c r="IL61" s="181"/>
      <c r="IM61" s="181"/>
      <c r="IN61" s="181">
        <f t="shared" si="52"/>
        <v>0</v>
      </c>
      <c r="IO61" s="181"/>
      <c r="IP61" s="181"/>
      <c r="IQ61" s="181"/>
      <c r="IR61" s="181"/>
      <c r="IS61" s="181"/>
      <c r="IT61" s="181"/>
      <c r="IU61" s="181"/>
      <c r="IV61" s="181"/>
      <c r="IW61" s="181"/>
      <c r="IX61" s="181"/>
      <c r="IY61" s="181"/>
      <c r="IZ61" s="181"/>
      <c r="JA61" s="181">
        <f t="shared" si="53"/>
        <v>0</v>
      </c>
      <c r="JC61" s="135">
        <f t="shared" si="54"/>
        <v>0</v>
      </c>
      <c r="JD61" s="135">
        <f t="shared" si="55"/>
        <v>0</v>
      </c>
      <c r="JE61" s="135">
        <f t="shared" si="56"/>
        <v>0</v>
      </c>
      <c r="JF61" s="135">
        <f t="shared" si="57"/>
        <v>0</v>
      </c>
      <c r="JG61" s="135">
        <f t="shared" si="58"/>
        <v>0</v>
      </c>
      <c r="JH61" s="135">
        <f t="shared" si="59"/>
        <v>0</v>
      </c>
      <c r="JI61" s="135">
        <f t="shared" si="60"/>
        <v>0</v>
      </c>
      <c r="JJ61" s="135">
        <f t="shared" si="61"/>
        <v>0</v>
      </c>
      <c r="JK61" s="135">
        <f t="shared" si="62"/>
        <v>0</v>
      </c>
      <c r="JL61" s="135">
        <f t="shared" si="63"/>
        <v>0</v>
      </c>
      <c r="JM61" s="135">
        <f t="shared" si="64"/>
        <v>0</v>
      </c>
      <c r="JN61" s="135">
        <f t="shared" si="65"/>
        <v>0</v>
      </c>
      <c r="JO61" s="132">
        <f t="shared" si="66"/>
        <v>0</v>
      </c>
      <c r="JQ61" s="139">
        <f t="shared" si="67"/>
        <v>0</v>
      </c>
    </row>
    <row r="62" spans="1:277" x14ac:dyDescent="0.25">
      <c r="A62" s="13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2">
        <f t="shared" si="34"/>
        <v>0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2">
        <f t="shared" si="35"/>
        <v>0</v>
      </c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2">
        <f t="shared" si="36"/>
        <v>0</v>
      </c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2">
        <f t="shared" si="37"/>
        <v>0</v>
      </c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2">
        <f t="shared" si="38"/>
        <v>0</v>
      </c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2">
        <f t="shared" si="39"/>
        <v>0</v>
      </c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2">
        <f t="shared" si="40"/>
        <v>0</v>
      </c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2">
        <f t="shared" si="41"/>
        <v>0</v>
      </c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2">
        <f t="shared" si="42"/>
        <v>0</v>
      </c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2">
        <f t="shared" si="43"/>
        <v>0</v>
      </c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132">
        <f t="shared" si="44"/>
        <v>0</v>
      </c>
      <c r="EO62" s="132"/>
      <c r="EP62" s="132"/>
      <c r="EQ62" s="132"/>
      <c r="ER62" s="132"/>
      <c r="ES62" s="132"/>
      <c r="ET62" s="132"/>
      <c r="EU62" s="132"/>
      <c r="EV62" s="132"/>
      <c r="EW62" s="132"/>
      <c r="EX62" s="132"/>
      <c r="EY62" s="132"/>
      <c r="EZ62" s="132"/>
      <c r="FA62" s="132">
        <f t="shared" si="45"/>
        <v>0</v>
      </c>
      <c r="FB62" s="181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32">
        <f t="shared" si="46"/>
        <v>0</v>
      </c>
      <c r="FO62" s="132"/>
      <c r="FP62" s="132"/>
      <c r="FQ62" s="132"/>
      <c r="FR62" s="132"/>
      <c r="FS62" s="132"/>
      <c r="FT62" s="132"/>
      <c r="FU62" s="132"/>
      <c r="FV62" s="132"/>
      <c r="FW62" s="132"/>
      <c r="FX62" s="132"/>
      <c r="FY62" s="132"/>
      <c r="FZ62" s="132"/>
      <c r="GA62" s="132">
        <f t="shared" si="47"/>
        <v>0</v>
      </c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>
        <f t="shared" si="48"/>
        <v>0</v>
      </c>
      <c r="GO62" s="137"/>
      <c r="GP62" s="137"/>
      <c r="GQ62" s="137"/>
      <c r="GR62" s="137"/>
      <c r="GS62" s="137"/>
      <c r="GT62" s="137"/>
      <c r="GU62" s="137"/>
      <c r="GV62" s="137"/>
      <c r="GW62" s="137"/>
      <c r="GX62" s="137"/>
      <c r="GY62" s="137"/>
      <c r="GZ62" s="137"/>
      <c r="HA62" s="132">
        <f t="shared" si="49"/>
        <v>0</v>
      </c>
      <c r="HB62" s="181"/>
      <c r="HC62" s="181"/>
      <c r="HD62" s="181"/>
      <c r="HE62" s="181"/>
      <c r="HF62" s="181"/>
      <c r="HG62" s="181"/>
      <c r="HH62" s="181"/>
      <c r="HI62" s="181"/>
      <c r="HJ62" s="181"/>
      <c r="HK62" s="181"/>
      <c r="HL62" s="181"/>
      <c r="HM62" s="181"/>
      <c r="HN62" s="181">
        <f t="shared" si="50"/>
        <v>0</v>
      </c>
      <c r="HO62" s="132"/>
      <c r="HP62" s="132"/>
      <c r="HQ62" s="132"/>
      <c r="HR62" s="132"/>
      <c r="HS62" s="132"/>
      <c r="HT62" s="132"/>
      <c r="HU62" s="132"/>
      <c r="HV62" s="132"/>
      <c r="HW62" s="132"/>
      <c r="HX62" s="132"/>
      <c r="HY62" s="132"/>
      <c r="HZ62" s="132"/>
      <c r="IA62" s="132">
        <f t="shared" si="51"/>
        <v>0</v>
      </c>
      <c r="IB62" s="181"/>
      <c r="IC62" s="181"/>
      <c r="ID62" s="181"/>
      <c r="IE62" s="181"/>
      <c r="IF62" s="181"/>
      <c r="IG62" s="181"/>
      <c r="IH62" s="181"/>
      <c r="II62" s="181"/>
      <c r="IJ62" s="181"/>
      <c r="IK62" s="181"/>
      <c r="IL62" s="181"/>
      <c r="IM62" s="181"/>
      <c r="IN62" s="181">
        <f t="shared" si="52"/>
        <v>0</v>
      </c>
      <c r="IO62" s="181"/>
      <c r="IP62" s="181"/>
      <c r="IQ62" s="181"/>
      <c r="IR62" s="181"/>
      <c r="IS62" s="181"/>
      <c r="IT62" s="181"/>
      <c r="IU62" s="181"/>
      <c r="IV62" s="181"/>
      <c r="IW62" s="181"/>
      <c r="IX62" s="181"/>
      <c r="IY62" s="181"/>
      <c r="IZ62" s="181"/>
      <c r="JA62" s="181">
        <f t="shared" si="53"/>
        <v>0</v>
      </c>
      <c r="JC62" s="135">
        <f t="shared" si="54"/>
        <v>0</v>
      </c>
      <c r="JD62" s="135">
        <f t="shared" si="55"/>
        <v>0</v>
      </c>
      <c r="JE62" s="135">
        <f t="shared" si="56"/>
        <v>0</v>
      </c>
      <c r="JF62" s="135">
        <f t="shared" si="57"/>
        <v>0</v>
      </c>
      <c r="JG62" s="135">
        <f t="shared" si="58"/>
        <v>0</v>
      </c>
      <c r="JH62" s="135">
        <f t="shared" si="59"/>
        <v>0</v>
      </c>
      <c r="JI62" s="135">
        <f t="shared" si="60"/>
        <v>0</v>
      </c>
      <c r="JJ62" s="135">
        <f t="shared" si="61"/>
        <v>0</v>
      </c>
      <c r="JK62" s="135">
        <f t="shared" si="62"/>
        <v>0</v>
      </c>
      <c r="JL62" s="135">
        <f t="shared" si="63"/>
        <v>0</v>
      </c>
      <c r="JM62" s="135">
        <f t="shared" si="64"/>
        <v>0</v>
      </c>
      <c r="JN62" s="135">
        <f t="shared" si="65"/>
        <v>0</v>
      </c>
      <c r="JO62" s="132">
        <f t="shared" si="66"/>
        <v>0</v>
      </c>
      <c r="JQ62" s="139">
        <f t="shared" si="67"/>
        <v>0</v>
      </c>
    </row>
    <row r="63" spans="1:277" x14ac:dyDescent="0.25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2">
        <f t="shared" si="34"/>
        <v>0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2">
        <f t="shared" si="35"/>
        <v>0</v>
      </c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2">
        <f t="shared" si="36"/>
        <v>0</v>
      </c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2">
        <f t="shared" si="37"/>
        <v>0</v>
      </c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2">
        <f t="shared" si="38"/>
        <v>0</v>
      </c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2">
        <f t="shared" si="39"/>
        <v>0</v>
      </c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2">
        <f t="shared" si="40"/>
        <v>0</v>
      </c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2">
        <f t="shared" si="41"/>
        <v>0</v>
      </c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2">
        <f t="shared" si="42"/>
        <v>0</v>
      </c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2">
        <f t="shared" si="43"/>
        <v>0</v>
      </c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132">
        <f t="shared" si="44"/>
        <v>0</v>
      </c>
      <c r="EO63" s="132"/>
      <c r="EP63" s="132"/>
      <c r="EQ63" s="132"/>
      <c r="ER63" s="132"/>
      <c r="ES63" s="132"/>
      <c r="ET63" s="132"/>
      <c r="EU63" s="132"/>
      <c r="EV63" s="132"/>
      <c r="EW63" s="132"/>
      <c r="EX63" s="132"/>
      <c r="EY63" s="132"/>
      <c r="EZ63" s="132"/>
      <c r="FA63" s="132">
        <f t="shared" si="45"/>
        <v>0</v>
      </c>
      <c r="FB63" s="181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32">
        <f t="shared" si="46"/>
        <v>0</v>
      </c>
      <c r="FO63" s="132"/>
      <c r="FP63" s="132"/>
      <c r="FQ63" s="132"/>
      <c r="FR63" s="132"/>
      <c r="FS63" s="132"/>
      <c r="FT63" s="132"/>
      <c r="FU63" s="132"/>
      <c r="FV63" s="132"/>
      <c r="FW63" s="132"/>
      <c r="FX63" s="132"/>
      <c r="FY63" s="132"/>
      <c r="FZ63" s="132"/>
      <c r="GA63" s="132">
        <f t="shared" si="47"/>
        <v>0</v>
      </c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>
        <f t="shared" si="48"/>
        <v>0</v>
      </c>
      <c r="GO63" s="137"/>
      <c r="GP63" s="137"/>
      <c r="GQ63" s="137"/>
      <c r="GR63" s="137"/>
      <c r="GS63" s="137"/>
      <c r="GT63" s="137"/>
      <c r="GU63" s="137"/>
      <c r="GV63" s="137"/>
      <c r="GW63" s="137"/>
      <c r="GX63" s="137"/>
      <c r="GY63" s="137"/>
      <c r="GZ63" s="137"/>
      <c r="HA63" s="132">
        <f t="shared" si="49"/>
        <v>0</v>
      </c>
      <c r="HB63" s="181"/>
      <c r="HC63" s="181"/>
      <c r="HD63" s="181"/>
      <c r="HE63" s="181"/>
      <c r="HF63" s="181"/>
      <c r="HG63" s="181"/>
      <c r="HH63" s="181"/>
      <c r="HI63" s="181"/>
      <c r="HJ63" s="181"/>
      <c r="HK63" s="181"/>
      <c r="HL63" s="181"/>
      <c r="HM63" s="181"/>
      <c r="HN63" s="181">
        <f t="shared" si="50"/>
        <v>0</v>
      </c>
      <c r="HO63" s="132"/>
      <c r="HP63" s="132"/>
      <c r="HQ63" s="132"/>
      <c r="HR63" s="132"/>
      <c r="HS63" s="132"/>
      <c r="HT63" s="132"/>
      <c r="HU63" s="132"/>
      <c r="HV63" s="132"/>
      <c r="HW63" s="132"/>
      <c r="HX63" s="132"/>
      <c r="HY63" s="132"/>
      <c r="HZ63" s="132"/>
      <c r="IA63" s="132">
        <f t="shared" si="51"/>
        <v>0</v>
      </c>
      <c r="IB63" s="181"/>
      <c r="IC63" s="181"/>
      <c r="ID63" s="181"/>
      <c r="IE63" s="181"/>
      <c r="IF63" s="181"/>
      <c r="IG63" s="181"/>
      <c r="IH63" s="181"/>
      <c r="II63" s="181"/>
      <c r="IJ63" s="181"/>
      <c r="IK63" s="181"/>
      <c r="IL63" s="181"/>
      <c r="IM63" s="181"/>
      <c r="IN63" s="181">
        <f t="shared" si="52"/>
        <v>0</v>
      </c>
      <c r="IO63" s="181"/>
      <c r="IP63" s="181"/>
      <c r="IQ63" s="181"/>
      <c r="IR63" s="181"/>
      <c r="IS63" s="181"/>
      <c r="IT63" s="181"/>
      <c r="IU63" s="181"/>
      <c r="IV63" s="181"/>
      <c r="IW63" s="181"/>
      <c r="IX63" s="181"/>
      <c r="IY63" s="181"/>
      <c r="IZ63" s="181"/>
      <c r="JA63" s="181">
        <f t="shared" si="53"/>
        <v>0</v>
      </c>
      <c r="JC63" s="135">
        <f t="shared" si="54"/>
        <v>0</v>
      </c>
      <c r="JD63" s="135">
        <f t="shared" si="55"/>
        <v>0</v>
      </c>
      <c r="JE63" s="135">
        <f t="shared" si="56"/>
        <v>0</v>
      </c>
      <c r="JF63" s="135">
        <f t="shared" si="57"/>
        <v>0</v>
      </c>
      <c r="JG63" s="135">
        <f t="shared" si="58"/>
        <v>0</v>
      </c>
      <c r="JH63" s="135">
        <f t="shared" si="59"/>
        <v>0</v>
      </c>
      <c r="JI63" s="135">
        <f t="shared" si="60"/>
        <v>0</v>
      </c>
      <c r="JJ63" s="135">
        <f t="shared" si="61"/>
        <v>0</v>
      </c>
      <c r="JK63" s="135">
        <f t="shared" si="62"/>
        <v>0</v>
      </c>
      <c r="JL63" s="135">
        <f t="shared" si="63"/>
        <v>0</v>
      </c>
      <c r="JM63" s="135">
        <f t="shared" si="64"/>
        <v>0</v>
      </c>
      <c r="JN63" s="135">
        <f t="shared" si="65"/>
        <v>0</v>
      </c>
      <c r="JO63" s="132">
        <f t="shared" si="66"/>
        <v>0</v>
      </c>
      <c r="JQ63" s="139">
        <f t="shared" si="67"/>
        <v>0</v>
      </c>
    </row>
    <row r="64" spans="1:277" x14ac:dyDescent="0.25">
      <c r="A64" s="13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2">
        <f t="shared" si="34"/>
        <v>0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2">
        <f t="shared" si="35"/>
        <v>0</v>
      </c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2">
        <f t="shared" si="36"/>
        <v>0</v>
      </c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2">
        <f t="shared" si="37"/>
        <v>0</v>
      </c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2">
        <f t="shared" si="38"/>
        <v>0</v>
      </c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2">
        <f t="shared" si="39"/>
        <v>0</v>
      </c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2">
        <f t="shared" si="40"/>
        <v>0</v>
      </c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2">
        <f t="shared" si="41"/>
        <v>0</v>
      </c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2">
        <f t="shared" si="42"/>
        <v>0</v>
      </c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2">
        <f t="shared" si="43"/>
        <v>0</v>
      </c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132">
        <f t="shared" si="44"/>
        <v>0</v>
      </c>
      <c r="EO64" s="132"/>
      <c r="EP64" s="132"/>
      <c r="EQ64" s="132"/>
      <c r="ER64" s="132"/>
      <c r="ES64" s="132"/>
      <c r="ET64" s="132"/>
      <c r="EU64" s="132"/>
      <c r="EV64" s="132"/>
      <c r="EW64" s="132"/>
      <c r="EX64" s="132"/>
      <c r="EY64" s="132"/>
      <c r="EZ64" s="132"/>
      <c r="FA64" s="132">
        <f t="shared" si="45"/>
        <v>0</v>
      </c>
      <c r="FB64" s="181"/>
      <c r="FC64" s="181"/>
      <c r="FD64" s="181"/>
      <c r="FE64" s="181"/>
      <c r="FF64" s="181"/>
      <c r="FG64" s="181"/>
      <c r="FH64" s="181"/>
      <c r="FI64" s="181"/>
      <c r="FJ64" s="181"/>
      <c r="FK64" s="181"/>
      <c r="FL64" s="181"/>
      <c r="FM64" s="181"/>
      <c r="FN64" s="132">
        <f t="shared" si="46"/>
        <v>0</v>
      </c>
      <c r="FO64" s="132"/>
      <c r="FP64" s="132"/>
      <c r="FQ64" s="132"/>
      <c r="FR64" s="132"/>
      <c r="FS64" s="132"/>
      <c r="FT64" s="132"/>
      <c r="FU64" s="132"/>
      <c r="FV64" s="132"/>
      <c r="FW64" s="132"/>
      <c r="FX64" s="132"/>
      <c r="FY64" s="132"/>
      <c r="FZ64" s="132"/>
      <c r="GA64" s="132">
        <f t="shared" si="47"/>
        <v>0</v>
      </c>
      <c r="GB64" s="181"/>
      <c r="GC64" s="181"/>
      <c r="GD64" s="181"/>
      <c r="GE64" s="181"/>
      <c r="GF64" s="181"/>
      <c r="GG64" s="181"/>
      <c r="GH64" s="181"/>
      <c r="GI64" s="181"/>
      <c r="GJ64" s="181"/>
      <c r="GK64" s="181"/>
      <c r="GL64" s="181"/>
      <c r="GM64" s="181"/>
      <c r="GN64" s="181">
        <f t="shared" si="48"/>
        <v>0</v>
      </c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2">
        <f t="shared" si="49"/>
        <v>0</v>
      </c>
      <c r="HB64" s="181"/>
      <c r="HC64" s="181"/>
      <c r="HD64" s="181"/>
      <c r="HE64" s="181"/>
      <c r="HF64" s="181"/>
      <c r="HG64" s="181"/>
      <c r="HH64" s="181"/>
      <c r="HI64" s="181"/>
      <c r="HJ64" s="181"/>
      <c r="HK64" s="181"/>
      <c r="HL64" s="181"/>
      <c r="HM64" s="181"/>
      <c r="HN64" s="181">
        <f t="shared" si="50"/>
        <v>0</v>
      </c>
      <c r="HO64" s="132"/>
      <c r="HP64" s="132"/>
      <c r="HQ64" s="132"/>
      <c r="HR64" s="132"/>
      <c r="HS64" s="132"/>
      <c r="HT64" s="132"/>
      <c r="HU64" s="132"/>
      <c r="HV64" s="132"/>
      <c r="HW64" s="132"/>
      <c r="HX64" s="132"/>
      <c r="HY64" s="132"/>
      <c r="HZ64" s="132"/>
      <c r="IA64" s="132">
        <f t="shared" si="51"/>
        <v>0</v>
      </c>
      <c r="IB64" s="181"/>
      <c r="IC64" s="181"/>
      <c r="ID64" s="181"/>
      <c r="IE64" s="181"/>
      <c r="IF64" s="181"/>
      <c r="IG64" s="181"/>
      <c r="IH64" s="181"/>
      <c r="II64" s="181"/>
      <c r="IJ64" s="181"/>
      <c r="IK64" s="181"/>
      <c r="IL64" s="181"/>
      <c r="IM64" s="181"/>
      <c r="IN64" s="181">
        <f t="shared" si="52"/>
        <v>0</v>
      </c>
      <c r="IO64" s="181"/>
      <c r="IP64" s="181"/>
      <c r="IQ64" s="181"/>
      <c r="IR64" s="181"/>
      <c r="IS64" s="181"/>
      <c r="IT64" s="181"/>
      <c r="IU64" s="181"/>
      <c r="IV64" s="181"/>
      <c r="IW64" s="181"/>
      <c r="IX64" s="181"/>
      <c r="IY64" s="181"/>
      <c r="IZ64" s="181"/>
      <c r="JA64" s="181">
        <f t="shared" si="53"/>
        <v>0</v>
      </c>
      <c r="JC64" s="135">
        <f t="shared" si="54"/>
        <v>0</v>
      </c>
      <c r="JD64" s="135">
        <f t="shared" si="55"/>
        <v>0</v>
      </c>
      <c r="JE64" s="135">
        <f t="shared" si="56"/>
        <v>0</v>
      </c>
      <c r="JF64" s="135">
        <f t="shared" si="57"/>
        <v>0</v>
      </c>
      <c r="JG64" s="135">
        <f t="shared" si="58"/>
        <v>0</v>
      </c>
      <c r="JH64" s="135">
        <f t="shared" si="59"/>
        <v>0</v>
      </c>
      <c r="JI64" s="135">
        <f t="shared" si="60"/>
        <v>0</v>
      </c>
      <c r="JJ64" s="135">
        <f t="shared" si="61"/>
        <v>0</v>
      </c>
      <c r="JK64" s="135">
        <f t="shared" si="62"/>
        <v>0</v>
      </c>
      <c r="JL64" s="135">
        <f t="shared" si="63"/>
        <v>0</v>
      </c>
      <c r="JM64" s="135">
        <f t="shared" si="64"/>
        <v>0</v>
      </c>
      <c r="JN64" s="135">
        <f t="shared" si="65"/>
        <v>0</v>
      </c>
      <c r="JO64" s="132">
        <f t="shared" si="66"/>
        <v>0</v>
      </c>
      <c r="JQ64" s="139">
        <f t="shared" si="67"/>
        <v>0</v>
      </c>
    </row>
    <row r="65" spans="1:277" x14ac:dyDescent="0.25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2">
        <f t="shared" si="34"/>
        <v>0</v>
      </c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2">
        <f t="shared" si="35"/>
        <v>0</v>
      </c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2">
        <f t="shared" si="36"/>
        <v>0</v>
      </c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2">
        <f t="shared" si="37"/>
        <v>0</v>
      </c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2">
        <f t="shared" si="38"/>
        <v>0</v>
      </c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2">
        <f t="shared" si="39"/>
        <v>0</v>
      </c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2">
        <f t="shared" si="40"/>
        <v>0</v>
      </c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2">
        <f t="shared" si="41"/>
        <v>0</v>
      </c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2">
        <f t="shared" si="42"/>
        <v>0</v>
      </c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2">
        <f t="shared" si="43"/>
        <v>0</v>
      </c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132">
        <f t="shared" si="44"/>
        <v>0</v>
      </c>
      <c r="EO65" s="132"/>
      <c r="EP65" s="132"/>
      <c r="EQ65" s="132"/>
      <c r="ER65" s="132"/>
      <c r="ES65" s="132"/>
      <c r="ET65" s="132"/>
      <c r="EU65" s="132"/>
      <c r="EV65" s="132"/>
      <c r="EW65" s="132"/>
      <c r="EX65" s="132"/>
      <c r="EY65" s="132"/>
      <c r="EZ65" s="132"/>
      <c r="FA65" s="132">
        <f t="shared" si="45"/>
        <v>0</v>
      </c>
      <c r="FB65" s="181"/>
      <c r="FC65" s="181"/>
      <c r="FD65" s="181"/>
      <c r="FE65" s="181"/>
      <c r="FF65" s="181"/>
      <c r="FG65" s="181"/>
      <c r="FH65" s="181"/>
      <c r="FI65" s="181"/>
      <c r="FJ65" s="181"/>
      <c r="FK65" s="181"/>
      <c r="FL65" s="181"/>
      <c r="FM65" s="181"/>
      <c r="FN65" s="132">
        <f t="shared" si="46"/>
        <v>0</v>
      </c>
      <c r="FO65" s="132"/>
      <c r="FP65" s="132"/>
      <c r="FQ65" s="132"/>
      <c r="FR65" s="132"/>
      <c r="FS65" s="132"/>
      <c r="FT65" s="132"/>
      <c r="FU65" s="132"/>
      <c r="FV65" s="132"/>
      <c r="FW65" s="132"/>
      <c r="FX65" s="132"/>
      <c r="FY65" s="132"/>
      <c r="FZ65" s="132"/>
      <c r="GA65" s="132">
        <f t="shared" si="47"/>
        <v>0</v>
      </c>
      <c r="GB65" s="181"/>
      <c r="GC65" s="181"/>
      <c r="GD65" s="181"/>
      <c r="GE65" s="181"/>
      <c r="GF65" s="181"/>
      <c r="GG65" s="181"/>
      <c r="GH65" s="181"/>
      <c r="GI65" s="181"/>
      <c r="GJ65" s="181"/>
      <c r="GK65" s="181"/>
      <c r="GL65" s="181"/>
      <c r="GM65" s="181"/>
      <c r="GN65" s="181">
        <f t="shared" si="48"/>
        <v>0</v>
      </c>
      <c r="GO65" s="137"/>
      <c r="GP65" s="137"/>
      <c r="GQ65" s="137"/>
      <c r="GR65" s="137"/>
      <c r="GS65" s="137"/>
      <c r="GT65" s="137"/>
      <c r="GU65" s="137"/>
      <c r="GV65" s="137"/>
      <c r="GW65" s="137"/>
      <c r="GX65" s="137"/>
      <c r="GY65" s="137"/>
      <c r="GZ65" s="137"/>
      <c r="HA65" s="132">
        <f t="shared" si="49"/>
        <v>0</v>
      </c>
      <c r="HB65" s="181"/>
      <c r="HC65" s="181"/>
      <c r="HD65" s="181"/>
      <c r="HE65" s="181"/>
      <c r="HF65" s="181"/>
      <c r="HG65" s="181"/>
      <c r="HH65" s="181"/>
      <c r="HI65" s="181"/>
      <c r="HJ65" s="181"/>
      <c r="HK65" s="181"/>
      <c r="HL65" s="181"/>
      <c r="HM65" s="181"/>
      <c r="HN65" s="181">
        <f t="shared" si="50"/>
        <v>0</v>
      </c>
      <c r="HO65" s="132"/>
      <c r="HP65" s="132"/>
      <c r="HQ65" s="132"/>
      <c r="HR65" s="132"/>
      <c r="HS65" s="132"/>
      <c r="HT65" s="132"/>
      <c r="HU65" s="132"/>
      <c r="HV65" s="132"/>
      <c r="HW65" s="132"/>
      <c r="HX65" s="132"/>
      <c r="HY65" s="132"/>
      <c r="HZ65" s="132"/>
      <c r="IA65" s="132">
        <f t="shared" si="51"/>
        <v>0</v>
      </c>
      <c r="IB65" s="181"/>
      <c r="IC65" s="181"/>
      <c r="ID65" s="181"/>
      <c r="IE65" s="181"/>
      <c r="IF65" s="181"/>
      <c r="IG65" s="181"/>
      <c r="IH65" s="181"/>
      <c r="II65" s="181"/>
      <c r="IJ65" s="181"/>
      <c r="IK65" s="181"/>
      <c r="IL65" s="181"/>
      <c r="IM65" s="181"/>
      <c r="IN65" s="181">
        <f t="shared" si="52"/>
        <v>0</v>
      </c>
      <c r="IO65" s="181"/>
      <c r="IP65" s="181"/>
      <c r="IQ65" s="181"/>
      <c r="IR65" s="181"/>
      <c r="IS65" s="181"/>
      <c r="IT65" s="181"/>
      <c r="IU65" s="181"/>
      <c r="IV65" s="181"/>
      <c r="IW65" s="181"/>
      <c r="IX65" s="181"/>
      <c r="IY65" s="181"/>
      <c r="IZ65" s="181"/>
      <c r="JA65" s="181">
        <f t="shared" si="53"/>
        <v>0</v>
      </c>
      <c r="JC65" s="135">
        <f t="shared" si="54"/>
        <v>0</v>
      </c>
      <c r="JD65" s="135">
        <f t="shared" si="55"/>
        <v>0</v>
      </c>
      <c r="JE65" s="135">
        <f t="shared" si="56"/>
        <v>0</v>
      </c>
      <c r="JF65" s="135">
        <f t="shared" si="57"/>
        <v>0</v>
      </c>
      <c r="JG65" s="135">
        <f t="shared" si="58"/>
        <v>0</v>
      </c>
      <c r="JH65" s="135">
        <f t="shared" si="59"/>
        <v>0</v>
      </c>
      <c r="JI65" s="135">
        <f t="shared" si="60"/>
        <v>0</v>
      </c>
      <c r="JJ65" s="135">
        <f t="shared" si="61"/>
        <v>0</v>
      </c>
      <c r="JK65" s="135">
        <f t="shared" si="62"/>
        <v>0</v>
      </c>
      <c r="JL65" s="135">
        <f t="shared" si="63"/>
        <v>0</v>
      </c>
      <c r="JM65" s="135">
        <f t="shared" si="64"/>
        <v>0</v>
      </c>
      <c r="JN65" s="135">
        <f t="shared" si="65"/>
        <v>0</v>
      </c>
      <c r="JO65" s="132">
        <f t="shared" si="66"/>
        <v>0</v>
      </c>
      <c r="JQ65" s="139">
        <f t="shared" si="67"/>
        <v>0</v>
      </c>
    </row>
    <row r="66" spans="1:277" x14ac:dyDescent="0.25">
      <c r="A66" s="13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2">
        <f t="shared" si="34"/>
        <v>0</v>
      </c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2">
        <f t="shared" si="35"/>
        <v>0</v>
      </c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2">
        <f t="shared" si="36"/>
        <v>0</v>
      </c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2">
        <f t="shared" si="37"/>
        <v>0</v>
      </c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2">
        <f t="shared" si="38"/>
        <v>0</v>
      </c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2">
        <f t="shared" si="39"/>
        <v>0</v>
      </c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2">
        <f t="shared" si="40"/>
        <v>0</v>
      </c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2">
        <f t="shared" si="41"/>
        <v>0</v>
      </c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2">
        <f t="shared" si="42"/>
        <v>0</v>
      </c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2">
        <f t="shared" si="43"/>
        <v>0</v>
      </c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132">
        <f t="shared" si="44"/>
        <v>0</v>
      </c>
      <c r="EO66" s="132"/>
      <c r="EP66" s="132"/>
      <c r="EQ66" s="132"/>
      <c r="ER66" s="132"/>
      <c r="ES66" s="132"/>
      <c r="ET66" s="132"/>
      <c r="EU66" s="132"/>
      <c r="EV66" s="132"/>
      <c r="EW66" s="132"/>
      <c r="EX66" s="132"/>
      <c r="EY66" s="132"/>
      <c r="EZ66" s="132"/>
      <c r="FA66" s="132">
        <f t="shared" si="45"/>
        <v>0</v>
      </c>
      <c r="FB66" s="181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32">
        <f t="shared" si="46"/>
        <v>0</v>
      </c>
      <c r="FO66" s="132"/>
      <c r="FP66" s="132"/>
      <c r="FQ66" s="132"/>
      <c r="FR66" s="132"/>
      <c r="FS66" s="132"/>
      <c r="FT66" s="132"/>
      <c r="FU66" s="132"/>
      <c r="FV66" s="132"/>
      <c r="FW66" s="132"/>
      <c r="FX66" s="132"/>
      <c r="FY66" s="132"/>
      <c r="FZ66" s="132"/>
      <c r="GA66" s="132">
        <f t="shared" si="47"/>
        <v>0</v>
      </c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>
        <f t="shared" si="48"/>
        <v>0</v>
      </c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2">
        <f t="shared" si="49"/>
        <v>0</v>
      </c>
      <c r="HB66" s="181"/>
      <c r="HC66" s="181"/>
      <c r="HD66" s="181"/>
      <c r="HE66" s="181"/>
      <c r="HF66" s="181"/>
      <c r="HG66" s="181"/>
      <c r="HH66" s="181"/>
      <c r="HI66" s="181"/>
      <c r="HJ66" s="181"/>
      <c r="HK66" s="181"/>
      <c r="HL66" s="181"/>
      <c r="HM66" s="181"/>
      <c r="HN66" s="181">
        <f t="shared" si="50"/>
        <v>0</v>
      </c>
      <c r="HO66" s="132"/>
      <c r="HP66" s="132"/>
      <c r="HQ66" s="132"/>
      <c r="HR66" s="132"/>
      <c r="HS66" s="132"/>
      <c r="HT66" s="132"/>
      <c r="HU66" s="132"/>
      <c r="HV66" s="132"/>
      <c r="HW66" s="132"/>
      <c r="HX66" s="132"/>
      <c r="HY66" s="132"/>
      <c r="HZ66" s="132"/>
      <c r="IA66" s="132">
        <f t="shared" si="51"/>
        <v>0</v>
      </c>
      <c r="IB66" s="181"/>
      <c r="IC66" s="181"/>
      <c r="ID66" s="181"/>
      <c r="IE66" s="181"/>
      <c r="IF66" s="181"/>
      <c r="IG66" s="181"/>
      <c r="IH66" s="181"/>
      <c r="II66" s="181"/>
      <c r="IJ66" s="181"/>
      <c r="IK66" s="181"/>
      <c r="IL66" s="181"/>
      <c r="IM66" s="181"/>
      <c r="IN66" s="181">
        <f t="shared" si="52"/>
        <v>0</v>
      </c>
      <c r="IO66" s="181"/>
      <c r="IP66" s="181"/>
      <c r="IQ66" s="181"/>
      <c r="IR66" s="181"/>
      <c r="IS66" s="181"/>
      <c r="IT66" s="181"/>
      <c r="IU66" s="181"/>
      <c r="IV66" s="181"/>
      <c r="IW66" s="181"/>
      <c r="IX66" s="181"/>
      <c r="IY66" s="181"/>
      <c r="IZ66" s="181"/>
      <c r="JA66" s="181">
        <f t="shared" si="53"/>
        <v>0</v>
      </c>
      <c r="JC66" s="135">
        <f t="shared" si="54"/>
        <v>0</v>
      </c>
      <c r="JD66" s="135">
        <f t="shared" si="55"/>
        <v>0</v>
      </c>
      <c r="JE66" s="135">
        <f t="shared" si="56"/>
        <v>0</v>
      </c>
      <c r="JF66" s="135">
        <f t="shared" si="57"/>
        <v>0</v>
      </c>
      <c r="JG66" s="135">
        <f t="shared" si="58"/>
        <v>0</v>
      </c>
      <c r="JH66" s="135">
        <f t="shared" si="59"/>
        <v>0</v>
      </c>
      <c r="JI66" s="135">
        <f t="shared" si="60"/>
        <v>0</v>
      </c>
      <c r="JJ66" s="135">
        <f t="shared" si="61"/>
        <v>0</v>
      </c>
      <c r="JK66" s="135">
        <f t="shared" si="62"/>
        <v>0</v>
      </c>
      <c r="JL66" s="135">
        <f t="shared" si="63"/>
        <v>0</v>
      </c>
      <c r="JM66" s="135">
        <f t="shared" si="64"/>
        <v>0</v>
      </c>
      <c r="JN66" s="135">
        <f t="shared" si="65"/>
        <v>0</v>
      </c>
      <c r="JO66" s="132">
        <f t="shared" si="66"/>
        <v>0</v>
      </c>
      <c r="JQ66" s="139">
        <f t="shared" si="67"/>
        <v>0</v>
      </c>
    </row>
    <row r="67" spans="1:277" x14ac:dyDescent="0.25">
      <c r="A67" s="13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2">
        <f t="shared" ref="N67:N98" si="68">SUM(B67:M67)</f>
        <v>0</v>
      </c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2">
        <f t="shared" ref="AA67:AA98" si="69">SUM(O67:Z67)</f>
        <v>0</v>
      </c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2">
        <f t="shared" ref="AN67:AN98" si="70">SUM(AB67:AM67)</f>
        <v>0</v>
      </c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2">
        <f t="shared" ref="BA67:BA98" si="71">SUM(AO67:AZ67)</f>
        <v>0</v>
      </c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2">
        <f t="shared" ref="BN67:BN98" si="72">SUM(BB67:BM67)</f>
        <v>0</v>
      </c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2">
        <f t="shared" ref="CA67:CA98" si="73">SUM(BO67:BZ67)</f>
        <v>0</v>
      </c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2">
        <f t="shared" ref="CN67:CN98" si="74">SUM(CB67:CM67)</f>
        <v>0</v>
      </c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2">
        <f t="shared" ref="DA67:DA98" si="75">SUM(CO67:CZ67)</f>
        <v>0</v>
      </c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2">
        <f t="shared" ref="DN67:DN98" si="76">SUM(DB67:DM67)</f>
        <v>0</v>
      </c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2">
        <f t="shared" ref="EA67:EA98" si="77">SUM(DO67:DZ67)</f>
        <v>0</v>
      </c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132">
        <f t="shared" ref="EN67:EN98" si="78">SUM(EB67:EM67)</f>
        <v>0</v>
      </c>
      <c r="EO67" s="132"/>
      <c r="EP67" s="132"/>
      <c r="EQ67" s="132"/>
      <c r="ER67" s="132"/>
      <c r="ES67" s="132"/>
      <c r="ET67" s="132"/>
      <c r="EU67" s="132"/>
      <c r="EV67" s="132"/>
      <c r="EW67" s="132"/>
      <c r="EX67" s="132"/>
      <c r="EY67" s="132"/>
      <c r="EZ67" s="132"/>
      <c r="FA67" s="132">
        <f t="shared" ref="FA67:FA98" si="79">SUM(EO67:EZ67)</f>
        <v>0</v>
      </c>
      <c r="FB67" s="181"/>
      <c r="FC67" s="181"/>
      <c r="FD67" s="181"/>
      <c r="FE67" s="181"/>
      <c r="FF67" s="181"/>
      <c r="FG67" s="181"/>
      <c r="FH67" s="181"/>
      <c r="FI67" s="181"/>
      <c r="FJ67" s="181"/>
      <c r="FK67" s="181"/>
      <c r="FL67" s="181"/>
      <c r="FM67" s="181"/>
      <c r="FN67" s="132">
        <f t="shared" ref="FN67:FN98" si="80">SUM(FB67:FM67)</f>
        <v>0</v>
      </c>
      <c r="FO67" s="132"/>
      <c r="FP67" s="132"/>
      <c r="FQ67" s="132"/>
      <c r="FR67" s="132"/>
      <c r="FS67" s="132"/>
      <c r="FT67" s="132"/>
      <c r="FU67" s="132"/>
      <c r="FV67" s="132"/>
      <c r="FW67" s="132"/>
      <c r="FX67" s="132"/>
      <c r="FY67" s="132"/>
      <c r="FZ67" s="132"/>
      <c r="GA67" s="132">
        <f t="shared" ref="GA67:GA98" si="81">SUM(FO67:FZ67)</f>
        <v>0</v>
      </c>
      <c r="GB67" s="181"/>
      <c r="GC67" s="181"/>
      <c r="GD67" s="181"/>
      <c r="GE67" s="181"/>
      <c r="GF67" s="181"/>
      <c r="GG67" s="181"/>
      <c r="GH67" s="181"/>
      <c r="GI67" s="181"/>
      <c r="GJ67" s="181"/>
      <c r="GK67" s="181"/>
      <c r="GL67" s="181"/>
      <c r="GM67" s="181"/>
      <c r="GN67" s="181">
        <f t="shared" ref="GN67:GN98" si="82">SUM(GB67:GM67)</f>
        <v>0</v>
      </c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2">
        <f t="shared" ref="HA67:HA98" si="83">SUM(GO67:GZ67)</f>
        <v>0</v>
      </c>
      <c r="HB67" s="181"/>
      <c r="HC67" s="181"/>
      <c r="HD67" s="181"/>
      <c r="HE67" s="181"/>
      <c r="HF67" s="181"/>
      <c r="HG67" s="181"/>
      <c r="HH67" s="181"/>
      <c r="HI67" s="181"/>
      <c r="HJ67" s="181"/>
      <c r="HK67" s="181"/>
      <c r="HL67" s="181"/>
      <c r="HM67" s="181"/>
      <c r="HN67" s="181">
        <f t="shared" ref="HN67:HN98" si="84">SUM(HB67:HM67)</f>
        <v>0</v>
      </c>
      <c r="HO67" s="132"/>
      <c r="HP67" s="132"/>
      <c r="HQ67" s="132"/>
      <c r="HR67" s="132"/>
      <c r="HS67" s="132"/>
      <c r="HT67" s="132"/>
      <c r="HU67" s="132"/>
      <c r="HV67" s="132"/>
      <c r="HW67" s="132"/>
      <c r="HX67" s="132"/>
      <c r="HY67" s="132"/>
      <c r="HZ67" s="132"/>
      <c r="IA67" s="132">
        <f t="shared" ref="IA67:IA98" si="85">SUM(HO67:HZ67)</f>
        <v>0</v>
      </c>
      <c r="IB67" s="181"/>
      <c r="IC67" s="181"/>
      <c r="ID67" s="181"/>
      <c r="IE67" s="181"/>
      <c r="IF67" s="181"/>
      <c r="IG67" s="181"/>
      <c r="IH67" s="181"/>
      <c r="II67" s="181"/>
      <c r="IJ67" s="181"/>
      <c r="IK67" s="181"/>
      <c r="IL67" s="181"/>
      <c r="IM67" s="181"/>
      <c r="IN67" s="181">
        <f t="shared" ref="IN67:IN98" si="86">SUM(IB67:IM67)</f>
        <v>0</v>
      </c>
      <c r="IO67" s="181"/>
      <c r="IP67" s="181"/>
      <c r="IQ67" s="181"/>
      <c r="IR67" s="181"/>
      <c r="IS67" s="181"/>
      <c r="IT67" s="181"/>
      <c r="IU67" s="181"/>
      <c r="IV67" s="181"/>
      <c r="IW67" s="181"/>
      <c r="IX67" s="181"/>
      <c r="IY67" s="181"/>
      <c r="IZ67" s="181"/>
      <c r="JA67" s="181">
        <f t="shared" ref="JA67:JA98" si="87">SUM(IO67:IZ67)</f>
        <v>0</v>
      </c>
      <c r="JC67" s="135">
        <f t="shared" ref="JC67:JC103" si="88">B67+O67+AB67+AO67+BB67+BO67+CB67+CO67+DB67+DO67+EB67+EO67+FB67+FO67+GB67+GO67+HB67+HO67+IB67+IO67</f>
        <v>0</v>
      </c>
      <c r="JD67" s="135">
        <f t="shared" ref="JD67:JD103" si="89">C67+P67+AC67+AP67+BC67+BP67+CC67+CP67+DC67+DP67+EC67+EP67+FC67+FP67+GC67+GP67+HC67+HP67+IC67+IP67</f>
        <v>0</v>
      </c>
      <c r="JE67" s="135">
        <f t="shared" ref="JE67:JE103" si="90">D67+Q67+AD67+AQ67+BD67+BQ67+CD67+CQ67+DD67+DQ67+ED67+EQ67+FD67+FQ67+GD67+GQ67+HD67+HQ67+ID67+IQ67</f>
        <v>0</v>
      </c>
      <c r="JF67" s="135">
        <f t="shared" ref="JF67:JF103" si="91">E67+R67+AE67+AR67+BE67+BR67+CE67+CR67+DE67+DR67+EE67+ER67+FE67+FR67+GE67+GR67+HE67+HR67+IE67+IR67</f>
        <v>0</v>
      </c>
      <c r="JG67" s="135">
        <f t="shared" ref="JG67:JG103" si="92">F67+S67+AF67+AS67+BF67+BS67+CF67+CS67+DF67+DS67+EF67+ES67+FF67+FS67+GF67+GS67+HF67+HS67+IF67+IS67</f>
        <v>0</v>
      </c>
      <c r="JH67" s="135">
        <f t="shared" ref="JH67:JH103" si="93">G67+T67+AG67+AT67+BG67+BT67+CG67+CT67+DG67+DT67+EG67+ET67+FG67+FT67+GG67+GT67+HG67+HT67+IG67+IT67</f>
        <v>0</v>
      </c>
      <c r="JI67" s="135">
        <f t="shared" ref="JI67:JI103" si="94">H67+U67+AH67+AU67+BH67+BU67+CH67+CU67+DH67+DU67+EH67+EU67+FH67+FU67+GH67+GU67+HH67+HU67+IH67+IU67</f>
        <v>0</v>
      </c>
      <c r="JJ67" s="135">
        <f t="shared" ref="JJ67:JJ103" si="95">I67+V67+AI67+AV67+BI67+BV67+CI67+CV67+DI67+DV67+EI67+EV67+FI67+FV67+GI67+GV67+HI67+HV67+II67+IV67</f>
        <v>0</v>
      </c>
      <c r="JK67" s="135">
        <f t="shared" ref="JK67:JK103" si="96">J67+W67+AJ67+AW67+BJ67+BW67+CJ67+CW67+DJ67+DW67+EJ67+EW67+FJ67+FW67+GJ67+GW67+HJ67+HW67+IJ67+IW67</f>
        <v>0</v>
      </c>
      <c r="JL67" s="135">
        <f t="shared" ref="JL67:JL103" si="97">K67+X67+AK67+AX67+BK67+BX67+CK67+CX67+DK67+DX67+EK67+EX67+FK67+FX67+GK67+GX67+HK67+HX67+IK67+IX67</f>
        <v>0</v>
      </c>
      <c r="JM67" s="135">
        <f t="shared" ref="JM67:JM103" si="98">L67+Y67+AL67+AY67+BL67+BY67+CL67+CY67+DL67+DY67+EL67+EY67+FL67+FY67+GL67+GY67+HL67+HY67+IL67+IY67</f>
        <v>0</v>
      </c>
      <c r="JN67" s="135">
        <f t="shared" ref="JN67:JN103" si="99">M67+Z67+AM67+AZ67+BM67+BZ67+CM67+CZ67+DM67+DZ67+EM67+EZ67+FM67+FZ67+GM67+GZ67+HM67+HZ67+IM67+IZ67</f>
        <v>0</v>
      </c>
      <c r="JO67" s="132">
        <f t="shared" ref="JO67:JO98" si="100">SUM(JC67:JN67)</f>
        <v>0</v>
      </c>
      <c r="JQ67" s="139">
        <f t="shared" ref="JQ67:JQ103" si="101">N67+AA67+AN67+BA67+BN67+CA67+CN67+DA67+DN67+EA67+EN67+FA67+FN67+GA67+GN67+HA67+HN67+IA67+IN67+JA67</f>
        <v>0</v>
      </c>
    </row>
    <row r="68" spans="1:277" x14ac:dyDescent="0.25">
      <c r="A68" s="13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2">
        <f t="shared" si="68"/>
        <v>0</v>
      </c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2">
        <f t="shared" si="69"/>
        <v>0</v>
      </c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2">
        <f t="shared" si="70"/>
        <v>0</v>
      </c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2">
        <f t="shared" si="71"/>
        <v>0</v>
      </c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2">
        <f t="shared" si="72"/>
        <v>0</v>
      </c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2">
        <f t="shared" si="73"/>
        <v>0</v>
      </c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2">
        <f t="shared" si="74"/>
        <v>0</v>
      </c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2">
        <f t="shared" si="75"/>
        <v>0</v>
      </c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2">
        <f t="shared" si="76"/>
        <v>0</v>
      </c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2">
        <f t="shared" si="77"/>
        <v>0</v>
      </c>
      <c r="EB68" s="216"/>
      <c r="EC68" s="21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132">
        <f t="shared" si="78"/>
        <v>0</v>
      </c>
      <c r="EO68" s="132"/>
      <c r="EP68" s="132"/>
      <c r="EQ68" s="132"/>
      <c r="ER68" s="132"/>
      <c r="ES68" s="132"/>
      <c r="ET68" s="132"/>
      <c r="EU68" s="132"/>
      <c r="EV68" s="132"/>
      <c r="EW68" s="132"/>
      <c r="EX68" s="132"/>
      <c r="EY68" s="132"/>
      <c r="EZ68" s="132"/>
      <c r="FA68" s="132">
        <f t="shared" si="79"/>
        <v>0</v>
      </c>
      <c r="FB68" s="181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32">
        <f t="shared" si="80"/>
        <v>0</v>
      </c>
      <c r="FO68" s="132"/>
      <c r="FP68" s="132"/>
      <c r="FQ68" s="132"/>
      <c r="FR68" s="132"/>
      <c r="FS68" s="132"/>
      <c r="FT68" s="132"/>
      <c r="FU68" s="132"/>
      <c r="FV68" s="132"/>
      <c r="FW68" s="132"/>
      <c r="FX68" s="132"/>
      <c r="FY68" s="132"/>
      <c r="FZ68" s="132"/>
      <c r="GA68" s="132">
        <f t="shared" si="81"/>
        <v>0</v>
      </c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>
        <f t="shared" si="82"/>
        <v>0</v>
      </c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2">
        <f t="shared" si="83"/>
        <v>0</v>
      </c>
      <c r="HB68" s="181"/>
      <c r="HC68" s="181"/>
      <c r="HD68" s="181"/>
      <c r="HE68" s="181"/>
      <c r="HF68" s="181"/>
      <c r="HG68" s="181"/>
      <c r="HH68" s="181"/>
      <c r="HI68" s="181"/>
      <c r="HJ68" s="181"/>
      <c r="HK68" s="181"/>
      <c r="HL68" s="181"/>
      <c r="HM68" s="181"/>
      <c r="HN68" s="181">
        <f t="shared" si="84"/>
        <v>0</v>
      </c>
      <c r="HO68" s="132"/>
      <c r="HP68" s="132"/>
      <c r="HQ68" s="132"/>
      <c r="HR68" s="132"/>
      <c r="HS68" s="132"/>
      <c r="HT68" s="132"/>
      <c r="HU68" s="132"/>
      <c r="HV68" s="132"/>
      <c r="HW68" s="132"/>
      <c r="HX68" s="132"/>
      <c r="HY68" s="132"/>
      <c r="HZ68" s="132"/>
      <c r="IA68" s="132">
        <f t="shared" si="85"/>
        <v>0</v>
      </c>
      <c r="IB68" s="181"/>
      <c r="IC68" s="181"/>
      <c r="ID68" s="181"/>
      <c r="IE68" s="181"/>
      <c r="IF68" s="181"/>
      <c r="IG68" s="181"/>
      <c r="IH68" s="181"/>
      <c r="II68" s="181"/>
      <c r="IJ68" s="181"/>
      <c r="IK68" s="181"/>
      <c r="IL68" s="181"/>
      <c r="IM68" s="181"/>
      <c r="IN68" s="181">
        <f t="shared" si="86"/>
        <v>0</v>
      </c>
      <c r="IO68" s="181"/>
      <c r="IP68" s="181"/>
      <c r="IQ68" s="181"/>
      <c r="IR68" s="181"/>
      <c r="IS68" s="181"/>
      <c r="IT68" s="181"/>
      <c r="IU68" s="181"/>
      <c r="IV68" s="181"/>
      <c r="IW68" s="181"/>
      <c r="IX68" s="181"/>
      <c r="IY68" s="181"/>
      <c r="IZ68" s="181"/>
      <c r="JA68" s="181">
        <f t="shared" si="87"/>
        <v>0</v>
      </c>
      <c r="JC68" s="135">
        <f t="shared" si="88"/>
        <v>0</v>
      </c>
      <c r="JD68" s="135">
        <f t="shared" si="89"/>
        <v>0</v>
      </c>
      <c r="JE68" s="135">
        <f t="shared" si="90"/>
        <v>0</v>
      </c>
      <c r="JF68" s="135">
        <f t="shared" si="91"/>
        <v>0</v>
      </c>
      <c r="JG68" s="135">
        <f t="shared" si="92"/>
        <v>0</v>
      </c>
      <c r="JH68" s="135">
        <f t="shared" si="93"/>
        <v>0</v>
      </c>
      <c r="JI68" s="135">
        <f t="shared" si="94"/>
        <v>0</v>
      </c>
      <c r="JJ68" s="135">
        <f t="shared" si="95"/>
        <v>0</v>
      </c>
      <c r="JK68" s="135">
        <f t="shared" si="96"/>
        <v>0</v>
      </c>
      <c r="JL68" s="135">
        <f t="shared" si="97"/>
        <v>0</v>
      </c>
      <c r="JM68" s="135">
        <f t="shared" si="98"/>
        <v>0</v>
      </c>
      <c r="JN68" s="135">
        <f t="shared" si="99"/>
        <v>0</v>
      </c>
      <c r="JO68" s="132">
        <f t="shared" si="100"/>
        <v>0</v>
      </c>
      <c r="JQ68" s="139">
        <f t="shared" si="101"/>
        <v>0</v>
      </c>
    </row>
    <row r="69" spans="1:277" x14ac:dyDescent="0.25">
      <c r="A69" s="13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>
        <f t="shared" si="68"/>
        <v>0</v>
      </c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2">
        <f t="shared" si="69"/>
        <v>0</v>
      </c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2">
        <f t="shared" si="70"/>
        <v>0</v>
      </c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2">
        <f t="shared" si="71"/>
        <v>0</v>
      </c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2">
        <f t="shared" si="72"/>
        <v>0</v>
      </c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2">
        <f t="shared" si="73"/>
        <v>0</v>
      </c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2">
        <f t="shared" si="74"/>
        <v>0</v>
      </c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2">
        <f t="shared" si="75"/>
        <v>0</v>
      </c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2">
        <f t="shared" si="76"/>
        <v>0</v>
      </c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2">
        <f t="shared" si="77"/>
        <v>0</v>
      </c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132">
        <f t="shared" si="78"/>
        <v>0</v>
      </c>
      <c r="EO69" s="132"/>
      <c r="EP69" s="132"/>
      <c r="EQ69" s="132"/>
      <c r="ER69" s="132"/>
      <c r="ES69" s="132"/>
      <c r="ET69" s="132"/>
      <c r="EU69" s="132"/>
      <c r="EV69" s="132"/>
      <c r="EW69" s="132"/>
      <c r="EX69" s="132"/>
      <c r="EY69" s="132"/>
      <c r="EZ69" s="132"/>
      <c r="FA69" s="132">
        <f t="shared" si="79"/>
        <v>0</v>
      </c>
      <c r="FB69" s="181"/>
      <c r="FC69" s="181"/>
      <c r="FD69" s="181"/>
      <c r="FE69" s="181"/>
      <c r="FF69" s="181"/>
      <c r="FG69" s="181"/>
      <c r="FH69" s="181"/>
      <c r="FI69" s="181"/>
      <c r="FJ69" s="181"/>
      <c r="FK69" s="181"/>
      <c r="FL69" s="181"/>
      <c r="FM69" s="181"/>
      <c r="FN69" s="132">
        <f t="shared" si="80"/>
        <v>0</v>
      </c>
      <c r="FO69" s="132"/>
      <c r="FP69" s="132"/>
      <c r="FQ69" s="132"/>
      <c r="FR69" s="132"/>
      <c r="FS69" s="132"/>
      <c r="FT69" s="132"/>
      <c r="FU69" s="132"/>
      <c r="FV69" s="132"/>
      <c r="FW69" s="132"/>
      <c r="FX69" s="132"/>
      <c r="FY69" s="132"/>
      <c r="FZ69" s="132"/>
      <c r="GA69" s="132">
        <f t="shared" si="81"/>
        <v>0</v>
      </c>
      <c r="GB69" s="181"/>
      <c r="GC69" s="181"/>
      <c r="GD69" s="181"/>
      <c r="GE69" s="181"/>
      <c r="GF69" s="181"/>
      <c r="GG69" s="181"/>
      <c r="GH69" s="181"/>
      <c r="GI69" s="181"/>
      <c r="GJ69" s="181"/>
      <c r="GK69" s="181"/>
      <c r="GL69" s="181"/>
      <c r="GM69" s="181"/>
      <c r="GN69" s="181">
        <f t="shared" si="82"/>
        <v>0</v>
      </c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2">
        <f t="shared" si="83"/>
        <v>0</v>
      </c>
      <c r="HB69" s="181"/>
      <c r="HC69" s="181"/>
      <c r="HD69" s="181"/>
      <c r="HE69" s="181"/>
      <c r="HF69" s="181"/>
      <c r="HG69" s="181"/>
      <c r="HH69" s="181"/>
      <c r="HI69" s="181"/>
      <c r="HJ69" s="181"/>
      <c r="HK69" s="181"/>
      <c r="HL69" s="181"/>
      <c r="HM69" s="181"/>
      <c r="HN69" s="181">
        <f t="shared" si="84"/>
        <v>0</v>
      </c>
      <c r="HO69" s="132"/>
      <c r="HP69" s="132"/>
      <c r="HQ69" s="132"/>
      <c r="HR69" s="132"/>
      <c r="HS69" s="132"/>
      <c r="HT69" s="132"/>
      <c r="HU69" s="132"/>
      <c r="HV69" s="132"/>
      <c r="HW69" s="132"/>
      <c r="HX69" s="132"/>
      <c r="HY69" s="132"/>
      <c r="HZ69" s="132"/>
      <c r="IA69" s="132">
        <f t="shared" si="85"/>
        <v>0</v>
      </c>
      <c r="IB69" s="181"/>
      <c r="IC69" s="181"/>
      <c r="ID69" s="181"/>
      <c r="IE69" s="181"/>
      <c r="IF69" s="181"/>
      <c r="IG69" s="181"/>
      <c r="IH69" s="181"/>
      <c r="II69" s="181"/>
      <c r="IJ69" s="181"/>
      <c r="IK69" s="181"/>
      <c r="IL69" s="181"/>
      <c r="IM69" s="181"/>
      <c r="IN69" s="181">
        <f t="shared" si="86"/>
        <v>0</v>
      </c>
      <c r="IO69" s="181"/>
      <c r="IP69" s="181"/>
      <c r="IQ69" s="181"/>
      <c r="IR69" s="181"/>
      <c r="IS69" s="181"/>
      <c r="IT69" s="181"/>
      <c r="IU69" s="181"/>
      <c r="IV69" s="181"/>
      <c r="IW69" s="181"/>
      <c r="IX69" s="181"/>
      <c r="IY69" s="181"/>
      <c r="IZ69" s="181"/>
      <c r="JA69" s="181">
        <f t="shared" si="87"/>
        <v>0</v>
      </c>
      <c r="JC69" s="135">
        <f t="shared" si="88"/>
        <v>0</v>
      </c>
      <c r="JD69" s="135">
        <f t="shared" si="89"/>
        <v>0</v>
      </c>
      <c r="JE69" s="135">
        <f t="shared" si="90"/>
        <v>0</v>
      </c>
      <c r="JF69" s="135">
        <f t="shared" si="91"/>
        <v>0</v>
      </c>
      <c r="JG69" s="135">
        <f t="shared" si="92"/>
        <v>0</v>
      </c>
      <c r="JH69" s="135">
        <f t="shared" si="93"/>
        <v>0</v>
      </c>
      <c r="JI69" s="135">
        <f t="shared" si="94"/>
        <v>0</v>
      </c>
      <c r="JJ69" s="135">
        <f t="shared" si="95"/>
        <v>0</v>
      </c>
      <c r="JK69" s="135">
        <f t="shared" si="96"/>
        <v>0</v>
      </c>
      <c r="JL69" s="135">
        <f t="shared" si="97"/>
        <v>0</v>
      </c>
      <c r="JM69" s="135">
        <f t="shared" si="98"/>
        <v>0</v>
      </c>
      <c r="JN69" s="135">
        <f t="shared" si="99"/>
        <v>0</v>
      </c>
      <c r="JO69" s="132">
        <f t="shared" si="100"/>
        <v>0</v>
      </c>
      <c r="JQ69" s="139">
        <f t="shared" si="101"/>
        <v>0</v>
      </c>
    </row>
    <row r="70" spans="1:277" x14ac:dyDescent="0.25">
      <c r="A70" s="13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2">
        <f t="shared" si="68"/>
        <v>0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2">
        <f t="shared" si="69"/>
        <v>0</v>
      </c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2">
        <f t="shared" si="70"/>
        <v>0</v>
      </c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2">
        <f t="shared" si="71"/>
        <v>0</v>
      </c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2">
        <f t="shared" si="72"/>
        <v>0</v>
      </c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2">
        <f t="shared" si="73"/>
        <v>0</v>
      </c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2">
        <f t="shared" si="74"/>
        <v>0</v>
      </c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2">
        <f t="shared" si="75"/>
        <v>0</v>
      </c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2">
        <f t="shared" si="76"/>
        <v>0</v>
      </c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2">
        <f t="shared" si="77"/>
        <v>0</v>
      </c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132">
        <f t="shared" si="78"/>
        <v>0</v>
      </c>
      <c r="EO70" s="132"/>
      <c r="EP70" s="132"/>
      <c r="EQ70" s="132"/>
      <c r="ER70" s="132"/>
      <c r="ES70" s="132"/>
      <c r="ET70" s="132"/>
      <c r="EU70" s="132"/>
      <c r="EV70" s="132"/>
      <c r="EW70" s="132"/>
      <c r="EX70" s="132"/>
      <c r="EY70" s="132"/>
      <c r="EZ70" s="132"/>
      <c r="FA70" s="132">
        <f t="shared" si="79"/>
        <v>0</v>
      </c>
      <c r="FB70" s="181"/>
      <c r="FC70" s="181"/>
      <c r="FD70" s="181"/>
      <c r="FE70" s="181"/>
      <c r="FF70" s="181"/>
      <c r="FG70" s="181"/>
      <c r="FH70" s="181"/>
      <c r="FI70" s="181"/>
      <c r="FJ70" s="181"/>
      <c r="FK70" s="181"/>
      <c r="FL70" s="181"/>
      <c r="FM70" s="181"/>
      <c r="FN70" s="132">
        <f t="shared" si="80"/>
        <v>0</v>
      </c>
      <c r="FO70" s="132"/>
      <c r="FP70" s="132"/>
      <c r="FQ70" s="132"/>
      <c r="FR70" s="132"/>
      <c r="FS70" s="132"/>
      <c r="FT70" s="132"/>
      <c r="FU70" s="132"/>
      <c r="FV70" s="132"/>
      <c r="FW70" s="132"/>
      <c r="FX70" s="132"/>
      <c r="FY70" s="132"/>
      <c r="FZ70" s="132"/>
      <c r="GA70" s="132">
        <f t="shared" si="81"/>
        <v>0</v>
      </c>
      <c r="GB70" s="181"/>
      <c r="GC70" s="181"/>
      <c r="GD70" s="181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>
        <f t="shared" si="82"/>
        <v>0</v>
      </c>
      <c r="GO70" s="137"/>
      <c r="GP70" s="137"/>
      <c r="GQ70" s="137"/>
      <c r="GR70" s="137"/>
      <c r="GS70" s="137"/>
      <c r="GT70" s="137"/>
      <c r="GU70" s="137"/>
      <c r="GV70" s="137"/>
      <c r="GW70" s="137"/>
      <c r="GX70" s="137"/>
      <c r="GY70" s="137"/>
      <c r="GZ70" s="137"/>
      <c r="HA70" s="132">
        <f t="shared" si="83"/>
        <v>0</v>
      </c>
      <c r="HB70" s="181"/>
      <c r="HC70" s="181"/>
      <c r="HD70" s="181"/>
      <c r="HE70" s="181"/>
      <c r="HF70" s="181"/>
      <c r="HG70" s="181"/>
      <c r="HH70" s="181"/>
      <c r="HI70" s="181"/>
      <c r="HJ70" s="181"/>
      <c r="HK70" s="181"/>
      <c r="HL70" s="181"/>
      <c r="HM70" s="181"/>
      <c r="HN70" s="181">
        <f t="shared" si="84"/>
        <v>0</v>
      </c>
      <c r="HO70" s="132"/>
      <c r="HP70" s="132"/>
      <c r="HQ70" s="132"/>
      <c r="HR70" s="132"/>
      <c r="HS70" s="132"/>
      <c r="HT70" s="132"/>
      <c r="HU70" s="132"/>
      <c r="HV70" s="132"/>
      <c r="HW70" s="132"/>
      <c r="HX70" s="132"/>
      <c r="HY70" s="132"/>
      <c r="HZ70" s="132"/>
      <c r="IA70" s="132">
        <f t="shared" si="85"/>
        <v>0</v>
      </c>
      <c r="IB70" s="181"/>
      <c r="IC70" s="181"/>
      <c r="ID70" s="181"/>
      <c r="IE70" s="181"/>
      <c r="IF70" s="181"/>
      <c r="IG70" s="181"/>
      <c r="IH70" s="181"/>
      <c r="II70" s="181"/>
      <c r="IJ70" s="181"/>
      <c r="IK70" s="181"/>
      <c r="IL70" s="181"/>
      <c r="IM70" s="181"/>
      <c r="IN70" s="181">
        <f t="shared" si="86"/>
        <v>0</v>
      </c>
      <c r="IO70" s="181"/>
      <c r="IP70" s="181"/>
      <c r="IQ70" s="181"/>
      <c r="IR70" s="181"/>
      <c r="IS70" s="181"/>
      <c r="IT70" s="181"/>
      <c r="IU70" s="181"/>
      <c r="IV70" s="181"/>
      <c r="IW70" s="181"/>
      <c r="IX70" s="181"/>
      <c r="IY70" s="181"/>
      <c r="IZ70" s="181"/>
      <c r="JA70" s="181">
        <f t="shared" si="87"/>
        <v>0</v>
      </c>
      <c r="JC70" s="135">
        <f t="shared" si="88"/>
        <v>0</v>
      </c>
      <c r="JD70" s="135">
        <f t="shared" si="89"/>
        <v>0</v>
      </c>
      <c r="JE70" s="135">
        <f t="shared" si="90"/>
        <v>0</v>
      </c>
      <c r="JF70" s="135">
        <f t="shared" si="91"/>
        <v>0</v>
      </c>
      <c r="JG70" s="135">
        <f t="shared" si="92"/>
        <v>0</v>
      </c>
      <c r="JH70" s="135">
        <f t="shared" si="93"/>
        <v>0</v>
      </c>
      <c r="JI70" s="135">
        <f t="shared" si="94"/>
        <v>0</v>
      </c>
      <c r="JJ70" s="135">
        <f t="shared" si="95"/>
        <v>0</v>
      </c>
      <c r="JK70" s="135">
        <f t="shared" si="96"/>
        <v>0</v>
      </c>
      <c r="JL70" s="135">
        <f t="shared" si="97"/>
        <v>0</v>
      </c>
      <c r="JM70" s="135">
        <f t="shared" si="98"/>
        <v>0</v>
      </c>
      <c r="JN70" s="135">
        <f t="shared" si="99"/>
        <v>0</v>
      </c>
      <c r="JO70" s="132">
        <f t="shared" si="100"/>
        <v>0</v>
      </c>
      <c r="JQ70" s="139">
        <f t="shared" si="101"/>
        <v>0</v>
      </c>
    </row>
    <row r="71" spans="1:277" x14ac:dyDescent="0.25">
      <c r="A71" s="13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2">
        <f t="shared" si="68"/>
        <v>0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2">
        <f t="shared" si="69"/>
        <v>0</v>
      </c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2">
        <f t="shared" si="70"/>
        <v>0</v>
      </c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2">
        <f t="shared" si="71"/>
        <v>0</v>
      </c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2">
        <f t="shared" si="72"/>
        <v>0</v>
      </c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2">
        <f t="shared" si="73"/>
        <v>0</v>
      </c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2">
        <f t="shared" si="74"/>
        <v>0</v>
      </c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2">
        <f t="shared" si="75"/>
        <v>0</v>
      </c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2">
        <f t="shared" si="76"/>
        <v>0</v>
      </c>
      <c r="DO71" s="137"/>
      <c r="DP71" s="137"/>
      <c r="DQ71" s="137"/>
      <c r="DR71" s="137"/>
      <c r="DS71" s="137"/>
      <c r="DT71" s="137"/>
      <c r="DU71" s="137"/>
      <c r="DV71" s="137"/>
      <c r="DW71" s="137"/>
      <c r="DX71" s="137"/>
      <c r="DY71" s="137"/>
      <c r="DZ71" s="137"/>
      <c r="EA71" s="132">
        <f t="shared" si="77"/>
        <v>0</v>
      </c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132">
        <f t="shared" si="78"/>
        <v>0</v>
      </c>
      <c r="EO71" s="132"/>
      <c r="EP71" s="132"/>
      <c r="EQ71" s="132"/>
      <c r="ER71" s="132"/>
      <c r="ES71" s="132"/>
      <c r="ET71" s="132"/>
      <c r="EU71" s="132"/>
      <c r="EV71" s="132"/>
      <c r="EW71" s="132"/>
      <c r="EX71" s="132"/>
      <c r="EY71" s="132"/>
      <c r="EZ71" s="132"/>
      <c r="FA71" s="132">
        <f t="shared" si="79"/>
        <v>0</v>
      </c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32">
        <f t="shared" si="80"/>
        <v>0</v>
      </c>
      <c r="FO71" s="132"/>
      <c r="FP71" s="132"/>
      <c r="FQ71" s="132"/>
      <c r="FR71" s="132"/>
      <c r="FS71" s="132"/>
      <c r="FT71" s="132"/>
      <c r="FU71" s="132"/>
      <c r="FV71" s="132"/>
      <c r="FW71" s="132"/>
      <c r="FX71" s="132"/>
      <c r="FY71" s="132"/>
      <c r="FZ71" s="132"/>
      <c r="GA71" s="132">
        <f t="shared" si="81"/>
        <v>0</v>
      </c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>
        <f t="shared" si="82"/>
        <v>0</v>
      </c>
      <c r="GO71" s="137"/>
      <c r="GP71" s="137"/>
      <c r="GQ71" s="137"/>
      <c r="GR71" s="137"/>
      <c r="GS71" s="137"/>
      <c r="GT71" s="137"/>
      <c r="GU71" s="137"/>
      <c r="GV71" s="137"/>
      <c r="GW71" s="137"/>
      <c r="GX71" s="137"/>
      <c r="GY71" s="137"/>
      <c r="GZ71" s="137"/>
      <c r="HA71" s="132">
        <f t="shared" si="83"/>
        <v>0</v>
      </c>
      <c r="HB71" s="181"/>
      <c r="HC71" s="181"/>
      <c r="HD71" s="181"/>
      <c r="HE71" s="181"/>
      <c r="HF71" s="181"/>
      <c r="HG71" s="181"/>
      <c r="HH71" s="181"/>
      <c r="HI71" s="181"/>
      <c r="HJ71" s="181"/>
      <c r="HK71" s="181"/>
      <c r="HL71" s="181"/>
      <c r="HM71" s="181"/>
      <c r="HN71" s="181">
        <f t="shared" si="84"/>
        <v>0</v>
      </c>
      <c r="HO71" s="132"/>
      <c r="HP71" s="132"/>
      <c r="HQ71" s="132"/>
      <c r="HR71" s="132"/>
      <c r="HS71" s="132"/>
      <c r="HT71" s="132"/>
      <c r="HU71" s="132"/>
      <c r="HV71" s="132"/>
      <c r="HW71" s="132"/>
      <c r="HX71" s="132"/>
      <c r="HY71" s="132"/>
      <c r="HZ71" s="132"/>
      <c r="IA71" s="132">
        <f t="shared" si="85"/>
        <v>0</v>
      </c>
      <c r="IB71" s="181"/>
      <c r="IC71" s="181"/>
      <c r="ID71" s="181"/>
      <c r="IE71" s="181"/>
      <c r="IF71" s="181"/>
      <c r="IG71" s="181"/>
      <c r="IH71" s="181"/>
      <c r="II71" s="181"/>
      <c r="IJ71" s="181"/>
      <c r="IK71" s="181"/>
      <c r="IL71" s="181"/>
      <c r="IM71" s="181"/>
      <c r="IN71" s="181">
        <f t="shared" si="86"/>
        <v>0</v>
      </c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>
        <f t="shared" si="87"/>
        <v>0</v>
      </c>
      <c r="JC71" s="135">
        <f t="shared" si="88"/>
        <v>0</v>
      </c>
      <c r="JD71" s="135">
        <f t="shared" si="89"/>
        <v>0</v>
      </c>
      <c r="JE71" s="135">
        <f t="shared" si="90"/>
        <v>0</v>
      </c>
      <c r="JF71" s="135">
        <f t="shared" si="91"/>
        <v>0</v>
      </c>
      <c r="JG71" s="135">
        <f t="shared" si="92"/>
        <v>0</v>
      </c>
      <c r="JH71" s="135">
        <f t="shared" si="93"/>
        <v>0</v>
      </c>
      <c r="JI71" s="135">
        <f t="shared" si="94"/>
        <v>0</v>
      </c>
      <c r="JJ71" s="135">
        <f t="shared" si="95"/>
        <v>0</v>
      </c>
      <c r="JK71" s="135">
        <f t="shared" si="96"/>
        <v>0</v>
      </c>
      <c r="JL71" s="135">
        <f t="shared" si="97"/>
        <v>0</v>
      </c>
      <c r="JM71" s="135">
        <f t="shared" si="98"/>
        <v>0</v>
      </c>
      <c r="JN71" s="135">
        <f t="shared" si="99"/>
        <v>0</v>
      </c>
      <c r="JO71" s="132">
        <f t="shared" si="100"/>
        <v>0</v>
      </c>
      <c r="JQ71" s="139">
        <f t="shared" si="101"/>
        <v>0</v>
      </c>
    </row>
    <row r="72" spans="1:277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2">
        <f t="shared" si="68"/>
        <v>0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2">
        <f t="shared" si="69"/>
        <v>0</v>
      </c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2">
        <f t="shared" si="70"/>
        <v>0</v>
      </c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2">
        <f t="shared" si="71"/>
        <v>0</v>
      </c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2">
        <f t="shared" si="72"/>
        <v>0</v>
      </c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2">
        <f t="shared" si="73"/>
        <v>0</v>
      </c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2">
        <f t="shared" si="74"/>
        <v>0</v>
      </c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2">
        <f t="shared" si="75"/>
        <v>0</v>
      </c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2">
        <f t="shared" si="76"/>
        <v>0</v>
      </c>
      <c r="DO72" s="137"/>
      <c r="DP72" s="137"/>
      <c r="DQ72" s="137"/>
      <c r="DR72" s="137"/>
      <c r="DS72" s="137"/>
      <c r="DT72" s="137"/>
      <c r="DU72" s="137"/>
      <c r="DV72" s="137"/>
      <c r="DW72" s="137"/>
      <c r="DX72" s="137"/>
      <c r="DY72" s="137"/>
      <c r="DZ72" s="137"/>
      <c r="EA72" s="132">
        <f t="shared" si="77"/>
        <v>0</v>
      </c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132">
        <f t="shared" si="78"/>
        <v>0</v>
      </c>
      <c r="EO72" s="132"/>
      <c r="EP72" s="132"/>
      <c r="EQ72" s="132"/>
      <c r="ER72" s="132"/>
      <c r="ES72" s="132"/>
      <c r="ET72" s="132"/>
      <c r="EU72" s="132"/>
      <c r="EV72" s="132"/>
      <c r="EW72" s="132"/>
      <c r="EX72" s="132"/>
      <c r="EY72" s="132"/>
      <c r="EZ72" s="132"/>
      <c r="FA72" s="132">
        <f t="shared" si="79"/>
        <v>0</v>
      </c>
      <c r="FB72" s="181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32">
        <f t="shared" si="80"/>
        <v>0</v>
      </c>
      <c r="FO72" s="132"/>
      <c r="FP72" s="132"/>
      <c r="FQ72" s="132"/>
      <c r="FR72" s="132"/>
      <c r="FS72" s="132"/>
      <c r="FT72" s="132"/>
      <c r="FU72" s="132"/>
      <c r="FV72" s="132"/>
      <c r="FW72" s="132"/>
      <c r="FX72" s="132"/>
      <c r="FY72" s="132"/>
      <c r="FZ72" s="132"/>
      <c r="GA72" s="132">
        <f t="shared" si="81"/>
        <v>0</v>
      </c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1"/>
      <c r="GM72" s="181"/>
      <c r="GN72" s="181">
        <f t="shared" si="82"/>
        <v>0</v>
      </c>
      <c r="GO72" s="137"/>
      <c r="GP72" s="137"/>
      <c r="GQ72" s="137"/>
      <c r="GR72" s="137"/>
      <c r="GS72" s="137"/>
      <c r="GT72" s="137"/>
      <c r="GU72" s="137"/>
      <c r="GV72" s="137"/>
      <c r="GW72" s="137"/>
      <c r="GX72" s="137"/>
      <c r="GY72" s="137"/>
      <c r="GZ72" s="137"/>
      <c r="HA72" s="132">
        <f t="shared" si="83"/>
        <v>0</v>
      </c>
      <c r="HB72" s="181"/>
      <c r="HC72" s="181"/>
      <c r="HD72" s="181"/>
      <c r="HE72" s="181"/>
      <c r="HF72" s="181"/>
      <c r="HG72" s="181"/>
      <c r="HH72" s="181"/>
      <c r="HI72" s="181"/>
      <c r="HJ72" s="181"/>
      <c r="HK72" s="181"/>
      <c r="HL72" s="181"/>
      <c r="HM72" s="181"/>
      <c r="HN72" s="181">
        <f t="shared" si="84"/>
        <v>0</v>
      </c>
      <c r="HO72" s="132"/>
      <c r="HP72" s="132"/>
      <c r="HQ72" s="132"/>
      <c r="HR72" s="132"/>
      <c r="HS72" s="132"/>
      <c r="HT72" s="132"/>
      <c r="HU72" s="132"/>
      <c r="HV72" s="132"/>
      <c r="HW72" s="132"/>
      <c r="HX72" s="132"/>
      <c r="HY72" s="132"/>
      <c r="HZ72" s="132"/>
      <c r="IA72" s="132">
        <f t="shared" si="85"/>
        <v>0</v>
      </c>
      <c r="IB72" s="181"/>
      <c r="IC72" s="181"/>
      <c r="ID72" s="181"/>
      <c r="IE72" s="181"/>
      <c r="IF72" s="181"/>
      <c r="IG72" s="181"/>
      <c r="IH72" s="181"/>
      <c r="II72" s="181"/>
      <c r="IJ72" s="181"/>
      <c r="IK72" s="181"/>
      <c r="IL72" s="181"/>
      <c r="IM72" s="181"/>
      <c r="IN72" s="181">
        <f t="shared" si="86"/>
        <v>0</v>
      </c>
      <c r="IO72" s="181"/>
      <c r="IP72" s="181"/>
      <c r="IQ72" s="181"/>
      <c r="IR72" s="181"/>
      <c r="IS72" s="181"/>
      <c r="IT72" s="181"/>
      <c r="IU72" s="181"/>
      <c r="IV72" s="181"/>
      <c r="IW72" s="181"/>
      <c r="IX72" s="181"/>
      <c r="IY72" s="181"/>
      <c r="IZ72" s="181"/>
      <c r="JA72" s="181">
        <f t="shared" si="87"/>
        <v>0</v>
      </c>
      <c r="JC72" s="135">
        <f t="shared" si="88"/>
        <v>0</v>
      </c>
      <c r="JD72" s="135">
        <f t="shared" si="89"/>
        <v>0</v>
      </c>
      <c r="JE72" s="135">
        <f t="shared" si="90"/>
        <v>0</v>
      </c>
      <c r="JF72" s="135">
        <f t="shared" si="91"/>
        <v>0</v>
      </c>
      <c r="JG72" s="135">
        <f t="shared" si="92"/>
        <v>0</v>
      </c>
      <c r="JH72" s="135">
        <f t="shared" si="93"/>
        <v>0</v>
      </c>
      <c r="JI72" s="135">
        <f t="shared" si="94"/>
        <v>0</v>
      </c>
      <c r="JJ72" s="135">
        <f t="shared" si="95"/>
        <v>0</v>
      </c>
      <c r="JK72" s="135">
        <f t="shared" si="96"/>
        <v>0</v>
      </c>
      <c r="JL72" s="135">
        <f t="shared" si="97"/>
        <v>0</v>
      </c>
      <c r="JM72" s="135">
        <f t="shared" si="98"/>
        <v>0</v>
      </c>
      <c r="JN72" s="135">
        <f t="shared" si="99"/>
        <v>0</v>
      </c>
      <c r="JO72" s="132">
        <f t="shared" si="100"/>
        <v>0</v>
      </c>
      <c r="JQ72" s="139">
        <f t="shared" si="101"/>
        <v>0</v>
      </c>
    </row>
    <row r="73" spans="1:277" x14ac:dyDescent="0.25">
      <c r="A73" s="13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2">
        <f t="shared" si="68"/>
        <v>0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2">
        <f t="shared" si="69"/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2">
        <f t="shared" si="70"/>
        <v>0</v>
      </c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2">
        <f t="shared" si="71"/>
        <v>0</v>
      </c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2">
        <f t="shared" si="72"/>
        <v>0</v>
      </c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2">
        <f t="shared" si="73"/>
        <v>0</v>
      </c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2">
        <f t="shared" si="74"/>
        <v>0</v>
      </c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2">
        <f t="shared" si="75"/>
        <v>0</v>
      </c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2">
        <f t="shared" si="76"/>
        <v>0</v>
      </c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2">
        <f t="shared" si="77"/>
        <v>0</v>
      </c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132">
        <f t="shared" si="78"/>
        <v>0</v>
      </c>
      <c r="EO73" s="132"/>
      <c r="EP73" s="132"/>
      <c r="EQ73" s="132"/>
      <c r="ER73" s="132"/>
      <c r="ES73" s="132"/>
      <c r="ET73" s="132"/>
      <c r="EU73" s="132"/>
      <c r="EV73" s="132"/>
      <c r="EW73" s="132"/>
      <c r="EX73" s="132"/>
      <c r="EY73" s="132"/>
      <c r="EZ73" s="132"/>
      <c r="FA73" s="132">
        <f t="shared" si="79"/>
        <v>0</v>
      </c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32">
        <f t="shared" si="80"/>
        <v>0</v>
      </c>
      <c r="FO73" s="132"/>
      <c r="FP73" s="132"/>
      <c r="FQ73" s="132"/>
      <c r="FR73" s="132"/>
      <c r="FS73" s="132"/>
      <c r="FT73" s="132"/>
      <c r="FU73" s="132"/>
      <c r="FV73" s="132"/>
      <c r="FW73" s="132"/>
      <c r="FX73" s="132"/>
      <c r="FY73" s="132"/>
      <c r="FZ73" s="132"/>
      <c r="GA73" s="132">
        <f t="shared" si="81"/>
        <v>0</v>
      </c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>
        <f t="shared" si="82"/>
        <v>0</v>
      </c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2">
        <f t="shared" si="83"/>
        <v>0</v>
      </c>
      <c r="HB73" s="181"/>
      <c r="HC73" s="181"/>
      <c r="HD73" s="181"/>
      <c r="HE73" s="181"/>
      <c r="HF73" s="181"/>
      <c r="HG73" s="181"/>
      <c r="HH73" s="181"/>
      <c r="HI73" s="181"/>
      <c r="HJ73" s="181"/>
      <c r="HK73" s="181"/>
      <c r="HL73" s="181"/>
      <c r="HM73" s="181"/>
      <c r="HN73" s="181">
        <f t="shared" si="84"/>
        <v>0</v>
      </c>
      <c r="HO73" s="132"/>
      <c r="HP73" s="132"/>
      <c r="HQ73" s="132"/>
      <c r="HR73" s="132"/>
      <c r="HS73" s="132"/>
      <c r="HT73" s="132"/>
      <c r="HU73" s="132"/>
      <c r="HV73" s="132"/>
      <c r="HW73" s="132"/>
      <c r="HX73" s="132"/>
      <c r="HY73" s="132"/>
      <c r="HZ73" s="132"/>
      <c r="IA73" s="132">
        <f t="shared" si="85"/>
        <v>0</v>
      </c>
      <c r="IB73" s="181"/>
      <c r="IC73" s="181"/>
      <c r="ID73" s="181"/>
      <c r="IE73" s="181"/>
      <c r="IF73" s="181"/>
      <c r="IG73" s="181"/>
      <c r="IH73" s="181"/>
      <c r="II73" s="181"/>
      <c r="IJ73" s="181"/>
      <c r="IK73" s="181"/>
      <c r="IL73" s="181"/>
      <c r="IM73" s="181"/>
      <c r="IN73" s="181">
        <f t="shared" si="86"/>
        <v>0</v>
      </c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>
        <f t="shared" si="87"/>
        <v>0</v>
      </c>
      <c r="JC73" s="135">
        <f t="shared" si="88"/>
        <v>0</v>
      </c>
      <c r="JD73" s="135">
        <f t="shared" si="89"/>
        <v>0</v>
      </c>
      <c r="JE73" s="135">
        <f t="shared" si="90"/>
        <v>0</v>
      </c>
      <c r="JF73" s="135">
        <f t="shared" si="91"/>
        <v>0</v>
      </c>
      <c r="JG73" s="135">
        <f t="shared" si="92"/>
        <v>0</v>
      </c>
      <c r="JH73" s="135">
        <f t="shared" si="93"/>
        <v>0</v>
      </c>
      <c r="JI73" s="135">
        <f t="shared" si="94"/>
        <v>0</v>
      </c>
      <c r="JJ73" s="135">
        <f t="shared" si="95"/>
        <v>0</v>
      </c>
      <c r="JK73" s="135">
        <f t="shared" si="96"/>
        <v>0</v>
      </c>
      <c r="JL73" s="135">
        <f t="shared" si="97"/>
        <v>0</v>
      </c>
      <c r="JM73" s="135">
        <f t="shared" si="98"/>
        <v>0</v>
      </c>
      <c r="JN73" s="135">
        <f t="shared" si="99"/>
        <v>0</v>
      </c>
      <c r="JO73" s="132">
        <f t="shared" si="100"/>
        <v>0</v>
      </c>
      <c r="JQ73" s="139">
        <f t="shared" si="101"/>
        <v>0</v>
      </c>
    </row>
    <row r="74" spans="1:277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2">
        <f t="shared" si="68"/>
        <v>0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2">
        <f t="shared" si="69"/>
        <v>0</v>
      </c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2">
        <f t="shared" si="70"/>
        <v>0</v>
      </c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2">
        <f t="shared" si="71"/>
        <v>0</v>
      </c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2">
        <f t="shared" si="72"/>
        <v>0</v>
      </c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2">
        <f t="shared" si="73"/>
        <v>0</v>
      </c>
      <c r="CB74" s="136"/>
      <c r="CC74" s="136"/>
      <c r="CD74" s="136"/>
      <c r="CE74" s="136"/>
      <c r="CF74" s="136"/>
      <c r="CG74" s="136"/>
      <c r="CH74" s="136"/>
      <c r="CI74" s="136"/>
      <c r="CJ74" s="136"/>
      <c r="CK74" s="136"/>
      <c r="CL74" s="136"/>
      <c r="CM74" s="136"/>
      <c r="CN74" s="132">
        <f t="shared" si="74"/>
        <v>0</v>
      </c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2">
        <f t="shared" si="75"/>
        <v>0</v>
      </c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2">
        <f t="shared" si="76"/>
        <v>0</v>
      </c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2">
        <f t="shared" si="77"/>
        <v>0</v>
      </c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132">
        <f t="shared" si="78"/>
        <v>0</v>
      </c>
      <c r="EO74" s="132"/>
      <c r="EP74" s="132"/>
      <c r="EQ74" s="132"/>
      <c r="ER74" s="132"/>
      <c r="ES74" s="132"/>
      <c r="ET74" s="132"/>
      <c r="EU74" s="132"/>
      <c r="EV74" s="132"/>
      <c r="EW74" s="132"/>
      <c r="EX74" s="132"/>
      <c r="EY74" s="132"/>
      <c r="EZ74" s="132"/>
      <c r="FA74" s="132">
        <f t="shared" si="79"/>
        <v>0</v>
      </c>
      <c r="FB74" s="181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32">
        <f t="shared" si="80"/>
        <v>0</v>
      </c>
      <c r="FO74" s="132"/>
      <c r="FP74" s="132"/>
      <c r="FQ74" s="132"/>
      <c r="FR74" s="132"/>
      <c r="FS74" s="132"/>
      <c r="FT74" s="132"/>
      <c r="FU74" s="132"/>
      <c r="FV74" s="132"/>
      <c r="FW74" s="132"/>
      <c r="FX74" s="132"/>
      <c r="FY74" s="132"/>
      <c r="FZ74" s="132"/>
      <c r="GA74" s="132">
        <f t="shared" si="81"/>
        <v>0</v>
      </c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1"/>
      <c r="GM74" s="181"/>
      <c r="GN74" s="181">
        <f t="shared" si="82"/>
        <v>0</v>
      </c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2">
        <f t="shared" si="83"/>
        <v>0</v>
      </c>
      <c r="HB74" s="181"/>
      <c r="HC74" s="181"/>
      <c r="HD74" s="181"/>
      <c r="HE74" s="181"/>
      <c r="HF74" s="181"/>
      <c r="HG74" s="181"/>
      <c r="HH74" s="181"/>
      <c r="HI74" s="181"/>
      <c r="HJ74" s="181"/>
      <c r="HK74" s="181"/>
      <c r="HL74" s="181"/>
      <c r="HM74" s="181"/>
      <c r="HN74" s="181">
        <f t="shared" si="84"/>
        <v>0</v>
      </c>
      <c r="HO74" s="132"/>
      <c r="HP74" s="132"/>
      <c r="HQ74" s="132"/>
      <c r="HR74" s="132"/>
      <c r="HS74" s="132"/>
      <c r="HT74" s="132"/>
      <c r="HU74" s="132"/>
      <c r="HV74" s="132"/>
      <c r="HW74" s="132"/>
      <c r="HX74" s="132"/>
      <c r="HY74" s="132"/>
      <c r="HZ74" s="132"/>
      <c r="IA74" s="132">
        <f t="shared" si="85"/>
        <v>0</v>
      </c>
      <c r="IB74" s="181"/>
      <c r="IC74" s="181"/>
      <c r="ID74" s="181"/>
      <c r="IE74" s="181"/>
      <c r="IF74" s="181"/>
      <c r="IG74" s="181"/>
      <c r="IH74" s="181"/>
      <c r="II74" s="181"/>
      <c r="IJ74" s="181"/>
      <c r="IK74" s="181"/>
      <c r="IL74" s="181"/>
      <c r="IM74" s="181"/>
      <c r="IN74" s="181">
        <f t="shared" si="86"/>
        <v>0</v>
      </c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>
        <f t="shared" si="87"/>
        <v>0</v>
      </c>
      <c r="JC74" s="135">
        <f t="shared" si="88"/>
        <v>0</v>
      </c>
      <c r="JD74" s="135">
        <f t="shared" si="89"/>
        <v>0</v>
      </c>
      <c r="JE74" s="135">
        <f t="shared" si="90"/>
        <v>0</v>
      </c>
      <c r="JF74" s="135">
        <f t="shared" si="91"/>
        <v>0</v>
      </c>
      <c r="JG74" s="135">
        <f t="shared" si="92"/>
        <v>0</v>
      </c>
      <c r="JH74" s="135">
        <f t="shared" si="93"/>
        <v>0</v>
      </c>
      <c r="JI74" s="135">
        <f t="shared" si="94"/>
        <v>0</v>
      </c>
      <c r="JJ74" s="135">
        <f t="shared" si="95"/>
        <v>0</v>
      </c>
      <c r="JK74" s="135">
        <f t="shared" si="96"/>
        <v>0</v>
      </c>
      <c r="JL74" s="135">
        <f t="shared" si="97"/>
        <v>0</v>
      </c>
      <c r="JM74" s="135">
        <f t="shared" si="98"/>
        <v>0</v>
      </c>
      <c r="JN74" s="135">
        <f t="shared" si="99"/>
        <v>0</v>
      </c>
      <c r="JO74" s="132">
        <f t="shared" si="100"/>
        <v>0</v>
      </c>
      <c r="JQ74" s="139">
        <f t="shared" si="101"/>
        <v>0</v>
      </c>
    </row>
    <row r="75" spans="1:277" x14ac:dyDescent="0.25">
      <c r="A75" s="13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2">
        <f t="shared" si="68"/>
        <v>0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2">
        <f t="shared" si="69"/>
        <v>0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2">
        <f t="shared" si="70"/>
        <v>0</v>
      </c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2">
        <f t="shared" si="71"/>
        <v>0</v>
      </c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2">
        <f t="shared" si="72"/>
        <v>0</v>
      </c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2">
        <f t="shared" si="73"/>
        <v>0</v>
      </c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2">
        <f t="shared" si="74"/>
        <v>0</v>
      </c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2">
        <f t="shared" si="75"/>
        <v>0</v>
      </c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2">
        <f t="shared" si="76"/>
        <v>0</v>
      </c>
      <c r="DO75" s="137"/>
      <c r="DP75" s="137"/>
      <c r="DQ75" s="137"/>
      <c r="DR75" s="137"/>
      <c r="DS75" s="137"/>
      <c r="DT75" s="137"/>
      <c r="DU75" s="137"/>
      <c r="DV75" s="137"/>
      <c r="DW75" s="137"/>
      <c r="DX75" s="137"/>
      <c r="DY75" s="137"/>
      <c r="DZ75" s="137"/>
      <c r="EA75" s="132">
        <f t="shared" si="77"/>
        <v>0</v>
      </c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132">
        <f t="shared" si="78"/>
        <v>0</v>
      </c>
      <c r="EO75" s="132"/>
      <c r="EP75" s="132"/>
      <c r="EQ75" s="132"/>
      <c r="ER75" s="132"/>
      <c r="ES75" s="132"/>
      <c r="ET75" s="132"/>
      <c r="EU75" s="132"/>
      <c r="EV75" s="132"/>
      <c r="EW75" s="132"/>
      <c r="EX75" s="132"/>
      <c r="EY75" s="132"/>
      <c r="EZ75" s="132"/>
      <c r="FA75" s="132">
        <f t="shared" si="79"/>
        <v>0</v>
      </c>
      <c r="FB75" s="181"/>
      <c r="FC75" s="181"/>
      <c r="FD75" s="181"/>
      <c r="FE75" s="181"/>
      <c r="FF75" s="181"/>
      <c r="FG75" s="181"/>
      <c r="FH75" s="181"/>
      <c r="FI75" s="181"/>
      <c r="FJ75" s="181"/>
      <c r="FK75" s="181"/>
      <c r="FL75" s="181"/>
      <c r="FM75" s="181"/>
      <c r="FN75" s="132">
        <f t="shared" si="80"/>
        <v>0</v>
      </c>
      <c r="FO75" s="132"/>
      <c r="FP75" s="132"/>
      <c r="FQ75" s="132"/>
      <c r="FR75" s="132"/>
      <c r="FS75" s="132"/>
      <c r="FT75" s="132"/>
      <c r="FU75" s="132"/>
      <c r="FV75" s="132"/>
      <c r="FW75" s="132"/>
      <c r="FX75" s="132"/>
      <c r="FY75" s="132"/>
      <c r="FZ75" s="132"/>
      <c r="GA75" s="132">
        <f t="shared" si="81"/>
        <v>0</v>
      </c>
      <c r="GB75" s="181"/>
      <c r="GC75" s="181"/>
      <c r="GD75" s="181"/>
      <c r="GE75" s="181"/>
      <c r="GF75" s="181"/>
      <c r="GG75" s="181"/>
      <c r="GH75" s="181"/>
      <c r="GI75" s="181"/>
      <c r="GJ75" s="181"/>
      <c r="GK75" s="181"/>
      <c r="GL75" s="181"/>
      <c r="GM75" s="181"/>
      <c r="GN75" s="181">
        <f t="shared" si="82"/>
        <v>0</v>
      </c>
      <c r="GO75" s="137"/>
      <c r="GP75" s="137"/>
      <c r="GQ75" s="137"/>
      <c r="GR75" s="137"/>
      <c r="GS75" s="137"/>
      <c r="GT75" s="137"/>
      <c r="GU75" s="137"/>
      <c r="GV75" s="137"/>
      <c r="GW75" s="137"/>
      <c r="GX75" s="137"/>
      <c r="GY75" s="137"/>
      <c r="GZ75" s="137"/>
      <c r="HA75" s="132">
        <f t="shared" si="83"/>
        <v>0</v>
      </c>
      <c r="HB75" s="181"/>
      <c r="HC75" s="181"/>
      <c r="HD75" s="181"/>
      <c r="HE75" s="181"/>
      <c r="HF75" s="181"/>
      <c r="HG75" s="181"/>
      <c r="HH75" s="181"/>
      <c r="HI75" s="181"/>
      <c r="HJ75" s="181"/>
      <c r="HK75" s="181"/>
      <c r="HL75" s="181"/>
      <c r="HM75" s="181"/>
      <c r="HN75" s="181">
        <f t="shared" si="84"/>
        <v>0</v>
      </c>
      <c r="HO75" s="132"/>
      <c r="HP75" s="132"/>
      <c r="HQ75" s="132"/>
      <c r="HR75" s="132"/>
      <c r="HS75" s="132"/>
      <c r="HT75" s="132"/>
      <c r="HU75" s="132"/>
      <c r="HV75" s="132"/>
      <c r="HW75" s="132"/>
      <c r="HX75" s="132"/>
      <c r="HY75" s="132"/>
      <c r="HZ75" s="132"/>
      <c r="IA75" s="132">
        <f t="shared" si="85"/>
        <v>0</v>
      </c>
      <c r="IB75" s="181"/>
      <c r="IC75" s="181"/>
      <c r="ID75" s="181"/>
      <c r="IE75" s="181"/>
      <c r="IF75" s="181"/>
      <c r="IG75" s="181"/>
      <c r="IH75" s="181"/>
      <c r="II75" s="181"/>
      <c r="IJ75" s="181"/>
      <c r="IK75" s="181"/>
      <c r="IL75" s="181"/>
      <c r="IM75" s="181"/>
      <c r="IN75" s="181">
        <f t="shared" si="86"/>
        <v>0</v>
      </c>
      <c r="IO75" s="181"/>
      <c r="IP75" s="181"/>
      <c r="IQ75" s="181"/>
      <c r="IR75" s="181"/>
      <c r="IS75" s="181"/>
      <c r="IT75" s="181"/>
      <c r="IU75" s="181"/>
      <c r="IV75" s="181"/>
      <c r="IW75" s="181"/>
      <c r="IX75" s="181"/>
      <c r="IY75" s="181"/>
      <c r="IZ75" s="181"/>
      <c r="JA75" s="181">
        <f t="shared" si="87"/>
        <v>0</v>
      </c>
      <c r="JC75" s="135">
        <f t="shared" si="88"/>
        <v>0</v>
      </c>
      <c r="JD75" s="135">
        <f t="shared" si="89"/>
        <v>0</v>
      </c>
      <c r="JE75" s="135">
        <f t="shared" si="90"/>
        <v>0</v>
      </c>
      <c r="JF75" s="135">
        <f t="shared" si="91"/>
        <v>0</v>
      </c>
      <c r="JG75" s="135">
        <f t="shared" si="92"/>
        <v>0</v>
      </c>
      <c r="JH75" s="135">
        <f t="shared" si="93"/>
        <v>0</v>
      </c>
      <c r="JI75" s="135">
        <f t="shared" si="94"/>
        <v>0</v>
      </c>
      <c r="JJ75" s="135">
        <f t="shared" si="95"/>
        <v>0</v>
      </c>
      <c r="JK75" s="135">
        <f t="shared" si="96"/>
        <v>0</v>
      </c>
      <c r="JL75" s="135">
        <f t="shared" si="97"/>
        <v>0</v>
      </c>
      <c r="JM75" s="135">
        <f t="shared" si="98"/>
        <v>0</v>
      </c>
      <c r="JN75" s="135">
        <f t="shared" si="99"/>
        <v>0</v>
      </c>
      <c r="JO75" s="132">
        <f t="shared" si="100"/>
        <v>0</v>
      </c>
      <c r="JQ75" s="139">
        <f t="shared" si="101"/>
        <v>0</v>
      </c>
    </row>
    <row r="76" spans="1:277" x14ac:dyDescent="0.25">
      <c r="A76" s="13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2">
        <f t="shared" si="68"/>
        <v>0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2">
        <f t="shared" si="69"/>
        <v>0</v>
      </c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2">
        <f t="shared" si="70"/>
        <v>0</v>
      </c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2">
        <f t="shared" si="71"/>
        <v>0</v>
      </c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2">
        <f t="shared" si="72"/>
        <v>0</v>
      </c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2">
        <f t="shared" si="73"/>
        <v>0</v>
      </c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2">
        <f t="shared" si="74"/>
        <v>0</v>
      </c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2">
        <f t="shared" si="75"/>
        <v>0</v>
      </c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2">
        <f t="shared" si="76"/>
        <v>0</v>
      </c>
      <c r="DO76" s="137"/>
      <c r="DP76" s="137"/>
      <c r="DQ76" s="137"/>
      <c r="DR76" s="137"/>
      <c r="DS76" s="137"/>
      <c r="DT76" s="137"/>
      <c r="DU76" s="137"/>
      <c r="DV76" s="137"/>
      <c r="DW76" s="137"/>
      <c r="DX76" s="137"/>
      <c r="DY76" s="137"/>
      <c r="DZ76" s="137"/>
      <c r="EA76" s="132">
        <f t="shared" si="77"/>
        <v>0</v>
      </c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132">
        <f t="shared" si="78"/>
        <v>0</v>
      </c>
      <c r="EO76" s="132"/>
      <c r="EP76" s="132"/>
      <c r="EQ76" s="132"/>
      <c r="ER76" s="132"/>
      <c r="ES76" s="132"/>
      <c r="ET76" s="132"/>
      <c r="EU76" s="132"/>
      <c r="EV76" s="132"/>
      <c r="EW76" s="132"/>
      <c r="EX76" s="132"/>
      <c r="EY76" s="132"/>
      <c r="EZ76" s="132"/>
      <c r="FA76" s="132">
        <f t="shared" si="79"/>
        <v>0</v>
      </c>
      <c r="FB76" s="181"/>
      <c r="FC76" s="181"/>
      <c r="FD76" s="181"/>
      <c r="FE76" s="181"/>
      <c r="FF76" s="181"/>
      <c r="FG76" s="181"/>
      <c r="FH76" s="181"/>
      <c r="FI76" s="181"/>
      <c r="FJ76" s="181"/>
      <c r="FK76" s="181"/>
      <c r="FL76" s="181"/>
      <c r="FM76" s="181"/>
      <c r="FN76" s="132">
        <f t="shared" si="80"/>
        <v>0</v>
      </c>
      <c r="FO76" s="132"/>
      <c r="FP76" s="132"/>
      <c r="FQ76" s="132"/>
      <c r="FR76" s="132"/>
      <c r="FS76" s="132"/>
      <c r="FT76" s="132"/>
      <c r="FU76" s="132"/>
      <c r="FV76" s="132"/>
      <c r="FW76" s="132"/>
      <c r="FX76" s="132"/>
      <c r="FY76" s="132"/>
      <c r="FZ76" s="132"/>
      <c r="GA76" s="132">
        <f t="shared" si="81"/>
        <v>0</v>
      </c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>
        <f t="shared" si="82"/>
        <v>0</v>
      </c>
      <c r="GO76" s="137"/>
      <c r="GP76" s="137"/>
      <c r="GQ76" s="137"/>
      <c r="GR76" s="137"/>
      <c r="GS76" s="137"/>
      <c r="GT76" s="137"/>
      <c r="GU76" s="137"/>
      <c r="GV76" s="137"/>
      <c r="GW76" s="137"/>
      <c r="GX76" s="137"/>
      <c r="GY76" s="137"/>
      <c r="GZ76" s="137"/>
      <c r="HA76" s="132">
        <f t="shared" si="83"/>
        <v>0</v>
      </c>
      <c r="HB76" s="181"/>
      <c r="HC76" s="181"/>
      <c r="HD76" s="181"/>
      <c r="HE76" s="181"/>
      <c r="HF76" s="181"/>
      <c r="HG76" s="181"/>
      <c r="HH76" s="181"/>
      <c r="HI76" s="181"/>
      <c r="HJ76" s="181"/>
      <c r="HK76" s="181"/>
      <c r="HL76" s="181"/>
      <c r="HM76" s="181"/>
      <c r="HN76" s="181">
        <f t="shared" si="84"/>
        <v>0</v>
      </c>
      <c r="HO76" s="132"/>
      <c r="HP76" s="132"/>
      <c r="HQ76" s="132"/>
      <c r="HR76" s="132"/>
      <c r="HS76" s="132"/>
      <c r="HT76" s="132"/>
      <c r="HU76" s="132"/>
      <c r="HV76" s="132"/>
      <c r="HW76" s="132"/>
      <c r="HX76" s="132"/>
      <c r="HY76" s="132"/>
      <c r="HZ76" s="132"/>
      <c r="IA76" s="132">
        <f t="shared" si="85"/>
        <v>0</v>
      </c>
      <c r="IB76" s="181"/>
      <c r="IC76" s="181"/>
      <c r="ID76" s="181"/>
      <c r="IE76" s="181"/>
      <c r="IF76" s="181"/>
      <c r="IG76" s="181"/>
      <c r="IH76" s="181"/>
      <c r="II76" s="181"/>
      <c r="IJ76" s="181"/>
      <c r="IK76" s="181"/>
      <c r="IL76" s="181"/>
      <c r="IM76" s="181"/>
      <c r="IN76" s="181">
        <f t="shared" si="86"/>
        <v>0</v>
      </c>
      <c r="IO76" s="181"/>
      <c r="IP76" s="181"/>
      <c r="IQ76" s="181"/>
      <c r="IR76" s="181"/>
      <c r="IS76" s="181"/>
      <c r="IT76" s="181"/>
      <c r="IU76" s="181"/>
      <c r="IV76" s="181"/>
      <c r="IW76" s="181"/>
      <c r="IX76" s="181"/>
      <c r="IY76" s="181"/>
      <c r="IZ76" s="181"/>
      <c r="JA76" s="181">
        <f t="shared" si="87"/>
        <v>0</v>
      </c>
      <c r="JC76" s="135">
        <f t="shared" si="88"/>
        <v>0</v>
      </c>
      <c r="JD76" s="135">
        <f t="shared" si="89"/>
        <v>0</v>
      </c>
      <c r="JE76" s="135">
        <f t="shared" si="90"/>
        <v>0</v>
      </c>
      <c r="JF76" s="135">
        <f t="shared" si="91"/>
        <v>0</v>
      </c>
      <c r="JG76" s="135">
        <f t="shared" si="92"/>
        <v>0</v>
      </c>
      <c r="JH76" s="135">
        <f t="shared" si="93"/>
        <v>0</v>
      </c>
      <c r="JI76" s="135">
        <f t="shared" si="94"/>
        <v>0</v>
      </c>
      <c r="JJ76" s="135">
        <f t="shared" si="95"/>
        <v>0</v>
      </c>
      <c r="JK76" s="135">
        <f t="shared" si="96"/>
        <v>0</v>
      </c>
      <c r="JL76" s="135">
        <f t="shared" si="97"/>
        <v>0</v>
      </c>
      <c r="JM76" s="135">
        <f t="shared" si="98"/>
        <v>0</v>
      </c>
      <c r="JN76" s="135">
        <f t="shared" si="99"/>
        <v>0</v>
      </c>
      <c r="JO76" s="132">
        <f t="shared" si="100"/>
        <v>0</v>
      </c>
      <c r="JQ76" s="139">
        <f t="shared" si="101"/>
        <v>0</v>
      </c>
    </row>
    <row r="77" spans="1:277" x14ac:dyDescent="0.25">
      <c r="A77" s="13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2">
        <f t="shared" si="68"/>
        <v>0</v>
      </c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2">
        <f t="shared" si="69"/>
        <v>0</v>
      </c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2">
        <f t="shared" si="70"/>
        <v>0</v>
      </c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2">
        <f t="shared" si="71"/>
        <v>0</v>
      </c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2">
        <f t="shared" si="72"/>
        <v>0</v>
      </c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2">
        <f t="shared" si="73"/>
        <v>0</v>
      </c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2">
        <f t="shared" si="74"/>
        <v>0</v>
      </c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2">
        <f t="shared" si="75"/>
        <v>0</v>
      </c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2">
        <f t="shared" si="76"/>
        <v>0</v>
      </c>
      <c r="DO77" s="137"/>
      <c r="DP77" s="137"/>
      <c r="DQ77" s="137"/>
      <c r="DR77" s="137"/>
      <c r="DS77" s="137"/>
      <c r="DT77" s="137"/>
      <c r="DU77" s="137"/>
      <c r="DV77" s="137"/>
      <c r="DW77" s="137"/>
      <c r="DX77" s="137"/>
      <c r="DY77" s="137"/>
      <c r="DZ77" s="137"/>
      <c r="EA77" s="132">
        <f t="shared" si="77"/>
        <v>0</v>
      </c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132">
        <f t="shared" si="78"/>
        <v>0</v>
      </c>
      <c r="EO77" s="132"/>
      <c r="EP77" s="132"/>
      <c r="EQ77" s="132"/>
      <c r="ER77" s="132"/>
      <c r="ES77" s="132"/>
      <c r="ET77" s="132"/>
      <c r="EU77" s="132"/>
      <c r="EV77" s="132"/>
      <c r="EW77" s="132"/>
      <c r="EX77" s="132"/>
      <c r="EY77" s="132"/>
      <c r="EZ77" s="132"/>
      <c r="FA77" s="132">
        <f t="shared" si="79"/>
        <v>0</v>
      </c>
      <c r="FB77" s="181"/>
      <c r="FC77" s="181"/>
      <c r="FD77" s="181"/>
      <c r="FE77" s="181"/>
      <c r="FF77" s="181"/>
      <c r="FG77" s="181"/>
      <c r="FH77" s="181"/>
      <c r="FI77" s="181"/>
      <c r="FJ77" s="181"/>
      <c r="FK77" s="181"/>
      <c r="FL77" s="181"/>
      <c r="FM77" s="181"/>
      <c r="FN77" s="132">
        <f t="shared" si="80"/>
        <v>0</v>
      </c>
      <c r="FO77" s="132"/>
      <c r="FP77" s="132"/>
      <c r="FQ77" s="132"/>
      <c r="FR77" s="132"/>
      <c r="FS77" s="132"/>
      <c r="FT77" s="132"/>
      <c r="FU77" s="132"/>
      <c r="FV77" s="132"/>
      <c r="FW77" s="132"/>
      <c r="FX77" s="132"/>
      <c r="FY77" s="132"/>
      <c r="FZ77" s="132"/>
      <c r="GA77" s="132">
        <f t="shared" si="81"/>
        <v>0</v>
      </c>
      <c r="GB77" s="181"/>
      <c r="GC77" s="181"/>
      <c r="GD77" s="181"/>
      <c r="GE77" s="181"/>
      <c r="GF77" s="181"/>
      <c r="GG77" s="181"/>
      <c r="GH77" s="181"/>
      <c r="GI77" s="181"/>
      <c r="GJ77" s="181"/>
      <c r="GK77" s="181"/>
      <c r="GL77" s="181"/>
      <c r="GM77" s="181"/>
      <c r="GN77" s="181">
        <f t="shared" si="82"/>
        <v>0</v>
      </c>
      <c r="GO77" s="137"/>
      <c r="GP77" s="137"/>
      <c r="GQ77" s="137"/>
      <c r="GR77" s="137"/>
      <c r="GS77" s="137"/>
      <c r="GT77" s="137"/>
      <c r="GU77" s="137"/>
      <c r="GV77" s="137"/>
      <c r="GW77" s="137"/>
      <c r="GX77" s="137"/>
      <c r="GY77" s="137"/>
      <c r="GZ77" s="137"/>
      <c r="HA77" s="132">
        <f t="shared" si="83"/>
        <v>0</v>
      </c>
      <c r="HB77" s="181"/>
      <c r="HC77" s="181"/>
      <c r="HD77" s="181"/>
      <c r="HE77" s="181"/>
      <c r="HF77" s="181"/>
      <c r="HG77" s="181"/>
      <c r="HH77" s="181"/>
      <c r="HI77" s="181"/>
      <c r="HJ77" s="181"/>
      <c r="HK77" s="181"/>
      <c r="HL77" s="181"/>
      <c r="HM77" s="181"/>
      <c r="HN77" s="181">
        <f t="shared" si="84"/>
        <v>0</v>
      </c>
      <c r="HO77" s="132"/>
      <c r="HP77" s="132"/>
      <c r="HQ77" s="132"/>
      <c r="HR77" s="132"/>
      <c r="HS77" s="132"/>
      <c r="HT77" s="132"/>
      <c r="HU77" s="132"/>
      <c r="HV77" s="132"/>
      <c r="HW77" s="132"/>
      <c r="HX77" s="132"/>
      <c r="HY77" s="132"/>
      <c r="HZ77" s="132"/>
      <c r="IA77" s="132">
        <f t="shared" si="85"/>
        <v>0</v>
      </c>
      <c r="IB77" s="181"/>
      <c r="IC77" s="181"/>
      <c r="ID77" s="181"/>
      <c r="IE77" s="181"/>
      <c r="IF77" s="181"/>
      <c r="IG77" s="181"/>
      <c r="IH77" s="181"/>
      <c r="II77" s="181"/>
      <c r="IJ77" s="181"/>
      <c r="IK77" s="181"/>
      <c r="IL77" s="181"/>
      <c r="IM77" s="181"/>
      <c r="IN77" s="181">
        <f t="shared" si="86"/>
        <v>0</v>
      </c>
      <c r="IO77" s="181"/>
      <c r="IP77" s="181"/>
      <c r="IQ77" s="181"/>
      <c r="IR77" s="181"/>
      <c r="IS77" s="181"/>
      <c r="IT77" s="181"/>
      <c r="IU77" s="181"/>
      <c r="IV77" s="181"/>
      <c r="IW77" s="181"/>
      <c r="IX77" s="181"/>
      <c r="IY77" s="181"/>
      <c r="IZ77" s="181"/>
      <c r="JA77" s="181">
        <f t="shared" si="87"/>
        <v>0</v>
      </c>
      <c r="JC77" s="135">
        <f t="shared" si="88"/>
        <v>0</v>
      </c>
      <c r="JD77" s="135">
        <f t="shared" si="89"/>
        <v>0</v>
      </c>
      <c r="JE77" s="135">
        <f t="shared" si="90"/>
        <v>0</v>
      </c>
      <c r="JF77" s="135">
        <f t="shared" si="91"/>
        <v>0</v>
      </c>
      <c r="JG77" s="135">
        <f t="shared" si="92"/>
        <v>0</v>
      </c>
      <c r="JH77" s="135">
        <f t="shared" si="93"/>
        <v>0</v>
      </c>
      <c r="JI77" s="135">
        <f t="shared" si="94"/>
        <v>0</v>
      </c>
      <c r="JJ77" s="135">
        <f t="shared" si="95"/>
        <v>0</v>
      </c>
      <c r="JK77" s="135">
        <f t="shared" si="96"/>
        <v>0</v>
      </c>
      <c r="JL77" s="135">
        <f t="shared" si="97"/>
        <v>0</v>
      </c>
      <c r="JM77" s="135">
        <f t="shared" si="98"/>
        <v>0</v>
      </c>
      <c r="JN77" s="135">
        <f t="shared" si="99"/>
        <v>0</v>
      </c>
      <c r="JO77" s="132">
        <f t="shared" si="100"/>
        <v>0</v>
      </c>
      <c r="JQ77" s="139">
        <f t="shared" si="101"/>
        <v>0</v>
      </c>
    </row>
    <row r="78" spans="1:277" x14ac:dyDescent="0.25">
      <c r="A78" s="13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2">
        <f t="shared" si="68"/>
        <v>0</v>
      </c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2">
        <f t="shared" si="69"/>
        <v>0</v>
      </c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2">
        <f t="shared" si="70"/>
        <v>0</v>
      </c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2">
        <f t="shared" si="71"/>
        <v>0</v>
      </c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2">
        <f t="shared" si="72"/>
        <v>0</v>
      </c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2">
        <f t="shared" si="73"/>
        <v>0</v>
      </c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2">
        <f t="shared" si="74"/>
        <v>0</v>
      </c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2">
        <f t="shared" si="75"/>
        <v>0</v>
      </c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2">
        <f t="shared" si="76"/>
        <v>0</v>
      </c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2">
        <f t="shared" si="77"/>
        <v>0</v>
      </c>
      <c r="EB78" s="216"/>
      <c r="EC78" s="216"/>
      <c r="ED78" s="216"/>
      <c r="EE78" s="216"/>
      <c r="EF78" s="216"/>
      <c r="EG78" s="216"/>
      <c r="EH78" s="216"/>
      <c r="EI78" s="216"/>
      <c r="EJ78" s="216"/>
      <c r="EK78" s="216"/>
      <c r="EL78" s="216"/>
      <c r="EM78" s="216"/>
      <c r="EN78" s="132">
        <f t="shared" si="78"/>
        <v>0</v>
      </c>
      <c r="EO78" s="132"/>
      <c r="EP78" s="132"/>
      <c r="EQ78" s="132"/>
      <c r="ER78" s="132"/>
      <c r="ES78" s="132"/>
      <c r="ET78" s="132"/>
      <c r="EU78" s="132"/>
      <c r="EV78" s="132"/>
      <c r="EW78" s="132"/>
      <c r="EX78" s="132"/>
      <c r="EY78" s="132"/>
      <c r="EZ78" s="132"/>
      <c r="FA78" s="132">
        <f t="shared" si="79"/>
        <v>0</v>
      </c>
      <c r="FB78" s="181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32">
        <f t="shared" si="80"/>
        <v>0</v>
      </c>
      <c r="FO78" s="132"/>
      <c r="FP78" s="132"/>
      <c r="FQ78" s="132"/>
      <c r="FR78" s="132"/>
      <c r="FS78" s="132"/>
      <c r="FT78" s="132"/>
      <c r="FU78" s="132"/>
      <c r="FV78" s="132"/>
      <c r="FW78" s="132"/>
      <c r="FX78" s="132"/>
      <c r="FY78" s="132"/>
      <c r="FZ78" s="132"/>
      <c r="GA78" s="132">
        <f t="shared" si="81"/>
        <v>0</v>
      </c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>
        <f t="shared" si="82"/>
        <v>0</v>
      </c>
      <c r="GO78" s="137"/>
      <c r="GP78" s="137"/>
      <c r="GQ78" s="137"/>
      <c r="GR78" s="137"/>
      <c r="GS78" s="137"/>
      <c r="GT78" s="137"/>
      <c r="GU78" s="137"/>
      <c r="GV78" s="137"/>
      <c r="GW78" s="137"/>
      <c r="GX78" s="137"/>
      <c r="GY78" s="137"/>
      <c r="GZ78" s="137"/>
      <c r="HA78" s="132">
        <f t="shared" si="83"/>
        <v>0</v>
      </c>
      <c r="HB78" s="181"/>
      <c r="HC78" s="181"/>
      <c r="HD78" s="181"/>
      <c r="HE78" s="181"/>
      <c r="HF78" s="181"/>
      <c r="HG78" s="181"/>
      <c r="HH78" s="181"/>
      <c r="HI78" s="181"/>
      <c r="HJ78" s="181"/>
      <c r="HK78" s="181"/>
      <c r="HL78" s="181"/>
      <c r="HM78" s="181"/>
      <c r="HN78" s="181">
        <f t="shared" si="84"/>
        <v>0</v>
      </c>
      <c r="HO78" s="132"/>
      <c r="HP78" s="132"/>
      <c r="HQ78" s="132"/>
      <c r="HR78" s="132"/>
      <c r="HS78" s="132"/>
      <c r="HT78" s="132"/>
      <c r="HU78" s="132"/>
      <c r="HV78" s="132"/>
      <c r="HW78" s="132"/>
      <c r="HX78" s="132"/>
      <c r="HY78" s="132"/>
      <c r="HZ78" s="132"/>
      <c r="IA78" s="132">
        <f t="shared" si="85"/>
        <v>0</v>
      </c>
      <c r="IB78" s="181"/>
      <c r="IC78" s="181"/>
      <c r="ID78" s="181"/>
      <c r="IE78" s="181"/>
      <c r="IF78" s="181"/>
      <c r="IG78" s="181"/>
      <c r="IH78" s="181"/>
      <c r="II78" s="181"/>
      <c r="IJ78" s="181"/>
      <c r="IK78" s="181"/>
      <c r="IL78" s="181"/>
      <c r="IM78" s="181"/>
      <c r="IN78" s="181">
        <f t="shared" si="86"/>
        <v>0</v>
      </c>
      <c r="IO78" s="181"/>
      <c r="IP78" s="181"/>
      <c r="IQ78" s="181"/>
      <c r="IR78" s="181"/>
      <c r="IS78" s="181"/>
      <c r="IT78" s="181"/>
      <c r="IU78" s="181"/>
      <c r="IV78" s="181"/>
      <c r="IW78" s="181"/>
      <c r="IX78" s="181"/>
      <c r="IY78" s="181"/>
      <c r="IZ78" s="181"/>
      <c r="JA78" s="181">
        <f t="shared" si="87"/>
        <v>0</v>
      </c>
      <c r="JC78" s="135">
        <f t="shared" si="88"/>
        <v>0</v>
      </c>
      <c r="JD78" s="135">
        <f t="shared" si="89"/>
        <v>0</v>
      </c>
      <c r="JE78" s="135">
        <f t="shared" si="90"/>
        <v>0</v>
      </c>
      <c r="JF78" s="135">
        <f t="shared" si="91"/>
        <v>0</v>
      </c>
      <c r="JG78" s="135">
        <f t="shared" si="92"/>
        <v>0</v>
      </c>
      <c r="JH78" s="135">
        <f t="shared" si="93"/>
        <v>0</v>
      </c>
      <c r="JI78" s="135">
        <f t="shared" si="94"/>
        <v>0</v>
      </c>
      <c r="JJ78" s="135">
        <f t="shared" si="95"/>
        <v>0</v>
      </c>
      <c r="JK78" s="135">
        <f t="shared" si="96"/>
        <v>0</v>
      </c>
      <c r="JL78" s="135">
        <f t="shared" si="97"/>
        <v>0</v>
      </c>
      <c r="JM78" s="135">
        <f t="shared" si="98"/>
        <v>0</v>
      </c>
      <c r="JN78" s="135">
        <f t="shared" si="99"/>
        <v>0</v>
      </c>
      <c r="JO78" s="132">
        <f t="shared" si="100"/>
        <v>0</v>
      </c>
      <c r="JQ78" s="139">
        <f t="shared" si="101"/>
        <v>0</v>
      </c>
    </row>
    <row r="79" spans="1:277" x14ac:dyDescent="0.25">
      <c r="A79" s="13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2">
        <f t="shared" si="68"/>
        <v>0</v>
      </c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2">
        <f t="shared" si="69"/>
        <v>0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2">
        <f t="shared" si="70"/>
        <v>0</v>
      </c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2">
        <f t="shared" si="71"/>
        <v>0</v>
      </c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2">
        <f t="shared" si="72"/>
        <v>0</v>
      </c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2">
        <f t="shared" si="73"/>
        <v>0</v>
      </c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2">
        <f t="shared" si="74"/>
        <v>0</v>
      </c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2">
        <f t="shared" si="75"/>
        <v>0</v>
      </c>
      <c r="DB79" s="136"/>
      <c r="DC79" s="136"/>
      <c r="DD79" s="136"/>
      <c r="DE79" s="136"/>
      <c r="DF79" s="136"/>
      <c r="DG79" s="136"/>
      <c r="DH79" s="136"/>
      <c r="DI79" s="136"/>
      <c r="DJ79" s="136"/>
      <c r="DK79" s="136"/>
      <c r="DL79" s="136"/>
      <c r="DM79" s="136"/>
      <c r="DN79" s="132">
        <f t="shared" si="76"/>
        <v>0</v>
      </c>
      <c r="DO79" s="137"/>
      <c r="DP79" s="137"/>
      <c r="DQ79" s="137"/>
      <c r="DR79" s="137"/>
      <c r="DS79" s="137"/>
      <c r="DT79" s="137"/>
      <c r="DU79" s="137"/>
      <c r="DV79" s="137"/>
      <c r="DW79" s="137"/>
      <c r="DX79" s="137"/>
      <c r="DY79" s="137"/>
      <c r="DZ79" s="137"/>
      <c r="EA79" s="132">
        <f t="shared" si="77"/>
        <v>0</v>
      </c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132">
        <f t="shared" si="78"/>
        <v>0</v>
      </c>
      <c r="EO79" s="132"/>
      <c r="EP79" s="132"/>
      <c r="EQ79" s="132"/>
      <c r="ER79" s="132"/>
      <c r="ES79" s="132"/>
      <c r="ET79" s="132"/>
      <c r="EU79" s="132"/>
      <c r="EV79" s="132"/>
      <c r="EW79" s="132"/>
      <c r="EX79" s="132"/>
      <c r="EY79" s="132"/>
      <c r="EZ79" s="132"/>
      <c r="FA79" s="132">
        <f t="shared" si="79"/>
        <v>0</v>
      </c>
      <c r="FB79" s="181"/>
      <c r="FC79" s="181"/>
      <c r="FD79" s="181"/>
      <c r="FE79" s="181"/>
      <c r="FF79" s="181"/>
      <c r="FG79" s="181"/>
      <c r="FH79" s="181"/>
      <c r="FI79" s="181"/>
      <c r="FJ79" s="181"/>
      <c r="FK79" s="181"/>
      <c r="FL79" s="181"/>
      <c r="FM79" s="181"/>
      <c r="FN79" s="132">
        <f t="shared" si="80"/>
        <v>0</v>
      </c>
      <c r="FO79" s="132"/>
      <c r="FP79" s="132"/>
      <c r="FQ79" s="132"/>
      <c r="FR79" s="132"/>
      <c r="FS79" s="132"/>
      <c r="FT79" s="132"/>
      <c r="FU79" s="132"/>
      <c r="FV79" s="132"/>
      <c r="FW79" s="132"/>
      <c r="FX79" s="132"/>
      <c r="FY79" s="132"/>
      <c r="FZ79" s="132"/>
      <c r="GA79" s="132">
        <f t="shared" si="81"/>
        <v>0</v>
      </c>
      <c r="GB79" s="181"/>
      <c r="GC79" s="181"/>
      <c r="GD79" s="181"/>
      <c r="GE79" s="181"/>
      <c r="GF79" s="181"/>
      <c r="GG79" s="181"/>
      <c r="GH79" s="181"/>
      <c r="GI79" s="181"/>
      <c r="GJ79" s="181"/>
      <c r="GK79" s="181"/>
      <c r="GL79" s="181"/>
      <c r="GM79" s="181"/>
      <c r="GN79" s="181">
        <f t="shared" si="82"/>
        <v>0</v>
      </c>
      <c r="GO79" s="137"/>
      <c r="GP79" s="137"/>
      <c r="GQ79" s="137"/>
      <c r="GR79" s="137"/>
      <c r="GS79" s="137"/>
      <c r="GT79" s="137"/>
      <c r="GU79" s="137"/>
      <c r="GV79" s="137"/>
      <c r="GW79" s="137"/>
      <c r="GX79" s="137"/>
      <c r="GY79" s="137"/>
      <c r="GZ79" s="137"/>
      <c r="HA79" s="132">
        <f t="shared" si="83"/>
        <v>0</v>
      </c>
      <c r="HB79" s="181"/>
      <c r="HC79" s="181"/>
      <c r="HD79" s="181"/>
      <c r="HE79" s="181"/>
      <c r="HF79" s="181"/>
      <c r="HG79" s="181"/>
      <c r="HH79" s="181"/>
      <c r="HI79" s="181"/>
      <c r="HJ79" s="181"/>
      <c r="HK79" s="181"/>
      <c r="HL79" s="181"/>
      <c r="HM79" s="181"/>
      <c r="HN79" s="181">
        <f t="shared" si="84"/>
        <v>0</v>
      </c>
      <c r="HO79" s="132"/>
      <c r="HP79" s="132"/>
      <c r="HQ79" s="132"/>
      <c r="HR79" s="132"/>
      <c r="HS79" s="132"/>
      <c r="HT79" s="132"/>
      <c r="HU79" s="132"/>
      <c r="HV79" s="132"/>
      <c r="HW79" s="132"/>
      <c r="HX79" s="132"/>
      <c r="HY79" s="132"/>
      <c r="HZ79" s="132"/>
      <c r="IA79" s="132">
        <f t="shared" si="85"/>
        <v>0</v>
      </c>
      <c r="IB79" s="181"/>
      <c r="IC79" s="181"/>
      <c r="ID79" s="181"/>
      <c r="IE79" s="181"/>
      <c r="IF79" s="181"/>
      <c r="IG79" s="181"/>
      <c r="IH79" s="181"/>
      <c r="II79" s="181"/>
      <c r="IJ79" s="181"/>
      <c r="IK79" s="181"/>
      <c r="IL79" s="181"/>
      <c r="IM79" s="181"/>
      <c r="IN79" s="181">
        <f t="shared" si="86"/>
        <v>0</v>
      </c>
      <c r="IO79" s="181"/>
      <c r="IP79" s="181"/>
      <c r="IQ79" s="181"/>
      <c r="IR79" s="181"/>
      <c r="IS79" s="181"/>
      <c r="IT79" s="181"/>
      <c r="IU79" s="181"/>
      <c r="IV79" s="181"/>
      <c r="IW79" s="181"/>
      <c r="IX79" s="181"/>
      <c r="IY79" s="181"/>
      <c r="IZ79" s="181"/>
      <c r="JA79" s="181">
        <f t="shared" si="87"/>
        <v>0</v>
      </c>
      <c r="JC79" s="135">
        <f t="shared" si="88"/>
        <v>0</v>
      </c>
      <c r="JD79" s="135">
        <f t="shared" si="89"/>
        <v>0</v>
      </c>
      <c r="JE79" s="135">
        <f t="shared" si="90"/>
        <v>0</v>
      </c>
      <c r="JF79" s="135">
        <f t="shared" si="91"/>
        <v>0</v>
      </c>
      <c r="JG79" s="135">
        <f t="shared" si="92"/>
        <v>0</v>
      </c>
      <c r="JH79" s="135">
        <f t="shared" si="93"/>
        <v>0</v>
      </c>
      <c r="JI79" s="135">
        <f t="shared" si="94"/>
        <v>0</v>
      </c>
      <c r="JJ79" s="135">
        <f t="shared" si="95"/>
        <v>0</v>
      </c>
      <c r="JK79" s="135">
        <f t="shared" si="96"/>
        <v>0</v>
      </c>
      <c r="JL79" s="135">
        <f t="shared" si="97"/>
        <v>0</v>
      </c>
      <c r="JM79" s="135">
        <f t="shared" si="98"/>
        <v>0</v>
      </c>
      <c r="JN79" s="135">
        <f t="shared" si="99"/>
        <v>0</v>
      </c>
      <c r="JO79" s="132">
        <f t="shared" si="100"/>
        <v>0</v>
      </c>
      <c r="JQ79" s="139">
        <f t="shared" si="101"/>
        <v>0</v>
      </c>
    </row>
    <row r="80" spans="1:277" x14ac:dyDescent="0.25">
      <c r="A80" s="13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2">
        <f t="shared" si="68"/>
        <v>0</v>
      </c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2">
        <f t="shared" si="69"/>
        <v>0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2">
        <f t="shared" si="70"/>
        <v>0</v>
      </c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2">
        <f t="shared" si="71"/>
        <v>0</v>
      </c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2">
        <f t="shared" si="72"/>
        <v>0</v>
      </c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2">
        <f t="shared" si="73"/>
        <v>0</v>
      </c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2">
        <f t="shared" si="74"/>
        <v>0</v>
      </c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2">
        <f t="shared" si="75"/>
        <v>0</v>
      </c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2">
        <f t="shared" si="76"/>
        <v>0</v>
      </c>
      <c r="DO80" s="137"/>
      <c r="DP80" s="137"/>
      <c r="DQ80" s="137"/>
      <c r="DR80" s="137"/>
      <c r="DS80" s="137"/>
      <c r="DT80" s="137"/>
      <c r="DU80" s="137"/>
      <c r="DV80" s="137"/>
      <c r="DW80" s="137"/>
      <c r="DX80" s="137"/>
      <c r="DY80" s="137"/>
      <c r="DZ80" s="137"/>
      <c r="EA80" s="132">
        <f t="shared" si="77"/>
        <v>0</v>
      </c>
      <c r="EB80" s="216"/>
      <c r="EC80" s="216"/>
      <c r="ED80" s="216"/>
      <c r="EE80" s="216"/>
      <c r="EF80" s="216"/>
      <c r="EG80" s="216"/>
      <c r="EH80" s="216"/>
      <c r="EI80" s="216"/>
      <c r="EJ80" s="216"/>
      <c r="EK80" s="216"/>
      <c r="EL80" s="216"/>
      <c r="EM80" s="216"/>
      <c r="EN80" s="132">
        <f t="shared" si="78"/>
        <v>0</v>
      </c>
      <c r="EO80" s="132"/>
      <c r="EP80" s="132"/>
      <c r="EQ80" s="132"/>
      <c r="ER80" s="132"/>
      <c r="ES80" s="132"/>
      <c r="ET80" s="132"/>
      <c r="EU80" s="132"/>
      <c r="EV80" s="132"/>
      <c r="EW80" s="132"/>
      <c r="EX80" s="132"/>
      <c r="EY80" s="132"/>
      <c r="EZ80" s="132"/>
      <c r="FA80" s="132">
        <f t="shared" si="79"/>
        <v>0</v>
      </c>
      <c r="FB80" s="181"/>
      <c r="FC80" s="181"/>
      <c r="FD80" s="181"/>
      <c r="FE80" s="181"/>
      <c r="FF80" s="181"/>
      <c r="FG80" s="181"/>
      <c r="FH80" s="181"/>
      <c r="FI80" s="181"/>
      <c r="FJ80" s="181"/>
      <c r="FK80" s="181"/>
      <c r="FL80" s="181"/>
      <c r="FM80" s="181"/>
      <c r="FN80" s="132">
        <f t="shared" si="80"/>
        <v>0</v>
      </c>
      <c r="FO80" s="132"/>
      <c r="FP80" s="132"/>
      <c r="FQ80" s="132"/>
      <c r="FR80" s="132"/>
      <c r="FS80" s="132"/>
      <c r="FT80" s="132"/>
      <c r="FU80" s="132"/>
      <c r="FV80" s="132"/>
      <c r="FW80" s="132"/>
      <c r="FX80" s="132"/>
      <c r="FY80" s="132"/>
      <c r="FZ80" s="132"/>
      <c r="GA80" s="132">
        <f t="shared" si="81"/>
        <v>0</v>
      </c>
      <c r="GB80" s="181"/>
      <c r="GC80" s="181"/>
      <c r="GD80" s="181"/>
      <c r="GE80" s="181"/>
      <c r="GF80" s="181"/>
      <c r="GG80" s="181"/>
      <c r="GH80" s="181"/>
      <c r="GI80" s="181"/>
      <c r="GJ80" s="181"/>
      <c r="GK80" s="181"/>
      <c r="GL80" s="181"/>
      <c r="GM80" s="181"/>
      <c r="GN80" s="181">
        <f t="shared" si="82"/>
        <v>0</v>
      </c>
      <c r="GO80" s="137"/>
      <c r="GP80" s="137"/>
      <c r="GQ80" s="137"/>
      <c r="GR80" s="137"/>
      <c r="GS80" s="137"/>
      <c r="GT80" s="137"/>
      <c r="GU80" s="137"/>
      <c r="GV80" s="137"/>
      <c r="GW80" s="137"/>
      <c r="GX80" s="137"/>
      <c r="GY80" s="137"/>
      <c r="GZ80" s="137"/>
      <c r="HA80" s="132">
        <f t="shared" si="83"/>
        <v>0</v>
      </c>
      <c r="HB80" s="181"/>
      <c r="HC80" s="181"/>
      <c r="HD80" s="181"/>
      <c r="HE80" s="181"/>
      <c r="HF80" s="181"/>
      <c r="HG80" s="181"/>
      <c r="HH80" s="181"/>
      <c r="HI80" s="181"/>
      <c r="HJ80" s="181"/>
      <c r="HK80" s="181"/>
      <c r="HL80" s="181"/>
      <c r="HM80" s="181"/>
      <c r="HN80" s="181">
        <f t="shared" si="84"/>
        <v>0</v>
      </c>
      <c r="HO80" s="132"/>
      <c r="HP80" s="132"/>
      <c r="HQ80" s="132"/>
      <c r="HR80" s="132"/>
      <c r="HS80" s="132"/>
      <c r="HT80" s="132"/>
      <c r="HU80" s="132"/>
      <c r="HV80" s="132"/>
      <c r="HW80" s="132"/>
      <c r="HX80" s="132"/>
      <c r="HY80" s="132"/>
      <c r="HZ80" s="132"/>
      <c r="IA80" s="132">
        <f t="shared" si="85"/>
        <v>0</v>
      </c>
      <c r="IB80" s="181"/>
      <c r="IC80" s="181"/>
      <c r="ID80" s="181"/>
      <c r="IE80" s="181"/>
      <c r="IF80" s="181"/>
      <c r="IG80" s="181"/>
      <c r="IH80" s="181"/>
      <c r="II80" s="181"/>
      <c r="IJ80" s="181"/>
      <c r="IK80" s="181"/>
      <c r="IL80" s="181"/>
      <c r="IM80" s="181"/>
      <c r="IN80" s="181">
        <f t="shared" si="86"/>
        <v>0</v>
      </c>
      <c r="IO80" s="181"/>
      <c r="IP80" s="181"/>
      <c r="IQ80" s="181"/>
      <c r="IR80" s="181"/>
      <c r="IS80" s="181"/>
      <c r="IT80" s="181"/>
      <c r="IU80" s="181"/>
      <c r="IV80" s="181"/>
      <c r="IW80" s="181"/>
      <c r="IX80" s="181"/>
      <c r="IY80" s="181"/>
      <c r="IZ80" s="181"/>
      <c r="JA80" s="181">
        <f t="shared" si="87"/>
        <v>0</v>
      </c>
      <c r="JC80" s="135">
        <f t="shared" si="88"/>
        <v>0</v>
      </c>
      <c r="JD80" s="135">
        <f t="shared" si="89"/>
        <v>0</v>
      </c>
      <c r="JE80" s="135">
        <f t="shared" si="90"/>
        <v>0</v>
      </c>
      <c r="JF80" s="135">
        <f t="shared" si="91"/>
        <v>0</v>
      </c>
      <c r="JG80" s="135">
        <f t="shared" si="92"/>
        <v>0</v>
      </c>
      <c r="JH80" s="135">
        <f t="shared" si="93"/>
        <v>0</v>
      </c>
      <c r="JI80" s="135">
        <f t="shared" si="94"/>
        <v>0</v>
      </c>
      <c r="JJ80" s="135">
        <f t="shared" si="95"/>
        <v>0</v>
      </c>
      <c r="JK80" s="135">
        <f t="shared" si="96"/>
        <v>0</v>
      </c>
      <c r="JL80" s="135">
        <f t="shared" si="97"/>
        <v>0</v>
      </c>
      <c r="JM80" s="135">
        <f t="shared" si="98"/>
        <v>0</v>
      </c>
      <c r="JN80" s="135">
        <f t="shared" si="99"/>
        <v>0</v>
      </c>
      <c r="JO80" s="132">
        <f t="shared" si="100"/>
        <v>0</v>
      </c>
      <c r="JQ80" s="139">
        <f t="shared" si="101"/>
        <v>0</v>
      </c>
    </row>
    <row r="81" spans="1:277" x14ac:dyDescent="0.25">
      <c r="A81" s="13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2">
        <f t="shared" si="68"/>
        <v>0</v>
      </c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2">
        <f t="shared" si="69"/>
        <v>0</v>
      </c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2">
        <f t="shared" si="70"/>
        <v>0</v>
      </c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2">
        <f t="shared" si="71"/>
        <v>0</v>
      </c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2">
        <f t="shared" si="72"/>
        <v>0</v>
      </c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2">
        <f t="shared" si="73"/>
        <v>0</v>
      </c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2">
        <f t="shared" si="74"/>
        <v>0</v>
      </c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2">
        <f t="shared" si="75"/>
        <v>0</v>
      </c>
      <c r="DB81" s="136"/>
      <c r="DC81" s="136"/>
      <c r="DD81" s="136"/>
      <c r="DE81" s="136"/>
      <c r="DF81" s="136"/>
      <c r="DG81" s="136"/>
      <c r="DH81" s="136"/>
      <c r="DI81" s="136"/>
      <c r="DJ81" s="136"/>
      <c r="DK81" s="136"/>
      <c r="DL81" s="136"/>
      <c r="DM81" s="136"/>
      <c r="DN81" s="132">
        <f t="shared" si="76"/>
        <v>0</v>
      </c>
      <c r="DO81" s="137"/>
      <c r="DP81" s="137"/>
      <c r="DQ81" s="137"/>
      <c r="DR81" s="137"/>
      <c r="DS81" s="137"/>
      <c r="DT81" s="137"/>
      <c r="DU81" s="137"/>
      <c r="DV81" s="137"/>
      <c r="DW81" s="137"/>
      <c r="DX81" s="137"/>
      <c r="DY81" s="137"/>
      <c r="DZ81" s="137"/>
      <c r="EA81" s="132">
        <f t="shared" si="77"/>
        <v>0</v>
      </c>
      <c r="EB81" s="216"/>
      <c r="EC81" s="216"/>
      <c r="ED81" s="216"/>
      <c r="EE81" s="216"/>
      <c r="EF81" s="216"/>
      <c r="EG81" s="216"/>
      <c r="EH81" s="216"/>
      <c r="EI81" s="216"/>
      <c r="EJ81" s="216"/>
      <c r="EK81" s="216"/>
      <c r="EL81" s="216"/>
      <c r="EM81" s="216"/>
      <c r="EN81" s="132">
        <f t="shared" si="78"/>
        <v>0</v>
      </c>
      <c r="EO81" s="132"/>
      <c r="EP81" s="132"/>
      <c r="EQ81" s="132"/>
      <c r="ER81" s="132"/>
      <c r="ES81" s="132"/>
      <c r="ET81" s="132"/>
      <c r="EU81" s="132"/>
      <c r="EV81" s="132"/>
      <c r="EW81" s="132"/>
      <c r="EX81" s="132"/>
      <c r="EY81" s="132"/>
      <c r="EZ81" s="132"/>
      <c r="FA81" s="132">
        <f t="shared" si="79"/>
        <v>0</v>
      </c>
      <c r="FB81" s="181"/>
      <c r="FC81" s="181"/>
      <c r="FD81" s="181"/>
      <c r="FE81" s="181"/>
      <c r="FF81" s="181"/>
      <c r="FG81" s="181"/>
      <c r="FH81" s="181"/>
      <c r="FI81" s="181"/>
      <c r="FJ81" s="181"/>
      <c r="FK81" s="181"/>
      <c r="FL81" s="181"/>
      <c r="FM81" s="181"/>
      <c r="FN81" s="132">
        <f t="shared" si="80"/>
        <v>0</v>
      </c>
      <c r="FO81" s="132"/>
      <c r="FP81" s="132"/>
      <c r="FQ81" s="132"/>
      <c r="FR81" s="132"/>
      <c r="FS81" s="132"/>
      <c r="FT81" s="132"/>
      <c r="FU81" s="132"/>
      <c r="FV81" s="132"/>
      <c r="FW81" s="132"/>
      <c r="FX81" s="132"/>
      <c r="FY81" s="132"/>
      <c r="FZ81" s="132"/>
      <c r="GA81" s="132">
        <f t="shared" si="81"/>
        <v>0</v>
      </c>
      <c r="GB81" s="181"/>
      <c r="GC81" s="181"/>
      <c r="GD81" s="181"/>
      <c r="GE81" s="181"/>
      <c r="GF81" s="181"/>
      <c r="GG81" s="181"/>
      <c r="GH81" s="181"/>
      <c r="GI81" s="181"/>
      <c r="GJ81" s="181"/>
      <c r="GK81" s="181"/>
      <c r="GL81" s="181"/>
      <c r="GM81" s="181"/>
      <c r="GN81" s="181">
        <f t="shared" si="82"/>
        <v>0</v>
      </c>
      <c r="GO81" s="137"/>
      <c r="GP81" s="137"/>
      <c r="GQ81" s="137"/>
      <c r="GR81" s="137"/>
      <c r="GS81" s="137"/>
      <c r="GT81" s="137"/>
      <c r="GU81" s="137"/>
      <c r="GV81" s="137"/>
      <c r="GW81" s="137"/>
      <c r="GX81" s="137"/>
      <c r="GY81" s="137"/>
      <c r="GZ81" s="137"/>
      <c r="HA81" s="132">
        <f t="shared" si="83"/>
        <v>0</v>
      </c>
      <c r="HB81" s="181"/>
      <c r="HC81" s="181"/>
      <c r="HD81" s="181"/>
      <c r="HE81" s="181"/>
      <c r="HF81" s="181"/>
      <c r="HG81" s="181"/>
      <c r="HH81" s="181"/>
      <c r="HI81" s="181"/>
      <c r="HJ81" s="181"/>
      <c r="HK81" s="181"/>
      <c r="HL81" s="181"/>
      <c r="HM81" s="181"/>
      <c r="HN81" s="181">
        <f t="shared" si="84"/>
        <v>0</v>
      </c>
      <c r="HO81" s="132"/>
      <c r="HP81" s="132"/>
      <c r="HQ81" s="132"/>
      <c r="HR81" s="132"/>
      <c r="HS81" s="132"/>
      <c r="HT81" s="132"/>
      <c r="HU81" s="132"/>
      <c r="HV81" s="132"/>
      <c r="HW81" s="132"/>
      <c r="HX81" s="132"/>
      <c r="HY81" s="132"/>
      <c r="HZ81" s="132"/>
      <c r="IA81" s="132">
        <f t="shared" si="85"/>
        <v>0</v>
      </c>
      <c r="IB81" s="181"/>
      <c r="IC81" s="181"/>
      <c r="ID81" s="181"/>
      <c r="IE81" s="181"/>
      <c r="IF81" s="181"/>
      <c r="IG81" s="181"/>
      <c r="IH81" s="181"/>
      <c r="II81" s="181"/>
      <c r="IJ81" s="181"/>
      <c r="IK81" s="181"/>
      <c r="IL81" s="181"/>
      <c r="IM81" s="181"/>
      <c r="IN81" s="181">
        <f t="shared" si="86"/>
        <v>0</v>
      </c>
      <c r="IO81" s="181"/>
      <c r="IP81" s="181"/>
      <c r="IQ81" s="181"/>
      <c r="IR81" s="181"/>
      <c r="IS81" s="181"/>
      <c r="IT81" s="181"/>
      <c r="IU81" s="181"/>
      <c r="IV81" s="181"/>
      <c r="IW81" s="181"/>
      <c r="IX81" s="181"/>
      <c r="IY81" s="181"/>
      <c r="IZ81" s="181"/>
      <c r="JA81" s="181">
        <f t="shared" si="87"/>
        <v>0</v>
      </c>
      <c r="JC81" s="135">
        <f t="shared" si="88"/>
        <v>0</v>
      </c>
      <c r="JD81" s="135">
        <f t="shared" si="89"/>
        <v>0</v>
      </c>
      <c r="JE81" s="135">
        <f t="shared" si="90"/>
        <v>0</v>
      </c>
      <c r="JF81" s="135">
        <f t="shared" si="91"/>
        <v>0</v>
      </c>
      <c r="JG81" s="135">
        <f t="shared" si="92"/>
        <v>0</v>
      </c>
      <c r="JH81" s="135">
        <f t="shared" si="93"/>
        <v>0</v>
      </c>
      <c r="JI81" s="135">
        <f t="shared" si="94"/>
        <v>0</v>
      </c>
      <c r="JJ81" s="135">
        <f t="shared" si="95"/>
        <v>0</v>
      </c>
      <c r="JK81" s="135">
        <f t="shared" si="96"/>
        <v>0</v>
      </c>
      <c r="JL81" s="135">
        <f t="shared" si="97"/>
        <v>0</v>
      </c>
      <c r="JM81" s="135">
        <f t="shared" si="98"/>
        <v>0</v>
      </c>
      <c r="JN81" s="135">
        <f t="shared" si="99"/>
        <v>0</v>
      </c>
      <c r="JO81" s="132">
        <f t="shared" si="100"/>
        <v>0</v>
      </c>
      <c r="JQ81" s="139">
        <f t="shared" si="101"/>
        <v>0</v>
      </c>
    </row>
    <row r="82" spans="1:277" x14ac:dyDescent="0.25">
      <c r="A82" s="13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2">
        <f t="shared" si="68"/>
        <v>0</v>
      </c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2">
        <f t="shared" si="69"/>
        <v>0</v>
      </c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2">
        <f t="shared" si="70"/>
        <v>0</v>
      </c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2">
        <f t="shared" si="71"/>
        <v>0</v>
      </c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2">
        <f t="shared" si="72"/>
        <v>0</v>
      </c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2">
        <f t="shared" si="73"/>
        <v>0</v>
      </c>
      <c r="CB82" s="136"/>
      <c r="CC82" s="136"/>
      <c r="CD82" s="136"/>
      <c r="CE82" s="136"/>
      <c r="CF82" s="136"/>
      <c r="CG82" s="136"/>
      <c r="CH82" s="136"/>
      <c r="CI82" s="136"/>
      <c r="CJ82" s="136"/>
      <c r="CK82" s="136"/>
      <c r="CL82" s="136"/>
      <c r="CM82" s="136"/>
      <c r="CN82" s="132">
        <f t="shared" si="74"/>
        <v>0</v>
      </c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2">
        <f t="shared" si="75"/>
        <v>0</v>
      </c>
      <c r="DB82" s="136"/>
      <c r="DC82" s="136"/>
      <c r="DD82" s="136"/>
      <c r="DE82" s="136"/>
      <c r="DF82" s="136"/>
      <c r="DG82" s="136"/>
      <c r="DH82" s="136"/>
      <c r="DI82" s="136"/>
      <c r="DJ82" s="136"/>
      <c r="DK82" s="136"/>
      <c r="DL82" s="136"/>
      <c r="DM82" s="136"/>
      <c r="DN82" s="132">
        <f t="shared" si="76"/>
        <v>0</v>
      </c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2">
        <f t="shared" si="77"/>
        <v>0</v>
      </c>
      <c r="EB82" s="216"/>
      <c r="EC82" s="216"/>
      <c r="ED82" s="216"/>
      <c r="EE82" s="216"/>
      <c r="EF82" s="216"/>
      <c r="EG82" s="216"/>
      <c r="EH82" s="216"/>
      <c r="EI82" s="216"/>
      <c r="EJ82" s="216"/>
      <c r="EK82" s="216"/>
      <c r="EL82" s="216"/>
      <c r="EM82" s="216"/>
      <c r="EN82" s="132">
        <f t="shared" si="78"/>
        <v>0</v>
      </c>
      <c r="EO82" s="132"/>
      <c r="EP82" s="132"/>
      <c r="EQ82" s="132"/>
      <c r="ER82" s="132"/>
      <c r="ES82" s="132"/>
      <c r="ET82" s="132"/>
      <c r="EU82" s="132"/>
      <c r="EV82" s="132"/>
      <c r="EW82" s="132"/>
      <c r="EX82" s="132"/>
      <c r="EY82" s="132"/>
      <c r="EZ82" s="132"/>
      <c r="FA82" s="132">
        <f t="shared" si="79"/>
        <v>0</v>
      </c>
      <c r="FB82" s="181"/>
      <c r="FC82" s="181"/>
      <c r="FD82" s="181"/>
      <c r="FE82" s="181"/>
      <c r="FF82" s="181"/>
      <c r="FG82" s="181"/>
      <c r="FH82" s="181"/>
      <c r="FI82" s="181"/>
      <c r="FJ82" s="181"/>
      <c r="FK82" s="181"/>
      <c r="FL82" s="181"/>
      <c r="FM82" s="181"/>
      <c r="FN82" s="132">
        <f t="shared" si="80"/>
        <v>0</v>
      </c>
      <c r="FO82" s="132"/>
      <c r="FP82" s="132"/>
      <c r="FQ82" s="132"/>
      <c r="FR82" s="132"/>
      <c r="FS82" s="132"/>
      <c r="FT82" s="132"/>
      <c r="FU82" s="132"/>
      <c r="FV82" s="132"/>
      <c r="FW82" s="132"/>
      <c r="FX82" s="132"/>
      <c r="FY82" s="132"/>
      <c r="FZ82" s="132"/>
      <c r="GA82" s="132">
        <f t="shared" si="81"/>
        <v>0</v>
      </c>
      <c r="GB82" s="181"/>
      <c r="GC82" s="181"/>
      <c r="GD82" s="181"/>
      <c r="GE82" s="181"/>
      <c r="GF82" s="181"/>
      <c r="GG82" s="181"/>
      <c r="GH82" s="181"/>
      <c r="GI82" s="181"/>
      <c r="GJ82" s="181"/>
      <c r="GK82" s="181"/>
      <c r="GL82" s="181"/>
      <c r="GM82" s="181"/>
      <c r="GN82" s="181">
        <f t="shared" si="82"/>
        <v>0</v>
      </c>
      <c r="GO82" s="137"/>
      <c r="GP82" s="137"/>
      <c r="GQ82" s="137"/>
      <c r="GR82" s="137"/>
      <c r="GS82" s="137"/>
      <c r="GT82" s="137"/>
      <c r="GU82" s="137"/>
      <c r="GV82" s="137"/>
      <c r="GW82" s="137"/>
      <c r="GX82" s="137"/>
      <c r="GY82" s="137"/>
      <c r="GZ82" s="137"/>
      <c r="HA82" s="132">
        <f t="shared" si="83"/>
        <v>0</v>
      </c>
      <c r="HB82" s="181"/>
      <c r="HC82" s="181"/>
      <c r="HD82" s="181"/>
      <c r="HE82" s="181"/>
      <c r="HF82" s="181"/>
      <c r="HG82" s="181"/>
      <c r="HH82" s="181"/>
      <c r="HI82" s="181"/>
      <c r="HJ82" s="181"/>
      <c r="HK82" s="181"/>
      <c r="HL82" s="181"/>
      <c r="HM82" s="181"/>
      <c r="HN82" s="181">
        <f t="shared" si="84"/>
        <v>0</v>
      </c>
      <c r="HO82" s="132"/>
      <c r="HP82" s="132"/>
      <c r="HQ82" s="132"/>
      <c r="HR82" s="132"/>
      <c r="HS82" s="132"/>
      <c r="HT82" s="132"/>
      <c r="HU82" s="132"/>
      <c r="HV82" s="132"/>
      <c r="HW82" s="132"/>
      <c r="HX82" s="132"/>
      <c r="HY82" s="132"/>
      <c r="HZ82" s="132"/>
      <c r="IA82" s="132">
        <f t="shared" si="85"/>
        <v>0</v>
      </c>
      <c r="IB82" s="181"/>
      <c r="IC82" s="181"/>
      <c r="ID82" s="181"/>
      <c r="IE82" s="181"/>
      <c r="IF82" s="181"/>
      <c r="IG82" s="181"/>
      <c r="IH82" s="181"/>
      <c r="II82" s="181"/>
      <c r="IJ82" s="181"/>
      <c r="IK82" s="181"/>
      <c r="IL82" s="181"/>
      <c r="IM82" s="181"/>
      <c r="IN82" s="181">
        <f t="shared" si="86"/>
        <v>0</v>
      </c>
      <c r="IO82" s="181"/>
      <c r="IP82" s="181"/>
      <c r="IQ82" s="181"/>
      <c r="IR82" s="181"/>
      <c r="IS82" s="181"/>
      <c r="IT82" s="181"/>
      <c r="IU82" s="181"/>
      <c r="IV82" s="181"/>
      <c r="IW82" s="181"/>
      <c r="IX82" s="181"/>
      <c r="IY82" s="181"/>
      <c r="IZ82" s="181"/>
      <c r="JA82" s="181">
        <f t="shared" si="87"/>
        <v>0</v>
      </c>
      <c r="JC82" s="135">
        <f t="shared" si="88"/>
        <v>0</v>
      </c>
      <c r="JD82" s="135">
        <f t="shared" si="89"/>
        <v>0</v>
      </c>
      <c r="JE82" s="135">
        <f t="shared" si="90"/>
        <v>0</v>
      </c>
      <c r="JF82" s="135">
        <f t="shared" si="91"/>
        <v>0</v>
      </c>
      <c r="JG82" s="135">
        <f t="shared" si="92"/>
        <v>0</v>
      </c>
      <c r="JH82" s="135">
        <f t="shared" si="93"/>
        <v>0</v>
      </c>
      <c r="JI82" s="135">
        <f t="shared" si="94"/>
        <v>0</v>
      </c>
      <c r="JJ82" s="135">
        <f t="shared" si="95"/>
        <v>0</v>
      </c>
      <c r="JK82" s="135">
        <f t="shared" si="96"/>
        <v>0</v>
      </c>
      <c r="JL82" s="135">
        <f t="shared" si="97"/>
        <v>0</v>
      </c>
      <c r="JM82" s="135">
        <f t="shared" si="98"/>
        <v>0</v>
      </c>
      <c r="JN82" s="135">
        <f t="shared" si="99"/>
        <v>0</v>
      </c>
      <c r="JO82" s="132">
        <f t="shared" si="100"/>
        <v>0</v>
      </c>
      <c r="JQ82" s="139">
        <f t="shared" si="101"/>
        <v>0</v>
      </c>
    </row>
    <row r="83" spans="1:277" x14ac:dyDescent="0.25">
      <c r="A83" s="13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>
        <f t="shared" si="68"/>
        <v>0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2">
        <f t="shared" si="69"/>
        <v>0</v>
      </c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2">
        <f t="shared" si="70"/>
        <v>0</v>
      </c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2">
        <f t="shared" si="71"/>
        <v>0</v>
      </c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2">
        <f t="shared" si="72"/>
        <v>0</v>
      </c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2">
        <f t="shared" si="73"/>
        <v>0</v>
      </c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2">
        <f t="shared" si="74"/>
        <v>0</v>
      </c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2">
        <f t="shared" si="75"/>
        <v>0</v>
      </c>
      <c r="DB83" s="136"/>
      <c r="DC83" s="136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2">
        <f t="shared" si="76"/>
        <v>0</v>
      </c>
      <c r="DO83" s="137"/>
      <c r="DP83" s="137"/>
      <c r="DQ83" s="137"/>
      <c r="DR83" s="137"/>
      <c r="DS83" s="137"/>
      <c r="DT83" s="137"/>
      <c r="DU83" s="137"/>
      <c r="DV83" s="137"/>
      <c r="DW83" s="137"/>
      <c r="DX83" s="137"/>
      <c r="DY83" s="137"/>
      <c r="DZ83" s="137"/>
      <c r="EA83" s="132">
        <f t="shared" si="77"/>
        <v>0</v>
      </c>
      <c r="EB83" s="216"/>
      <c r="EC83" s="216"/>
      <c r="ED83" s="216"/>
      <c r="EE83" s="216"/>
      <c r="EF83" s="216"/>
      <c r="EG83" s="216"/>
      <c r="EH83" s="216"/>
      <c r="EI83" s="216"/>
      <c r="EJ83" s="216"/>
      <c r="EK83" s="216"/>
      <c r="EL83" s="216"/>
      <c r="EM83" s="216"/>
      <c r="EN83" s="132">
        <f t="shared" si="78"/>
        <v>0</v>
      </c>
      <c r="EO83" s="132"/>
      <c r="EP83" s="132"/>
      <c r="EQ83" s="132"/>
      <c r="ER83" s="132"/>
      <c r="ES83" s="132"/>
      <c r="ET83" s="132"/>
      <c r="EU83" s="132"/>
      <c r="EV83" s="132"/>
      <c r="EW83" s="132"/>
      <c r="EX83" s="132"/>
      <c r="EY83" s="132"/>
      <c r="EZ83" s="132"/>
      <c r="FA83" s="132">
        <f t="shared" si="79"/>
        <v>0</v>
      </c>
      <c r="FB83" s="181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32">
        <f t="shared" si="80"/>
        <v>0</v>
      </c>
      <c r="FO83" s="132"/>
      <c r="FP83" s="132"/>
      <c r="FQ83" s="132"/>
      <c r="FR83" s="132"/>
      <c r="FS83" s="132"/>
      <c r="FT83" s="132"/>
      <c r="FU83" s="132"/>
      <c r="FV83" s="132"/>
      <c r="FW83" s="132"/>
      <c r="FX83" s="132"/>
      <c r="FY83" s="132"/>
      <c r="FZ83" s="132"/>
      <c r="GA83" s="132">
        <f t="shared" si="81"/>
        <v>0</v>
      </c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>
        <f t="shared" si="82"/>
        <v>0</v>
      </c>
      <c r="GO83" s="137"/>
      <c r="GP83" s="137"/>
      <c r="GQ83" s="137"/>
      <c r="GR83" s="137"/>
      <c r="GS83" s="137"/>
      <c r="GT83" s="137"/>
      <c r="GU83" s="137"/>
      <c r="GV83" s="137"/>
      <c r="GW83" s="137"/>
      <c r="GX83" s="137"/>
      <c r="GY83" s="137"/>
      <c r="GZ83" s="137"/>
      <c r="HA83" s="132">
        <f t="shared" si="83"/>
        <v>0</v>
      </c>
      <c r="HB83" s="181"/>
      <c r="HC83" s="181"/>
      <c r="HD83" s="181"/>
      <c r="HE83" s="181"/>
      <c r="HF83" s="181"/>
      <c r="HG83" s="181"/>
      <c r="HH83" s="181"/>
      <c r="HI83" s="181"/>
      <c r="HJ83" s="181"/>
      <c r="HK83" s="181"/>
      <c r="HL83" s="181"/>
      <c r="HM83" s="181"/>
      <c r="HN83" s="181">
        <f t="shared" si="84"/>
        <v>0</v>
      </c>
      <c r="HO83" s="132"/>
      <c r="HP83" s="132"/>
      <c r="HQ83" s="132"/>
      <c r="HR83" s="132"/>
      <c r="HS83" s="132"/>
      <c r="HT83" s="132"/>
      <c r="HU83" s="132"/>
      <c r="HV83" s="132"/>
      <c r="HW83" s="132"/>
      <c r="HX83" s="132"/>
      <c r="HY83" s="132"/>
      <c r="HZ83" s="132"/>
      <c r="IA83" s="132">
        <f t="shared" si="85"/>
        <v>0</v>
      </c>
      <c r="IB83" s="181"/>
      <c r="IC83" s="181"/>
      <c r="ID83" s="181"/>
      <c r="IE83" s="181"/>
      <c r="IF83" s="181"/>
      <c r="IG83" s="181"/>
      <c r="IH83" s="181"/>
      <c r="II83" s="181"/>
      <c r="IJ83" s="181"/>
      <c r="IK83" s="181"/>
      <c r="IL83" s="181"/>
      <c r="IM83" s="181"/>
      <c r="IN83" s="181">
        <f t="shared" si="86"/>
        <v>0</v>
      </c>
      <c r="IO83" s="181"/>
      <c r="IP83" s="181"/>
      <c r="IQ83" s="181"/>
      <c r="IR83" s="181"/>
      <c r="IS83" s="181"/>
      <c r="IT83" s="181"/>
      <c r="IU83" s="181"/>
      <c r="IV83" s="181"/>
      <c r="IW83" s="181"/>
      <c r="IX83" s="181"/>
      <c r="IY83" s="181"/>
      <c r="IZ83" s="181"/>
      <c r="JA83" s="181">
        <f t="shared" si="87"/>
        <v>0</v>
      </c>
      <c r="JC83" s="135">
        <f t="shared" si="88"/>
        <v>0</v>
      </c>
      <c r="JD83" s="135">
        <f t="shared" si="89"/>
        <v>0</v>
      </c>
      <c r="JE83" s="135">
        <f t="shared" si="90"/>
        <v>0</v>
      </c>
      <c r="JF83" s="135">
        <f t="shared" si="91"/>
        <v>0</v>
      </c>
      <c r="JG83" s="135">
        <f t="shared" si="92"/>
        <v>0</v>
      </c>
      <c r="JH83" s="135">
        <f t="shared" si="93"/>
        <v>0</v>
      </c>
      <c r="JI83" s="135">
        <f t="shared" si="94"/>
        <v>0</v>
      </c>
      <c r="JJ83" s="135">
        <f t="shared" si="95"/>
        <v>0</v>
      </c>
      <c r="JK83" s="135">
        <f t="shared" si="96"/>
        <v>0</v>
      </c>
      <c r="JL83" s="135">
        <f t="shared" si="97"/>
        <v>0</v>
      </c>
      <c r="JM83" s="135">
        <f t="shared" si="98"/>
        <v>0</v>
      </c>
      <c r="JN83" s="135">
        <f t="shared" si="99"/>
        <v>0</v>
      </c>
      <c r="JO83" s="132">
        <f t="shared" si="100"/>
        <v>0</v>
      </c>
      <c r="JQ83" s="139">
        <f t="shared" si="101"/>
        <v>0</v>
      </c>
    </row>
    <row r="84" spans="1:277" x14ac:dyDescent="0.25">
      <c r="A84" s="13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2">
        <f t="shared" si="68"/>
        <v>0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2">
        <f t="shared" si="69"/>
        <v>0</v>
      </c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2">
        <f t="shared" si="70"/>
        <v>0</v>
      </c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2">
        <f t="shared" si="71"/>
        <v>0</v>
      </c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2">
        <f t="shared" si="72"/>
        <v>0</v>
      </c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2">
        <f t="shared" si="73"/>
        <v>0</v>
      </c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2">
        <f t="shared" si="74"/>
        <v>0</v>
      </c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2">
        <f t="shared" si="75"/>
        <v>0</v>
      </c>
      <c r="DB84" s="136"/>
      <c r="DC84" s="136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2">
        <f t="shared" si="76"/>
        <v>0</v>
      </c>
      <c r="DO84" s="137"/>
      <c r="DP84" s="137"/>
      <c r="DQ84" s="137"/>
      <c r="DR84" s="137"/>
      <c r="DS84" s="137"/>
      <c r="DT84" s="137"/>
      <c r="DU84" s="137"/>
      <c r="DV84" s="137"/>
      <c r="DW84" s="137"/>
      <c r="DX84" s="137"/>
      <c r="DY84" s="137"/>
      <c r="DZ84" s="137"/>
      <c r="EA84" s="132">
        <f t="shared" si="77"/>
        <v>0</v>
      </c>
      <c r="EB84" s="216"/>
      <c r="EC84" s="216"/>
      <c r="ED84" s="216"/>
      <c r="EE84" s="216"/>
      <c r="EF84" s="216"/>
      <c r="EG84" s="216"/>
      <c r="EH84" s="216"/>
      <c r="EI84" s="216"/>
      <c r="EJ84" s="216"/>
      <c r="EK84" s="216"/>
      <c r="EL84" s="216"/>
      <c r="EM84" s="216"/>
      <c r="EN84" s="132">
        <f t="shared" si="78"/>
        <v>0</v>
      </c>
      <c r="EO84" s="132"/>
      <c r="EP84" s="132"/>
      <c r="EQ84" s="132"/>
      <c r="ER84" s="132"/>
      <c r="ES84" s="132"/>
      <c r="ET84" s="132"/>
      <c r="EU84" s="132"/>
      <c r="EV84" s="132"/>
      <c r="EW84" s="132"/>
      <c r="EX84" s="132"/>
      <c r="EY84" s="132"/>
      <c r="EZ84" s="132"/>
      <c r="FA84" s="132">
        <f t="shared" si="79"/>
        <v>0</v>
      </c>
      <c r="FB84" s="181"/>
      <c r="FC84" s="181"/>
      <c r="FD84" s="181"/>
      <c r="FE84" s="181"/>
      <c r="FF84" s="181"/>
      <c r="FG84" s="181"/>
      <c r="FH84" s="181"/>
      <c r="FI84" s="181"/>
      <c r="FJ84" s="181"/>
      <c r="FK84" s="181"/>
      <c r="FL84" s="181"/>
      <c r="FM84" s="181"/>
      <c r="FN84" s="132">
        <f t="shared" si="80"/>
        <v>0</v>
      </c>
      <c r="FO84" s="132"/>
      <c r="FP84" s="132"/>
      <c r="FQ84" s="132"/>
      <c r="FR84" s="132"/>
      <c r="FS84" s="132"/>
      <c r="FT84" s="132"/>
      <c r="FU84" s="132"/>
      <c r="FV84" s="132"/>
      <c r="FW84" s="132"/>
      <c r="FX84" s="132"/>
      <c r="FY84" s="132"/>
      <c r="FZ84" s="132"/>
      <c r="GA84" s="132">
        <f t="shared" si="81"/>
        <v>0</v>
      </c>
      <c r="GB84" s="181"/>
      <c r="GC84" s="181"/>
      <c r="GD84" s="181"/>
      <c r="GE84" s="181"/>
      <c r="GF84" s="181"/>
      <c r="GG84" s="181"/>
      <c r="GH84" s="181"/>
      <c r="GI84" s="181"/>
      <c r="GJ84" s="181"/>
      <c r="GK84" s="181"/>
      <c r="GL84" s="181"/>
      <c r="GM84" s="181"/>
      <c r="GN84" s="181">
        <f t="shared" si="82"/>
        <v>0</v>
      </c>
      <c r="GO84" s="137"/>
      <c r="GP84" s="137"/>
      <c r="GQ84" s="137"/>
      <c r="GR84" s="137"/>
      <c r="GS84" s="137"/>
      <c r="GT84" s="137"/>
      <c r="GU84" s="137"/>
      <c r="GV84" s="137"/>
      <c r="GW84" s="137"/>
      <c r="GX84" s="137"/>
      <c r="GY84" s="137"/>
      <c r="GZ84" s="137"/>
      <c r="HA84" s="132">
        <f t="shared" si="83"/>
        <v>0</v>
      </c>
      <c r="HB84" s="181"/>
      <c r="HC84" s="181"/>
      <c r="HD84" s="181"/>
      <c r="HE84" s="181"/>
      <c r="HF84" s="181"/>
      <c r="HG84" s="181"/>
      <c r="HH84" s="181"/>
      <c r="HI84" s="181"/>
      <c r="HJ84" s="181"/>
      <c r="HK84" s="181"/>
      <c r="HL84" s="181"/>
      <c r="HM84" s="181"/>
      <c r="HN84" s="181">
        <f t="shared" si="84"/>
        <v>0</v>
      </c>
      <c r="HO84" s="132"/>
      <c r="HP84" s="132"/>
      <c r="HQ84" s="132"/>
      <c r="HR84" s="132"/>
      <c r="HS84" s="132"/>
      <c r="HT84" s="132"/>
      <c r="HU84" s="132"/>
      <c r="HV84" s="132"/>
      <c r="HW84" s="132"/>
      <c r="HX84" s="132"/>
      <c r="HY84" s="132"/>
      <c r="HZ84" s="132"/>
      <c r="IA84" s="132">
        <f t="shared" si="85"/>
        <v>0</v>
      </c>
      <c r="IB84" s="181"/>
      <c r="IC84" s="181"/>
      <c r="ID84" s="181"/>
      <c r="IE84" s="181"/>
      <c r="IF84" s="181"/>
      <c r="IG84" s="181"/>
      <c r="IH84" s="181"/>
      <c r="II84" s="181"/>
      <c r="IJ84" s="181"/>
      <c r="IK84" s="181"/>
      <c r="IL84" s="181"/>
      <c r="IM84" s="181"/>
      <c r="IN84" s="181">
        <f t="shared" si="86"/>
        <v>0</v>
      </c>
      <c r="IO84" s="181"/>
      <c r="IP84" s="181"/>
      <c r="IQ84" s="181"/>
      <c r="IR84" s="181"/>
      <c r="IS84" s="181"/>
      <c r="IT84" s="181"/>
      <c r="IU84" s="181"/>
      <c r="IV84" s="181"/>
      <c r="IW84" s="181"/>
      <c r="IX84" s="181"/>
      <c r="IY84" s="181"/>
      <c r="IZ84" s="181"/>
      <c r="JA84" s="181">
        <f t="shared" si="87"/>
        <v>0</v>
      </c>
      <c r="JC84" s="135">
        <f t="shared" si="88"/>
        <v>0</v>
      </c>
      <c r="JD84" s="135">
        <f t="shared" si="89"/>
        <v>0</v>
      </c>
      <c r="JE84" s="135">
        <f t="shared" si="90"/>
        <v>0</v>
      </c>
      <c r="JF84" s="135">
        <f t="shared" si="91"/>
        <v>0</v>
      </c>
      <c r="JG84" s="135">
        <f t="shared" si="92"/>
        <v>0</v>
      </c>
      <c r="JH84" s="135">
        <f t="shared" si="93"/>
        <v>0</v>
      </c>
      <c r="JI84" s="135">
        <f t="shared" si="94"/>
        <v>0</v>
      </c>
      <c r="JJ84" s="135">
        <f t="shared" si="95"/>
        <v>0</v>
      </c>
      <c r="JK84" s="135">
        <f t="shared" si="96"/>
        <v>0</v>
      </c>
      <c r="JL84" s="135">
        <f t="shared" si="97"/>
        <v>0</v>
      </c>
      <c r="JM84" s="135">
        <f t="shared" si="98"/>
        <v>0</v>
      </c>
      <c r="JN84" s="135">
        <f t="shared" si="99"/>
        <v>0</v>
      </c>
      <c r="JO84" s="132">
        <f t="shared" si="100"/>
        <v>0</v>
      </c>
      <c r="JQ84" s="139">
        <f t="shared" si="101"/>
        <v>0</v>
      </c>
    </row>
    <row r="85" spans="1:277" x14ac:dyDescent="0.25">
      <c r="A85" s="13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2">
        <f t="shared" si="68"/>
        <v>0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2">
        <f t="shared" si="69"/>
        <v>0</v>
      </c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2">
        <f t="shared" si="70"/>
        <v>0</v>
      </c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2">
        <f t="shared" si="71"/>
        <v>0</v>
      </c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2">
        <f t="shared" si="72"/>
        <v>0</v>
      </c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2">
        <f t="shared" si="73"/>
        <v>0</v>
      </c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2">
        <f t="shared" si="74"/>
        <v>0</v>
      </c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2">
        <f t="shared" si="75"/>
        <v>0</v>
      </c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2">
        <f t="shared" si="76"/>
        <v>0</v>
      </c>
      <c r="DO85" s="137"/>
      <c r="DP85" s="137"/>
      <c r="DQ85" s="137"/>
      <c r="DR85" s="137"/>
      <c r="DS85" s="137"/>
      <c r="DT85" s="137"/>
      <c r="DU85" s="137"/>
      <c r="DV85" s="137"/>
      <c r="DW85" s="137"/>
      <c r="DX85" s="137"/>
      <c r="DY85" s="137"/>
      <c r="DZ85" s="137"/>
      <c r="EA85" s="132">
        <f t="shared" si="77"/>
        <v>0</v>
      </c>
      <c r="EB85" s="216"/>
      <c r="EC85" s="216"/>
      <c r="ED85" s="216"/>
      <c r="EE85" s="216"/>
      <c r="EF85" s="216"/>
      <c r="EG85" s="216"/>
      <c r="EH85" s="216"/>
      <c r="EI85" s="216"/>
      <c r="EJ85" s="216"/>
      <c r="EK85" s="216"/>
      <c r="EL85" s="216"/>
      <c r="EM85" s="216"/>
      <c r="EN85" s="132">
        <f t="shared" si="78"/>
        <v>0</v>
      </c>
      <c r="EO85" s="132"/>
      <c r="EP85" s="132"/>
      <c r="EQ85" s="132"/>
      <c r="ER85" s="132"/>
      <c r="ES85" s="132"/>
      <c r="ET85" s="132"/>
      <c r="EU85" s="132"/>
      <c r="EV85" s="132"/>
      <c r="EW85" s="132"/>
      <c r="EX85" s="132"/>
      <c r="EY85" s="132"/>
      <c r="EZ85" s="132"/>
      <c r="FA85" s="132">
        <f t="shared" si="79"/>
        <v>0</v>
      </c>
      <c r="FB85" s="181"/>
      <c r="FC85" s="181"/>
      <c r="FD85" s="181"/>
      <c r="FE85" s="181"/>
      <c r="FF85" s="181"/>
      <c r="FG85" s="181"/>
      <c r="FH85" s="181"/>
      <c r="FI85" s="181"/>
      <c r="FJ85" s="181"/>
      <c r="FK85" s="181"/>
      <c r="FL85" s="181"/>
      <c r="FM85" s="181"/>
      <c r="FN85" s="132">
        <f t="shared" si="80"/>
        <v>0</v>
      </c>
      <c r="FO85" s="132"/>
      <c r="FP85" s="132"/>
      <c r="FQ85" s="132"/>
      <c r="FR85" s="132"/>
      <c r="FS85" s="132"/>
      <c r="FT85" s="132"/>
      <c r="FU85" s="132"/>
      <c r="FV85" s="132"/>
      <c r="FW85" s="132"/>
      <c r="FX85" s="132"/>
      <c r="FY85" s="132"/>
      <c r="FZ85" s="132"/>
      <c r="GA85" s="132">
        <f t="shared" si="81"/>
        <v>0</v>
      </c>
      <c r="GB85" s="181"/>
      <c r="GC85" s="181"/>
      <c r="GD85" s="181"/>
      <c r="GE85" s="181"/>
      <c r="GF85" s="181"/>
      <c r="GG85" s="181"/>
      <c r="GH85" s="181"/>
      <c r="GI85" s="181"/>
      <c r="GJ85" s="181"/>
      <c r="GK85" s="181"/>
      <c r="GL85" s="181"/>
      <c r="GM85" s="181"/>
      <c r="GN85" s="181">
        <f t="shared" si="82"/>
        <v>0</v>
      </c>
      <c r="GO85" s="137"/>
      <c r="GP85" s="137"/>
      <c r="GQ85" s="137"/>
      <c r="GR85" s="137"/>
      <c r="GS85" s="137"/>
      <c r="GT85" s="137"/>
      <c r="GU85" s="137"/>
      <c r="GV85" s="137"/>
      <c r="GW85" s="137"/>
      <c r="GX85" s="137"/>
      <c r="GY85" s="137"/>
      <c r="GZ85" s="137"/>
      <c r="HA85" s="132">
        <f t="shared" si="83"/>
        <v>0</v>
      </c>
      <c r="HB85" s="181"/>
      <c r="HC85" s="181"/>
      <c r="HD85" s="181"/>
      <c r="HE85" s="181"/>
      <c r="HF85" s="181"/>
      <c r="HG85" s="181"/>
      <c r="HH85" s="181"/>
      <c r="HI85" s="181"/>
      <c r="HJ85" s="181"/>
      <c r="HK85" s="181"/>
      <c r="HL85" s="181"/>
      <c r="HM85" s="181"/>
      <c r="HN85" s="181">
        <f t="shared" si="84"/>
        <v>0</v>
      </c>
      <c r="HO85" s="132"/>
      <c r="HP85" s="132"/>
      <c r="HQ85" s="132"/>
      <c r="HR85" s="132"/>
      <c r="HS85" s="132"/>
      <c r="HT85" s="132"/>
      <c r="HU85" s="132"/>
      <c r="HV85" s="132"/>
      <c r="HW85" s="132"/>
      <c r="HX85" s="132"/>
      <c r="HY85" s="132"/>
      <c r="HZ85" s="132"/>
      <c r="IA85" s="132">
        <f t="shared" si="85"/>
        <v>0</v>
      </c>
      <c r="IB85" s="181"/>
      <c r="IC85" s="181"/>
      <c r="ID85" s="181"/>
      <c r="IE85" s="181"/>
      <c r="IF85" s="181"/>
      <c r="IG85" s="181"/>
      <c r="IH85" s="181"/>
      <c r="II85" s="181"/>
      <c r="IJ85" s="181"/>
      <c r="IK85" s="181"/>
      <c r="IL85" s="181"/>
      <c r="IM85" s="181"/>
      <c r="IN85" s="181">
        <f t="shared" si="86"/>
        <v>0</v>
      </c>
      <c r="IO85" s="181"/>
      <c r="IP85" s="181"/>
      <c r="IQ85" s="181"/>
      <c r="IR85" s="181"/>
      <c r="IS85" s="181"/>
      <c r="IT85" s="181"/>
      <c r="IU85" s="181"/>
      <c r="IV85" s="181"/>
      <c r="IW85" s="181"/>
      <c r="IX85" s="181"/>
      <c r="IY85" s="181"/>
      <c r="IZ85" s="181"/>
      <c r="JA85" s="181">
        <f t="shared" si="87"/>
        <v>0</v>
      </c>
      <c r="JC85" s="135">
        <f t="shared" si="88"/>
        <v>0</v>
      </c>
      <c r="JD85" s="135">
        <f t="shared" si="89"/>
        <v>0</v>
      </c>
      <c r="JE85" s="135">
        <f t="shared" si="90"/>
        <v>0</v>
      </c>
      <c r="JF85" s="135">
        <f t="shared" si="91"/>
        <v>0</v>
      </c>
      <c r="JG85" s="135">
        <f t="shared" si="92"/>
        <v>0</v>
      </c>
      <c r="JH85" s="135">
        <f t="shared" si="93"/>
        <v>0</v>
      </c>
      <c r="JI85" s="135">
        <f t="shared" si="94"/>
        <v>0</v>
      </c>
      <c r="JJ85" s="135">
        <f t="shared" si="95"/>
        <v>0</v>
      </c>
      <c r="JK85" s="135">
        <f t="shared" si="96"/>
        <v>0</v>
      </c>
      <c r="JL85" s="135">
        <f t="shared" si="97"/>
        <v>0</v>
      </c>
      <c r="JM85" s="135">
        <f t="shared" si="98"/>
        <v>0</v>
      </c>
      <c r="JN85" s="135">
        <f t="shared" si="99"/>
        <v>0</v>
      </c>
      <c r="JO85" s="132">
        <f t="shared" si="100"/>
        <v>0</v>
      </c>
      <c r="JQ85" s="139">
        <f t="shared" si="101"/>
        <v>0</v>
      </c>
    </row>
    <row r="86" spans="1:277" x14ac:dyDescent="0.25">
      <c r="A86" s="13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2">
        <f t="shared" si="68"/>
        <v>0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2">
        <f t="shared" si="69"/>
        <v>0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2">
        <f t="shared" si="70"/>
        <v>0</v>
      </c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2">
        <f t="shared" si="71"/>
        <v>0</v>
      </c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2">
        <f t="shared" si="72"/>
        <v>0</v>
      </c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2">
        <f t="shared" si="73"/>
        <v>0</v>
      </c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2">
        <f t="shared" si="74"/>
        <v>0</v>
      </c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2">
        <f t="shared" si="75"/>
        <v>0</v>
      </c>
      <c r="DB86" s="136"/>
      <c r="DC86" s="136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2">
        <f t="shared" si="76"/>
        <v>0</v>
      </c>
      <c r="DO86" s="137"/>
      <c r="DP86" s="137"/>
      <c r="DQ86" s="137"/>
      <c r="DR86" s="137"/>
      <c r="DS86" s="137"/>
      <c r="DT86" s="137"/>
      <c r="DU86" s="137"/>
      <c r="DV86" s="137"/>
      <c r="DW86" s="137"/>
      <c r="DX86" s="137"/>
      <c r="DY86" s="137"/>
      <c r="DZ86" s="137"/>
      <c r="EA86" s="132">
        <f t="shared" si="77"/>
        <v>0</v>
      </c>
      <c r="EB86" s="216"/>
      <c r="EC86" s="216"/>
      <c r="ED86" s="216"/>
      <c r="EE86" s="216"/>
      <c r="EF86" s="216"/>
      <c r="EG86" s="216"/>
      <c r="EH86" s="216"/>
      <c r="EI86" s="216"/>
      <c r="EJ86" s="216"/>
      <c r="EK86" s="216"/>
      <c r="EL86" s="216"/>
      <c r="EM86" s="216"/>
      <c r="EN86" s="132">
        <f t="shared" si="78"/>
        <v>0</v>
      </c>
      <c r="EO86" s="132"/>
      <c r="EP86" s="132"/>
      <c r="EQ86" s="132"/>
      <c r="ER86" s="132"/>
      <c r="ES86" s="132"/>
      <c r="ET86" s="132"/>
      <c r="EU86" s="132"/>
      <c r="EV86" s="132"/>
      <c r="EW86" s="132"/>
      <c r="EX86" s="132"/>
      <c r="EY86" s="132"/>
      <c r="EZ86" s="132"/>
      <c r="FA86" s="132">
        <f t="shared" si="79"/>
        <v>0</v>
      </c>
      <c r="FB86" s="181"/>
      <c r="FC86" s="181"/>
      <c r="FD86" s="181"/>
      <c r="FE86" s="181"/>
      <c r="FF86" s="181"/>
      <c r="FG86" s="181"/>
      <c r="FH86" s="181"/>
      <c r="FI86" s="181"/>
      <c r="FJ86" s="181"/>
      <c r="FK86" s="181"/>
      <c r="FL86" s="181"/>
      <c r="FM86" s="181"/>
      <c r="FN86" s="132">
        <f t="shared" si="80"/>
        <v>0</v>
      </c>
      <c r="FO86" s="132"/>
      <c r="FP86" s="132"/>
      <c r="FQ86" s="132"/>
      <c r="FR86" s="132"/>
      <c r="FS86" s="132"/>
      <c r="FT86" s="132"/>
      <c r="FU86" s="132"/>
      <c r="FV86" s="132"/>
      <c r="FW86" s="132"/>
      <c r="FX86" s="132"/>
      <c r="FY86" s="132"/>
      <c r="FZ86" s="132"/>
      <c r="GA86" s="132">
        <f t="shared" si="81"/>
        <v>0</v>
      </c>
      <c r="GB86" s="181"/>
      <c r="GC86" s="181"/>
      <c r="GD86" s="181"/>
      <c r="GE86" s="181"/>
      <c r="GF86" s="181"/>
      <c r="GG86" s="181"/>
      <c r="GH86" s="181"/>
      <c r="GI86" s="181"/>
      <c r="GJ86" s="181"/>
      <c r="GK86" s="181"/>
      <c r="GL86" s="181"/>
      <c r="GM86" s="181"/>
      <c r="GN86" s="181">
        <f t="shared" si="82"/>
        <v>0</v>
      </c>
      <c r="GO86" s="137"/>
      <c r="GP86" s="137"/>
      <c r="GQ86" s="137"/>
      <c r="GR86" s="137"/>
      <c r="GS86" s="137"/>
      <c r="GT86" s="137"/>
      <c r="GU86" s="137"/>
      <c r="GV86" s="137"/>
      <c r="GW86" s="137"/>
      <c r="GX86" s="137"/>
      <c r="GY86" s="137"/>
      <c r="GZ86" s="137"/>
      <c r="HA86" s="132">
        <f t="shared" si="83"/>
        <v>0</v>
      </c>
      <c r="HB86" s="181"/>
      <c r="HC86" s="181"/>
      <c r="HD86" s="181"/>
      <c r="HE86" s="181"/>
      <c r="HF86" s="181"/>
      <c r="HG86" s="181"/>
      <c r="HH86" s="181"/>
      <c r="HI86" s="181"/>
      <c r="HJ86" s="181"/>
      <c r="HK86" s="181"/>
      <c r="HL86" s="181"/>
      <c r="HM86" s="181"/>
      <c r="HN86" s="181">
        <f t="shared" si="84"/>
        <v>0</v>
      </c>
      <c r="HO86" s="132"/>
      <c r="HP86" s="132"/>
      <c r="HQ86" s="132"/>
      <c r="HR86" s="132"/>
      <c r="HS86" s="132"/>
      <c r="HT86" s="132"/>
      <c r="HU86" s="132"/>
      <c r="HV86" s="132"/>
      <c r="HW86" s="132"/>
      <c r="HX86" s="132"/>
      <c r="HY86" s="132"/>
      <c r="HZ86" s="132"/>
      <c r="IA86" s="132">
        <f t="shared" si="85"/>
        <v>0</v>
      </c>
      <c r="IB86" s="181"/>
      <c r="IC86" s="181"/>
      <c r="ID86" s="181"/>
      <c r="IE86" s="181"/>
      <c r="IF86" s="181"/>
      <c r="IG86" s="181"/>
      <c r="IH86" s="181"/>
      <c r="II86" s="181"/>
      <c r="IJ86" s="181"/>
      <c r="IK86" s="181"/>
      <c r="IL86" s="181"/>
      <c r="IM86" s="181"/>
      <c r="IN86" s="181">
        <f t="shared" si="86"/>
        <v>0</v>
      </c>
      <c r="IO86" s="181"/>
      <c r="IP86" s="181"/>
      <c r="IQ86" s="181"/>
      <c r="IR86" s="181"/>
      <c r="IS86" s="181"/>
      <c r="IT86" s="181"/>
      <c r="IU86" s="181"/>
      <c r="IV86" s="181"/>
      <c r="IW86" s="181"/>
      <c r="IX86" s="181"/>
      <c r="IY86" s="181"/>
      <c r="IZ86" s="181"/>
      <c r="JA86" s="181">
        <f t="shared" si="87"/>
        <v>0</v>
      </c>
      <c r="JC86" s="135">
        <f t="shared" si="88"/>
        <v>0</v>
      </c>
      <c r="JD86" s="135">
        <f t="shared" si="89"/>
        <v>0</v>
      </c>
      <c r="JE86" s="135">
        <f t="shared" si="90"/>
        <v>0</v>
      </c>
      <c r="JF86" s="135">
        <f t="shared" si="91"/>
        <v>0</v>
      </c>
      <c r="JG86" s="135">
        <f t="shared" si="92"/>
        <v>0</v>
      </c>
      <c r="JH86" s="135">
        <f t="shared" si="93"/>
        <v>0</v>
      </c>
      <c r="JI86" s="135">
        <f t="shared" si="94"/>
        <v>0</v>
      </c>
      <c r="JJ86" s="135">
        <f t="shared" si="95"/>
        <v>0</v>
      </c>
      <c r="JK86" s="135">
        <f t="shared" si="96"/>
        <v>0</v>
      </c>
      <c r="JL86" s="135">
        <f t="shared" si="97"/>
        <v>0</v>
      </c>
      <c r="JM86" s="135">
        <f t="shared" si="98"/>
        <v>0</v>
      </c>
      <c r="JN86" s="135">
        <f t="shared" si="99"/>
        <v>0</v>
      </c>
      <c r="JO86" s="132">
        <f t="shared" si="100"/>
        <v>0</v>
      </c>
      <c r="JQ86" s="139">
        <f t="shared" si="101"/>
        <v>0</v>
      </c>
    </row>
    <row r="87" spans="1:277" x14ac:dyDescent="0.25">
      <c r="A87" s="13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2">
        <f t="shared" si="68"/>
        <v>0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2">
        <f t="shared" si="69"/>
        <v>0</v>
      </c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2">
        <f t="shared" si="70"/>
        <v>0</v>
      </c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2">
        <f t="shared" si="71"/>
        <v>0</v>
      </c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2">
        <f t="shared" si="72"/>
        <v>0</v>
      </c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2">
        <f t="shared" si="73"/>
        <v>0</v>
      </c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2">
        <f t="shared" si="74"/>
        <v>0</v>
      </c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2">
        <f t="shared" si="75"/>
        <v>0</v>
      </c>
      <c r="DB87" s="136"/>
      <c r="DC87" s="136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2">
        <f t="shared" si="76"/>
        <v>0</v>
      </c>
      <c r="DO87" s="137"/>
      <c r="DP87" s="137"/>
      <c r="DQ87" s="137"/>
      <c r="DR87" s="137"/>
      <c r="DS87" s="137"/>
      <c r="DT87" s="137"/>
      <c r="DU87" s="137"/>
      <c r="DV87" s="137"/>
      <c r="DW87" s="137"/>
      <c r="DX87" s="137"/>
      <c r="DY87" s="137"/>
      <c r="DZ87" s="137"/>
      <c r="EA87" s="132">
        <f t="shared" si="77"/>
        <v>0</v>
      </c>
      <c r="EB87" s="216"/>
      <c r="EC87" s="216"/>
      <c r="ED87" s="216"/>
      <c r="EE87" s="216"/>
      <c r="EF87" s="216"/>
      <c r="EG87" s="216"/>
      <c r="EH87" s="216"/>
      <c r="EI87" s="216"/>
      <c r="EJ87" s="216"/>
      <c r="EK87" s="216"/>
      <c r="EL87" s="216"/>
      <c r="EM87" s="216"/>
      <c r="EN87" s="132">
        <f t="shared" si="78"/>
        <v>0</v>
      </c>
      <c r="EO87" s="132"/>
      <c r="EP87" s="132"/>
      <c r="EQ87" s="132"/>
      <c r="ER87" s="132"/>
      <c r="ES87" s="132"/>
      <c r="ET87" s="132"/>
      <c r="EU87" s="132"/>
      <c r="EV87" s="132"/>
      <c r="EW87" s="132"/>
      <c r="EX87" s="132"/>
      <c r="EY87" s="132"/>
      <c r="EZ87" s="132"/>
      <c r="FA87" s="132">
        <f t="shared" si="79"/>
        <v>0</v>
      </c>
      <c r="FB87" s="181"/>
      <c r="FC87" s="181"/>
      <c r="FD87" s="181"/>
      <c r="FE87" s="181"/>
      <c r="FF87" s="181"/>
      <c r="FG87" s="181"/>
      <c r="FH87" s="181"/>
      <c r="FI87" s="181"/>
      <c r="FJ87" s="181"/>
      <c r="FK87" s="181"/>
      <c r="FL87" s="181"/>
      <c r="FM87" s="181"/>
      <c r="FN87" s="132">
        <f t="shared" si="80"/>
        <v>0</v>
      </c>
      <c r="FO87" s="132"/>
      <c r="FP87" s="132"/>
      <c r="FQ87" s="132"/>
      <c r="FR87" s="132"/>
      <c r="FS87" s="132"/>
      <c r="FT87" s="132"/>
      <c r="FU87" s="132"/>
      <c r="FV87" s="132"/>
      <c r="FW87" s="132"/>
      <c r="FX87" s="132"/>
      <c r="FY87" s="132"/>
      <c r="FZ87" s="132"/>
      <c r="GA87" s="132">
        <f t="shared" si="81"/>
        <v>0</v>
      </c>
      <c r="GB87" s="181"/>
      <c r="GC87" s="181"/>
      <c r="GD87" s="181"/>
      <c r="GE87" s="181"/>
      <c r="GF87" s="181"/>
      <c r="GG87" s="181"/>
      <c r="GH87" s="181"/>
      <c r="GI87" s="181"/>
      <c r="GJ87" s="181"/>
      <c r="GK87" s="181"/>
      <c r="GL87" s="181"/>
      <c r="GM87" s="181"/>
      <c r="GN87" s="181">
        <f t="shared" si="82"/>
        <v>0</v>
      </c>
      <c r="GO87" s="137"/>
      <c r="GP87" s="137"/>
      <c r="GQ87" s="137"/>
      <c r="GR87" s="137"/>
      <c r="GS87" s="137"/>
      <c r="GT87" s="137"/>
      <c r="GU87" s="137"/>
      <c r="GV87" s="137"/>
      <c r="GW87" s="137"/>
      <c r="GX87" s="137"/>
      <c r="GY87" s="137"/>
      <c r="GZ87" s="137"/>
      <c r="HA87" s="132">
        <f t="shared" si="83"/>
        <v>0</v>
      </c>
      <c r="HB87" s="181"/>
      <c r="HC87" s="181"/>
      <c r="HD87" s="181"/>
      <c r="HE87" s="181"/>
      <c r="HF87" s="181"/>
      <c r="HG87" s="181"/>
      <c r="HH87" s="181"/>
      <c r="HI87" s="181"/>
      <c r="HJ87" s="181"/>
      <c r="HK87" s="181"/>
      <c r="HL87" s="181"/>
      <c r="HM87" s="181"/>
      <c r="HN87" s="181">
        <f t="shared" si="84"/>
        <v>0</v>
      </c>
      <c r="HO87" s="132"/>
      <c r="HP87" s="132"/>
      <c r="HQ87" s="132"/>
      <c r="HR87" s="132"/>
      <c r="HS87" s="132"/>
      <c r="HT87" s="132"/>
      <c r="HU87" s="132"/>
      <c r="HV87" s="132"/>
      <c r="HW87" s="132"/>
      <c r="HX87" s="132"/>
      <c r="HY87" s="132"/>
      <c r="HZ87" s="132"/>
      <c r="IA87" s="132">
        <f t="shared" si="85"/>
        <v>0</v>
      </c>
      <c r="IB87" s="181"/>
      <c r="IC87" s="181"/>
      <c r="ID87" s="181"/>
      <c r="IE87" s="181"/>
      <c r="IF87" s="181"/>
      <c r="IG87" s="181"/>
      <c r="IH87" s="181"/>
      <c r="II87" s="181"/>
      <c r="IJ87" s="181"/>
      <c r="IK87" s="181"/>
      <c r="IL87" s="181"/>
      <c r="IM87" s="181"/>
      <c r="IN87" s="181">
        <f t="shared" si="86"/>
        <v>0</v>
      </c>
      <c r="IO87" s="181"/>
      <c r="IP87" s="181"/>
      <c r="IQ87" s="181"/>
      <c r="IR87" s="181"/>
      <c r="IS87" s="181"/>
      <c r="IT87" s="181"/>
      <c r="IU87" s="181"/>
      <c r="IV87" s="181"/>
      <c r="IW87" s="181"/>
      <c r="IX87" s="181"/>
      <c r="IY87" s="181"/>
      <c r="IZ87" s="181"/>
      <c r="JA87" s="181">
        <f t="shared" si="87"/>
        <v>0</v>
      </c>
      <c r="JC87" s="135">
        <f t="shared" si="88"/>
        <v>0</v>
      </c>
      <c r="JD87" s="135">
        <f t="shared" si="89"/>
        <v>0</v>
      </c>
      <c r="JE87" s="135">
        <f t="shared" si="90"/>
        <v>0</v>
      </c>
      <c r="JF87" s="135">
        <f t="shared" si="91"/>
        <v>0</v>
      </c>
      <c r="JG87" s="135">
        <f t="shared" si="92"/>
        <v>0</v>
      </c>
      <c r="JH87" s="135">
        <f t="shared" si="93"/>
        <v>0</v>
      </c>
      <c r="JI87" s="135">
        <f t="shared" si="94"/>
        <v>0</v>
      </c>
      <c r="JJ87" s="135">
        <f t="shared" si="95"/>
        <v>0</v>
      </c>
      <c r="JK87" s="135">
        <f t="shared" si="96"/>
        <v>0</v>
      </c>
      <c r="JL87" s="135">
        <f t="shared" si="97"/>
        <v>0</v>
      </c>
      <c r="JM87" s="135">
        <f t="shared" si="98"/>
        <v>0</v>
      </c>
      <c r="JN87" s="135">
        <f t="shared" si="99"/>
        <v>0</v>
      </c>
      <c r="JO87" s="132">
        <f t="shared" si="100"/>
        <v>0</v>
      </c>
      <c r="JQ87" s="139">
        <f t="shared" si="101"/>
        <v>0</v>
      </c>
    </row>
    <row r="88" spans="1:277" x14ac:dyDescent="0.25">
      <c r="A88" s="13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2">
        <f t="shared" si="68"/>
        <v>0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2">
        <f t="shared" si="69"/>
        <v>0</v>
      </c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2">
        <f t="shared" si="70"/>
        <v>0</v>
      </c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2">
        <f t="shared" si="71"/>
        <v>0</v>
      </c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2">
        <f t="shared" si="72"/>
        <v>0</v>
      </c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2">
        <f t="shared" si="73"/>
        <v>0</v>
      </c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2">
        <f t="shared" si="74"/>
        <v>0</v>
      </c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2">
        <f t="shared" si="75"/>
        <v>0</v>
      </c>
      <c r="DB88" s="136"/>
      <c r="DC88" s="136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2">
        <f t="shared" si="76"/>
        <v>0</v>
      </c>
      <c r="DO88" s="137"/>
      <c r="DP88" s="137"/>
      <c r="DQ88" s="137"/>
      <c r="DR88" s="137"/>
      <c r="DS88" s="137"/>
      <c r="DT88" s="137"/>
      <c r="DU88" s="137"/>
      <c r="DV88" s="137"/>
      <c r="DW88" s="137"/>
      <c r="DX88" s="137"/>
      <c r="DY88" s="137"/>
      <c r="DZ88" s="137"/>
      <c r="EA88" s="132">
        <f t="shared" si="77"/>
        <v>0</v>
      </c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132">
        <f t="shared" si="78"/>
        <v>0</v>
      </c>
      <c r="EO88" s="132"/>
      <c r="EP88" s="132"/>
      <c r="EQ88" s="132"/>
      <c r="ER88" s="132"/>
      <c r="ES88" s="132"/>
      <c r="ET88" s="132"/>
      <c r="EU88" s="132"/>
      <c r="EV88" s="132"/>
      <c r="EW88" s="132"/>
      <c r="EX88" s="132"/>
      <c r="EY88" s="132"/>
      <c r="EZ88" s="132"/>
      <c r="FA88" s="132">
        <f t="shared" si="79"/>
        <v>0</v>
      </c>
      <c r="FB88" s="181"/>
      <c r="FC88" s="181"/>
      <c r="FD88" s="181"/>
      <c r="FE88" s="181"/>
      <c r="FF88" s="181"/>
      <c r="FG88" s="181"/>
      <c r="FH88" s="181"/>
      <c r="FI88" s="181"/>
      <c r="FJ88" s="181"/>
      <c r="FK88" s="181"/>
      <c r="FL88" s="181"/>
      <c r="FM88" s="181"/>
      <c r="FN88" s="132">
        <f t="shared" si="80"/>
        <v>0</v>
      </c>
      <c r="FO88" s="132"/>
      <c r="FP88" s="132"/>
      <c r="FQ88" s="132"/>
      <c r="FR88" s="132"/>
      <c r="FS88" s="132"/>
      <c r="FT88" s="132"/>
      <c r="FU88" s="132"/>
      <c r="FV88" s="132"/>
      <c r="FW88" s="132"/>
      <c r="FX88" s="132"/>
      <c r="FY88" s="132"/>
      <c r="FZ88" s="132"/>
      <c r="GA88" s="132">
        <f t="shared" si="81"/>
        <v>0</v>
      </c>
      <c r="GB88" s="181"/>
      <c r="GC88" s="181"/>
      <c r="GD88" s="181"/>
      <c r="GE88" s="181"/>
      <c r="GF88" s="181"/>
      <c r="GG88" s="181"/>
      <c r="GH88" s="181"/>
      <c r="GI88" s="181"/>
      <c r="GJ88" s="181"/>
      <c r="GK88" s="181"/>
      <c r="GL88" s="181"/>
      <c r="GM88" s="181"/>
      <c r="GN88" s="181">
        <f t="shared" si="82"/>
        <v>0</v>
      </c>
      <c r="GO88" s="137"/>
      <c r="GP88" s="137"/>
      <c r="GQ88" s="137"/>
      <c r="GR88" s="137"/>
      <c r="GS88" s="137"/>
      <c r="GT88" s="137"/>
      <c r="GU88" s="137"/>
      <c r="GV88" s="137"/>
      <c r="GW88" s="137"/>
      <c r="GX88" s="137"/>
      <c r="GY88" s="137"/>
      <c r="GZ88" s="137"/>
      <c r="HA88" s="132">
        <f t="shared" si="83"/>
        <v>0</v>
      </c>
      <c r="HB88" s="181"/>
      <c r="HC88" s="181"/>
      <c r="HD88" s="181"/>
      <c r="HE88" s="181"/>
      <c r="HF88" s="181"/>
      <c r="HG88" s="181"/>
      <c r="HH88" s="181"/>
      <c r="HI88" s="181"/>
      <c r="HJ88" s="181"/>
      <c r="HK88" s="181"/>
      <c r="HL88" s="181"/>
      <c r="HM88" s="181"/>
      <c r="HN88" s="181">
        <f t="shared" si="84"/>
        <v>0</v>
      </c>
      <c r="HO88" s="132"/>
      <c r="HP88" s="132"/>
      <c r="HQ88" s="132"/>
      <c r="HR88" s="132"/>
      <c r="HS88" s="132"/>
      <c r="HT88" s="132"/>
      <c r="HU88" s="132"/>
      <c r="HV88" s="132"/>
      <c r="HW88" s="132"/>
      <c r="HX88" s="132"/>
      <c r="HY88" s="132"/>
      <c r="HZ88" s="132"/>
      <c r="IA88" s="132">
        <f t="shared" si="85"/>
        <v>0</v>
      </c>
      <c r="IB88" s="181"/>
      <c r="IC88" s="181"/>
      <c r="ID88" s="181"/>
      <c r="IE88" s="181"/>
      <c r="IF88" s="181"/>
      <c r="IG88" s="181"/>
      <c r="IH88" s="181"/>
      <c r="II88" s="181"/>
      <c r="IJ88" s="181"/>
      <c r="IK88" s="181"/>
      <c r="IL88" s="181"/>
      <c r="IM88" s="181"/>
      <c r="IN88" s="181">
        <f t="shared" si="86"/>
        <v>0</v>
      </c>
      <c r="IO88" s="181"/>
      <c r="IP88" s="181"/>
      <c r="IQ88" s="181"/>
      <c r="IR88" s="181"/>
      <c r="IS88" s="181"/>
      <c r="IT88" s="181"/>
      <c r="IU88" s="181"/>
      <c r="IV88" s="181"/>
      <c r="IW88" s="181"/>
      <c r="IX88" s="181"/>
      <c r="IY88" s="181"/>
      <c r="IZ88" s="181"/>
      <c r="JA88" s="181">
        <f t="shared" si="87"/>
        <v>0</v>
      </c>
      <c r="JC88" s="135">
        <f t="shared" si="88"/>
        <v>0</v>
      </c>
      <c r="JD88" s="135">
        <f t="shared" si="89"/>
        <v>0</v>
      </c>
      <c r="JE88" s="135">
        <f t="shared" si="90"/>
        <v>0</v>
      </c>
      <c r="JF88" s="135">
        <f t="shared" si="91"/>
        <v>0</v>
      </c>
      <c r="JG88" s="135">
        <f t="shared" si="92"/>
        <v>0</v>
      </c>
      <c r="JH88" s="135">
        <f t="shared" si="93"/>
        <v>0</v>
      </c>
      <c r="JI88" s="135">
        <f t="shared" si="94"/>
        <v>0</v>
      </c>
      <c r="JJ88" s="135">
        <f t="shared" si="95"/>
        <v>0</v>
      </c>
      <c r="JK88" s="135">
        <f t="shared" si="96"/>
        <v>0</v>
      </c>
      <c r="JL88" s="135">
        <f t="shared" si="97"/>
        <v>0</v>
      </c>
      <c r="JM88" s="135">
        <f t="shared" si="98"/>
        <v>0</v>
      </c>
      <c r="JN88" s="135">
        <f t="shared" si="99"/>
        <v>0</v>
      </c>
      <c r="JO88" s="132">
        <f t="shared" si="100"/>
        <v>0</v>
      </c>
      <c r="JQ88" s="139">
        <f t="shared" si="101"/>
        <v>0</v>
      </c>
    </row>
    <row r="89" spans="1:277" x14ac:dyDescent="0.25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2">
        <f t="shared" si="68"/>
        <v>0</v>
      </c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2">
        <f t="shared" si="69"/>
        <v>0</v>
      </c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2">
        <f t="shared" si="70"/>
        <v>0</v>
      </c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2">
        <f t="shared" si="71"/>
        <v>0</v>
      </c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2">
        <f t="shared" si="72"/>
        <v>0</v>
      </c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2">
        <f t="shared" si="73"/>
        <v>0</v>
      </c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2">
        <f t="shared" si="74"/>
        <v>0</v>
      </c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2">
        <f t="shared" si="75"/>
        <v>0</v>
      </c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2">
        <f t="shared" si="76"/>
        <v>0</v>
      </c>
      <c r="DO89" s="137"/>
      <c r="DP89" s="137"/>
      <c r="DQ89" s="137"/>
      <c r="DR89" s="137"/>
      <c r="DS89" s="137"/>
      <c r="DT89" s="137"/>
      <c r="DU89" s="137"/>
      <c r="DV89" s="137"/>
      <c r="DW89" s="137"/>
      <c r="DX89" s="137"/>
      <c r="DY89" s="137"/>
      <c r="DZ89" s="137"/>
      <c r="EA89" s="132">
        <f t="shared" si="77"/>
        <v>0</v>
      </c>
      <c r="EB89" s="216"/>
      <c r="EC89" s="216"/>
      <c r="ED89" s="216"/>
      <c r="EE89" s="216"/>
      <c r="EF89" s="216"/>
      <c r="EG89" s="216"/>
      <c r="EH89" s="216"/>
      <c r="EI89" s="216"/>
      <c r="EJ89" s="216"/>
      <c r="EK89" s="216"/>
      <c r="EL89" s="216"/>
      <c r="EM89" s="216"/>
      <c r="EN89" s="132">
        <f t="shared" si="78"/>
        <v>0</v>
      </c>
      <c r="EO89" s="132"/>
      <c r="EP89" s="132"/>
      <c r="EQ89" s="132"/>
      <c r="ER89" s="132"/>
      <c r="ES89" s="132"/>
      <c r="ET89" s="132"/>
      <c r="EU89" s="132"/>
      <c r="EV89" s="132"/>
      <c r="EW89" s="132"/>
      <c r="EX89" s="132"/>
      <c r="EY89" s="132"/>
      <c r="EZ89" s="132"/>
      <c r="FA89" s="132">
        <f t="shared" si="79"/>
        <v>0</v>
      </c>
      <c r="FB89" s="181"/>
      <c r="FC89" s="181"/>
      <c r="FD89" s="181"/>
      <c r="FE89" s="181"/>
      <c r="FF89" s="181"/>
      <c r="FG89" s="181"/>
      <c r="FH89" s="181"/>
      <c r="FI89" s="181"/>
      <c r="FJ89" s="181"/>
      <c r="FK89" s="181"/>
      <c r="FL89" s="181"/>
      <c r="FM89" s="181"/>
      <c r="FN89" s="132">
        <f t="shared" si="80"/>
        <v>0</v>
      </c>
      <c r="FO89" s="132"/>
      <c r="FP89" s="132"/>
      <c r="FQ89" s="132"/>
      <c r="FR89" s="132"/>
      <c r="FS89" s="132"/>
      <c r="FT89" s="132"/>
      <c r="FU89" s="132"/>
      <c r="FV89" s="132"/>
      <c r="FW89" s="132"/>
      <c r="FX89" s="132"/>
      <c r="FY89" s="132"/>
      <c r="FZ89" s="132"/>
      <c r="GA89" s="132">
        <f t="shared" si="81"/>
        <v>0</v>
      </c>
      <c r="GB89" s="181"/>
      <c r="GC89" s="181"/>
      <c r="GD89" s="181"/>
      <c r="GE89" s="181"/>
      <c r="GF89" s="181"/>
      <c r="GG89" s="181"/>
      <c r="GH89" s="181"/>
      <c r="GI89" s="181"/>
      <c r="GJ89" s="181"/>
      <c r="GK89" s="181"/>
      <c r="GL89" s="181"/>
      <c r="GM89" s="181"/>
      <c r="GN89" s="181">
        <f t="shared" si="82"/>
        <v>0</v>
      </c>
      <c r="GO89" s="137"/>
      <c r="GP89" s="137"/>
      <c r="GQ89" s="137"/>
      <c r="GR89" s="137"/>
      <c r="GS89" s="137"/>
      <c r="GT89" s="137"/>
      <c r="GU89" s="137"/>
      <c r="GV89" s="137"/>
      <c r="GW89" s="137"/>
      <c r="GX89" s="137"/>
      <c r="GY89" s="137"/>
      <c r="GZ89" s="137"/>
      <c r="HA89" s="132">
        <f t="shared" si="83"/>
        <v>0</v>
      </c>
      <c r="HB89" s="181"/>
      <c r="HC89" s="181"/>
      <c r="HD89" s="181"/>
      <c r="HE89" s="181"/>
      <c r="HF89" s="181"/>
      <c r="HG89" s="181"/>
      <c r="HH89" s="181"/>
      <c r="HI89" s="181"/>
      <c r="HJ89" s="181"/>
      <c r="HK89" s="181"/>
      <c r="HL89" s="181"/>
      <c r="HM89" s="181"/>
      <c r="HN89" s="181">
        <f t="shared" si="84"/>
        <v>0</v>
      </c>
      <c r="HO89" s="132"/>
      <c r="HP89" s="132"/>
      <c r="HQ89" s="132"/>
      <c r="HR89" s="132"/>
      <c r="HS89" s="132"/>
      <c r="HT89" s="132"/>
      <c r="HU89" s="132"/>
      <c r="HV89" s="132"/>
      <c r="HW89" s="132"/>
      <c r="HX89" s="132"/>
      <c r="HY89" s="132"/>
      <c r="HZ89" s="132"/>
      <c r="IA89" s="132">
        <f t="shared" si="85"/>
        <v>0</v>
      </c>
      <c r="IB89" s="181"/>
      <c r="IC89" s="181"/>
      <c r="ID89" s="181"/>
      <c r="IE89" s="181"/>
      <c r="IF89" s="181"/>
      <c r="IG89" s="181"/>
      <c r="IH89" s="181"/>
      <c r="II89" s="181"/>
      <c r="IJ89" s="181"/>
      <c r="IK89" s="181"/>
      <c r="IL89" s="181"/>
      <c r="IM89" s="181"/>
      <c r="IN89" s="181">
        <f t="shared" si="86"/>
        <v>0</v>
      </c>
      <c r="IO89" s="181"/>
      <c r="IP89" s="181"/>
      <c r="IQ89" s="181"/>
      <c r="IR89" s="181"/>
      <c r="IS89" s="181"/>
      <c r="IT89" s="181"/>
      <c r="IU89" s="181"/>
      <c r="IV89" s="181"/>
      <c r="IW89" s="181"/>
      <c r="IX89" s="181"/>
      <c r="IY89" s="181"/>
      <c r="IZ89" s="181"/>
      <c r="JA89" s="181">
        <f t="shared" si="87"/>
        <v>0</v>
      </c>
      <c r="JC89" s="135">
        <f t="shared" si="88"/>
        <v>0</v>
      </c>
      <c r="JD89" s="135">
        <f t="shared" si="89"/>
        <v>0</v>
      </c>
      <c r="JE89" s="135">
        <f t="shared" si="90"/>
        <v>0</v>
      </c>
      <c r="JF89" s="135">
        <f t="shared" si="91"/>
        <v>0</v>
      </c>
      <c r="JG89" s="135">
        <f t="shared" si="92"/>
        <v>0</v>
      </c>
      <c r="JH89" s="135">
        <f t="shared" si="93"/>
        <v>0</v>
      </c>
      <c r="JI89" s="135">
        <f t="shared" si="94"/>
        <v>0</v>
      </c>
      <c r="JJ89" s="135">
        <f t="shared" si="95"/>
        <v>0</v>
      </c>
      <c r="JK89" s="135">
        <f t="shared" si="96"/>
        <v>0</v>
      </c>
      <c r="JL89" s="135">
        <f t="shared" si="97"/>
        <v>0</v>
      </c>
      <c r="JM89" s="135">
        <f t="shared" si="98"/>
        <v>0</v>
      </c>
      <c r="JN89" s="135">
        <f t="shared" si="99"/>
        <v>0</v>
      </c>
      <c r="JO89" s="132">
        <f t="shared" si="100"/>
        <v>0</v>
      </c>
      <c r="JQ89" s="139">
        <f t="shared" si="101"/>
        <v>0</v>
      </c>
    </row>
    <row r="90" spans="1:277" x14ac:dyDescent="0.25">
      <c r="A90" s="13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2">
        <f t="shared" si="68"/>
        <v>0</v>
      </c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2">
        <f t="shared" si="69"/>
        <v>0</v>
      </c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2">
        <f t="shared" si="70"/>
        <v>0</v>
      </c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2">
        <f t="shared" si="71"/>
        <v>0</v>
      </c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2">
        <f t="shared" si="72"/>
        <v>0</v>
      </c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2">
        <f t="shared" si="73"/>
        <v>0</v>
      </c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2">
        <f t="shared" si="74"/>
        <v>0</v>
      </c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2">
        <f t="shared" si="75"/>
        <v>0</v>
      </c>
      <c r="DB90" s="136"/>
      <c r="DC90" s="136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2">
        <f t="shared" si="76"/>
        <v>0</v>
      </c>
      <c r="DO90" s="137"/>
      <c r="DP90" s="137"/>
      <c r="DQ90" s="137"/>
      <c r="DR90" s="137"/>
      <c r="DS90" s="137"/>
      <c r="DT90" s="137"/>
      <c r="DU90" s="137"/>
      <c r="DV90" s="137"/>
      <c r="DW90" s="137"/>
      <c r="DX90" s="137"/>
      <c r="DY90" s="137"/>
      <c r="DZ90" s="137"/>
      <c r="EA90" s="132">
        <f t="shared" si="77"/>
        <v>0</v>
      </c>
      <c r="EB90" s="216"/>
      <c r="EC90" s="216"/>
      <c r="ED90" s="216"/>
      <c r="EE90" s="216"/>
      <c r="EF90" s="216"/>
      <c r="EG90" s="216"/>
      <c r="EH90" s="216"/>
      <c r="EI90" s="216"/>
      <c r="EJ90" s="216"/>
      <c r="EK90" s="216"/>
      <c r="EL90" s="216"/>
      <c r="EM90" s="216"/>
      <c r="EN90" s="132">
        <f t="shared" si="78"/>
        <v>0</v>
      </c>
      <c r="EO90" s="132"/>
      <c r="EP90" s="132"/>
      <c r="EQ90" s="132"/>
      <c r="ER90" s="132"/>
      <c r="ES90" s="132"/>
      <c r="ET90" s="132"/>
      <c r="EU90" s="132"/>
      <c r="EV90" s="132"/>
      <c r="EW90" s="132"/>
      <c r="EX90" s="132"/>
      <c r="EY90" s="132"/>
      <c r="EZ90" s="132"/>
      <c r="FA90" s="132">
        <f t="shared" si="79"/>
        <v>0</v>
      </c>
      <c r="FB90" s="181"/>
      <c r="FC90" s="181"/>
      <c r="FD90" s="181"/>
      <c r="FE90" s="181"/>
      <c r="FF90" s="181"/>
      <c r="FG90" s="181"/>
      <c r="FH90" s="181"/>
      <c r="FI90" s="181"/>
      <c r="FJ90" s="181"/>
      <c r="FK90" s="181"/>
      <c r="FL90" s="181"/>
      <c r="FM90" s="181"/>
      <c r="FN90" s="132">
        <f t="shared" si="80"/>
        <v>0</v>
      </c>
      <c r="FO90" s="132"/>
      <c r="FP90" s="132"/>
      <c r="FQ90" s="132"/>
      <c r="FR90" s="132"/>
      <c r="FS90" s="132"/>
      <c r="FT90" s="132"/>
      <c r="FU90" s="132"/>
      <c r="FV90" s="132"/>
      <c r="FW90" s="132"/>
      <c r="FX90" s="132"/>
      <c r="FY90" s="132"/>
      <c r="FZ90" s="132"/>
      <c r="GA90" s="132">
        <f t="shared" si="81"/>
        <v>0</v>
      </c>
      <c r="GB90" s="181"/>
      <c r="GC90" s="181"/>
      <c r="GD90" s="181"/>
      <c r="GE90" s="181"/>
      <c r="GF90" s="181"/>
      <c r="GG90" s="181"/>
      <c r="GH90" s="181"/>
      <c r="GI90" s="181"/>
      <c r="GJ90" s="181"/>
      <c r="GK90" s="181"/>
      <c r="GL90" s="181"/>
      <c r="GM90" s="181"/>
      <c r="GN90" s="181">
        <f t="shared" si="82"/>
        <v>0</v>
      </c>
      <c r="GO90" s="137"/>
      <c r="GP90" s="137"/>
      <c r="GQ90" s="137"/>
      <c r="GR90" s="137"/>
      <c r="GS90" s="137"/>
      <c r="GT90" s="137"/>
      <c r="GU90" s="137"/>
      <c r="GV90" s="137"/>
      <c r="GW90" s="137"/>
      <c r="GX90" s="137"/>
      <c r="GY90" s="137"/>
      <c r="GZ90" s="137"/>
      <c r="HA90" s="132">
        <f t="shared" si="83"/>
        <v>0</v>
      </c>
      <c r="HB90" s="181"/>
      <c r="HC90" s="181"/>
      <c r="HD90" s="181"/>
      <c r="HE90" s="181"/>
      <c r="HF90" s="181"/>
      <c r="HG90" s="181"/>
      <c r="HH90" s="181"/>
      <c r="HI90" s="181"/>
      <c r="HJ90" s="181"/>
      <c r="HK90" s="181"/>
      <c r="HL90" s="181"/>
      <c r="HM90" s="181"/>
      <c r="HN90" s="181">
        <f t="shared" si="84"/>
        <v>0</v>
      </c>
      <c r="HO90" s="132"/>
      <c r="HP90" s="132"/>
      <c r="HQ90" s="132"/>
      <c r="HR90" s="132"/>
      <c r="HS90" s="132"/>
      <c r="HT90" s="132"/>
      <c r="HU90" s="132"/>
      <c r="HV90" s="132"/>
      <c r="HW90" s="132"/>
      <c r="HX90" s="132"/>
      <c r="HY90" s="132"/>
      <c r="HZ90" s="132"/>
      <c r="IA90" s="132">
        <f t="shared" si="85"/>
        <v>0</v>
      </c>
      <c r="IB90" s="181"/>
      <c r="IC90" s="181"/>
      <c r="ID90" s="181"/>
      <c r="IE90" s="181"/>
      <c r="IF90" s="181"/>
      <c r="IG90" s="181"/>
      <c r="IH90" s="181"/>
      <c r="II90" s="181"/>
      <c r="IJ90" s="181"/>
      <c r="IK90" s="181"/>
      <c r="IL90" s="181"/>
      <c r="IM90" s="181"/>
      <c r="IN90" s="181">
        <f t="shared" si="86"/>
        <v>0</v>
      </c>
      <c r="IO90" s="181"/>
      <c r="IP90" s="181"/>
      <c r="IQ90" s="181"/>
      <c r="IR90" s="181"/>
      <c r="IS90" s="181"/>
      <c r="IT90" s="181"/>
      <c r="IU90" s="181"/>
      <c r="IV90" s="181"/>
      <c r="IW90" s="181"/>
      <c r="IX90" s="181"/>
      <c r="IY90" s="181"/>
      <c r="IZ90" s="181"/>
      <c r="JA90" s="181">
        <f t="shared" si="87"/>
        <v>0</v>
      </c>
      <c r="JC90" s="135">
        <f t="shared" si="88"/>
        <v>0</v>
      </c>
      <c r="JD90" s="135">
        <f t="shared" si="89"/>
        <v>0</v>
      </c>
      <c r="JE90" s="135">
        <f t="shared" si="90"/>
        <v>0</v>
      </c>
      <c r="JF90" s="135">
        <f t="shared" si="91"/>
        <v>0</v>
      </c>
      <c r="JG90" s="135">
        <f t="shared" si="92"/>
        <v>0</v>
      </c>
      <c r="JH90" s="135">
        <f t="shared" si="93"/>
        <v>0</v>
      </c>
      <c r="JI90" s="135">
        <f t="shared" si="94"/>
        <v>0</v>
      </c>
      <c r="JJ90" s="135">
        <f t="shared" si="95"/>
        <v>0</v>
      </c>
      <c r="JK90" s="135">
        <f t="shared" si="96"/>
        <v>0</v>
      </c>
      <c r="JL90" s="135">
        <f t="shared" si="97"/>
        <v>0</v>
      </c>
      <c r="JM90" s="135">
        <f t="shared" si="98"/>
        <v>0</v>
      </c>
      <c r="JN90" s="135">
        <f t="shared" si="99"/>
        <v>0</v>
      </c>
      <c r="JO90" s="132">
        <f t="shared" si="100"/>
        <v>0</v>
      </c>
      <c r="JQ90" s="139">
        <f t="shared" si="101"/>
        <v>0</v>
      </c>
    </row>
    <row r="91" spans="1:277" x14ac:dyDescent="0.25">
      <c r="A91" s="13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2">
        <f t="shared" si="68"/>
        <v>0</v>
      </c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2">
        <f t="shared" si="69"/>
        <v>0</v>
      </c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2">
        <f t="shared" si="70"/>
        <v>0</v>
      </c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2">
        <f t="shared" si="71"/>
        <v>0</v>
      </c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2">
        <f t="shared" si="72"/>
        <v>0</v>
      </c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2">
        <f t="shared" si="73"/>
        <v>0</v>
      </c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2">
        <f t="shared" si="74"/>
        <v>0</v>
      </c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2">
        <f t="shared" si="75"/>
        <v>0</v>
      </c>
      <c r="DB91" s="136"/>
      <c r="DC91" s="136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2">
        <f t="shared" si="76"/>
        <v>0</v>
      </c>
      <c r="DO91" s="137"/>
      <c r="DP91" s="137"/>
      <c r="DQ91" s="137"/>
      <c r="DR91" s="137"/>
      <c r="DS91" s="137"/>
      <c r="DT91" s="137"/>
      <c r="DU91" s="137"/>
      <c r="DV91" s="137"/>
      <c r="DW91" s="137"/>
      <c r="DX91" s="137"/>
      <c r="DY91" s="137"/>
      <c r="DZ91" s="137"/>
      <c r="EA91" s="132">
        <f t="shared" si="77"/>
        <v>0</v>
      </c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132">
        <f t="shared" si="78"/>
        <v>0</v>
      </c>
      <c r="EO91" s="132"/>
      <c r="EP91" s="132"/>
      <c r="EQ91" s="132"/>
      <c r="ER91" s="132"/>
      <c r="ES91" s="132"/>
      <c r="ET91" s="132"/>
      <c r="EU91" s="132"/>
      <c r="EV91" s="132"/>
      <c r="EW91" s="132"/>
      <c r="EX91" s="132"/>
      <c r="EY91" s="132"/>
      <c r="EZ91" s="132"/>
      <c r="FA91" s="132">
        <f t="shared" si="79"/>
        <v>0</v>
      </c>
      <c r="FB91" s="181"/>
      <c r="FC91" s="181"/>
      <c r="FD91" s="181"/>
      <c r="FE91" s="181"/>
      <c r="FF91" s="181"/>
      <c r="FG91" s="181"/>
      <c r="FH91" s="181"/>
      <c r="FI91" s="181"/>
      <c r="FJ91" s="181"/>
      <c r="FK91" s="181"/>
      <c r="FL91" s="181"/>
      <c r="FM91" s="181"/>
      <c r="FN91" s="132">
        <f t="shared" si="80"/>
        <v>0</v>
      </c>
      <c r="FO91" s="132"/>
      <c r="FP91" s="132"/>
      <c r="FQ91" s="132"/>
      <c r="FR91" s="132"/>
      <c r="FS91" s="132"/>
      <c r="FT91" s="132"/>
      <c r="FU91" s="132"/>
      <c r="FV91" s="132"/>
      <c r="FW91" s="132"/>
      <c r="FX91" s="132"/>
      <c r="FY91" s="132"/>
      <c r="FZ91" s="132"/>
      <c r="GA91" s="132">
        <f t="shared" si="81"/>
        <v>0</v>
      </c>
      <c r="GB91" s="181"/>
      <c r="GC91" s="181"/>
      <c r="GD91" s="181"/>
      <c r="GE91" s="181"/>
      <c r="GF91" s="181"/>
      <c r="GG91" s="181"/>
      <c r="GH91" s="181"/>
      <c r="GI91" s="181"/>
      <c r="GJ91" s="181"/>
      <c r="GK91" s="181"/>
      <c r="GL91" s="181"/>
      <c r="GM91" s="181"/>
      <c r="GN91" s="181">
        <f t="shared" si="82"/>
        <v>0</v>
      </c>
      <c r="GO91" s="137"/>
      <c r="GP91" s="137"/>
      <c r="GQ91" s="137"/>
      <c r="GR91" s="137"/>
      <c r="GS91" s="137"/>
      <c r="GT91" s="137"/>
      <c r="GU91" s="137"/>
      <c r="GV91" s="137"/>
      <c r="GW91" s="137"/>
      <c r="GX91" s="137"/>
      <c r="GY91" s="137"/>
      <c r="GZ91" s="137"/>
      <c r="HA91" s="132">
        <f t="shared" si="83"/>
        <v>0</v>
      </c>
      <c r="HB91" s="181"/>
      <c r="HC91" s="181"/>
      <c r="HD91" s="181"/>
      <c r="HE91" s="181"/>
      <c r="HF91" s="181"/>
      <c r="HG91" s="181"/>
      <c r="HH91" s="181"/>
      <c r="HI91" s="181"/>
      <c r="HJ91" s="181"/>
      <c r="HK91" s="181"/>
      <c r="HL91" s="181"/>
      <c r="HM91" s="181"/>
      <c r="HN91" s="181">
        <f t="shared" si="84"/>
        <v>0</v>
      </c>
      <c r="HO91" s="132"/>
      <c r="HP91" s="132"/>
      <c r="HQ91" s="132"/>
      <c r="HR91" s="132"/>
      <c r="HS91" s="132"/>
      <c r="HT91" s="132"/>
      <c r="HU91" s="132"/>
      <c r="HV91" s="132"/>
      <c r="HW91" s="132"/>
      <c r="HX91" s="132"/>
      <c r="HY91" s="132"/>
      <c r="HZ91" s="132"/>
      <c r="IA91" s="132">
        <f t="shared" si="85"/>
        <v>0</v>
      </c>
      <c r="IB91" s="181"/>
      <c r="IC91" s="181"/>
      <c r="ID91" s="181"/>
      <c r="IE91" s="181"/>
      <c r="IF91" s="181"/>
      <c r="IG91" s="181"/>
      <c r="IH91" s="181"/>
      <c r="II91" s="181"/>
      <c r="IJ91" s="181"/>
      <c r="IK91" s="181"/>
      <c r="IL91" s="181"/>
      <c r="IM91" s="181"/>
      <c r="IN91" s="181">
        <f t="shared" si="86"/>
        <v>0</v>
      </c>
      <c r="IO91" s="181"/>
      <c r="IP91" s="181"/>
      <c r="IQ91" s="181"/>
      <c r="IR91" s="181"/>
      <c r="IS91" s="181"/>
      <c r="IT91" s="181"/>
      <c r="IU91" s="181"/>
      <c r="IV91" s="181"/>
      <c r="IW91" s="181"/>
      <c r="IX91" s="181"/>
      <c r="IY91" s="181"/>
      <c r="IZ91" s="181"/>
      <c r="JA91" s="181">
        <f t="shared" si="87"/>
        <v>0</v>
      </c>
      <c r="JC91" s="135">
        <f t="shared" si="88"/>
        <v>0</v>
      </c>
      <c r="JD91" s="135">
        <f t="shared" si="89"/>
        <v>0</v>
      </c>
      <c r="JE91" s="135">
        <f t="shared" si="90"/>
        <v>0</v>
      </c>
      <c r="JF91" s="135">
        <f t="shared" si="91"/>
        <v>0</v>
      </c>
      <c r="JG91" s="135">
        <f t="shared" si="92"/>
        <v>0</v>
      </c>
      <c r="JH91" s="135">
        <f t="shared" si="93"/>
        <v>0</v>
      </c>
      <c r="JI91" s="135">
        <f t="shared" si="94"/>
        <v>0</v>
      </c>
      <c r="JJ91" s="135">
        <f t="shared" si="95"/>
        <v>0</v>
      </c>
      <c r="JK91" s="135">
        <f t="shared" si="96"/>
        <v>0</v>
      </c>
      <c r="JL91" s="135">
        <f t="shared" si="97"/>
        <v>0</v>
      </c>
      <c r="JM91" s="135">
        <f t="shared" si="98"/>
        <v>0</v>
      </c>
      <c r="JN91" s="135">
        <f t="shared" si="99"/>
        <v>0</v>
      </c>
      <c r="JO91" s="132">
        <f t="shared" si="100"/>
        <v>0</v>
      </c>
      <c r="JQ91" s="139">
        <f t="shared" si="101"/>
        <v>0</v>
      </c>
    </row>
    <row r="92" spans="1:277" x14ac:dyDescent="0.25">
      <c r="A92" s="13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2">
        <f t="shared" si="68"/>
        <v>0</v>
      </c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2">
        <f t="shared" si="69"/>
        <v>0</v>
      </c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2">
        <f t="shared" si="70"/>
        <v>0</v>
      </c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2">
        <f t="shared" si="71"/>
        <v>0</v>
      </c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2">
        <f t="shared" si="72"/>
        <v>0</v>
      </c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2">
        <f t="shared" si="73"/>
        <v>0</v>
      </c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2">
        <f t="shared" si="74"/>
        <v>0</v>
      </c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2">
        <f t="shared" si="75"/>
        <v>0</v>
      </c>
      <c r="DB92" s="136"/>
      <c r="DC92" s="136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2">
        <f t="shared" si="76"/>
        <v>0</v>
      </c>
      <c r="DO92" s="137"/>
      <c r="DP92" s="137"/>
      <c r="DQ92" s="137"/>
      <c r="DR92" s="137"/>
      <c r="DS92" s="137"/>
      <c r="DT92" s="137"/>
      <c r="DU92" s="137"/>
      <c r="DV92" s="137"/>
      <c r="DW92" s="137"/>
      <c r="DX92" s="137"/>
      <c r="DY92" s="137"/>
      <c r="DZ92" s="137"/>
      <c r="EA92" s="132">
        <f t="shared" si="77"/>
        <v>0</v>
      </c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132">
        <f t="shared" si="78"/>
        <v>0</v>
      </c>
      <c r="EO92" s="132"/>
      <c r="EP92" s="132"/>
      <c r="EQ92" s="132"/>
      <c r="ER92" s="132"/>
      <c r="ES92" s="132"/>
      <c r="ET92" s="132"/>
      <c r="EU92" s="132"/>
      <c r="EV92" s="132"/>
      <c r="EW92" s="132"/>
      <c r="EX92" s="132"/>
      <c r="EY92" s="132"/>
      <c r="EZ92" s="132"/>
      <c r="FA92" s="132">
        <f t="shared" si="79"/>
        <v>0</v>
      </c>
      <c r="FB92" s="181"/>
      <c r="FC92" s="181"/>
      <c r="FD92" s="181"/>
      <c r="FE92" s="181"/>
      <c r="FF92" s="181"/>
      <c r="FG92" s="181"/>
      <c r="FH92" s="181"/>
      <c r="FI92" s="181"/>
      <c r="FJ92" s="181"/>
      <c r="FK92" s="181"/>
      <c r="FL92" s="181"/>
      <c r="FM92" s="181"/>
      <c r="FN92" s="132">
        <f t="shared" si="80"/>
        <v>0</v>
      </c>
      <c r="FO92" s="132"/>
      <c r="FP92" s="132"/>
      <c r="FQ92" s="132"/>
      <c r="FR92" s="132"/>
      <c r="FS92" s="132"/>
      <c r="FT92" s="132"/>
      <c r="FU92" s="132"/>
      <c r="FV92" s="132"/>
      <c r="FW92" s="132"/>
      <c r="FX92" s="132"/>
      <c r="FY92" s="132"/>
      <c r="FZ92" s="132"/>
      <c r="GA92" s="132">
        <f t="shared" si="81"/>
        <v>0</v>
      </c>
      <c r="GB92" s="181"/>
      <c r="GC92" s="181"/>
      <c r="GD92" s="181"/>
      <c r="GE92" s="181"/>
      <c r="GF92" s="181"/>
      <c r="GG92" s="181"/>
      <c r="GH92" s="181"/>
      <c r="GI92" s="181"/>
      <c r="GJ92" s="181"/>
      <c r="GK92" s="181"/>
      <c r="GL92" s="181"/>
      <c r="GM92" s="181"/>
      <c r="GN92" s="181">
        <f t="shared" si="82"/>
        <v>0</v>
      </c>
      <c r="GO92" s="137"/>
      <c r="GP92" s="137"/>
      <c r="GQ92" s="137"/>
      <c r="GR92" s="137"/>
      <c r="GS92" s="137"/>
      <c r="GT92" s="137"/>
      <c r="GU92" s="137"/>
      <c r="GV92" s="137"/>
      <c r="GW92" s="137"/>
      <c r="GX92" s="137"/>
      <c r="GY92" s="137"/>
      <c r="GZ92" s="137"/>
      <c r="HA92" s="132">
        <f t="shared" si="83"/>
        <v>0</v>
      </c>
      <c r="HB92" s="181"/>
      <c r="HC92" s="181"/>
      <c r="HD92" s="181"/>
      <c r="HE92" s="181"/>
      <c r="HF92" s="181"/>
      <c r="HG92" s="181"/>
      <c r="HH92" s="181"/>
      <c r="HI92" s="181"/>
      <c r="HJ92" s="181"/>
      <c r="HK92" s="181"/>
      <c r="HL92" s="181"/>
      <c r="HM92" s="181"/>
      <c r="HN92" s="181">
        <f t="shared" si="84"/>
        <v>0</v>
      </c>
      <c r="HO92" s="132"/>
      <c r="HP92" s="132"/>
      <c r="HQ92" s="132"/>
      <c r="HR92" s="132"/>
      <c r="HS92" s="132"/>
      <c r="HT92" s="132"/>
      <c r="HU92" s="132"/>
      <c r="HV92" s="132"/>
      <c r="HW92" s="132"/>
      <c r="HX92" s="132"/>
      <c r="HY92" s="132"/>
      <c r="HZ92" s="132"/>
      <c r="IA92" s="132">
        <f t="shared" si="85"/>
        <v>0</v>
      </c>
      <c r="IB92" s="181"/>
      <c r="IC92" s="181"/>
      <c r="ID92" s="181"/>
      <c r="IE92" s="181"/>
      <c r="IF92" s="181"/>
      <c r="IG92" s="181"/>
      <c r="IH92" s="181"/>
      <c r="II92" s="181"/>
      <c r="IJ92" s="181"/>
      <c r="IK92" s="181"/>
      <c r="IL92" s="181"/>
      <c r="IM92" s="181"/>
      <c r="IN92" s="181">
        <f t="shared" si="86"/>
        <v>0</v>
      </c>
      <c r="IO92" s="181"/>
      <c r="IP92" s="181"/>
      <c r="IQ92" s="181"/>
      <c r="IR92" s="181"/>
      <c r="IS92" s="181"/>
      <c r="IT92" s="181"/>
      <c r="IU92" s="181"/>
      <c r="IV92" s="181"/>
      <c r="IW92" s="181"/>
      <c r="IX92" s="181"/>
      <c r="IY92" s="181"/>
      <c r="IZ92" s="181"/>
      <c r="JA92" s="181">
        <f t="shared" si="87"/>
        <v>0</v>
      </c>
      <c r="JC92" s="135">
        <f t="shared" si="88"/>
        <v>0</v>
      </c>
      <c r="JD92" s="135">
        <f t="shared" si="89"/>
        <v>0</v>
      </c>
      <c r="JE92" s="135">
        <f t="shared" si="90"/>
        <v>0</v>
      </c>
      <c r="JF92" s="135">
        <f t="shared" si="91"/>
        <v>0</v>
      </c>
      <c r="JG92" s="135">
        <f t="shared" si="92"/>
        <v>0</v>
      </c>
      <c r="JH92" s="135">
        <f t="shared" si="93"/>
        <v>0</v>
      </c>
      <c r="JI92" s="135">
        <f t="shared" si="94"/>
        <v>0</v>
      </c>
      <c r="JJ92" s="135">
        <f t="shared" si="95"/>
        <v>0</v>
      </c>
      <c r="JK92" s="135">
        <f t="shared" si="96"/>
        <v>0</v>
      </c>
      <c r="JL92" s="135">
        <f t="shared" si="97"/>
        <v>0</v>
      </c>
      <c r="JM92" s="135">
        <f t="shared" si="98"/>
        <v>0</v>
      </c>
      <c r="JN92" s="135">
        <f t="shared" si="99"/>
        <v>0</v>
      </c>
      <c r="JO92" s="132">
        <f t="shared" si="100"/>
        <v>0</v>
      </c>
      <c r="JQ92" s="139">
        <f t="shared" si="101"/>
        <v>0</v>
      </c>
    </row>
    <row r="93" spans="1:277" x14ac:dyDescent="0.25">
      <c r="A93" s="13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2">
        <f t="shared" si="68"/>
        <v>0</v>
      </c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2">
        <f t="shared" si="69"/>
        <v>0</v>
      </c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2">
        <f t="shared" si="70"/>
        <v>0</v>
      </c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2">
        <f t="shared" si="71"/>
        <v>0</v>
      </c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2">
        <f t="shared" si="72"/>
        <v>0</v>
      </c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2">
        <f t="shared" si="73"/>
        <v>0</v>
      </c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2">
        <f t="shared" si="74"/>
        <v>0</v>
      </c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2">
        <f t="shared" si="75"/>
        <v>0</v>
      </c>
      <c r="DB93" s="136"/>
      <c r="DC93" s="136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2">
        <f t="shared" si="76"/>
        <v>0</v>
      </c>
      <c r="DO93" s="137"/>
      <c r="DP93" s="137"/>
      <c r="DQ93" s="137"/>
      <c r="DR93" s="137"/>
      <c r="DS93" s="137"/>
      <c r="DT93" s="137"/>
      <c r="DU93" s="137"/>
      <c r="DV93" s="137"/>
      <c r="DW93" s="137"/>
      <c r="DX93" s="137"/>
      <c r="DY93" s="137"/>
      <c r="DZ93" s="137"/>
      <c r="EA93" s="132">
        <f t="shared" si="77"/>
        <v>0</v>
      </c>
      <c r="EB93" s="216"/>
      <c r="EC93" s="216"/>
      <c r="ED93" s="216"/>
      <c r="EE93" s="216"/>
      <c r="EF93" s="216"/>
      <c r="EG93" s="216"/>
      <c r="EH93" s="216"/>
      <c r="EI93" s="216"/>
      <c r="EJ93" s="216"/>
      <c r="EK93" s="216"/>
      <c r="EL93" s="216"/>
      <c r="EM93" s="216"/>
      <c r="EN93" s="132">
        <f t="shared" si="78"/>
        <v>0</v>
      </c>
      <c r="EO93" s="132"/>
      <c r="EP93" s="132"/>
      <c r="EQ93" s="132"/>
      <c r="ER93" s="132"/>
      <c r="ES93" s="132"/>
      <c r="ET93" s="132"/>
      <c r="EU93" s="132"/>
      <c r="EV93" s="132"/>
      <c r="EW93" s="132"/>
      <c r="EX93" s="132"/>
      <c r="EY93" s="132"/>
      <c r="EZ93" s="132"/>
      <c r="FA93" s="132">
        <f t="shared" si="79"/>
        <v>0</v>
      </c>
      <c r="FB93" s="181"/>
      <c r="FC93" s="181"/>
      <c r="FD93" s="181"/>
      <c r="FE93" s="181"/>
      <c r="FF93" s="181"/>
      <c r="FG93" s="181"/>
      <c r="FH93" s="181"/>
      <c r="FI93" s="181"/>
      <c r="FJ93" s="181"/>
      <c r="FK93" s="181"/>
      <c r="FL93" s="181"/>
      <c r="FM93" s="181"/>
      <c r="FN93" s="132">
        <f t="shared" si="80"/>
        <v>0</v>
      </c>
      <c r="FO93" s="132"/>
      <c r="FP93" s="132"/>
      <c r="FQ93" s="132"/>
      <c r="FR93" s="132"/>
      <c r="FS93" s="132"/>
      <c r="FT93" s="132"/>
      <c r="FU93" s="132"/>
      <c r="FV93" s="132"/>
      <c r="FW93" s="132"/>
      <c r="FX93" s="132"/>
      <c r="FY93" s="132"/>
      <c r="FZ93" s="132"/>
      <c r="GA93" s="132">
        <f t="shared" si="81"/>
        <v>0</v>
      </c>
      <c r="GB93" s="181"/>
      <c r="GC93" s="181"/>
      <c r="GD93" s="181"/>
      <c r="GE93" s="181"/>
      <c r="GF93" s="181"/>
      <c r="GG93" s="181"/>
      <c r="GH93" s="181"/>
      <c r="GI93" s="181"/>
      <c r="GJ93" s="181"/>
      <c r="GK93" s="181"/>
      <c r="GL93" s="181"/>
      <c r="GM93" s="181"/>
      <c r="GN93" s="181">
        <f t="shared" si="82"/>
        <v>0</v>
      </c>
      <c r="GO93" s="137"/>
      <c r="GP93" s="137"/>
      <c r="GQ93" s="137"/>
      <c r="GR93" s="137"/>
      <c r="GS93" s="137"/>
      <c r="GT93" s="137"/>
      <c r="GU93" s="137"/>
      <c r="GV93" s="137"/>
      <c r="GW93" s="137"/>
      <c r="GX93" s="137"/>
      <c r="GY93" s="137"/>
      <c r="GZ93" s="137"/>
      <c r="HA93" s="132">
        <f t="shared" si="83"/>
        <v>0</v>
      </c>
      <c r="HB93" s="181"/>
      <c r="HC93" s="181"/>
      <c r="HD93" s="181"/>
      <c r="HE93" s="181"/>
      <c r="HF93" s="181"/>
      <c r="HG93" s="181"/>
      <c r="HH93" s="181"/>
      <c r="HI93" s="181"/>
      <c r="HJ93" s="181"/>
      <c r="HK93" s="181"/>
      <c r="HL93" s="181"/>
      <c r="HM93" s="181"/>
      <c r="HN93" s="181">
        <f t="shared" si="84"/>
        <v>0</v>
      </c>
      <c r="HO93" s="132"/>
      <c r="HP93" s="132"/>
      <c r="HQ93" s="132"/>
      <c r="HR93" s="132"/>
      <c r="HS93" s="132"/>
      <c r="HT93" s="132"/>
      <c r="HU93" s="132"/>
      <c r="HV93" s="132"/>
      <c r="HW93" s="132"/>
      <c r="HX93" s="132"/>
      <c r="HY93" s="132"/>
      <c r="HZ93" s="132"/>
      <c r="IA93" s="132">
        <f t="shared" si="85"/>
        <v>0</v>
      </c>
      <c r="IB93" s="181"/>
      <c r="IC93" s="181"/>
      <c r="ID93" s="181"/>
      <c r="IE93" s="181"/>
      <c r="IF93" s="181"/>
      <c r="IG93" s="181"/>
      <c r="IH93" s="181"/>
      <c r="II93" s="181"/>
      <c r="IJ93" s="181"/>
      <c r="IK93" s="181"/>
      <c r="IL93" s="181"/>
      <c r="IM93" s="181"/>
      <c r="IN93" s="181">
        <f t="shared" si="86"/>
        <v>0</v>
      </c>
      <c r="IO93" s="181"/>
      <c r="IP93" s="181"/>
      <c r="IQ93" s="181"/>
      <c r="IR93" s="181"/>
      <c r="IS93" s="181"/>
      <c r="IT93" s="181"/>
      <c r="IU93" s="181"/>
      <c r="IV93" s="181"/>
      <c r="IW93" s="181"/>
      <c r="IX93" s="181"/>
      <c r="IY93" s="181"/>
      <c r="IZ93" s="181"/>
      <c r="JA93" s="181">
        <f t="shared" si="87"/>
        <v>0</v>
      </c>
      <c r="JC93" s="135">
        <f t="shared" si="88"/>
        <v>0</v>
      </c>
      <c r="JD93" s="135">
        <f t="shared" si="89"/>
        <v>0</v>
      </c>
      <c r="JE93" s="135">
        <f t="shared" si="90"/>
        <v>0</v>
      </c>
      <c r="JF93" s="135">
        <f t="shared" si="91"/>
        <v>0</v>
      </c>
      <c r="JG93" s="135">
        <f t="shared" si="92"/>
        <v>0</v>
      </c>
      <c r="JH93" s="135">
        <f t="shared" si="93"/>
        <v>0</v>
      </c>
      <c r="JI93" s="135">
        <f t="shared" si="94"/>
        <v>0</v>
      </c>
      <c r="JJ93" s="135">
        <f t="shared" si="95"/>
        <v>0</v>
      </c>
      <c r="JK93" s="135">
        <f t="shared" si="96"/>
        <v>0</v>
      </c>
      <c r="JL93" s="135">
        <f t="shared" si="97"/>
        <v>0</v>
      </c>
      <c r="JM93" s="135">
        <f t="shared" si="98"/>
        <v>0</v>
      </c>
      <c r="JN93" s="135">
        <f t="shared" si="99"/>
        <v>0</v>
      </c>
      <c r="JO93" s="132">
        <f t="shared" si="100"/>
        <v>0</v>
      </c>
      <c r="JQ93" s="139">
        <f t="shared" si="101"/>
        <v>0</v>
      </c>
    </row>
    <row r="94" spans="1:277" x14ac:dyDescent="0.25">
      <c r="A94" s="13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2">
        <f t="shared" si="68"/>
        <v>0</v>
      </c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2">
        <f t="shared" si="69"/>
        <v>0</v>
      </c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2">
        <f t="shared" si="70"/>
        <v>0</v>
      </c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2">
        <f t="shared" si="71"/>
        <v>0</v>
      </c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2">
        <f t="shared" si="72"/>
        <v>0</v>
      </c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2">
        <f t="shared" si="73"/>
        <v>0</v>
      </c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2">
        <f t="shared" si="74"/>
        <v>0</v>
      </c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2">
        <f t="shared" si="75"/>
        <v>0</v>
      </c>
      <c r="DB94" s="136"/>
      <c r="DC94" s="136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2">
        <f t="shared" si="76"/>
        <v>0</v>
      </c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2">
        <f t="shared" si="77"/>
        <v>0</v>
      </c>
      <c r="EB94" s="216"/>
      <c r="EC94" s="216"/>
      <c r="ED94" s="216"/>
      <c r="EE94" s="216"/>
      <c r="EF94" s="216"/>
      <c r="EG94" s="216"/>
      <c r="EH94" s="216"/>
      <c r="EI94" s="216"/>
      <c r="EJ94" s="216"/>
      <c r="EK94" s="216"/>
      <c r="EL94" s="216"/>
      <c r="EM94" s="216"/>
      <c r="EN94" s="132">
        <f t="shared" si="78"/>
        <v>0</v>
      </c>
      <c r="EO94" s="132"/>
      <c r="EP94" s="132"/>
      <c r="EQ94" s="132"/>
      <c r="ER94" s="132"/>
      <c r="ES94" s="132"/>
      <c r="ET94" s="132"/>
      <c r="EU94" s="132"/>
      <c r="EV94" s="132"/>
      <c r="EW94" s="132"/>
      <c r="EX94" s="132"/>
      <c r="EY94" s="132"/>
      <c r="EZ94" s="132"/>
      <c r="FA94" s="132">
        <f t="shared" si="79"/>
        <v>0</v>
      </c>
      <c r="FB94" s="181"/>
      <c r="FC94" s="181"/>
      <c r="FD94" s="181"/>
      <c r="FE94" s="181"/>
      <c r="FF94" s="181"/>
      <c r="FG94" s="181"/>
      <c r="FH94" s="181"/>
      <c r="FI94" s="181"/>
      <c r="FJ94" s="181"/>
      <c r="FK94" s="181"/>
      <c r="FL94" s="181"/>
      <c r="FM94" s="181"/>
      <c r="FN94" s="132">
        <f t="shared" si="80"/>
        <v>0</v>
      </c>
      <c r="FO94" s="132"/>
      <c r="FP94" s="132"/>
      <c r="FQ94" s="132"/>
      <c r="FR94" s="132"/>
      <c r="FS94" s="132"/>
      <c r="FT94" s="132"/>
      <c r="FU94" s="132"/>
      <c r="FV94" s="132"/>
      <c r="FW94" s="132"/>
      <c r="FX94" s="132"/>
      <c r="FY94" s="132"/>
      <c r="FZ94" s="132"/>
      <c r="GA94" s="132">
        <f t="shared" si="81"/>
        <v>0</v>
      </c>
      <c r="GB94" s="181"/>
      <c r="GC94" s="181"/>
      <c r="GD94" s="181"/>
      <c r="GE94" s="181"/>
      <c r="GF94" s="181"/>
      <c r="GG94" s="181"/>
      <c r="GH94" s="181"/>
      <c r="GI94" s="181"/>
      <c r="GJ94" s="181"/>
      <c r="GK94" s="181"/>
      <c r="GL94" s="181"/>
      <c r="GM94" s="181"/>
      <c r="GN94" s="181">
        <f t="shared" si="82"/>
        <v>0</v>
      </c>
      <c r="GO94" s="137"/>
      <c r="GP94" s="137"/>
      <c r="GQ94" s="137"/>
      <c r="GR94" s="137"/>
      <c r="GS94" s="137"/>
      <c r="GT94" s="137"/>
      <c r="GU94" s="137"/>
      <c r="GV94" s="137"/>
      <c r="GW94" s="137"/>
      <c r="GX94" s="137"/>
      <c r="GY94" s="137"/>
      <c r="GZ94" s="137"/>
      <c r="HA94" s="132">
        <f t="shared" si="83"/>
        <v>0</v>
      </c>
      <c r="HB94" s="181"/>
      <c r="HC94" s="181"/>
      <c r="HD94" s="181"/>
      <c r="HE94" s="181"/>
      <c r="HF94" s="181"/>
      <c r="HG94" s="181"/>
      <c r="HH94" s="181"/>
      <c r="HI94" s="181"/>
      <c r="HJ94" s="181"/>
      <c r="HK94" s="181"/>
      <c r="HL94" s="181"/>
      <c r="HM94" s="181"/>
      <c r="HN94" s="181">
        <f t="shared" si="84"/>
        <v>0</v>
      </c>
      <c r="HO94" s="132"/>
      <c r="HP94" s="132"/>
      <c r="HQ94" s="132"/>
      <c r="HR94" s="132"/>
      <c r="HS94" s="132"/>
      <c r="HT94" s="132"/>
      <c r="HU94" s="132"/>
      <c r="HV94" s="132"/>
      <c r="HW94" s="132"/>
      <c r="HX94" s="132"/>
      <c r="HY94" s="132"/>
      <c r="HZ94" s="132"/>
      <c r="IA94" s="132">
        <f t="shared" si="85"/>
        <v>0</v>
      </c>
      <c r="IB94" s="181"/>
      <c r="IC94" s="181"/>
      <c r="ID94" s="181"/>
      <c r="IE94" s="181"/>
      <c r="IF94" s="181"/>
      <c r="IG94" s="181"/>
      <c r="IH94" s="181"/>
      <c r="II94" s="181"/>
      <c r="IJ94" s="181"/>
      <c r="IK94" s="181"/>
      <c r="IL94" s="181"/>
      <c r="IM94" s="181"/>
      <c r="IN94" s="181">
        <f t="shared" si="86"/>
        <v>0</v>
      </c>
      <c r="IO94" s="181"/>
      <c r="IP94" s="181"/>
      <c r="IQ94" s="181"/>
      <c r="IR94" s="181"/>
      <c r="IS94" s="181"/>
      <c r="IT94" s="181"/>
      <c r="IU94" s="181"/>
      <c r="IV94" s="181"/>
      <c r="IW94" s="181"/>
      <c r="IX94" s="181"/>
      <c r="IY94" s="181"/>
      <c r="IZ94" s="181"/>
      <c r="JA94" s="181">
        <f t="shared" si="87"/>
        <v>0</v>
      </c>
      <c r="JC94" s="135">
        <f t="shared" si="88"/>
        <v>0</v>
      </c>
      <c r="JD94" s="135">
        <f t="shared" si="89"/>
        <v>0</v>
      </c>
      <c r="JE94" s="135">
        <f t="shared" si="90"/>
        <v>0</v>
      </c>
      <c r="JF94" s="135">
        <f t="shared" si="91"/>
        <v>0</v>
      </c>
      <c r="JG94" s="135">
        <f t="shared" si="92"/>
        <v>0</v>
      </c>
      <c r="JH94" s="135">
        <f t="shared" si="93"/>
        <v>0</v>
      </c>
      <c r="JI94" s="135">
        <f t="shared" si="94"/>
        <v>0</v>
      </c>
      <c r="JJ94" s="135">
        <f t="shared" si="95"/>
        <v>0</v>
      </c>
      <c r="JK94" s="135">
        <f t="shared" si="96"/>
        <v>0</v>
      </c>
      <c r="JL94" s="135">
        <f t="shared" si="97"/>
        <v>0</v>
      </c>
      <c r="JM94" s="135">
        <f t="shared" si="98"/>
        <v>0</v>
      </c>
      <c r="JN94" s="135">
        <f t="shared" si="99"/>
        <v>0</v>
      </c>
      <c r="JO94" s="132">
        <f t="shared" si="100"/>
        <v>0</v>
      </c>
      <c r="JQ94" s="139">
        <f t="shared" si="101"/>
        <v>0</v>
      </c>
    </row>
    <row r="95" spans="1:277" x14ac:dyDescent="0.25">
      <c r="A95" s="13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2">
        <f t="shared" si="68"/>
        <v>0</v>
      </c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2">
        <f t="shared" si="69"/>
        <v>0</v>
      </c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2">
        <f t="shared" si="70"/>
        <v>0</v>
      </c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2">
        <f t="shared" si="71"/>
        <v>0</v>
      </c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2">
        <f t="shared" si="72"/>
        <v>0</v>
      </c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2">
        <f t="shared" si="73"/>
        <v>0</v>
      </c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2">
        <f t="shared" si="74"/>
        <v>0</v>
      </c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2">
        <f t="shared" si="75"/>
        <v>0</v>
      </c>
      <c r="DB95" s="136"/>
      <c r="DC95" s="136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2">
        <f t="shared" si="76"/>
        <v>0</v>
      </c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2">
        <f t="shared" si="77"/>
        <v>0</v>
      </c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132">
        <f t="shared" si="78"/>
        <v>0</v>
      </c>
      <c r="EO95" s="132"/>
      <c r="EP95" s="132"/>
      <c r="EQ95" s="132"/>
      <c r="ER95" s="132"/>
      <c r="ES95" s="132"/>
      <c r="ET95" s="132"/>
      <c r="EU95" s="132"/>
      <c r="EV95" s="132"/>
      <c r="EW95" s="132"/>
      <c r="EX95" s="132"/>
      <c r="EY95" s="132"/>
      <c r="EZ95" s="132"/>
      <c r="FA95" s="132">
        <f t="shared" si="79"/>
        <v>0</v>
      </c>
      <c r="FB95" s="181"/>
      <c r="FC95" s="181"/>
      <c r="FD95" s="181"/>
      <c r="FE95" s="181"/>
      <c r="FF95" s="181"/>
      <c r="FG95" s="181"/>
      <c r="FH95" s="181"/>
      <c r="FI95" s="181"/>
      <c r="FJ95" s="181"/>
      <c r="FK95" s="181"/>
      <c r="FL95" s="181"/>
      <c r="FM95" s="181"/>
      <c r="FN95" s="132">
        <f t="shared" si="80"/>
        <v>0</v>
      </c>
      <c r="FO95" s="132"/>
      <c r="FP95" s="132"/>
      <c r="FQ95" s="132"/>
      <c r="FR95" s="132"/>
      <c r="FS95" s="132"/>
      <c r="FT95" s="132"/>
      <c r="FU95" s="132"/>
      <c r="FV95" s="132"/>
      <c r="FW95" s="132"/>
      <c r="FX95" s="132"/>
      <c r="FY95" s="132"/>
      <c r="FZ95" s="132"/>
      <c r="GA95" s="132">
        <f t="shared" si="81"/>
        <v>0</v>
      </c>
      <c r="GB95" s="181"/>
      <c r="GC95" s="181"/>
      <c r="GD95" s="181"/>
      <c r="GE95" s="181"/>
      <c r="GF95" s="181"/>
      <c r="GG95" s="181"/>
      <c r="GH95" s="181"/>
      <c r="GI95" s="181"/>
      <c r="GJ95" s="181"/>
      <c r="GK95" s="181"/>
      <c r="GL95" s="181"/>
      <c r="GM95" s="181"/>
      <c r="GN95" s="181">
        <f t="shared" si="82"/>
        <v>0</v>
      </c>
      <c r="GO95" s="137"/>
      <c r="GP95" s="137"/>
      <c r="GQ95" s="137"/>
      <c r="GR95" s="137"/>
      <c r="GS95" s="137"/>
      <c r="GT95" s="137"/>
      <c r="GU95" s="137"/>
      <c r="GV95" s="137"/>
      <c r="GW95" s="137"/>
      <c r="GX95" s="137"/>
      <c r="GY95" s="137"/>
      <c r="GZ95" s="137"/>
      <c r="HA95" s="132">
        <f t="shared" si="83"/>
        <v>0</v>
      </c>
      <c r="HB95" s="181"/>
      <c r="HC95" s="181"/>
      <c r="HD95" s="181"/>
      <c r="HE95" s="181"/>
      <c r="HF95" s="181"/>
      <c r="HG95" s="181"/>
      <c r="HH95" s="181"/>
      <c r="HI95" s="181"/>
      <c r="HJ95" s="181"/>
      <c r="HK95" s="181"/>
      <c r="HL95" s="181"/>
      <c r="HM95" s="181"/>
      <c r="HN95" s="181">
        <f t="shared" si="84"/>
        <v>0</v>
      </c>
      <c r="HO95" s="132"/>
      <c r="HP95" s="132"/>
      <c r="HQ95" s="132"/>
      <c r="HR95" s="132"/>
      <c r="HS95" s="132"/>
      <c r="HT95" s="132"/>
      <c r="HU95" s="132"/>
      <c r="HV95" s="132"/>
      <c r="HW95" s="132"/>
      <c r="HX95" s="132"/>
      <c r="HY95" s="132"/>
      <c r="HZ95" s="132"/>
      <c r="IA95" s="132">
        <f t="shared" si="85"/>
        <v>0</v>
      </c>
      <c r="IB95" s="181"/>
      <c r="IC95" s="181"/>
      <c r="ID95" s="181"/>
      <c r="IE95" s="181"/>
      <c r="IF95" s="181"/>
      <c r="IG95" s="181"/>
      <c r="IH95" s="181"/>
      <c r="II95" s="181"/>
      <c r="IJ95" s="181"/>
      <c r="IK95" s="181"/>
      <c r="IL95" s="181"/>
      <c r="IM95" s="181"/>
      <c r="IN95" s="181">
        <f t="shared" si="86"/>
        <v>0</v>
      </c>
      <c r="IO95" s="181"/>
      <c r="IP95" s="181"/>
      <c r="IQ95" s="181"/>
      <c r="IR95" s="181"/>
      <c r="IS95" s="181"/>
      <c r="IT95" s="181"/>
      <c r="IU95" s="181"/>
      <c r="IV95" s="181"/>
      <c r="IW95" s="181"/>
      <c r="IX95" s="181"/>
      <c r="IY95" s="181"/>
      <c r="IZ95" s="181"/>
      <c r="JA95" s="181">
        <f t="shared" si="87"/>
        <v>0</v>
      </c>
      <c r="JC95" s="135">
        <f t="shared" si="88"/>
        <v>0</v>
      </c>
      <c r="JD95" s="135">
        <f t="shared" si="89"/>
        <v>0</v>
      </c>
      <c r="JE95" s="135">
        <f t="shared" si="90"/>
        <v>0</v>
      </c>
      <c r="JF95" s="135">
        <f t="shared" si="91"/>
        <v>0</v>
      </c>
      <c r="JG95" s="135">
        <f t="shared" si="92"/>
        <v>0</v>
      </c>
      <c r="JH95" s="135">
        <f t="shared" si="93"/>
        <v>0</v>
      </c>
      <c r="JI95" s="135">
        <f t="shared" si="94"/>
        <v>0</v>
      </c>
      <c r="JJ95" s="135">
        <f t="shared" si="95"/>
        <v>0</v>
      </c>
      <c r="JK95" s="135">
        <f t="shared" si="96"/>
        <v>0</v>
      </c>
      <c r="JL95" s="135">
        <f t="shared" si="97"/>
        <v>0</v>
      </c>
      <c r="JM95" s="135">
        <f t="shared" si="98"/>
        <v>0</v>
      </c>
      <c r="JN95" s="135">
        <f t="shared" si="99"/>
        <v>0</v>
      </c>
      <c r="JO95" s="132">
        <f t="shared" si="100"/>
        <v>0</v>
      </c>
      <c r="JQ95" s="139">
        <f t="shared" si="101"/>
        <v>0</v>
      </c>
    </row>
    <row r="96" spans="1:277" x14ac:dyDescent="0.25">
      <c r="A96" s="13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2">
        <f t="shared" si="68"/>
        <v>0</v>
      </c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2">
        <f t="shared" si="69"/>
        <v>0</v>
      </c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2">
        <f t="shared" si="70"/>
        <v>0</v>
      </c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2">
        <f t="shared" si="71"/>
        <v>0</v>
      </c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2">
        <f t="shared" si="72"/>
        <v>0</v>
      </c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2">
        <f t="shared" si="73"/>
        <v>0</v>
      </c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2">
        <f t="shared" si="74"/>
        <v>0</v>
      </c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2">
        <f t="shared" si="75"/>
        <v>0</v>
      </c>
      <c r="DB96" s="136"/>
      <c r="DC96" s="136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2">
        <f t="shared" si="76"/>
        <v>0</v>
      </c>
      <c r="DO96" s="137"/>
      <c r="DP96" s="137"/>
      <c r="DQ96" s="137"/>
      <c r="DR96" s="137"/>
      <c r="DS96" s="137"/>
      <c r="DT96" s="137"/>
      <c r="DU96" s="137"/>
      <c r="DV96" s="137"/>
      <c r="DW96" s="137"/>
      <c r="DX96" s="137"/>
      <c r="DY96" s="137"/>
      <c r="DZ96" s="137"/>
      <c r="EA96" s="132">
        <f t="shared" si="77"/>
        <v>0</v>
      </c>
      <c r="EB96" s="216"/>
      <c r="EC96" s="216"/>
      <c r="ED96" s="216"/>
      <c r="EE96" s="216"/>
      <c r="EF96" s="216"/>
      <c r="EG96" s="216"/>
      <c r="EH96" s="216"/>
      <c r="EI96" s="216"/>
      <c r="EJ96" s="216"/>
      <c r="EK96" s="216"/>
      <c r="EL96" s="216"/>
      <c r="EM96" s="216"/>
      <c r="EN96" s="132">
        <f t="shared" si="78"/>
        <v>0</v>
      </c>
      <c r="EO96" s="132"/>
      <c r="EP96" s="132"/>
      <c r="EQ96" s="132"/>
      <c r="ER96" s="132"/>
      <c r="ES96" s="132"/>
      <c r="ET96" s="132"/>
      <c r="EU96" s="132"/>
      <c r="EV96" s="132"/>
      <c r="EW96" s="132"/>
      <c r="EX96" s="132"/>
      <c r="EY96" s="132"/>
      <c r="EZ96" s="132"/>
      <c r="FA96" s="132">
        <f t="shared" si="79"/>
        <v>0</v>
      </c>
      <c r="FB96" s="181"/>
      <c r="FC96" s="181"/>
      <c r="FD96" s="181"/>
      <c r="FE96" s="181"/>
      <c r="FF96" s="181"/>
      <c r="FG96" s="181"/>
      <c r="FH96" s="181"/>
      <c r="FI96" s="181"/>
      <c r="FJ96" s="181"/>
      <c r="FK96" s="181"/>
      <c r="FL96" s="181"/>
      <c r="FM96" s="181"/>
      <c r="FN96" s="132">
        <f t="shared" si="80"/>
        <v>0</v>
      </c>
      <c r="FO96" s="132"/>
      <c r="FP96" s="132"/>
      <c r="FQ96" s="132"/>
      <c r="FR96" s="132"/>
      <c r="FS96" s="132"/>
      <c r="FT96" s="132"/>
      <c r="FU96" s="132"/>
      <c r="FV96" s="132"/>
      <c r="FW96" s="132"/>
      <c r="FX96" s="132"/>
      <c r="FY96" s="132"/>
      <c r="FZ96" s="132"/>
      <c r="GA96" s="132">
        <f t="shared" si="81"/>
        <v>0</v>
      </c>
      <c r="GB96" s="181"/>
      <c r="GC96" s="181"/>
      <c r="GD96" s="181"/>
      <c r="GE96" s="181"/>
      <c r="GF96" s="181"/>
      <c r="GG96" s="181"/>
      <c r="GH96" s="181"/>
      <c r="GI96" s="181"/>
      <c r="GJ96" s="181"/>
      <c r="GK96" s="181"/>
      <c r="GL96" s="181"/>
      <c r="GM96" s="181"/>
      <c r="GN96" s="181">
        <f t="shared" si="82"/>
        <v>0</v>
      </c>
      <c r="GO96" s="137"/>
      <c r="GP96" s="137"/>
      <c r="GQ96" s="137"/>
      <c r="GR96" s="137"/>
      <c r="GS96" s="137"/>
      <c r="GT96" s="137"/>
      <c r="GU96" s="137"/>
      <c r="GV96" s="137"/>
      <c r="GW96" s="137"/>
      <c r="GX96" s="137"/>
      <c r="GY96" s="137"/>
      <c r="GZ96" s="137"/>
      <c r="HA96" s="132">
        <f t="shared" si="83"/>
        <v>0</v>
      </c>
      <c r="HB96" s="181"/>
      <c r="HC96" s="181"/>
      <c r="HD96" s="181"/>
      <c r="HE96" s="181"/>
      <c r="HF96" s="181"/>
      <c r="HG96" s="181"/>
      <c r="HH96" s="181"/>
      <c r="HI96" s="181"/>
      <c r="HJ96" s="181"/>
      <c r="HK96" s="181"/>
      <c r="HL96" s="181"/>
      <c r="HM96" s="181"/>
      <c r="HN96" s="181">
        <f t="shared" si="84"/>
        <v>0</v>
      </c>
      <c r="HO96" s="132"/>
      <c r="HP96" s="132"/>
      <c r="HQ96" s="132"/>
      <c r="HR96" s="132"/>
      <c r="HS96" s="132"/>
      <c r="HT96" s="132"/>
      <c r="HU96" s="132"/>
      <c r="HV96" s="132"/>
      <c r="HW96" s="132"/>
      <c r="HX96" s="132"/>
      <c r="HY96" s="132"/>
      <c r="HZ96" s="132"/>
      <c r="IA96" s="132">
        <f t="shared" si="85"/>
        <v>0</v>
      </c>
      <c r="IB96" s="181"/>
      <c r="IC96" s="181"/>
      <c r="ID96" s="181"/>
      <c r="IE96" s="181"/>
      <c r="IF96" s="181"/>
      <c r="IG96" s="181"/>
      <c r="IH96" s="181"/>
      <c r="II96" s="181"/>
      <c r="IJ96" s="181"/>
      <c r="IK96" s="181"/>
      <c r="IL96" s="181"/>
      <c r="IM96" s="181"/>
      <c r="IN96" s="181">
        <f t="shared" si="86"/>
        <v>0</v>
      </c>
      <c r="IO96" s="181"/>
      <c r="IP96" s="181"/>
      <c r="IQ96" s="181"/>
      <c r="IR96" s="181"/>
      <c r="IS96" s="181"/>
      <c r="IT96" s="181"/>
      <c r="IU96" s="181"/>
      <c r="IV96" s="181"/>
      <c r="IW96" s="181"/>
      <c r="IX96" s="181"/>
      <c r="IY96" s="181"/>
      <c r="IZ96" s="181"/>
      <c r="JA96" s="181">
        <f t="shared" si="87"/>
        <v>0</v>
      </c>
      <c r="JC96" s="135">
        <f t="shared" si="88"/>
        <v>0</v>
      </c>
      <c r="JD96" s="135">
        <f t="shared" si="89"/>
        <v>0</v>
      </c>
      <c r="JE96" s="135">
        <f t="shared" si="90"/>
        <v>0</v>
      </c>
      <c r="JF96" s="135">
        <f t="shared" si="91"/>
        <v>0</v>
      </c>
      <c r="JG96" s="135">
        <f t="shared" si="92"/>
        <v>0</v>
      </c>
      <c r="JH96" s="135">
        <f t="shared" si="93"/>
        <v>0</v>
      </c>
      <c r="JI96" s="135">
        <f t="shared" si="94"/>
        <v>0</v>
      </c>
      <c r="JJ96" s="135">
        <f t="shared" si="95"/>
        <v>0</v>
      </c>
      <c r="JK96" s="135">
        <f t="shared" si="96"/>
        <v>0</v>
      </c>
      <c r="JL96" s="135">
        <f t="shared" si="97"/>
        <v>0</v>
      </c>
      <c r="JM96" s="135">
        <f t="shared" si="98"/>
        <v>0</v>
      </c>
      <c r="JN96" s="135">
        <f t="shared" si="99"/>
        <v>0</v>
      </c>
      <c r="JO96" s="132">
        <f t="shared" si="100"/>
        <v>0</v>
      </c>
      <c r="JQ96" s="139">
        <f t="shared" si="101"/>
        <v>0</v>
      </c>
    </row>
    <row r="97" spans="1:277" x14ac:dyDescent="0.25">
      <c r="A97" s="13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>
        <f t="shared" si="68"/>
        <v>0</v>
      </c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2">
        <f t="shared" si="69"/>
        <v>0</v>
      </c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2">
        <f t="shared" si="70"/>
        <v>0</v>
      </c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2">
        <f t="shared" si="71"/>
        <v>0</v>
      </c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2">
        <f t="shared" si="72"/>
        <v>0</v>
      </c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2">
        <f t="shared" si="73"/>
        <v>0</v>
      </c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2">
        <f t="shared" si="74"/>
        <v>0</v>
      </c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2">
        <f t="shared" si="75"/>
        <v>0</v>
      </c>
      <c r="DB97" s="136"/>
      <c r="DC97" s="136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2">
        <f t="shared" si="76"/>
        <v>0</v>
      </c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2">
        <f t="shared" si="77"/>
        <v>0</v>
      </c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132">
        <f t="shared" si="78"/>
        <v>0</v>
      </c>
      <c r="EO97" s="132"/>
      <c r="EP97" s="132"/>
      <c r="EQ97" s="132"/>
      <c r="ER97" s="132"/>
      <c r="ES97" s="132"/>
      <c r="ET97" s="132"/>
      <c r="EU97" s="132"/>
      <c r="EV97" s="132"/>
      <c r="EW97" s="132"/>
      <c r="EX97" s="132"/>
      <c r="EY97" s="132"/>
      <c r="EZ97" s="132"/>
      <c r="FA97" s="132">
        <f t="shared" si="79"/>
        <v>0</v>
      </c>
      <c r="FB97" s="181"/>
      <c r="FC97" s="181"/>
      <c r="FD97" s="181"/>
      <c r="FE97" s="181"/>
      <c r="FF97" s="181"/>
      <c r="FG97" s="181"/>
      <c r="FH97" s="181"/>
      <c r="FI97" s="181"/>
      <c r="FJ97" s="181"/>
      <c r="FK97" s="181"/>
      <c r="FL97" s="181"/>
      <c r="FM97" s="181"/>
      <c r="FN97" s="132">
        <f t="shared" si="80"/>
        <v>0</v>
      </c>
      <c r="FO97" s="132"/>
      <c r="FP97" s="132"/>
      <c r="FQ97" s="132"/>
      <c r="FR97" s="132"/>
      <c r="FS97" s="132"/>
      <c r="FT97" s="132"/>
      <c r="FU97" s="132"/>
      <c r="FV97" s="132"/>
      <c r="FW97" s="132"/>
      <c r="FX97" s="132"/>
      <c r="FY97" s="132"/>
      <c r="FZ97" s="132"/>
      <c r="GA97" s="132">
        <f t="shared" si="81"/>
        <v>0</v>
      </c>
      <c r="GB97" s="181"/>
      <c r="GC97" s="181"/>
      <c r="GD97" s="181"/>
      <c r="GE97" s="181"/>
      <c r="GF97" s="181"/>
      <c r="GG97" s="181"/>
      <c r="GH97" s="181"/>
      <c r="GI97" s="181"/>
      <c r="GJ97" s="181"/>
      <c r="GK97" s="181"/>
      <c r="GL97" s="181"/>
      <c r="GM97" s="181"/>
      <c r="GN97" s="181">
        <f t="shared" si="82"/>
        <v>0</v>
      </c>
      <c r="GO97" s="137"/>
      <c r="GP97" s="137"/>
      <c r="GQ97" s="137"/>
      <c r="GR97" s="137"/>
      <c r="GS97" s="137"/>
      <c r="GT97" s="137"/>
      <c r="GU97" s="137"/>
      <c r="GV97" s="137"/>
      <c r="GW97" s="137"/>
      <c r="GX97" s="137"/>
      <c r="GY97" s="137"/>
      <c r="GZ97" s="137"/>
      <c r="HA97" s="132">
        <f t="shared" si="83"/>
        <v>0</v>
      </c>
      <c r="HB97" s="181"/>
      <c r="HC97" s="181"/>
      <c r="HD97" s="181"/>
      <c r="HE97" s="181"/>
      <c r="HF97" s="181"/>
      <c r="HG97" s="181"/>
      <c r="HH97" s="181"/>
      <c r="HI97" s="181"/>
      <c r="HJ97" s="181"/>
      <c r="HK97" s="181"/>
      <c r="HL97" s="181"/>
      <c r="HM97" s="181"/>
      <c r="HN97" s="181">
        <f t="shared" si="84"/>
        <v>0</v>
      </c>
      <c r="HO97" s="132"/>
      <c r="HP97" s="132"/>
      <c r="HQ97" s="132"/>
      <c r="HR97" s="132"/>
      <c r="HS97" s="132"/>
      <c r="HT97" s="132"/>
      <c r="HU97" s="132"/>
      <c r="HV97" s="132"/>
      <c r="HW97" s="132"/>
      <c r="HX97" s="132"/>
      <c r="HY97" s="132"/>
      <c r="HZ97" s="132"/>
      <c r="IA97" s="132">
        <f t="shared" si="85"/>
        <v>0</v>
      </c>
      <c r="IB97" s="181"/>
      <c r="IC97" s="181"/>
      <c r="ID97" s="181"/>
      <c r="IE97" s="181"/>
      <c r="IF97" s="181"/>
      <c r="IG97" s="181"/>
      <c r="IH97" s="181"/>
      <c r="II97" s="181"/>
      <c r="IJ97" s="181"/>
      <c r="IK97" s="181"/>
      <c r="IL97" s="181"/>
      <c r="IM97" s="181"/>
      <c r="IN97" s="181">
        <f t="shared" si="86"/>
        <v>0</v>
      </c>
      <c r="IO97" s="181"/>
      <c r="IP97" s="181"/>
      <c r="IQ97" s="181"/>
      <c r="IR97" s="181"/>
      <c r="IS97" s="181"/>
      <c r="IT97" s="181"/>
      <c r="IU97" s="181"/>
      <c r="IV97" s="181"/>
      <c r="IW97" s="181"/>
      <c r="IX97" s="181"/>
      <c r="IY97" s="181"/>
      <c r="IZ97" s="181"/>
      <c r="JA97" s="181">
        <f t="shared" si="87"/>
        <v>0</v>
      </c>
      <c r="JC97" s="135">
        <f t="shared" si="88"/>
        <v>0</v>
      </c>
      <c r="JD97" s="135">
        <f t="shared" si="89"/>
        <v>0</v>
      </c>
      <c r="JE97" s="135">
        <f t="shared" si="90"/>
        <v>0</v>
      </c>
      <c r="JF97" s="135">
        <f t="shared" si="91"/>
        <v>0</v>
      </c>
      <c r="JG97" s="135">
        <f t="shared" si="92"/>
        <v>0</v>
      </c>
      <c r="JH97" s="135">
        <f t="shared" si="93"/>
        <v>0</v>
      </c>
      <c r="JI97" s="135">
        <f t="shared" si="94"/>
        <v>0</v>
      </c>
      <c r="JJ97" s="135">
        <f t="shared" si="95"/>
        <v>0</v>
      </c>
      <c r="JK97" s="135">
        <f t="shared" si="96"/>
        <v>0</v>
      </c>
      <c r="JL97" s="135">
        <f t="shared" si="97"/>
        <v>0</v>
      </c>
      <c r="JM97" s="135">
        <f t="shared" si="98"/>
        <v>0</v>
      </c>
      <c r="JN97" s="135">
        <f t="shared" si="99"/>
        <v>0</v>
      </c>
      <c r="JO97" s="132">
        <f t="shared" si="100"/>
        <v>0</v>
      </c>
      <c r="JQ97" s="139">
        <f t="shared" si="101"/>
        <v>0</v>
      </c>
    </row>
    <row r="98" spans="1:277" x14ac:dyDescent="0.25">
      <c r="A98" s="13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2">
        <f t="shared" si="68"/>
        <v>0</v>
      </c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2">
        <f t="shared" si="69"/>
        <v>0</v>
      </c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2">
        <f t="shared" si="70"/>
        <v>0</v>
      </c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2">
        <f t="shared" si="71"/>
        <v>0</v>
      </c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2">
        <f t="shared" si="72"/>
        <v>0</v>
      </c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2">
        <f t="shared" si="73"/>
        <v>0</v>
      </c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2">
        <f t="shared" si="74"/>
        <v>0</v>
      </c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2">
        <f t="shared" si="75"/>
        <v>0</v>
      </c>
      <c r="DB98" s="136"/>
      <c r="DC98" s="136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2">
        <f t="shared" si="76"/>
        <v>0</v>
      </c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2">
        <f t="shared" si="77"/>
        <v>0</v>
      </c>
      <c r="EB98" s="216"/>
      <c r="EC98" s="216"/>
      <c r="ED98" s="216"/>
      <c r="EE98" s="216"/>
      <c r="EF98" s="216"/>
      <c r="EG98" s="216"/>
      <c r="EH98" s="216"/>
      <c r="EI98" s="216"/>
      <c r="EJ98" s="216"/>
      <c r="EK98" s="216"/>
      <c r="EL98" s="216"/>
      <c r="EM98" s="216"/>
      <c r="EN98" s="132">
        <f t="shared" si="78"/>
        <v>0</v>
      </c>
      <c r="EO98" s="132"/>
      <c r="EP98" s="132"/>
      <c r="EQ98" s="132"/>
      <c r="ER98" s="132"/>
      <c r="ES98" s="132"/>
      <c r="ET98" s="132"/>
      <c r="EU98" s="132"/>
      <c r="EV98" s="132"/>
      <c r="EW98" s="132"/>
      <c r="EX98" s="132"/>
      <c r="EY98" s="132"/>
      <c r="EZ98" s="132"/>
      <c r="FA98" s="132">
        <f t="shared" si="79"/>
        <v>0</v>
      </c>
      <c r="FB98" s="181"/>
      <c r="FC98" s="181"/>
      <c r="FD98" s="181"/>
      <c r="FE98" s="181"/>
      <c r="FF98" s="181"/>
      <c r="FG98" s="181"/>
      <c r="FH98" s="181"/>
      <c r="FI98" s="181"/>
      <c r="FJ98" s="181"/>
      <c r="FK98" s="181"/>
      <c r="FL98" s="181"/>
      <c r="FM98" s="181"/>
      <c r="FN98" s="132">
        <f t="shared" si="80"/>
        <v>0</v>
      </c>
      <c r="FO98" s="132"/>
      <c r="FP98" s="132"/>
      <c r="FQ98" s="132"/>
      <c r="FR98" s="132"/>
      <c r="FS98" s="132"/>
      <c r="FT98" s="132"/>
      <c r="FU98" s="132"/>
      <c r="FV98" s="132"/>
      <c r="FW98" s="132"/>
      <c r="FX98" s="132"/>
      <c r="FY98" s="132"/>
      <c r="FZ98" s="132"/>
      <c r="GA98" s="132">
        <f t="shared" si="81"/>
        <v>0</v>
      </c>
      <c r="GB98" s="181"/>
      <c r="GC98" s="181"/>
      <c r="GD98" s="181"/>
      <c r="GE98" s="181"/>
      <c r="GF98" s="181"/>
      <c r="GG98" s="181"/>
      <c r="GH98" s="181"/>
      <c r="GI98" s="181"/>
      <c r="GJ98" s="181"/>
      <c r="GK98" s="181"/>
      <c r="GL98" s="181"/>
      <c r="GM98" s="181"/>
      <c r="GN98" s="181">
        <f t="shared" si="82"/>
        <v>0</v>
      </c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2">
        <f t="shared" si="83"/>
        <v>0</v>
      </c>
      <c r="HB98" s="181"/>
      <c r="HC98" s="181"/>
      <c r="HD98" s="181"/>
      <c r="HE98" s="181"/>
      <c r="HF98" s="181"/>
      <c r="HG98" s="181"/>
      <c r="HH98" s="181"/>
      <c r="HI98" s="181"/>
      <c r="HJ98" s="181"/>
      <c r="HK98" s="181"/>
      <c r="HL98" s="181"/>
      <c r="HM98" s="181"/>
      <c r="HN98" s="181">
        <f t="shared" si="84"/>
        <v>0</v>
      </c>
      <c r="HO98" s="132"/>
      <c r="HP98" s="132"/>
      <c r="HQ98" s="132"/>
      <c r="HR98" s="132"/>
      <c r="HS98" s="132"/>
      <c r="HT98" s="132"/>
      <c r="HU98" s="132"/>
      <c r="HV98" s="132"/>
      <c r="HW98" s="132"/>
      <c r="HX98" s="132"/>
      <c r="HY98" s="132"/>
      <c r="HZ98" s="132"/>
      <c r="IA98" s="132">
        <f t="shared" si="85"/>
        <v>0</v>
      </c>
      <c r="IB98" s="181"/>
      <c r="IC98" s="181"/>
      <c r="ID98" s="181"/>
      <c r="IE98" s="181"/>
      <c r="IF98" s="181"/>
      <c r="IG98" s="181"/>
      <c r="IH98" s="181"/>
      <c r="II98" s="181"/>
      <c r="IJ98" s="181"/>
      <c r="IK98" s="181"/>
      <c r="IL98" s="181"/>
      <c r="IM98" s="181"/>
      <c r="IN98" s="181">
        <f t="shared" si="86"/>
        <v>0</v>
      </c>
      <c r="IO98" s="181"/>
      <c r="IP98" s="181"/>
      <c r="IQ98" s="181"/>
      <c r="IR98" s="181"/>
      <c r="IS98" s="181"/>
      <c r="IT98" s="181"/>
      <c r="IU98" s="181"/>
      <c r="IV98" s="181"/>
      <c r="IW98" s="181"/>
      <c r="IX98" s="181"/>
      <c r="IY98" s="181"/>
      <c r="IZ98" s="181"/>
      <c r="JA98" s="181">
        <f t="shared" si="87"/>
        <v>0</v>
      </c>
      <c r="JC98" s="135">
        <f t="shared" si="88"/>
        <v>0</v>
      </c>
      <c r="JD98" s="135">
        <f t="shared" si="89"/>
        <v>0</v>
      </c>
      <c r="JE98" s="135">
        <f t="shared" si="90"/>
        <v>0</v>
      </c>
      <c r="JF98" s="135">
        <f t="shared" si="91"/>
        <v>0</v>
      </c>
      <c r="JG98" s="135">
        <f t="shared" si="92"/>
        <v>0</v>
      </c>
      <c r="JH98" s="135">
        <f t="shared" si="93"/>
        <v>0</v>
      </c>
      <c r="JI98" s="135">
        <f t="shared" si="94"/>
        <v>0</v>
      </c>
      <c r="JJ98" s="135">
        <f t="shared" si="95"/>
        <v>0</v>
      </c>
      <c r="JK98" s="135">
        <f t="shared" si="96"/>
        <v>0</v>
      </c>
      <c r="JL98" s="135">
        <f t="shared" si="97"/>
        <v>0</v>
      </c>
      <c r="JM98" s="135">
        <f t="shared" si="98"/>
        <v>0</v>
      </c>
      <c r="JN98" s="135">
        <f t="shared" si="99"/>
        <v>0</v>
      </c>
      <c r="JO98" s="132">
        <f t="shared" si="100"/>
        <v>0</v>
      </c>
      <c r="JQ98" s="139">
        <f t="shared" si="101"/>
        <v>0</v>
      </c>
    </row>
    <row r="99" spans="1:277" x14ac:dyDescent="0.25">
      <c r="A99" s="13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2">
        <f t="shared" ref="N99:N130" si="102">SUM(B99:M99)</f>
        <v>0</v>
      </c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2">
        <f t="shared" ref="AA99:AA130" si="103">SUM(O99:Z99)</f>
        <v>0</v>
      </c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2">
        <f t="shared" ref="AN99:AN130" si="104">SUM(AB99:AM99)</f>
        <v>0</v>
      </c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2">
        <f t="shared" ref="BA99:BA130" si="105">SUM(AO99:AZ99)</f>
        <v>0</v>
      </c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2">
        <f t="shared" ref="BN99:BN130" si="106">SUM(BB99:BM99)</f>
        <v>0</v>
      </c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2">
        <f t="shared" ref="CA99:CA130" si="107">SUM(BO99:BZ99)</f>
        <v>0</v>
      </c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2">
        <f t="shared" ref="CN99:CN130" si="108">SUM(CB99:CM99)</f>
        <v>0</v>
      </c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2">
        <f t="shared" ref="DA99:DA130" si="109">SUM(CO99:CZ99)</f>
        <v>0</v>
      </c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2">
        <f t="shared" ref="DN99:DN130" si="110">SUM(DB99:DM99)</f>
        <v>0</v>
      </c>
      <c r="DO99" s="137"/>
      <c r="DP99" s="137"/>
      <c r="DQ99" s="137"/>
      <c r="DR99" s="137"/>
      <c r="DS99" s="137"/>
      <c r="DT99" s="137"/>
      <c r="DU99" s="137"/>
      <c r="DV99" s="137"/>
      <c r="DW99" s="137"/>
      <c r="DX99" s="137"/>
      <c r="DY99" s="137"/>
      <c r="DZ99" s="137"/>
      <c r="EA99" s="132">
        <f t="shared" ref="EA99:EA130" si="111">SUM(DO99:DZ99)</f>
        <v>0</v>
      </c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132">
        <f t="shared" ref="EN99:EN130" si="112">SUM(EB99:EM99)</f>
        <v>0</v>
      </c>
      <c r="EO99" s="132"/>
      <c r="EP99" s="132"/>
      <c r="EQ99" s="132"/>
      <c r="ER99" s="132"/>
      <c r="ES99" s="132"/>
      <c r="ET99" s="132"/>
      <c r="EU99" s="132"/>
      <c r="EV99" s="132"/>
      <c r="EW99" s="132"/>
      <c r="EX99" s="132"/>
      <c r="EY99" s="132"/>
      <c r="EZ99" s="132"/>
      <c r="FA99" s="132">
        <f t="shared" ref="FA99:FA130" si="113">SUM(EO99:EZ99)</f>
        <v>0</v>
      </c>
      <c r="FB99" s="181"/>
      <c r="FC99" s="181"/>
      <c r="FD99" s="181"/>
      <c r="FE99" s="181"/>
      <c r="FF99" s="181"/>
      <c r="FG99" s="181"/>
      <c r="FH99" s="181"/>
      <c r="FI99" s="181"/>
      <c r="FJ99" s="181"/>
      <c r="FK99" s="181"/>
      <c r="FL99" s="181"/>
      <c r="FM99" s="181"/>
      <c r="FN99" s="132">
        <f t="shared" ref="FN99:FN130" si="114">SUM(FB99:FM99)</f>
        <v>0</v>
      </c>
      <c r="FO99" s="132"/>
      <c r="FP99" s="132"/>
      <c r="FQ99" s="132"/>
      <c r="FR99" s="132"/>
      <c r="FS99" s="132"/>
      <c r="FT99" s="132"/>
      <c r="FU99" s="132"/>
      <c r="FV99" s="132"/>
      <c r="FW99" s="132"/>
      <c r="FX99" s="132"/>
      <c r="FY99" s="132"/>
      <c r="FZ99" s="132"/>
      <c r="GA99" s="132">
        <f t="shared" ref="GA99:GA130" si="115">SUM(FO99:FZ99)</f>
        <v>0</v>
      </c>
      <c r="GB99" s="181"/>
      <c r="GC99" s="181"/>
      <c r="GD99" s="181"/>
      <c r="GE99" s="181"/>
      <c r="GF99" s="181"/>
      <c r="GG99" s="181"/>
      <c r="GH99" s="181"/>
      <c r="GI99" s="181"/>
      <c r="GJ99" s="181"/>
      <c r="GK99" s="181"/>
      <c r="GL99" s="181"/>
      <c r="GM99" s="181"/>
      <c r="GN99" s="181">
        <f t="shared" ref="GN99:GN130" si="116">SUM(GB99:GM99)</f>
        <v>0</v>
      </c>
      <c r="GO99" s="137"/>
      <c r="GP99" s="137"/>
      <c r="GQ99" s="137"/>
      <c r="GR99" s="137"/>
      <c r="GS99" s="137"/>
      <c r="GT99" s="137"/>
      <c r="GU99" s="137"/>
      <c r="GV99" s="137"/>
      <c r="GW99" s="137"/>
      <c r="GX99" s="137"/>
      <c r="GY99" s="137"/>
      <c r="GZ99" s="137"/>
      <c r="HA99" s="132">
        <f t="shared" ref="HA99:HA130" si="117">SUM(GO99:GZ99)</f>
        <v>0</v>
      </c>
      <c r="HB99" s="181"/>
      <c r="HC99" s="181"/>
      <c r="HD99" s="181"/>
      <c r="HE99" s="181"/>
      <c r="HF99" s="181"/>
      <c r="HG99" s="181"/>
      <c r="HH99" s="181"/>
      <c r="HI99" s="181"/>
      <c r="HJ99" s="181"/>
      <c r="HK99" s="181"/>
      <c r="HL99" s="181"/>
      <c r="HM99" s="181"/>
      <c r="HN99" s="181">
        <f t="shared" ref="HN99:HN130" si="118">SUM(HB99:HM99)</f>
        <v>0</v>
      </c>
      <c r="HO99" s="132"/>
      <c r="HP99" s="132"/>
      <c r="HQ99" s="132"/>
      <c r="HR99" s="132"/>
      <c r="HS99" s="132"/>
      <c r="HT99" s="132"/>
      <c r="HU99" s="132"/>
      <c r="HV99" s="132"/>
      <c r="HW99" s="132"/>
      <c r="HX99" s="132"/>
      <c r="HY99" s="132"/>
      <c r="HZ99" s="132"/>
      <c r="IA99" s="132">
        <f t="shared" ref="IA99:IA130" si="119">SUM(HO99:HZ99)</f>
        <v>0</v>
      </c>
      <c r="IB99" s="181"/>
      <c r="IC99" s="181"/>
      <c r="ID99" s="181"/>
      <c r="IE99" s="181"/>
      <c r="IF99" s="181"/>
      <c r="IG99" s="181"/>
      <c r="IH99" s="181"/>
      <c r="II99" s="181"/>
      <c r="IJ99" s="181"/>
      <c r="IK99" s="181"/>
      <c r="IL99" s="181"/>
      <c r="IM99" s="181"/>
      <c r="IN99" s="181">
        <f t="shared" ref="IN99:IN130" si="120">SUM(IB99:IM99)</f>
        <v>0</v>
      </c>
      <c r="IO99" s="181"/>
      <c r="IP99" s="181"/>
      <c r="IQ99" s="181"/>
      <c r="IR99" s="181"/>
      <c r="IS99" s="181"/>
      <c r="IT99" s="181"/>
      <c r="IU99" s="181"/>
      <c r="IV99" s="181"/>
      <c r="IW99" s="181"/>
      <c r="IX99" s="181"/>
      <c r="IY99" s="181"/>
      <c r="IZ99" s="181"/>
      <c r="JA99" s="181">
        <f t="shared" ref="JA99:JA130" si="121">SUM(IO99:IZ99)</f>
        <v>0</v>
      </c>
      <c r="JC99" s="135">
        <f t="shared" si="88"/>
        <v>0</v>
      </c>
      <c r="JD99" s="135">
        <f t="shared" si="89"/>
        <v>0</v>
      </c>
      <c r="JE99" s="135">
        <f t="shared" si="90"/>
        <v>0</v>
      </c>
      <c r="JF99" s="135">
        <f t="shared" si="91"/>
        <v>0</v>
      </c>
      <c r="JG99" s="135">
        <f t="shared" si="92"/>
        <v>0</v>
      </c>
      <c r="JH99" s="135">
        <f t="shared" si="93"/>
        <v>0</v>
      </c>
      <c r="JI99" s="135">
        <f t="shared" si="94"/>
        <v>0</v>
      </c>
      <c r="JJ99" s="135">
        <f t="shared" si="95"/>
        <v>0</v>
      </c>
      <c r="JK99" s="135">
        <f t="shared" si="96"/>
        <v>0</v>
      </c>
      <c r="JL99" s="135">
        <f t="shared" si="97"/>
        <v>0</v>
      </c>
      <c r="JM99" s="135">
        <f t="shared" si="98"/>
        <v>0</v>
      </c>
      <c r="JN99" s="135">
        <f t="shared" si="99"/>
        <v>0</v>
      </c>
      <c r="JO99" s="132">
        <f t="shared" ref="JO99:JO130" si="122">SUM(JC99:JN99)</f>
        <v>0</v>
      </c>
      <c r="JQ99" s="139">
        <f t="shared" si="101"/>
        <v>0</v>
      </c>
    </row>
    <row r="100" spans="1:277" x14ac:dyDescent="0.25">
      <c r="A100" s="13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2">
        <f t="shared" si="102"/>
        <v>0</v>
      </c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2">
        <f t="shared" si="103"/>
        <v>0</v>
      </c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2">
        <f t="shared" si="104"/>
        <v>0</v>
      </c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2">
        <f t="shared" si="105"/>
        <v>0</v>
      </c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2">
        <f t="shared" si="106"/>
        <v>0</v>
      </c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2">
        <f t="shared" si="107"/>
        <v>0</v>
      </c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2">
        <f t="shared" si="108"/>
        <v>0</v>
      </c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2">
        <f t="shared" si="109"/>
        <v>0</v>
      </c>
      <c r="DB100" s="136"/>
      <c r="DC100" s="136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2">
        <f t="shared" si="110"/>
        <v>0</v>
      </c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2">
        <f t="shared" si="111"/>
        <v>0</v>
      </c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132">
        <f t="shared" si="112"/>
        <v>0</v>
      </c>
      <c r="EO100" s="132"/>
      <c r="EP100" s="132"/>
      <c r="EQ100" s="132"/>
      <c r="ER100" s="132"/>
      <c r="ES100" s="132"/>
      <c r="ET100" s="132"/>
      <c r="EU100" s="132"/>
      <c r="EV100" s="132"/>
      <c r="EW100" s="132"/>
      <c r="EX100" s="132"/>
      <c r="EY100" s="132"/>
      <c r="EZ100" s="132"/>
      <c r="FA100" s="132">
        <f t="shared" si="113"/>
        <v>0</v>
      </c>
      <c r="FB100" s="181"/>
      <c r="FC100" s="181"/>
      <c r="FD100" s="181"/>
      <c r="FE100" s="181"/>
      <c r="FF100" s="181"/>
      <c r="FG100" s="181"/>
      <c r="FH100" s="181"/>
      <c r="FI100" s="181"/>
      <c r="FJ100" s="181"/>
      <c r="FK100" s="181"/>
      <c r="FL100" s="181"/>
      <c r="FM100" s="181"/>
      <c r="FN100" s="132">
        <f t="shared" si="114"/>
        <v>0</v>
      </c>
      <c r="FO100" s="132"/>
      <c r="FP100" s="132"/>
      <c r="FQ100" s="132"/>
      <c r="FR100" s="132"/>
      <c r="FS100" s="132"/>
      <c r="FT100" s="132"/>
      <c r="FU100" s="132"/>
      <c r="FV100" s="132"/>
      <c r="FW100" s="132"/>
      <c r="FX100" s="132"/>
      <c r="FY100" s="132"/>
      <c r="FZ100" s="132"/>
      <c r="GA100" s="132">
        <f t="shared" si="115"/>
        <v>0</v>
      </c>
      <c r="GB100" s="181"/>
      <c r="GC100" s="181"/>
      <c r="GD100" s="181"/>
      <c r="GE100" s="181"/>
      <c r="GF100" s="181"/>
      <c r="GG100" s="181"/>
      <c r="GH100" s="181"/>
      <c r="GI100" s="181"/>
      <c r="GJ100" s="181"/>
      <c r="GK100" s="181"/>
      <c r="GL100" s="181"/>
      <c r="GM100" s="181"/>
      <c r="GN100" s="181">
        <f t="shared" si="116"/>
        <v>0</v>
      </c>
      <c r="GO100" s="137"/>
      <c r="GP100" s="137"/>
      <c r="GQ100" s="137"/>
      <c r="GR100" s="137"/>
      <c r="GS100" s="137"/>
      <c r="GT100" s="137"/>
      <c r="GU100" s="137"/>
      <c r="GV100" s="137"/>
      <c r="GW100" s="137"/>
      <c r="GX100" s="137"/>
      <c r="GY100" s="137"/>
      <c r="GZ100" s="137"/>
      <c r="HA100" s="132">
        <f t="shared" si="117"/>
        <v>0</v>
      </c>
      <c r="HB100" s="181"/>
      <c r="HC100" s="181"/>
      <c r="HD100" s="181"/>
      <c r="HE100" s="181"/>
      <c r="HF100" s="181"/>
      <c r="HG100" s="181"/>
      <c r="HH100" s="181"/>
      <c r="HI100" s="181"/>
      <c r="HJ100" s="181"/>
      <c r="HK100" s="181"/>
      <c r="HL100" s="181"/>
      <c r="HM100" s="181"/>
      <c r="HN100" s="181">
        <f t="shared" si="118"/>
        <v>0</v>
      </c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2"/>
      <c r="HY100" s="132"/>
      <c r="HZ100" s="132"/>
      <c r="IA100" s="132">
        <f t="shared" si="119"/>
        <v>0</v>
      </c>
      <c r="IB100" s="181"/>
      <c r="IC100" s="181"/>
      <c r="ID100" s="181"/>
      <c r="IE100" s="181"/>
      <c r="IF100" s="181"/>
      <c r="IG100" s="181"/>
      <c r="IH100" s="181"/>
      <c r="II100" s="181"/>
      <c r="IJ100" s="181"/>
      <c r="IK100" s="181"/>
      <c r="IL100" s="181"/>
      <c r="IM100" s="181"/>
      <c r="IN100" s="181">
        <f t="shared" si="120"/>
        <v>0</v>
      </c>
      <c r="IO100" s="181"/>
      <c r="IP100" s="181"/>
      <c r="IQ100" s="181"/>
      <c r="IR100" s="181"/>
      <c r="IS100" s="181"/>
      <c r="IT100" s="181"/>
      <c r="IU100" s="181"/>
      <c r="IV100" s="181"/>
      <c r="IW100" s="181"/>
      <c r="IX100" s="181"/>
      <c r="IY100" s="181"/>
      <c r="IZ100" s="181"/>
      <c r="JA100" s="181">
        <f t="shared" si="121"/>
        <v>0</v>
      </c>
      <c r="JC100" s="135">
        <f t="shared" si="88"/>
        <v>0</v>
      </c>
      <c r="JD100" s="135">
        <f t="shared" si="89"/>
        <v>0</v>
      </c>
      <c r="JE100" s="135">
        <f t="shared" si="90"/>
        <v>0</v>
      </c>
      <c r="JF100" s="135">
        <f t="shared" si="91"/>
        <v>0</v>
      </c>
      <c r="JG100" s="135">
        <f t="shared" si="92"/>
        <v>0</v>
      </c>
      <c r="JH100" s="135">
        <f t="shared" si="93"/>
        <v>0</v>
      </c>
      <c r="JI100" s="135">
        <f t="shared" si="94"/>
        <v>0</v>
      </c>
      <c r="JJ100" s="135">
        <f t="shared" si="95"/>
        <v>0</v>
      </c>
      <c r="JK100" s="135">
        <f t="shared" si="96"/>
        <v>0</v>
      </c>
      <c r="JL100" s="135">
        <f t="shared" si="97"/>
        <v>0</v>
      </c>
      <c r="JM100" s="135">
        <f t="shared" si="98"/>
        <v>0</v>
      </c>
      <c r="JN100" s="135">
        <f t="shared" si="99"/>
        <v>0</v>
      </c>
      <c r="JO100" s="132">
        <f t="shared" si="122"/>
        <v>0</v>
      </c>
      <c r="JQ100" s="139">
        <f t="shared" si="101"/>
        <v>0</v>
      </c>
    </row>
    <row r="101" spans="1:277" x14ac:dyDescent="0.25">
      <c r="A101" s="13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2">
        <f t="shared" si="102"/>
        <v>0</v>
      </c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2">
        <f t="shared" si="103"/>
        <v>0</v>
      </c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2">
        <f t="shared" si="104"/>
        <v>0</v>
      </c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2">
        <f t="shared" si="105"/>
        <v>0</v>
      </c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2">
        <f t="shared" si="106"/>
        <v>0</v>
      </c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2">
        <f t="shared" si="107"/>
        <v>0</v>
      </c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2">
        <f t="shared" si="108"/>
        <v>0</v>
      </c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2">
        <f t="shared" si="109"/>
        <v>0</v>
      </c>
      <c r="DB101" s="136"/>
      <c r="DC101" s="136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2">
        <f t="shared" si="110"/>
        <v>0</v>
      </c>
      <c r="DO101" s="137"/>
      <c r="DP101" s="137"/>
      <c r="DQ101" s="137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2">
        <f t="shared" si="111"/>
        <v>0</v>
      </c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132">
        <f t="shared" si="112"/>
        <v>0</v>
      </c>
      <c r="EO101" s="132"/>
      <c r="EP101" s="132"/>
      <c r="EQ101" s="132"/>
      <c r="ER101" s="132"/>
      <c r="ES101" s="132"/>
      <c r="ET101" s="132"/>
      <c r="EU101" s="132"/>
      <c r="EV101" s="132"/>
      <c r="EW101" s="132"/>
      <c r="EX101" s="132"/>
      <c r="EY101" s="132"/>
      <c r="EZ101" s="132"/>
      <c r="FA101" s="132">
        <f t="shared" si="113"/>
        <v>0</v>
      </c>
      <c r="FB101" s="181"/>
      <c r="FC101" s="181"/>
      <c r="FD101" s="181"/>
      <c r="FE101" s="181"/>
      <c r="FF101" s="181"/>
      <c r="FG101" s="181"/>
      <c r="FH101" s="181"/>
      <c r="FI101" s="181"/>
      <c r="FJ101" s="181"/>
      <c r="FK101" s="181"/>
      <c r="FL101" s="181"/>
      <c r="FM101" s="181"/>
      <c r="FN101" s="132">
        <f t="shared" si="114"/>
        <v>0</v>
      </c>
      <c r="FO101" s="132"/>
      <c r="FP101" s="132"/>
      <c r="FQ101" s="132"/>
      <c r="FR101" s="132"/>
      <c r="FS101" s="132"/>
      <c r="FT101" s="132"/>
      <c r="FU101" s="132"/>
      <c r="FV101" s="132"/>
      <c r="FW101" s="132"/>
      <c r="FX101" s="132"/>
      <c r="FY101" s="132"/>
      <c r="FZ101" s="132"/>
      <c r="GA101" s="132">
        <f t="shared" si="115"/>
        <v>0</v>
      </c>
      <c r="GB101" s="181"/>
      <c r="GC101" s="181"/>
      <c r="GD101" s="181"/>
      <c r="GE101" s="181"/>
      <c r="GF101" s="181"/>
      <c r="GG101" s="181"/>
      <c r="GH101" s="181"/>
      <c r="GI101" s="181"/>
      <c r="GJ101" s="181"/>
      <c r="GK101" s="181"/>
      <c r="GL101" s="181"/>
      <c r="GM101" s="181"/>
      <c r="GN101" s="181">
        <f t="shared" si="116"/>
        <v>0</v>
      </c>
      <c r="GO101" s="137"/>
      <c r="GP101" s="137"/>
      <c r="GQ101" s="137"/>
      <c r="GR101" s="137"/>
      <c r="GS101" s="137"/>
      <c r="GT101" s="137"/>
      <c r="GU101" s="137"/>
      <c r="GV101" s="137"/>
      <c r="GW101" s="137"/>
      <c r="GX101" s="137"/>
      <c r="GY101" s="137"/>
      <c r="GZ101" s="137"/>
      <c r="HA101" s="132">
        <f t="shared" si="117"/>
        <v>0</v>
      </c>
      <c r="HB101" s="181"/>
      <c r="HC101" s="181"/>
      <c r="HD101" s="181"/>
      <c r="HE101" s="181"/>
      <c r="HF101" s="181"/>
      <c r="HG101" s="181"/>
      <c r="HH101" s="181"/>
      <c r="HI101" s="181"/>
      <c r="HJ101" s="181"/>
      <c r="HK101" s="181"/>
      <c r="HL101" s="181"/>
      <c r="HM101" s="181"/>
      <c r="HN101" s="181">
        <f t="shared" si="118"/>
        <v>0</v>
      </c>
      <c r="HO101" s="132"/>
      <c r="HP101" s="132"/>
      <c r="HQ101" s="132"/>
      <c r="HR101" s="132"/>
      <c r="HS101" s="132"/>
      <c r="HT101" s="132"/>
      <c r="HU101" s="132"/>
      <c r="HV101" s="132"/>
      <c r="HW101" s="132"/>
      <c r="HX101" s="132"/>
      <c r="HY101" s="132"/>
      <c r="HZ101" s="132"/>
      <c r="IA101" s="132">
        <f t="shared" si="119"/>
        <v>0</v>
      </c>
      <c r="IB101" s="181"/>
      <c r="IC101" s="181"/>
      <c r="ID101" s="181"/>
      <c r="IE101" s="181"/>
      <c r="IF101" s="181"/>
      <c r="IG101" s="181"/>
      <c r="IH101" s="181"/>
      <c r="II101" s="181"/>
      <c r="IJ101" s="181"/>
      <c r="IK101" s="181"/>
      <c r="IL101" s="181"/>
      <c r="IM101" s="181"/>
      <c r="IN101" s="181">
        <f t="shared" si="120"/>
        <v>0</v>
      </c>
      <c r="IO101" s="181"/>
      <c r="IP101" s="181"/>
      <c r="IQ101" s="181"/>
      <c r="IR101" s="181"/>
      <c r="IS101" s="181"/>
      <c r="IT101" s="181"/>
      <c r="IU101" s="181"/>
      <c r="IV101" s="181"/>
      <c r="IW101" s="181"/>
      <c r="IX101" s="181"/>
      <c r="IY101" s="181"/>
      <c r="IZ101" s="181"/>
      <c r="JA101" s="181">
        <f t="shared" si="121"/>
        <v>0</v>
      </c>
      <c r="JC101" s="135">
        <f t="shared" si="88"/>
        <v>0</v>
      </c>
      <c r="JD101" s="135">
        <f t="shared" si="89"/>
        <v>0</v>
      </c>
      <c r="JE101" s="135">
        <f t="shared" si="90"/>
        <v>0</v>
      </c>
      <c r="JF101" s="135">
        <f t="shared" si="91"/>
        <v>0</v>
      </c>
      <c r="JG101" s="135">
        <f t="shared" si="92"/>
        <v>0</v>
      </c>
      <c r="JH101" s="135">
        <f t="shared" si="93"/>
        <v>0</v>
      </c>
      <c r="JI101" s="135">
        <f t="shared" si="94"/>
        <v>0</v>
      </c>
      <c r="JJ101" s="135">
        <f t="shared" si="95"/>
        <v>0</v>
      </c>
      <c r="JK101" s="135">
        <f t="shared" si="96"/>
        <v>0</v>
      </c>
      <c r="JL101" s="135">
        <f t="shared" si="97"/>
        <v>0</v>
      </c>
      <c r="JM101" s="135">
        <f t="shared" si="98"/>
        <v>0</v>
      </c>
      <c r="JN101" s="135">
        <f t="shared" si="99"/>
        <v>0</v>
      </c>
      <c r="JO101" s="132">
        <f t="shared" si="122"/>
        <v>0</v>
      </c>
      <c r="JQ101" s="139">
        <f t="shared" si="101"/>
        <v>0</v>
      </c>
    </row>
    <row r="102" spans="1:277" x14ac:dyDescent="0.25">
      <c r="A102" s="13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2">
        <f t="shared" si="102"/>
        <v>0</v>
      </c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2">
        <f t="shared" si="103"/>
        <v>0</v>
      </c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2">
        <f t="shared" si="104"/>
        <v>0</v>
      </c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2">
        <f t="shared" si="105"/>
        <v>0</v>
      </c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2">
        <f t="shared" si="106"/>
        <v>0</v>
      </c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2">
        <f t="shared" si="107"/>
        <v>0</v>
      </c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2">
        <f t="shared" si="108"/>
        <v>0</v>
      </c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2">
        <f t="shared" si="109"/>
        <v>0</v>
      </c>
      <c r="DB102" s="136"/>
      <c r="DC102" s="136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2">
        <f t="shared" si="110"/>
        <v>0</v>
      </c>
      <c r="DO102" s="137"/>
      <c r="DP102" s="137"/>
      <c r="DQ102" s="137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2">
        <f t="shared" si="111"/>
        <v>0</v>
      </c>
      <c r="EB102" s="216"/>
      <c r="EC102" s="216"/>
      <c r="ED102" s="216"/>
      <c r="EE102" s="216"/>
      <c r="EF102" s="216"/>
      <c r="EG102" s="216"/>
      <c r="EH102" s="216"/>
      <c r="EI102" s="216"/>
      <c r="EJ102" s="216"/>
      <c r="EK102" s="216"/>
      <c r="EL102" s="216"/>
      <c r="EM102" s="216"/>
      <c r="EN102" s="132">
        <f t="shared" si="112"/>
        <v>0</v>
      </c>
      <c r="EO102" s="132"/>
      <c r="EP102" s="132"/>
      <c r="EQ102" s="132"/>
      <c r="ER102" s="132"/>
      <c r="ES102" s="132"/>
      <c r="ET102" s="132"/>
      <c r="EU102" s="132"/>
      <c r="EV102" s="132"/>
      <c r="EW102" s="132"/>
      <c r="EX102" s="132"/>
      <c r="EY102" s="132"/>
      <c r="EZ102" s="132"/>
      <c r="FA102" s="132">
        <f t="shared" si="113"/>
        <v>0</v>
      </c>
      <c r="FB102" s="181"/>
      <c r="FC102" s="181"/>
      <c r="FD102" s="181"/>
      <c r="FE102" s="181"/>
      <c r="FF102" s="181"/>
      <c r="FG102" s="181"/>
      <c r="FH102" s="181"/>
      <c r="FI102" s="181"/>
      <c r="FJ102" s="181"/>
      <c r="FK102" s="181"/>
      <c r="FL102" s="181"/>
      <c r="FM102" s="181"/>
      <c r="FN102" s="132">
        <f t="shared" si="114"/>
        <v>0</v>
      </c>
      <c r="FO102" s="132"/>
      <c r="FP102" s="132"/>
      <c r="FQ102" s="132"/>
      <c r="FR102" s="132"/>
      <c r="FS102" s="132"/>
      <c r="FT102" s="132"/>
      <c r="FU102" s="132"/>
      <c r="FV102" s="132"/>
      <c r="FW102" s="132"/>
      <c r="FX102" s="132"/>
      <c r="FY102" s="132"/>
      <c r="FZ102" s="132"/>
      <c r="GA102" s="132">
        <f t="shared" si="115"/>
        <v>0</v>
      </c>
      <c r="GB102" s="181"/>
      <c r="GC102" s="181"/>
      <c r="GD102" s="181"/>
      <c r="GE102" s="181"/>
      <c r="GF102" s="181"/>
      <c r="GG102" s="181"/>
      <c r="GH102" s="181"/>
      <c r="GI102" s="181"/>
      <c r="GJ102" s="181"/>
      <c r="GK102" s="181"/>
      <c r="GL102" s="181"/>
      <c r="GM102" s="181"/>
      <c r="GN102" s="181">
        <f t="shared" si="116"/>
        <v>0</v>
      </c>
      <c r="GO102" s="137"/>
      <c r="GP102" s="137"/>
      <c r="GQ102" s="137"/>
      <c r="GR102" s="137"/>
      <c r="GS102" s="137"/>
      <c r="GT102" s="137"/>
      <c r="GU102" s="137"/>
      <c r="GV102" s="137"/>
      <c r="GW102" s="137"/>
      <c r="GX102" s="137"/>
      <c r="GY102" s="137"/>
      <c r="GZ102" s="137"/>
      <c r="HA102" s="132">
        <f t="shared" si="117"/>
        <v>0</v>
      </c>
      <c r="HB102" s="181"/>
      <c r="HC102" s="181"/>
      <c r="HD102" s="181"/>
      <c r="HE102" s="181"/>
      <c r="HF102" s="181"/>
      <c r="HG102" s="181"/>
      <c r="HH102" s="181"/>
      <c r="HI102" s="181"/>
      <c r="HJ102" s="181"/>
      <c r="HK102" s="181"/>
      <c r="HL102" s="181"/>
      <c r="HM102" s="181"/>
      <c r="HN102" s="181">
        <f t="shared" si="118"/>
        <v>0</v>
      </c>
      <c r="HO102" s="132"/>
      <c r="HP102" s="132"/>
      <c r="HQ102" s="132"/>
      <c r="HR102" s="132"/>
      <c r="HS102" s="132"/>
      <c r="HT102" s="132"/>
      <c r="HU102" s="132"/>
      <c r="HV102" s="132"/>
      <c r="HW102" s="132"/>
      <c r="HX102" s="132"/>
      <c r="HY102" s="132"/>
      <c r="HZ102" s="132"/>
      <c r="IA102" s="132">
        <f t="shared" si="119"/>
        <v>0</v>
      </c>
      <c r="IB102" s="181"/>
      <c r="IC102" s="181"/>
      <c r="ID102" s="181"/>
      <c r="IE102" s="181"/>
      <c r="IF102" s="181"/>
      <c r="IG102" s="181"/>
      <c r="IH102" s="181"/>
      <c r="II102" s="181"/>
      <c r="IJ102" s="181"/>
      <c r="IK102" s="181"/>
      <c r="IL102" s="181"/>
      <c r="IM102" s="181"/>
      <c r="IN102" s="181">
        <f t="shared" si="120"/>
        <v>0</v>
      </c>
      <c r="IO102" s="181"/>
      <c r="IP102" s="181"/>
      <c r="IQ102" s="181"/>
      <c r="IR102" s="181"/>
      <c r="IS102" s="181"/>
      <c r="IT102" s="181"/>
      <c r="IU102" s="181"/>
      <c r="IV102" s="181"/>
      <c r="IW102" s="181"/>
      <c r="IX102" s="181"/>
      <c r="IY102" s="181"/>
      <c r="IZ102" s="181"/>
      <c r="JA102" s="181">
        <f t="shared" si="121"/>
        <v>0</v>
      </c>
      <c r="JC102" s="135">
        <f t="shared" si="88"/>
        <v>0</v>
      </c>
      <c r="JD102" s="135">
        <f t="shared" si="89"/>
        <v>0</v>
      </c>
      <c r="JE102" s="135">
        <f t="shared" si="90"/>
        <v>0</v>
      </c>
      <c r="JF102" s="135">
        <f t="shared" si="91"/>
        <v>0</v>
      </c>
      <c r="JG102" s="135">
        <f t="shared" si="92"/>
        <v>0</v>
      </c>
      <c r="JH102" s="135">
        <f t="shared" si="93"/>
        <v>0</v>
      </c>
      <c r="JI102" s="135">
        <f t="shared" si="94"/>
        <v>0</v>
      </c>
      <c r="JJ102" s="135">
        <f t="shared" si="95"/>
        <v>0</v>
      </c>
      <c r="JK102" s="135">
        <f t="shared" si="96"/>
        <v>0</v>
      </c>
      <c r="JL102" s="135">
        <f t="shared" si="97"/>
        <v>0</v>
      </c>
      <c r="JM102" s="135">
        <f t="shared" si="98"/>
        <v>0</v>
      </c>
      <c r="JN102" s="135">
        <f t="shared" si="99"/>
        <v>0</v>
      </c>
      <c r="JO102" s="132">
        <f t="shared" si="122"/>
        <v>0</v>
      </c>
      <c r="JQ102" s="139">
        <f t="shared" si="101"/>
        <v>0</v>
      </c>
    </row>
    <row r="103" spans="1:277" s="148" customFormat="1" ht="15.95" customHeight="1" x14ac:dyDescent="0.25">
      <c r="A103" s="140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2">
        <f t="shared" si="102"/>
        <v>0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2">
        <f t="shared" si="103"/>
        <v>0</v>
      </c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2">
        <f t="shared" si="104"/>
        <v>0</v>
      </c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2">
        <f t="shared" si="105"/>
        <v>0</v>
      </c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2">
        <f t="shared" si="106"/>
        <v>0</v>
      </c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2">
        <f t="shared" si="107"/>
        <v>0</v>
      </c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2">
        <f t="shared" si="108"/>
        <v>0</v>
      </c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2">
        <f t="shared" si="109"/>
        <v>0</v>
      </c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2">
        <f t="shared" si="110"/>
        <v>0</v>
      </c>
      <c r="DO103" s="147"/>
      <c r="DP103" s="147"/>
      <c r="DQ103" s="147"/>
      <c r="DR103" s="147"/>
      <c r="DS103" s="147"/>
      <c r="DT103" s="147"/>
      <c r="DU103" s="147"/>
      <c r="DV103" s="147"/>
      <c r="DW103" s="147"/>
      <c r="DX103" s="147"/>
      <c r="DY103" s="147"/>
      <c r="DZ103" s="147"/>
      <c r="EA103" s="142">
        <f t="shared" si="111"/>
        <v>0</v>
      </c>
      <c r="EB103" s="217"/>
      <c r="EC103" s="217"/>
      <c r="ED103" s="217"/>
      <c r="EE103" s="217"/>
      <c r="EF103" s="217"/>
      <c r="EG103" s="217"/>
      <c r="EH103" s="217"/>
      <c r="EI103" s="217"/>
      <c r="EJ103" s="217"/>
      <c r="EK103" s="217"/>
      <c r="EL103" s="217"/>
      <c r="EM103" s="217"/>
      <c r="EN103" s="142">
        <f t="shared" si="112"/>
        <v>0</v>
      </c>
      <c r="EO103" s="142"/>
      <c r="EP103" s="142"/>
      <c r="EQ103" s="142"/>
      <c r="ER103" s="142"/>
      <c r="ES103" s="142"/>
      <c r="ET103" s="142"/>
      <c r="EU103" s="142"/>
      <c r="EV103" s="142"/>
      <c r="EW103" s="142"/>
      <c r="EX103" s="142"/>
      <c r="EY103" s="142"/>
      <c r="EZ103" s="142"/>
      <c r="FA103" s="142">
        <f t="shared" si="113"/>
        <v>0</v>
      </c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42">
        <f t="shared" si="114"/>
        <v>0</v>
      </c>
      <c r="FO103" s="142"/>
      <c r="FP103" s="142"/>
      <c r="FQ103" s="142"/>
      <c r="FR103" s="142"/>
      <c r="FS103" s="142"/>
      <c r="FT103" s="142"/>
      <c r="FU103" s="142"/>
      <c r="FV103" s="142"/>
      <c r="FW103" s="142"/>
      <c r="FX103" s="142"/>
      <c r="FY103" s="142"/>
      <c r="FZ103" s="142"/>
      <c r="GA103" s="142">
        <f t="shared" si="115"/>
        <v>0</v>
      </c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>
        <f t="shared" si="116"/>
        <v>0</v>
      </c>
      <c r="GO103" s="147"/>
      <c r="GP103" s="147"/>
      <c r="GQ103" s="147"/>
      <c r="GR103" s="147"/>
      <c r="GS103" s="147"/>
      <c r="GT103" s="147"/>
      <c r="GU103" s="147"/>
      <c r="GV103" s="147"/>
      <c r="GW103" s="147"/>
      <c r="GX103" s="147"/>
      <c r="GY103" s="147"/>
      <c r="GZ103" s="147"/>
      <c r="HA103" s="142">
        <f t="shared" si="117"/>
        <v>0</v>
      </c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>
        <f t="shared" si="118"/>
        <v>0</v>
      </c>
      <c r="HO103" s="142"/>
      <c r="HP103" s="142"/>
      <c r="HQ103" s="142"/>
      <c r="HR103" s="142"/>
      <c r="HS103" s="142"/>
      <c r="HT103" s="142"/>
      <c r="HU103" s="142"/>
      <c r="HV103" s="142"/>
      <c r="HW103" s="142"/>
      <c r="HX103" s="142"/>
      <c r="HY103" s="142"/>
      <c r="HZ103" s="142"/>
      <c r="IA103" s="142">
        <f t="shared" si="119"/>
        <v>0</v>
      </c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>
        <f t="shared" si="120"/>
        <v>0</v>
      </c>
      <c r="IO103" s="182"/>
      <c r="IP103" s="182"/>
      <c r="IQ103" s="182"/>
      <c r="IR103" s="182"/>
      <c r="IS103" s="182"/>
      <c r="IT103" s="182"/>
      <c r="IU103" s="182"/>
      <c r="IV103" s="182"/>
      <c r="IW103" s="182"/>
      <c r="IX103" s="182"/>
      <c r="IY103" s="182"/>
      <c r="IZ103" s="182"/>
      <c r="JA103" s="182">
        <f t="shared" si="121"/>
        <v>0</v>
      </c>
      <c r="JC103" s="135">
        <f t="shared" si="88"/>
        <v>0</v>
      </c>
      <c r="JD103" s="135">
        <f t="shared" si="89"/>
        <v>0</v>
      </c>
      <c r="JE103" s="135">
        <f t="shared" si="90"/>
        <v>0</v>
      </c>
      <c r="JF103" s="135">
        <f t="shared" si="91"/>
        <v>0</v>
      </c>
      <c r="JG103" s="135">
        <f t="shared" si="92"/>
        <v>0</v>
      </c>
      <c r="JH103" s="135">
        <f t="shared" si="93"/>
        <v>0</v>
      </c>
      <c r="JI103" s="135">
        <f t="shared" si="94"/>
        <v>0</v>
      </c>
      <c r="JJ103" s="135">
        <f t="shared" si="95"/>
        <v>0</v>
      </c>
      <c r="JK103" s="135">
        <f t="shared" si="96"/>
        <v>0</v>
      </c>
      <c r="JL103" s="135">
        <f t="shared" si="97"/>
        <v>0</v>
      </c>
      <c r="JM103" s="135">
        <f t="shared" si="98"/>
        <v>0</v>
      </c>
      <c r="JN103" s="135">
        <f t="shared" si="99"/>
        <v>0</v>
      </c>
      <c r="JO103" s="142">
        <f t="shared" si="122"/>
        <v>0</v>
      </c>
      <c r="JP103" s="149"/>
      <c r="JQ103" s="139">
        <f t="shared" si="101"/>
        <v>0</v>
      </c>
    </row>
    <row r="104" spans="1:277" s="150" customFormat="1" ht="15.95" customHeight="1" x14ac:dyDescent="0.25">
      <c r="N104" s="151">
        <f>SUM(N3:N103)</f>
        <v>6687</v>
      </c>
      <c r="AA104" s="151">
        <f>SUM(AA3:AA103)</f>
        <v>30120</v>
      </c>
      <c r="AN104" s="151">
        <f>SUM(AN3:AN103)</f>
        <v>7545</v>
      </c>
      <c r="BA104" s="151">
        <f>SUM(BA3:BA103)</f>
        <v>23570</v>
      </c>
      <c r="BN104" s="151">
        <f>SUM(BN3:BN103)</f>
        <v>98698</v>
      </c>
      <c r="CA104" s="151">
        <f>SUM(CA3:CA103)</f>
        <v>29078</v>
      </c>
      <c r="CN104" s="151">
        <f>SUM(CN3:CN103)</f>
        <v>394356</v>
      </c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1">
        <f>SUM(DA3:DA103)</f>
        <v>0</v>
      </c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1">
        <f>SUM(DN3:DN103)</f>
        <v>0</v>
      </c>
      <c r="DO104" s="152"/>
      <c r="DP104" s="152"/>
      <c r="DQ104" s="152"/>
      <c r="DR104" s="152"/>
      <c r="DS104" s="152"/>
      <c r="DT104" s="152"/>
      <c r="DU104" s="152"/>
      <c r="DV104" s="152"/>
      <c r="DW104" s="152"/>
      <c r="DX104" s="152"/>
      <c r="DY104" s="152"/>
      <c r="DZ104" s="152"/>
      <c r="EA104" s="151">
        <f>SUM(EA3:EA103)</f>
        <v>0</v>
      </c>
      <c r="EB104" s="152"/>
      <c r="EC104" s="152"/>
      <c r="EN104" s="151">
        <f>SUM(EN3:EN103)</f>
        <v>0</v>
      </c>
      <c r="EO104" s="151"/>
      <c r="EP104" s="151"/>
      <c r="EQ104" s="151"/>
      <c r="ER104" s="151"/>
      <c r="ES104" s="151"/>
      <c r="ET104" s="151"/>
      <c r="EU104" s="151"/>
      <c r="EV104" s="151"/>
      <c r="EW104" s="151"/>
      <c r="EX104" s="151"/>
      <c r="EY104" s="151"/>
      <c r="EZ104" s="151"/>
      <c r="FA104" s="151">
        <f>SUM(FA3:FA103)</f>
        <v>0</v>
      </c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51">
        <f>SUM(FN3:FN103)</f>
        <v>58876</v>
      </c>
      <c r="FO104" s="151"/>
      <c r="FP104" s="151"/>
      <c r="FQ104" s="151"/>
      <c r="FR104" s="151"/>
      <c r="FS104" s="151"/>
      <c r="FT104" s="151"/>
      <c r="FU104" s="151"/>
      <c r="FV104" s="151"/>
      <c r="FW104" s="151"/>
      <c r="FX104" s="151"/>
      <c r="FY104" s="151"/>
      <c r="FZ104" s="151"/>
      <c r="GA104" s="151">
        <f>SUM(GA3:GA103)</f>
        <v>0</v>
      </c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>
        <f>SUM(GN3:GN103)</f>
        <v>0</v>
      </c>
      <c r="HA104" s="151">
        <f>SUM(HA3:HA103)</f>
        <v>0</v>
      </c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>
        <f>SUM(HN3:HN103)</f>
        <v>0</v>
      </c>
      <c r="HO104" s="151"/>
      <c r="HP104" s="151"/>
      <c r="HQ104" s="151"/>
      <c r="HR104" s="151"/>
      <c r="HS104" s="151"/>
      <c r="HT104" s="151"/>
      <c r="HU104" s="151"/>
      <c r="HV104" s="151"/>
      <c r="HW104" s="151"/>
      <c r="HX104" s="151"/>
      <c r="HY104" s="151"/>
      <c r="HZ104" s="151"/>
      <c r="IA104" s="151">
        <f>SUM(IA3:IA103)</f>
        <v>0</v>
      </c>
      <c r="IB104" s="183"/>
      <c r="IC104" s="183"/>
      <c r="ID104" s="183"/>
      <c r="IE104" s="183"/>
      <c r="IF104" s="183"/>
      <c r="IG104" s="183"/>
      <c r="IH104" s="183"/>
      <c r="II104" s="183"/>
      <c r="IJ104" s="183"/>
      <c r="IK104" s="183"/>
      <c r="IL104" s="183"/>
      <c r="IM104" s="183"/>
      <c r="IN104" s="183">
        <f>SUM(IN3:IN103)</f>
        <v>0</v>
      </c>
      <c r="IO104" s="183"/>
      <c r="IP104" s="183"/>
      <c r="IQ104" s="183"/>
      <c r="IR104" s="183"/>
      <c r="IS104" s="183"/>
      <c r="IT104" s="183"/>
      <c r="IU104" s="183"/>
      <c r="IV104" s="183"/>
      <c r="IW104" s="183"/>
      <c r="IX104" s="183"/>
      <c r="IY104" s="183"/>
      <c r="IZ104" s="183"/>
      <c r="JA104" s="183">
        <f>SUM(JA3:JA103)</f>
        <v>0</v>
      </c>
      <c r="JO104" s="151">
        <f>SUM(JO3:JO103)</f>
        <v>648930</v>
      </c>
      <c r="JQ104" s="151"/>
    </row>
    <row r="105" spans="1:277" x14ac:dyDescent="0.25">
      <c r="A105" s="138">
        <v>1</v>
      </c>
      <c r="B105" s="138">
        <v>2</v>
      </c>
      <c r="C105" s="138">
        <v>3</v>
      </c>
      <c r="D105" s="138">
        <v>4</v>
      </c>
      <c r="E105" s="138">
        <v>5</v>
      </c>
      <c r="F105" s="138">
        <v>6</v>
      </c>
      <c r="G105" s="138">
        <v>7</v>
      </c>
      <c r="H105" s="138">
        <v>8</v>
      </c>
      <c r="I105" s="138">
        <v>9</v>
      </c>
      <c r="J105" s="138">
        <v>10</v>
      </c>
      <c r="K105" s="138">
        <v>11</v>
      </c>
      <c r="L105" s="138">
        <v>12</v>
      </c>
      <c r="M105" s="138">
        <v>13</v>
      </c>
      <c r="N105" s="138">
        <v>14</v>
      </c>
      <c r="O105" s="138">
        <v>15</v>
      </c>
      <c r="P105" s="138">
        <v>16</v>
      </c>
      <c r="Q105" s="138">
        <v>17</v>
      </c>
      <c r="R105" s="138">
        <v>18</v>
      </c>
      <c r="S105" s="138">
        <v>19</v>
      </c>
      <c r="T105" s="138">
        <v>20</v>
      </c>
      <c r="U105" s="138">
        <v>21</v>
      </c>
      <c r="V105" s="138">
        <v>22</v>
      </c>
      <c r="W105" s="138">
        <v>23</v>
      </c>
      <c r="X105" s="138">
        <v>24</v>
      </c>
      <c r="Y105" s="138">
        <v>25</v>
      </c>
      <c r="Z105" s="138">
        <v>26</v>
      </c>
      <c r="AA105" s="138">
        <v>27</v>
      </c>
      <c r="AB105" s="138">
        <v>28</v>
      </c>
      <c r="AC105" s="138">
        <v>29</v>
      </c>
      <c r="AD105" s="138">
        <v>30</v>
      </c>
      <c r="AE105" s="138">
        <v>31</v>
      </c>
      <c r="AF105" s="138">
        <v>32</v>
      </c>
      <c r="AG105" s="138">
        <v>33</v>
      </c>
      <c r="AH105" s="138">
        <v>34</v>
      </c>
      <c r="AI105" s="138">
        <v>35</v>
      </c>
      <c r="AJ105" s="138">
        <v>36</v>
      </c>
      <c r="AK105" s="138">
        <v>37</v>
      </c>
      <c r="AL105" s="138">
        <v>38</v>
      </c>
      <c r="AM105" s="138">
        <v>39</v>
      </c>
      <c r="AN105" s="138">
        <v>40</v>
      </c>
      <c r="AO105" s="138">
        <v>41</v>
      </c>
      <c r="AP105" s="138">
        <v>42</v>
      </c>
      <c r="AQ105" s="138">
        <v>43</v>
      </c>
      <c r="AR105" s="138">
        <v>44</v>
      </c>
      <c r="AS105" s="138">
        <v>45</v>
      </c>
      <c r="AT105" s="138">
        <v>46</v>
      </c>
      <c r="AU105" s="138">
        <v>47</v>
      </c>
      <c r="AV105" s="138">
        <v>48</v>
      </c>
      <c r="AW105" s="138">
        <v>49</v>
      </c>
      <c r="AX105" s="138">
        <v>50</v>
      </c>
      <c r="AY105" s="138">
        <v>51</v>
      </c>
      <c r="AZ105" s="138">
        <v>52</v>
      </c>
      <c r="BA105" s="138">
        <v>53</v>
      </c>
      <c r="BB105" s="138">
        <v>54</v>
      </c>
      <c r="BC105" s="138">
        <v>55</v>
      </c>
      <c r="BD105" s="138">
        <v>56</v>
      </c>
      <c r="BE105" s="138">
        <v>57</v>
      </c>
      <c r="BF105" s="138">
        <v>58</v>
      </c>
      <c r="BG105" s="138">
        <v>59</v>
      </c>
      <c r="BH105" s="138">
        <v>60</v>
      </c>
      <c r="BI105" s="138">
        <v>61</v>
      </c>
      <c r="BJ105" s="138">
        <v>62</v>
      </c>
      <c r="BK105" s="138">
        <v>63</v>
      </c>
      <c r="BL105" s="138">
        <v>64</v>
      </c>
      <c r="BM105" s="138">
        <v>65</v>
      </c>
      <c r="BN105" s="138">
        <v>66</v>
      </c>
      <c r="BO105" s="138">
        <v>67</v>
      </c>
      <c r="BP105" s="138">
        <v>68</v>
      </c>
      <c r="BQ105" s="138">
        <v>69</v>
      </c>
      <c r="BR105" s="138">
        <v>70</v>
      </c>
      <c r="BS105" s="138">
        <v>71</v>
      </c>
      <c r="BT105" s="138">
        <v>72</v>
      </c>
      <c r="BU105" s="138">
        <v>73</v>
      </c>
      <c r="BV105" s="138">
        <v>74</v>
      </c>
      <c r="BW105" s="138">
        <v>75</v>
      </c>
      <c r="BX105" s="138">
        <v>76</v>
      </c>
      <c r="BY105" s="138">
        <v>77</v>
      </c>
      <c r="BZ105" s="138">
        <v>78</v>
      </c>
      <c r="CA105" s="138">
        <v>79</v>
      </c>
      <c r="CB105" s="138">
        <v>80</v>
      </c>
      <c r="CC105" s="138">
        <v>81</v>
      </c>
      <c r="CD105" s="138">
        <v>82</v>
      </c>
      <c r="CE105" s="138">
        <v>83</v>
      </c>
      <c r="CF105" s="138">
        <v>84</v>
      </c>
      <c r="CG105" s="138">
        <v>85</v>
      </c>
      <c r="CH105" s="138">
        <v>86</v>
      </c>
      <c r="CI105" s="138">
        <v>87</v>
      </c>
      <c r="CJ105" s="138">
        <v>88</v>
      </c>
      <c r="CK105" s="138">
        <v>89</v>
      </c>
      <c r="CL105" s="138">
        <v>90</v>
      </c>
      <c r="CM105" s="138">
        <v>91</v>
      </c>
      <c r="CN105" s="138">
        <v>92</v>
      </c>
      <c r="CO105" s="138">
        <v>93</v>
      </c>
      <c r="CP105" s="138">
        <v>94</v>
      </c>
      <c r="CQ105" s="138">
        <v>95</v>
      </c>
      <c r="CR105" s="138">
        <v>96</v>
      </c>
      <c r="CS105" s="138">
        <v>97</v>
      </c>
      <c r="CT105" s="138">
        <v>98</v>
      </c>
      <c r="CU105" s="138">
        <v>99</v>
      </c>
      <c r="CV105" s="138">
        <v>100</v>
      </c>
      <c r="CW105" s="138">
        <v>101</v>
      </c>
      <c r="CX105" s="138">
        <v>102</v>
      </c>
      <c r="CY105" s="138">
        <v>103</v>
      </c>
      <c r="CZ105" s="138">
        <v>104</v>
      </c>
      <c r="DA105" s="138">
        <v>105</v>
      </c>
      <c r="DB105" s="138">
        <v>106</v>
      </c>
      <c r="DC105" s="138">
        <v>107</v>
      </c>
      <c r="DD105" s="138">
        <v>108</v>
      </c>
      <c r="DE105" s="138">
        <v>109</v>
      </c>
      <c r="DF105" s="138">
        <v>110</v>
      </c>
      <c r="DG105" s="138">
        <v>111</v>
      </c>
      <c r="DH105" s="138">
        <v>112</v>
      </c>
      <c r="DI105" s="138">
        <v>113</v>
      </c>
      <c r="DJ105" s="138">
        <v>114</v>
      </c>
      <c r="DK105" s="138">
        <v>115</v>
      </c>
      <c r="DL105" s="138">
        <v>116</v>
      </c>
      <c r="DM105" s="138">
        <v>117</v>
      </c>
      <c r="DN105" s="138">
        <v>118</v>
      </c>
      <c r="DO105" s="138">
        <v>119</v>
      </c>
      <c r="DP105" s="138">
        <v>120</v>
      </c>
      <c r="DQ105" s="138">
        <v>121</v>
      </c>
      <c r="DR105" s="138">
        <v>122</v>
      </c>
      <c r="DS105" s="138">
        <v>123</v>
      </c>
      <c r="DT105" s="138">
        <v>124</v>
      </c>
      <c r="DU105" s="138">
        <v>125</v>
      </c>
      <c r="DV105" s="138">
        <v>126</v>
      </c>
      <c r="DW105" s="138">
        <v>127</v>
      </c>
      <c r="DX105" s="138">
        <v>128</v>
      </c>
      <c r="DY105" s="138">
        <v>129</v>
      </c>
      <c r="DZ105" s="138">
        <v>130</v>
      </c>
      <c r="EA105" s="138">
        <v>131</v>
      </c>
      <c r="EB105" s="138">
        <v>132</v>
      </c>
      <c r="EC105" s="138">
        <v>133</v>
      </c>
      <c r="ED105" s="138">
        <v>134</v>
      </c>
      <c r="EE105" s="138">
        <v>135</v>
      </c>
      <c r="EF105" s="138">
        <v>136</v>
      </c>
      <c r="EG105" s="138">
        <v>137</v>
      </c>
      <c r="EH105" s="138">
        <v>138</v>
      </c>
      <c r="EI105" s="138">
        <v>139</v>
      </c>
      <c r="EJ105" s="138">
        <v>140</v>
      </c>
      <c r="EK105" s="138">
        <v>141</v>
      </c>
      <c r="EL105" s="138">
        <v>142</v>
      </c>
      <c r="EM105" s="138">
        <v>143</v>
      </c>
      <c r="EN105" s="138">
        <v>144</v>
      </c>
      <c r="EO105" s="138">
        <v>145</v>
      </c>
      <c r="EP105" s="138">
        <v>146</v>
      </c>
      <c r="EQ105" s="138">
        <v>147</v>
      </c>
      <c r="ER105" s="138">
        <v>148</v>
      </c>
      <c r="ES105" s="138">
        <v>149</v>
      </c>
      <c r="ET105" s="138">
        <v>150</v>
      </c>
      <c r="EU105" s="138">
        <v>151</v>
      </c>
      <c r="EV105" s="138">
        <v>152</v>
      </c>
      <c r="EW105" s="138">
        <v>153</v>
      </c>
      <c r="EX105" s="138">
        <v>154</v>
      </c>
      <c r="EY105" s="138">
        <v>155</v>
      </c>
      <c r="EZ105" s="138">
        <v>156</v>
      </c>
      <c r="FA105" s="138">
        <v>157</v>
      </c>
      <c r="FB105" s="138">
        <v>158</v>
      </c>
      <c r="FC105" s="138">
        <v>159</v>
      </c>
      <c r="FD105" s="138">
        <v>160</v>
      </c>
      <c r="FE105" s="138">
        <v>161</v>
      </c>
      <c r="FF105" s="138">
        <v>162</v>
      </c>
      <c r="FG105" s="138">
        <v>163</v>
      </c>
      <c r="FH105" s="138">
        <v>164</v>
      </c>
      <c r="FI105" s="138">
        <v>165</v>
      </c>
      <c r="FJ105" s="138">
        <v>166</v>
      </c>
      <c r="FK105" s="138">
        <v>167</v>
      </c>
      <c r="FL105" s="138">
        <v>168</v>
      </c>
      <c r="FM105" s="138">
        <v>169</v>
      </c>
      <c r="FN105" s="138">
        <v>170</v>
      </c>
      <c r="FO105" s="138">
        <v>171</v>
      </c>
      <c r="FP105" s="138">
        <v>172</v>
      </c>
      <c r="FQ105" s="138">
        <v>173</v>
      </c>
      <c r="FR105" s="138">
        <v>174</v>
      </c>
      <c r="FS105" s="138">
        <v>175</v>
      </c>
      <c r="FT105" s="138">
        <v>176</v>
      </c>
      <c r="FU105" s="138">
        <v>177</v>
      </c>
      <c r="FV105" s="138">
        <v>178</v>
      </c>
      <c r="FW105" s="138">
        <v>179</v>
      </c>
      <c r="FX105" s="138">
        <v>180</v>
      </c>
      <c r="FY105" s="138">
        <v>181</v>
      </c>
      <c r="FZ105" s="138">
        <v>182</v>
      </c>
      <c r="GA105" s="138">
        <v>183</v>
      </c>
      <c r="GB105" s="138">
        <v>184</v>
      </c>
      <c r="GC105" s="138">
        <v>185</v>
      </c>
      <c r="GD105" s="138">
        <v>186</v>
      </c>
      <c r="GE105" s="138">
        <v>187</v>
      </c>
      <c r="GF105" s="138">
        <v>188</v>
      </c>
      <c r="GG105" s="138">
        <v>189</v>
      </c>
      <c r="GH105" s="138">
        <v>190</v>
      </c>
      <c r="GI105" s="138">
        <v>191</v>
      </c>
      <c r="GJ105" s="138">
        <v>192</v>
      </c>
      <c r="GK105" s="138">
        <v>193</v>
      </c>
      <c r="GL105" s="138">
        <v>194</v>
      </c>
      <c r="GM105" s="138">
        <v>195</v>
      </c>
      <c r="GN105" s="138">
        <v>196</v>
      </c>
      <c r="GO105" s="138">
        <v>197</v>
      </c>
      <c r="GP105" s="138">
        <v>198</v>
      </c>
      <c r="GQ105" s="138">
        <v>199</v>
      </c>
      <c r="GR105" s="138">
        <v>200</v>
      </c>
      <c r="GS105" s="138">
        <v>201</v>
      </c>
      <c r="GT105" s="138">
        <v>202</v>
      </c>
      <c r="GU105" s="138">
        <v>203</v>
      </c>
      <c r="GV105" s="138">
        <v>204</v>
      </c>
      <c r="GW105" s="138">
        <v>205</v>
      </c>
      <c r="GX105" s="138">
        <v>206</v>
      </c>
      <c r="GY105" s="138">
        <v>207</v>
      </c>
      <c r="GZ105" s="138">
        <v>208</v>
      </c>
      <c r="HA105" s="138">
        <v>209</v>
      </c>
      <c r="HB105" s="138">
        <v>210</v>
      </c>
      <c r="HC105" s="138">
        <v>211</v>
      </c>
      <c r="HD105" s="138">
        <v>212</v>
      </c>
      <c r="HE105" s="138">
        <v>213</v>
      </c>
      <c r="HF105" s="138">
        <v>214</v>
      </c>
      <c r="HG105" s="138">
        <v>215</v>
      </c>
      <c r="HH105" s="138">
        <v>216</v>
      </c>
      <c r="HI105" s="138">
        <v>217</v>
      </c>
      <c r="HJ105" s="138">
        <v>218</v>
      </c>
      <c r="HK105" s="138">
        <v>219</v>
      </c>
      <c r="HL105" s="138">
        <v>220</v>
      </c>
      <c r="HM105" s="138">
        <v>221</v>
      </c>
      <c r="HN105" s="138">
        <v>222</v>
      </c>
      <c r="HO105" s="138">
        <v>223</v>
      </c>
      <c r="HP105" s="138">
        <v>224</v>
      </c>
      <c r="HQ105" s="138">
        <v>225</v>
      </c>
      <c r="HR105" s="138">
        <v>226</v>
      </c>
      <c r="HS105" s="138">
        <v>227</v>
      </c>
      <c r="HT105" s="138">
        <v>228</v>
      </c>
      <c r="HU105" s="138">
        <v>229</v>
      </c>
      <c r="HV105" s="138">
        <v>230</v>
      </c>
      <c r="HW105" s="138">
        <v>231</v>
      </c>
      <c r="HX105" s="138">
        <v>232</v>
      </c>
      <c r="HY105" s="138">
        <v>233</v>
      </c>
      <c r="HZ105" s="138">
        <v>234</v>
      </c>
      <c r="IA105" s="138">
        <v>235</v>
      </c>
      <c r="IB105" s="138">
        <v>236</v>
      </c>
      <c r="IC105" s="138">
        <v>237</v>
      </c>
      <c r="ID105" s="138">
        <v>238</v>
      </c>
      <c r="IE105" s="138">
        <v>239</v>
      </c>
      <c r="IF105" s="138">
        <v>240</v>
      </c>
      <c r="IG105" s="138">
        <v>241</v>
      </c>
      <c r="IH105" s="138">
        <v>242</v>
      </c>
      <c r="II105" s="138">
        <v>243</v>
      </c>
      <c r="IJ105" s="138">
        <v>244</v>
      </c>
      <c r="IK105" s="138">
        <v>245</v>
      </c>
      <c r="IL105" s="138">
        <v>246</v>
      </c>
      <c r="IM105" s="138">
        <v>247</v>
      </c>
      <c r="IN105" s="138">
        <v>248</v>
      </c>
      <c r="IO105" s="138">
        <v>236</v>
      </c>
      <c r="IP105" s="138">
        <v>237</v>
      </c>
      <c r="IQ105" s="138">
        <v>238</v>
      </c>
      <c r="IR105" s="138">
        <v>239</v>
      </c>
      <c r="IS105" s="138">
        <v>240</v>
      </c>
      <c r="IT105" s="138">
        <v>241</v>
      </c>
      <c r="IU105" s="138">
        <v>242</v>
      </c>
      <c r="IV105" s="138">
        <v>243</v>
      </c>
      <c r="IW105" s="138">
        <v>244</v>
      </c>
      <c r="IX105" s="138">
        <v>245</v>
      </c>
      <c r="IY105" s="138">
        <v>246</v>
      </c>
      <c r="IZ105" s="138">
        <v>247</v>
      </c>
      <c r="JA105" s="138">
        <v>248</v>
      </c>
      <c r="JC105" s="138">
        <v>263</v>
      </c>
      <c r="JD105" s="138">
        <v>264</v>
      </c>
      <c r="JE105" s="138">
        <v>265</v>
      </c>
      <c r="JF105" s="138">
        <v>266</v>
      </c>
      <c r="JG105" s="138">
        <v>267</v>
      </c>
      <c r="JH105" s="138">
        <v>268</v>
      </c>
      <c r="JI105" s="138">
        <v>269</v>
      </c>
      <c r="JJ105" s="138">
        <v>270</v>
      </c>
      <c r="JK105" s="138">
        <v>271</v>
      </c>
      <c r="JL105" s="138">
        <v>272</v>
      </c>
      <c r="JM105" s="138">
        <v>273</v>
      </c>
      <c r="JN105" s="138">
        <v>274</v>
      </c>
      <c r="JO105" s="138">
        <v>275</v>
      </c>
      <c r="JP105" s="138">
        <v>276</v>
      </c>
      <c r="JQ105" s="138">
        <v>277</v>
      </c>
    </row>
  </sheetData>
  <sheetProtection formatCells="0" formatColumns="0" formatRows="0" insertColumns="0" insertRows="0" insertHyperlinks="0" deleteColumns="0" deleteRows="0" sort="0" autoFilter="0" pivotTables="0"/>
  <mergeCells count="21">
    <mergeCell ref="JC1:JO1"/>
    <mergeCell ref="IB1:IM1"/>
    <mergeCell ref="FB1:FM1"/>
    <mergeCell ref="EO1:EZ1"/>
    <mergeCell ref="HB1:HM1"/>
    <mergeCell ref="HO1:HZ1"/>
    <mergeCell ref="IO1:IZ1"/>
    <mergeCell ref="EB1:EM1"/>
    <mergeCell ref="GO1:GZ1"/>
    <mergeCell ref="GB1:GM1"/>
    <mergeCell ref="FO1:FZ1"/>
    <mergeCell ref="B1:M1"/>
    <mergeCell ref="O1:Z1"/>
    <mergeCell ref="AB1:AM1"/>
    <mergeCell ref="AO1:AZ1"/>
    <mergeCell ref="BB1:BM1"/>
    <mergeCell ref="BO1:BZ1"/>
    <mergeCell ref="CB1:CM1"/>
    <mergeCell ref="CO1:CZ1"/>
    <mergeCell ref="DB1:DM1"/>
    <mergeCell ref="DO1:DZ1"/>
  </mergeCells>
  <hyperlinks>
    <hyperlink ref="A1" location="Seznam!A1" display="SEZNAM" xr:uid="{00000000-0004-0000-1100-000000000000}"/>
  </hyperlinks>
  <pageMargins left="0.7" right="0.7" top="0.78740157499999996" bottom="0.78740157499999996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2"/>
  <sheetViews>
    <sheetView workbookViewId="0"/>
  </sheetViews>
  <sheetFormatPr defaultColWidth="9.140625" defaultRowHeight="15" x14ac:dyDescent="0.25"/>
  <cols>
    <col min="1" max="1" width="23.28515625" customWidth="1"/>
    <col min="2" max="2" width="17" customWidth="1"/>
    <col min="3" max="3" width="13.7109375" customWidth="1"/>
    <col min="4" max="4" width="13.42578125" customWidth="1"/>
    <col min="5" max="5" width="22.140625" style="334" customWidth="1"/>
    <col min="6" max="6" width="21.140625" customWidth="1"/>
    <col min="8" max="8" width="14.5703125" customWidth="1"/>
    <col min="13" max="13" width="9.140625" style="334"/>
  </cols>
  <sheetData>
    <row r="1" spans="1:13" x14ac:dyDescent="0.25">
      <c r="A1" s="262" t="s">
        <v>68</v>
      </c>
      <c r="B1" s="214" t="s">
        <v>557</v>
      </c>
      <c r="C1" s="214" t="s">
        <v>558</v>
      </c>
      <c r="D1" s="214" t="s">
        <v>559</v>
      </c>
      <c r="E1" s="336" t="s">
        <v>560</v>
      </c>
      <c r="F1" s="263" t="s">
        <v>68</v>
      </c>
      <c r="G1" t="s">
        <v>561</v>
      </c>
      <c r="H1" t="s">
        <v>562</v>
      </c>
      <c r="K1" t="s">
        <v>563</v>
      </c>
      <c r="L1" t="s">
        <v>564</v>
      </c>
      <c r="M1" s="336" t="s">
        <v>565</v>
      </c>
    </row>
    <row r="2" spans="1:13" x14ac:dyDescent="0.25">
      <c r="A2" s="259" t="str">
        <f>Evidence!A2</f>
        <v>Byt č. 939/01</v>
      </c>
      <c r="B2" s="259" t="s">
        <v>566</v>
      </c>
      <c r="C2">
        <f>Evidence!G2</f>
        <v>115.53</v>
      </c>
      <c r="D2">
        <f>Evidence!G2</f>
        <v>115.53</v>
      </c>
      <c r="E2" s="334">
        <v>0</v>
      </c>
      <c r="F2" t="s">
        <v>342</v>
      </c>
      <c r="G2" t="s">
        <v>541</v>
      </c>
      <c r="H2" t="s">
        <v>567</v>
      </c>
    </row>
    <row r="3" spans="1:13" x14ac:dyDescent="0.25">
      <c r="A3" s="259" t="str">
        <f>Evidence!A3</f>
        <v>Byt č. 939/02</v>
      </c>
      <c r="B3" s="259" t="s">
        <v>566</v>
      </c>
      <c r="C3">
        <f>Evidence!G3</f>
        <v>65.760000000000005</v>
      </c>
      <c r="D3">
        <f>Evidence!G3</f>
        <v>65.760000000000005</v>
      </c>
      <c r="E3" s="334">
        <v>0</v>
      </c>
      <c r="F3" t="s">
        <v>351</v>
      </c>
      <c r="G3" t="s">
        <v>544</v>
      </c>
      <c r="H3" t="s">
        <v>567</v>
      </c>
    </row>
    <row r="4" spans="1:13" x14ac:dyDescent="0.25">
      <c r="A4" s="259" t="str">
        <f>Evidence!A4</f>
        <v>Byt č. 939/03</v>
      </c>
      <c r="B4" s="259" t="s">
        <v>566</v>
      </c>
      <c r="C4">
        <f>Evidence!G4</f>
        <v>74.599999999999994</v>
      </c>
      <c r="D4">
        <f>Evidence!G4</f>
        <v>74.599999999999994</v>
      </c>
      <c r="E4" s="334">
        <v>0</v>
      </c>
      <c r="F4" t="s">
        <v>357</v>
      </c>
      <c r="G4" t="s">
        <v>545</v>
      </c>
      <c r="H4" t="s">
        <v>567</v>
      </c>
    </row>
    <row r="5" spans="1:13" x14ac:dyDescent="0.25">
      <c r="A5" s="259" t="str">
        <f>Evidence!A5</f>
        <v>Byt č. 939/04</v>
      </c>
      <c r="B5" s="259" t="s">
        <v>568</v>
      </c>
      <c r="C5">
        <f>Evidence!G5</f>
        <v>82.88</v>
      </c>
      <c r="D5">
        <f>Evidence!G5</f>
        <v>82.88</v>
      </c>
      <c r="E5" s="334">
        <v>0</v>
      </c>
      <c r="F5" t="s">
        <v>363</v>
      </c>
      <c r="G5" t="s">
        <v>546</v>
      </c>
      <c r="H5" t="s">
        <v>567</v>
      </c>
    </row>
    <row r="6" spans="1:13" x14ac:dyDescent="0.25">
      <c r="A6" s="259" t="str">
        <f>Evidence!A6</f>
        <v>Byt č. 939/05</v>
      </c>
      <c r="B6" s="259" t="s">
        <v>568</v>
      </c>
      <c r="C6">
        <f>Evidence!G6</f>
        <v>73.5</v>
      </c>
      <c r="D6">
        <f>Evidence!G6</f>
        <v>73.5</v>
      </c>
      <c r="E6" s="334">
        <v>0</v>
      </c>
      <c r="F6" t="s">
        <v>370</v>
      </c>
      <c r="G6" t="s">
        <v>547</v>
      </c>
      <c r="H6" t="s">
        <v>567</v>
      </c>
    </row>
    <row r="7" spans="1:13" x14ac:dyDescent="0.25">
      <c r="A7" s="259" t="str">
        <f>Evidence!A7</f>
        <v>Byt č. 939/06</v>
      </c>
      <c r="B7" s="259" t="s">
        <v>568</v>
      </c>
      <c r="C7">
        <f>Evidence!G7</f>
        <v>75.3</v>
      </c>
      <c r="D7">
        <f>Evidence!G7</f>
        <v>75.3</v>
      </c>
      <c r="E7" s="334">
        <v>0</v>
      </c>
      <c r="F7" t="s">
        <v>376</v>
      </c>
      <c r="G7" t="s">
        <v>377</v>
      </c>
      <c r="H7" t="s">
        <v>567</v>
      </c>
    </row>
    <row r="8" spans="1:13" x14ac:dyDescent="0.25">
      <c r="A8" s="259" t="str">
        <f>Evidence!A8</f>
        <v>Byt č. 939/07</v>
      </c>
      <c r="B8" s="259" t="s">
        <v>568</v>
      </c>
      <c r="C8">
        <f>Evidence!G8</f>
        <v>75.3</v>
      </c>
      <c r="D8">
        <f>Evidence!G8</f>
        <v>75.3</v>
      </c>
      <c r="E8" s="334">
        <v>0</v>
      </c>
      <c r="F8" t="s">
        <v>382</v>
      </c>
      <c r="G8" t="s">
        <v>383</v>
      </c>
      <c r="H8" t="s">
        <v>567</v>
      </c>
    </row>
    <row r="9" spans="1:13" x14ac:dyDescent="0.25">
      <c r="A9" s="259" t="str">
        <f>Evidence!A9</f>
        <v>Byt č. 939/08</v>
      </c>
      <c r="B9" s="259" t="s">
        <v>568</v>
      </c>
      <c r="C9">
        <f>Evidence!G9</f>
        <v>72.08</v>
      </c>
      <c r="D9">
        <f>Evidence!G9</f>
        <v>72.08</v>
      </c>
      <c r="E9" s="334">
        <v>0</v>
      </c>
      <c r="F9" t="s">
        <v>389</v>
      </c>
      <c r="G9" t="s">
        <v>390</v>
      </c>
      <c r="H9" t="s">
        <v>567</v>
      </c>
    </row>
    <row r="10" spans="1:13" x14ac:dyDescent="0.25">
      <c r="A10" s="259" t="str">
        <f>Evidence!A10</f>
        <v>Byt č. 939/09</v>
      </c>
      <c r="B10" s="259" t="s">
        <v>568</v>
      </c>
      <c r="C10">
        <f>Evidence!G10</f>
        <v>72.5</v>
      </c>
      <c r="D10">
        <f>Evidence!G10</f>
        <v>72.5</v>
      </c>
      <c r="E10" s="334">
        <v>0</v>
      </c>
      <c r="F10" t="s">
        <v>394</v>
      </c>
      <c r="G10" t="s">
        <v>377</v>
      </c>
      <c r="H10" t="s">
        <v>567</v>
      </c>
    </row>
    <row r="11" spans="1:13" x14ac:dyDescent="0.25">
      <c r="A11" s="259" t="str">
        <f>Evidence!A11</f>
        <v>Byt č. 939/10</v>
      </c>
      <c r="B11" s="259" t="s">
        <v>568</v>
      </c>
      <c r="C11">
        <f>Evidence!G11</f>
        <v>74.099999999999994</v>
      </c>
      <c r="D11">
        <f>Evidence!G11</f>
        <v>74.099999999999994</v>
      </c>
      <c r="E11" s="334">
        <v>0</v>
      </c>
      <c r="F11" t="s">
        <v>395</v>
      </c>
      <c r="G11" t="s">
        <v>548</v>
      </c>
      <c r="H11" t="s">
        <v>567</v>
      </c>
    </row>
    <row r="12" spans="1:13" x14ac:dyDescent="0.25">
      <c r="A12" s="259" t="str">
        <f>Evidence!A12</f>
        <v>Byt č. 939/11</v>
      </c>
      <c r="B12" s="259" t="s">
        <v>568</v>
      </c>
      <c r="C12">
        <f>Evidence!G12</f>
        <v>70.55</v>
      </c>
      <c r="D12">
        <f>Evidence!G12</f>
        <v>70.55</v>
      </c>
      <c r="E12" s="334">
        <v>0</v>
      </c>
      <c r="F12" t="s">
        <v>400</v>
      </c>
      <c r="G12" t="s">
        <v>549</v>
      </c>
      <c r="H12" t="s">
        <v>567</v>
      </c>
    </row>
    <row r="13" spans="1:13" x14ac:dyDescent="0.25">
      <c r="A13" s="259" t="str">
        <f>Evidence!A13</f>
        <v>Byt č. 939/12</v>
      </c>
      <c r="B13" s="259" t="s">
        <v>568</v>
      </c>
      <c r="C13">
        <f>Evidence!G13</f>
        <v>83.33</v>
      </c>
      <c r="D13">
        <f>Evidence!G13</f>
        <v>83.33</v>
      </c>
      <c r="E13" s="334">
        <v>0</v>
      </c>
      <c r="F13" t="s">
        <v>405</v>
      </c>
      <c r="G13" t="s">
        <v>550</v>
      </c>
      <c r="H13" t="s">
        <v>567</v>
      </c>
    </row>
    <row r="14" spans="1:13" x14ac:dyDescent="0.25">
      <c r="A14" s="259" t="str">
        <f>Evidence!A14</f>
        <v>Byt č. 939/13</v>
      </c>
      <c r="B14" s="259" t="s">
        <v>568</v>
      </c>
      <c r="C14">
        <f>Evidence!G14</f>
        <v>71.5</v>
      </c>
      <c r="D14">
        <f>Evidence!G14</f>
        <v>71.5</v>
      </c>
      <c r="E14" s="334">
        <v>0</v>
      </c>
      <c r="F14" t="s">
        <v>410</v>
      </c>
      <c r="G14" t="s">
        <v>551</v>
      </c>
      <c r="H14" t="s">
        <v>567</v>
      </c>
    </row>
    <row r="15" spans="1:13" x14ac:dyDescent="0.25">
      <c r="A15" s="259" t="str">
        <f>Evidence!A15</f>
        <v>Byt č. 939/14</v>
      </c>
      <c r="B15" s="259" t="s">
        <v>568</v>
      </c>
      <c r="C15">
        <f>Evidence!G15</f>
        <v>70.599999999999994</v>
      </c>
      <c r="D15">
        <f>Evidence!G15</f>
        <v>70.599999999999994</v>
      </c>
      <c r="E15" s="334">
        <v>0</v>
      </c>
      <c r="F15" t="s">
        <v>415</v>
      </c>
      <c r="G15" t="s">
        <v>416</v>
      </c>
      <c r="H15" t="s">
        <v>567</v>
      </c>
    </row>
    <row r="16" spans="1:13" x14ac:dyDescent="0.25">
      <c r="A16" s="259" t="str">
        <f>Evidence!A16</f>
        <v>Byt č. 939/15</v>
      </c>
      <c r="B16" s="259" t="s">
        <v>568</v>
      </c>
      <c r="C16">
        <f>Evidence!G16</f>
        <v>76.3</v>
      </c>
      <c r="D16">
        <f>Evidence!G16</f>
        <v>76.3</v>
      </c>
      <c r="E16" s="334">
        <v>0</v>
      </c>
      <c r="F16" t="s">
        <v>419</v>
      </c>
      <c r="G16" t="s">
        <v>552</v>
      </c>
      <c r="H16" t="s">
        <v>567</v>
      </c>
    </row>
    <row r="17" spans="1:8" x14ac:dyDescent="0.25">
      <c r="A17" s="259" t="str">
        <f>Evidence!A17</f>
        <v>Byt č. 939/16</v>
      </c>
      <c r="B17" s="259" t="s">
        <v>568</v>
      </c>
      <c r="C17">
        <f>Evidence!G17</f>
        <v>48.33</v>
      </c>
      <c r="D17">
        <f>Evidence!G17</f>
        <v>48.33</v>
      </c>
      <c r="E17" s="334">
        <v>0</v>
      </c>
      <c r="F17" t="s">
        <v>423</v>
      </c>
      <c r="G17" t="s">
        <v>553</v>
      </c>
      <c r="H17" t="s">
        <v>567</v>
      </c>
    </row>
    <row r="18" spans="1:8" x14ac:dyDescent="0.25">
      <c r="A18" s="259" t="str">
        <f>Evidence!A18</f>
        <v>Byt č. 939/17</v>
      </c>
      <c r="B18" s="259" t="s">
        <v>568</v>
      </c>
      <c r="C18">
        <f>Evidence!G18</f>
        <v>54.55</v>
      </c>
      <c r="D18">
        <f>Evidence!G18</f>
        <v>54.55</v>
      </c>
      <c r="E18" s="334">
        <v>0</v>
      </c>
      <c r="F18" t="s">
        <v>429</v>
      </c>
      <c r="G18" t="s">
        <v>554</v>
      </c>
      <c r="H18" t="s">
        <v>567</v>
      </c>
    </row>
    <row r="19" spans="1:8" x14ac:dyDescent="0.25">
      <c r="A19" s="259" t="str">
        <f>Evidence!A19</f>
        <v>Byt č. 939/17 P</v>
      </c>
      <c r="B19" s="259" t="s">
        <v>568</v>
      </c>
      <c r="C19">
        <f>Evidence!G19</f>
        <v>54.55</v>
      </c>
      <c r="D19">
        <f>Evidence!G19</f>
        <v>54.55</v>
      </c>
      <c r="E19" s="334">
        <v>0</v>
      </c>
      <c r="F19" t="s">
        <v>435</v>
      </c>
      <c r="G19" t="s">
        <v>436</v>
      </c>
      <c r="H19" t="s">
        <v>567</v>
      </c>
    </row>
    <row r="20" spans="1:8" x14ac:dyDescent="0.25">
      <c r="A20" s="259" t="str">
        <f>Evidence!A20</f>
        <v>Byt č. 939/18</v>
      </c>
      <c r="B20" s="259" t="s">
        <v>568</v>
      </c>
      <c r="C20">
        <f>Evidence!G20</f>
        <v>32</v>
      </c>
      <c r="D20">
        <f>Evidence!G20</f>
        <v>32</v>
      </c>
      <c r="E20" s="334">
        <v>0</v>
      </c>
      <c r="F20" t="s">
        <v>443</v>
      </c>
      <c r="G20" t="s">
        <v>444</v>
      </c>
      <c r="H20" t="s">
        <v>567</v>
      </c>
    </row>
    <row r="21" spans="1:8" x14ac:dyDescent="0.25">
      <c r="A21" s="259" t="str">
        <f>Evidence!A21</f>
        <v>Byt č. 939/19</v>
      </c>
      <c r="B21" s="259" t="s">
        <v>568</v>
      </c>
      <c r="C21">
        <f>Evidence!G21</f>
        <v>151.65</v>
      </c>
      <c r="D21">
        <f>Evidence!G21</f>
        <v>151.65</v>
      </c>
      <c r="E21" s="334">
        <v>0</v>
      </c>
      <c r="F21" t="s">
        <v>449</v>
      </c>
      <c r="G21" t="s">
        <v>450</v>
      </c>
      <c r="H21" t="s">
        <v>567</v>
      </c>
    </row>
    <row r="22" spans="1:8" x14ac:dyDescent="0.25">
      <c r="A22" s="259">
        <f>Evidence!A22</f>
        <v>0</v>
      </c>
      <c r="B22" s="259"/>
      <c r="C22">
        <f>Evidence!G22</f>
        <v>0</v>
      </c>
      <c r="D22">
        <f>Evidence!G22</f>
        <v>0</v>
      </c>
      <c r="H22" t="s">
        <v>567</v>
      </c>
    </row>
    <row r="23" spans="1:8" x14ac:dyDescent="0.25">
      <c r="A23" s="259">
        <f>Evidence!A23</f>
        <v>0</v>
      </c>
      <c r="B23" s="259"/>
      <c r="C23">
        <f>Evidence!G23</f>
        <v>0</v>
      </c>
      <c r="D23">
        <f>Evidence!G23</f>
        <v>0</v>
      </c>
      <c r="H23" t="s">
        <v>567</v>
      </c>
    </row>
    <row r="24" spans="1:8" x14ac:dyDescent="0.25">
      <c r="A24" s="259">
        <f>Evidence!A24</f>
        <v>0</v>
      </c>
      <c r="B24" s="259"/>
      <c r="C24">
        <f>Evidence!G24</f>
        <v>0</v>
      </c>
      <c r="D24">
        <f>Evidence!G24</f>
        <v>0</v>
      </c>
      <c r="H24" t="s">
        <v>567</v>
      </c>
    </row>
    <row r="25" spans="1:8" x14ac:dyDescent="0.25">
      <c r="A25" s="259">
        <f>Evidence!A25</f>
        <v>0</v>
      </c>
      <c r="B25" s="259"/>
      <c r="C25">
        <f>Evidence!G25</f>
        <v>0</v>
      </c>
      <c r="D25">
        <f>Evidence!G25</f>
        <v>0</v>
      </c>
      <c r="H25" t="s">
        <v>567</v>
      </c>
    </row>
    <row r="26" spans="1:8" x14ac:dyDescent="0.25">
      <c r="A26" s="259">
        <f>Evidence!A26</f>
        <v>0</v>
      </c>
      <c r="B26" s="259"/>
      <c r="C26">
        <f>Evidence!G26</f>
        <v>0</v>
      </c>
      <c r="D26">
        <f>Evidence!G26</f>
        <v>0</v>
      </c>
      <c r="H26" t="s">
        <v>567</v>
      </c>
    </row>
    <row r="27" spans="1:8" x14ac:dyDescent="0.25">
      <c r="A27" s="259">
        <f>Evidence!A27</f>
        <v>0</v>
      </c>
      <c r="B27" s="259"/>
      <c r="C27">
        <f>Evidence!G27</f>
        <v>0</v>
      </c>
      <c r="D27">
        <f>Evidence!G27</f>
        <v>0</v>
      </c>
      <c r="H27" t="s">
        <v>567</v>
      </c>
    </row>
    <row r="28" spans="1:8" x14ac:dyDescent="0.25">
      <c r="A28" s="259">
        <f>Evidence!A28</f>
        <v>0</v>
      </c>
      <c r="B28" s="259"/>
      <c r="C28">
        <f>Evidence!G28</f>
        <v>0</v>
      </c>
      <c r="D28">
        <f>Evidence!G28</f>
        <v>0</v>
      </c>
      <c r="H28" t="s">
        <v>567</v>
      </c>
    </row>
    <row r="29" spans="1:8" x14ac:dyDescent="0.25">
      <c r="A29" s="259">
        <f>Evidence!A29</f>
        <v>0</v>
      </c>
      <c r="B29" s="259"/>
      <c r="C29">
        <f>Evidence!G29</f>
        <v>0</v>
      </c>
      <c r="D29">
        <f>Evidence!G29</f>
        <v>0</v>
      </c>
      <c r="H29" t="s">
        <v>567</v>
      </c>
    </row>
    <row r="30" spans="1:8" x14ac:dyDescent="0.25">
      <c r="A30" s="259">
        <f>Evidence!A30</f>
        <v>0</v>
      </c>
      <c r="B30" s="259"/>
      <c r="C30">
        <f>Evidence!G30</f>
        <v>0</v>
      </c>
      <c r="D30">
        <f>Evidence!G30</f>
        <v>0</v>
      </c>
      <c r="H30" t="s">
        <v>567</v>
      </c>
    </row>
    <row r="31" spans="1:8" x14ac:dyDescent="0.25">
      <c r="A31" s="259">
        <f>Evidence!A31</f>
        <v>0</v>
      </c>
      <c r="B31" s="259"/>
      <c r="C31">
        <f>Evidence!G31</f>
        <v>0</v>
      </c>
      <c r="D31">
        <f>Evidence!G31</f>
        <v>0</v>
      </c>
      <c r="H31" t="s">
        <v>567</v>
      </c>
    </row>
    <row r="32" spans="1:8" x14ac:dyDescent="0.25">
      <c r="A32" s="259">
        <f>Evidence!A32</f>
        <v>0</v>
      </c>
      <c r="B32" s="259"/>
      <c r="C32">
        <f>Evidence!G32</f>
        <v>0</v>
      </c>
      <c r="D32">
        <f>Evidence!G32</f>
        <v>0</v>
      </c>
      <c r="H32" t="s">
        <v>567</v>
      </c>
    </row>
    <row r="33" spans="1:8" x14ac:dyDescent="0.25">
      <c r="A33" s="259">
        <f>Evidence!A33</f>
        <v>0</v>
      </c>
      <c r="B33" s="259"/>
      <c r="C33">
        <f>Evidence!G33</f>
        <v>0</v>
      </c>
      <c r="D33">
        <f>Evidence!G33</f>
        <v>0</v>
      </c>
      <c r="H33" t="s">
        <v>567</v>
      </c>
    </row>
    <row r="34" spans="1:8" x14ac:dyDescent="0.25">
      <c r="A34" s="259">
        <f>Evidence!A34</f>
        <v>0</v>
      </c>
      <c r="B34" s="259"/>
      <c r="C34">
        <f>Evidence!G34</f>
        <v>0</v>
      </c>
      <c r="D34">
        <f>Evidence!G34</f>
        <v>0</v>
      </c>
      <c r="H34" t="s">
        <v>567</v>
      </c>
    </row>
    <row r="35" spans="1:8" x14ac:dyDescent="0.25">
      <c r="A35" s="259">
        <f>Evidence!A35</f>
        <v>0</v>
      </c>
      <c r="B35" s="259"/>
      <c r="C35">
        <f>Evidence!G35</f>
        <v>0</v>
      </c>
      <c r="D35">
        <f>Evidence!G35</f>
        <v>0</v>
      </c>
      <c r="H35" t="s">
        <v>567</v>
      </c>
    </row>
    <row r="36" spans="1:8" x14ac:dyDescent="0.25">
      <c r="A36" s="259">
        <f>Evidence!A36</f>
        <v>0</v>
      </c>
      <c r="B36" s="259"/>
      <c r="C36">
        <f>Evidence!G36</f>
        <v>0</v>
      </c>
      <c r="D36">
        <f>Evidence!G36</f>
        <v>0</v>
      </c>
      <c r="H36" t="s">
        <v>567</v>
      </c>
    </row>
    <row r="37" spans="1:8" x14ac:dyDescent="0.25">
      <c r="A37" s="259">
        <f>Evidence!A37</f>
        <v>0</v>
      </c>
      <c r="B37" s="259"/>
      <c r="C37">
        <f>Evidence!G37</f>
        <v>0</v>
      </c>
      <c r="D37">
        <f>Evidence!G37</f>
        <v>0</v>
      </c>
      <c r="H37" t="s">
        <v>567</v>
      </c>
    </row>
    <row r="38" spans="1:8" x14ac:dyDescent="0.25">
      <c r="A38" s="259">
        <f>Evidence!A38</f>
        <v>0</v>
      </c>
      <c r="B38" s="259"/>
      <c r="C38">
        <f>Evidence!G38</f>
        <v>0</v>
      </c>
      <c r="D38">
        <f>Evidence!G38</f>
        <v>0</v>
      </c>
      <c r="H38" t="s">
        <v>567</v>
      </c>
    </row>
    <row r="39" spans="1:8" x14ac:dyDescent="0.25">
      <c r="A39" s="259">
        <f>Evidence!A39</f>
        <v>0</v>
      </c>
      <c r="B39" s="259"/>
      <c r="C39">
        <f>Evidence!G39</f>
        <v>0</v>
      </c>
      <c r="D39">
        <f>Evidence!G39</f>
        <v>0</v>
      </c>
      <c r="H39" t="s">
        <v>567</v>
      </c>
    </row>
    <row r="40" spans="1:8" x14ac:dyDescent="0.25">
      <c r="A40" s="259">
        <f>Evidence!A40</f>
        <v>0</v>
      </c>
      <c r="B40" s="259"/>
      <c r="C40">
        <f>Evidence!G40</f>
        <v>0</v>
      </c>
      <c r="D40">
        <f>Evidence!G40</f>
        <v>0</v>
      </c>
      <c r="H40" t="s">
        <v>567</v>
      </c>
    </row>
    <row r="41" spans="1:8" x14ac:dyDescent="0.25">
      <c r="A41" s="259">
        <f>Evidence!A41</f>
        <v>0</v>
      </c>
      <c r="B41" s="259"/>
      <c r="C41">
        <f>Evidence!G41</f>
        <v>0</v>
      </c>
      <c r="D41">
        <f>Evidence!G41</f>
        <v>0</v>
      </c>
      <c r="H41" t="s">
        <v>567</v>
      </c>
    </row>
    <row r="42" spans="1:8" x14ac:dyDescent="0.25">
      <c r="A42" s="259">
        <f>Evidence!A42</f>
        <v>0</v>
      </c>
      <c r="B42" s="259"/>
      <c r="C42">
        <f>Evidence!G42</f>
        <v>0</v>
      </c>
      <c r="D42">
        <f>Evidence!G42</f>
        <v>0</v>
      </c>
      <c r="H42" t="s">
        <v>567</v>
      </c>
    </row>
    <row r="43" spans="1:8" x14ac:dyDescent="0.25">
      <c r="A43" s="259">
        <f>Evidence!A43</f>
        <v>0</v>
      </c>
      <c r="B43" s="259"/>
      <c r="C43">
        <f>Evidence!G43</f>
        <v>0</v>
      </c>
      <c r="D43">
        <f>Evidence!G43</f>
        <v>0</v>
      </c>
      <c r="H43" t="s">
        <v>567</v>
      </c>
    </row>
    <row r="44" spans="1:8" x14ac:dyDescent="0.25">
      <c r="A44" s="259">
        <f>Evidence!A44</f>
        <v>0</v>
      </c>
      <c r="B44" s="259"/>
      <c r="C44">
        <f>Evidence!G44</f>
        <v>0</v>
      </c>
      <c r="D44">
        <f>Evidence!G44</f>
        <v>0</v>
      </c>
      <c r="H44" t="s">
        <v>567</v>
      </c>
    </row>
    <row r="45" spans="1:8" x14ac:dyDescent="0.25">
      <c r="A45" s="259">
        <f>Evidence!A45</f>
        <v>0</v>
      </c>
      <c r="B45" s="259"/>
      <c r="C45">
        <f>Evidence!G45</f>
        <v>0</v>
      </c>
      <c r="D45">
        <f>Evidence!G45</f>
        <v>0</v>
      </c>
      <c r="H45" t="s">
        <v>567</v>
      </c>
    </row>
    <row r="46" spans="1:8" x14ac:dyDescent="0.25">
      <c r="A46" s="259">
        <f>Evidence!A46</f>
        <v>0</v>
      </c>
      <c r="B46" s="259"/>
      <c r="C46">
        <f>Evidence!G46</f>
        <v>0</v>
      </c>
      <c r="D46">
        <f>Evidence!G46</f>
        <v>0</v>
      </c>
      <c r="H46" t="s">
        <v>567</v>
      </c>
    </row>
    <row r="47" spans="1:8" x14ac:dyDescent="0.25">
      <c r="A47" s="259">
        <f>Evidence!A47</f>
        <v>0</v>
      </c>
      <c r="B47" s="259"/>
      <c r="C47">
        <f>Evidence!G47</f>
        <v>0</v>
      </c>
      <c r="D47">
        <f>Evidence!G47</f>
        <v>0</v>
      </c>
      <c r="H47" t="s">
        <v>567</v>
      </c>
    </row>
    <row r="48" spans="1:8" x14ac:dyDescent="0.25">
      <c r="A48" s="259">
        <f>Evidence!A48</f>
        <v>0</v>
      </c>
      <c r="B48" s="259"/>
      <c r="C48">
        <f>Evidence!G48</f>
        <v>0</v>
      </c>
      <c r="D48">
        <f>Evidence!G48</f>
        <v>0</v>
      </c>
      <c r="H48" t="s">
        <v>567</v>
      </c>
    </row>
    <row r="49" spans="1:8" x14ac:dyDescent="0.25">
      <c r="A49" s="259">
        <f>Evidence!A49</f>
        <v>0</v>
      </c>
      <c r="B49" s="259"/>
      <c r="C49">
        <f>Evidence!G49</f>
        <v>0</v>
      </c>
      <c r="D49">
        <f>Evidence!G49</f>
        <v>0</v>
      </c>
      <c r="H49" t="s">
        <v>567</v>
      </c>
    </row>
    <row r="50" spans="1:8" x14ac:dyDescent="0.25">
      <c r="A50" s="259">
        <f>Evidence!A50</f>
        <v>0</v>
      </c>
      <c r="B50" s="259"/>
      <c r="C50">
        <f>Evidence!G50</f>
        <v>0</v>
      </c>
      <c r="D50">
        <f>Evidence!G50</f>
        <v>0</v>
      </c>
      <c r="H50" t="s">
        <v>567</v>
      </c>
    </row>
    <row r="51" spans="1:8" x14ac:dyDescent="0.25">
      <c r="A51" s="259">
        <f>Evidence!A51</f>
        <v>0</v>
      </c>
      <c r="B51" s="259"/>
      <c r="C51">
        <f>Evidence!G51</f>
        <v>0</v>
      </c>
      <c r="D51">
        <f>Evidence!G51</f>
        <v>0</v>
      </c>
      <c r="H51" t="s">
        <v>567</v>
      </c>
    </row>
    <row r="52" spans="1:8" x14ac:dyDescent="0.25">
      <c r="A52" s="259">
        <f>Evidence!A52</f>
        <v>0</v>
      </c>
      <c r="B52" s="259"/>
      <c r="C52">
        <f>Evidence!G52</f>
        <v>0</v>
      </c>
      <c r="D52">
        <f>Evidence!G52</f>
        <v>0</v>
      </c>
      <c r="H52" t="s">
        <v>567</v>
      </c>
    </row>
    <row r="53" spans="1:8" x14ac:dyDescent="0.25">
      <c r="A53" s="259">
        <f>Evidence!A53</f>
        <v>0</v>
      </c>
      <c r="B53" s="259"/>
      <c r="C53">
        <f>Evidence!G53</f>
        <v>0</v>
      </c>
      <c r="D53">
        <f>Evidence!G53</f>
        <v>0</v>
      </c>
      <c r="H53" t="s">
        <v>567</v>
      </c>
    </row>
    <row r="54" spans="1:8" x14ac:dyDescent="0.25">
      <c r="A54" s="259">
        <f>Evidence!A54</f>
        <v>0</v>
      </c>
      <c r="B54" s="259"/>
      <c r="C54">
        <f>Evidence!G54</f>
        <v>0</v>
      </c>
      <c r="D54">
        <f>Evidence!G54</f>
        <v>0</v>
      </c>
      <c r="H54" t="s">
        <v>567</v>
      </c>
    </row>
    <row r="55" spans="1:8" x14ac:dyDescent="0.25">
      <c r="A55" s="259">
        <f>Evidence!A55</f>
        <v>0</v>
      </c>
      <c r="B55" s="259"/>
      <c r="C55">
        <f>Evidence!G55</f>
        <v>0</v>
      </c>
      <c r="D55">
        <f>Evidence!G55</f>
        <v>0</v>
      </c>
      <c r="H55" t="s">
        <v>567</v>
      </c>
    </row>
    <row r="56" spans="1:8" x14ac:dyDescent="0.25">
      <c r="A56" s="259">
        <f>Evidence!A56</f>
        <v>0</v>
      </c>
      <c r="B56" s="259"/>
      <c r="C56">
        <f>Evidence!G56</f>
        <v>0</v>
      </c>
      <c r="D56">
        <f>Evidence!G56</f>
        <v>0</v>
      </c>
      <c r="H56" t="s">
        <v>567</v>
      </c>
    </row>
    <row r="57" spans="1:8" x14ac:dyDescent="0.25">
      <c r="A57" s="259">
        <f>Evidence!A57</f>
        <v>0</v>
      </c>
      <c r="B57" s="259"/>
      <c r="C57">
        <f>Evidence!G57</f>
        <v>0</v>
      </c>
      <c r="D57">
        <f>Evidence!G57</f>
        <v>0</v>
      </c>
      <c r="H57" t="s">
        <v>567</v>
      </c>
    </row>
    <row r="58" spans="1:8" x14ac:dyDescent="0.25">
      <c r="A58" s="259">
        <f>Evidence!A58</f>
        <v>0</v>
      </c>
      <c r="B58" s="259"/>
      <c r="C58">
        <f>Evidence!G58</f>
        <v>0</v>
      </c>
      <c r="D58">
        <f>Evidence!G58</f>
        <v>0</v>
      </c>
      <c r="H58" t="s">
        <v>567</v>
      </c>
    </row>
    <row r="59" spans="1:8" x14ac:dyDescent="0.25">
      <c r="A59" s="259">
        <f>Evidence!A59</f>
        <v>0</v>
      </c>
      <c r="B59" s="259"/>
      <c r="C59">
        <f>Evidence!G59</f>
        <v>0</v>
      </c>
      <c r="D59">
        <f>Evidence!G59</f>
        <v>0</v>
      </c>
      <c r="H59" t="s">
        <v>567</v>
      </c>
    </row>
    <row r="60" spans="1:8" x14ac:dyDescent="0.25">
      <c r="A60" s="259">
        <f>Evidence!A60</f>
        <v>0</v>
      </c>
      <c r="B60" s="259"/>
      <c r="C60">
        <f>Evidence!G60</f>
        <v>0</v>
      </c>
      <c r="D60">
        <f>Evidence!G60</f>
        <v>0</v>
      </c>
    </row>
    <row r="61" spans="1:8" x14ac:dyDescent="0.25">
      <c r="A61" s="259">
        <f>Evidence!A61</f>
        <v>0</v>
      </c>
      <c r="B61" s="259"/>
      <c r="C61">
        <f>Evidence!G61</f>
        <v>0</v>
      </c>
      <c r="D61">
        <f>Evidence!G61</f>
        <v>0</v>
      </c>
    </row>
    <row r="62" spans="1:8" x14ac:dyDescent="0.25">
      <c r="A62" s="259">
        <f>Evidence!A62</f>
        <v>0</v>
      </c>
      <c r="B62" s="259"/>
      <c r="C62">
        <f>Evidence!G62</f>
        <v>0</v>
      </c>
      <c r="D62">
        <f>Evidence!G62</f>
        <v>0</v>
      </c>
    </row>
    <row r="63" spans="1:8" x14ac:dyDescent="0.25">
      <c r="A63" s="259">
        <f>Evidence!A63</f>
        <v>0</v>
      </c>
      <c r="B63" s="259"/>
      <c r="C63">
        <f>Evidence!G63</f>
        <v>0</v>
      </c>
      <c r="D63">
        <f>Evidence!G63</f>
        <v>0</v>
      </c>
    </row>
    <row r="64" spans="1:8" x14ac:dyDescent="0.25">
      <c r="A64" s="259">
        <f>Evidence!A64</f>
        <v>0</v>
      </c>
      <c r="B64" s="259"/>
      <c r="C64">
        <f>Evidence!G64</f>
        <v>0</v>
      </c>
      <c r="D64">
        <f>Evidence!G64</f>
        <v>0</v>
      </c>
    </row>
    <row r="65" spans="1:4" x14ac:dyDescent="0.25">
      <c r="A65" s="259">
        <f>Evidence!A65</f>
        <v>0</v>
      </c>
      <c r="B65" s="259"/>
      <c r="C65">
        <f>Evidence!G65</f>
        <v>0</v>
      </c>
      <c r="D65">
        <f>Evidence!G65</f>
        <v>0</v>
      </c>
    </row>
    <row r="66" spans="1:4" x14ac:dyDescent="0.25">
      <c r="A66" s="259">
        <f>Evidence!A66</f>
        <v>0</v>
      </c>
      <c r="B66" s="259"/>
      <c r="C66">
        <f>Evidence!G66</f>
        <v>0</v>
      </c>
      <c r="D66">
        <f>Evidence!G66</f>
        <v>0</v>
      </c>
    </row>
    <row r="67" spans="1:4" x14ac:dyDescent="0.25">
      <c r="A67" s="259">
        <f>Evidence!A67</f>
        <v>0</v>
      </c>
      <c r="B67" s="259"/>
      <c r="C67">
        <f>Evidence!G67</f>
        <v>0</v>
      </c>
      <c r="D67">
        <f>Evidence!G67</f>
        <v>0</v>
      </c>
    </row>
    <row r="68" spans="1:4" x14ac:dyDescent="0.25">
      <c r="A68" s="259">
        <f>Evidence!A68</f>
        <v>0</v>
      </c>
      <c r="B68" s="259"/>
      <c r="C68">
        <f>Evidence!G68</f>
        <v>0</v>
      </c>
      <c r="D68">
        <f>Evidence!G68</f>
        <v>0</v>
      </c>
    </row>
    <row r="69" spans="1:4" x14ac:dyDescent="0.25">
      <c r="A69" s="259">
        <f>Evidence!A69</f>
        <v>0</v>
      </c>
      <c r="B69" s="259"/>
      <c r="C69">
        <f>Evidence!G69</f>
        <v>0</v>
      </c>
      <c r="D69">
        <f>Evidence!G69</f>
        <v>0</v>
      </c>
    </row>
    <row r="70" spans="1:4" x14ac:dyDescent="0.25">
      <c r="A70" s="259">
        <f>Evidence!A70</f>
        <v>0</v>
      </c>
      <c r="B70" s="259"/>
      <c r="C70">
        <f>Evidence!G70</f>
        <v>0</v>
      </c>
      <c r="D70">
        <f>Evidence!G70</f>
        <v>0</v>
      </c>
    </row>
    <row r="71" spans="1:4" x14ac:dyDescent="0.25">
      <c r="A71" s="259">
        <f>Evidence!A71</f>
        <v>0</v>
      </c>
      <c r="B71" s="259"/>
      <c r="C71">
        <f>Evidence!G71</f>
        <v>0</v>
      </c>
      <c r="D71">
        <f>Evidence!G71</f>
        <v>0</v>
      </c>
    </row>
    <row r="72" spans="1:4" x14ac:dyDescent="0.25">
      <c r="A72" s="259">
        <f>Evidence!A72</f>
        <v>0</v>
      </c>
      <c r="B72" s="259"/>
      <c r="C72">
        <f>Evidence!G72</f>
        <v>0</v>
      </c>
      <c r="D72">
        <f>Evidence!G72</f>
        <v>0</v>
      </c>
    </row>
    <row r="73" spans="1:4" x14ac:dyDescent="0.25">
      <c r="A73" s="259">
        <f>Evidence!A73</f>
        <v>0</v>
      </c>
      <c r="B73" s="259"/>
      <c r="C73">
        <f>Evidence!G73</f>
        <v>0</v>
      </c>
      <c r="D73">
        <f>Evidence!G73</f>
        <v>0</v>
      </c>
    </row>
    <row r="74" spans="1:4" x14ac:dyDescent="0.25">
      <c r="A74" s="259">
        <f>Evidence!A74</f>
        <v>0</v>
      </c>
      <c r="B74" s="259"/>
      <c r="C74">
        <f>Evidence!G74</f>
        <v>0</v>
      </c>
      <c r="D74">
        <f>Evidence!G74</f>
        <v>0</v>
      </c>
    </row>
    <row r="75" spans="1:4" x14ac:dyDescent="0.25">
      <c r="A75" s="259">
        <f>Evidence!A75</f>
        <v>0</v>
      </c>
      <c r="B75" s="259"/>
      <c r="C75">
        <f>Evidence!G75</f>
        <v>0</v>
      </c>
      <c r="D75">
        <f>Evidence!G75</f>
        <v>0</v>
      </c>
    </row>
    <row r="76" spans="1:4" x14ac:dyDescent="0.25">
      <c r="A76" s="259">
        <f>Evidence!A76</f>
        <v>0</v>
      </c>
      <c r="B76" s="259"/>
      <c r="C76">
        <f>Evidence!G76</f>
        <v>0</v>
      </c>
      <c r="D76">
        <f>Evidence!G76</f>
        <v>0</v>
      </c>
    </row>
    <row r="77" spans="1:4" x14ac:dyDescent="0.25">
      <c r="A77" s="259">
        <f>Evidence!A77</f>
        <v>0</v>
      </c>
      <c r="B77" s="259"/>
      <c r="C77">
        <f>Evidence!G77</f>
        <v>0</v>
      </c>
      <c r="D77">
        <f>Evidence!G77</f>
        <v>0</v>
      </c>
    </row>
    <row r="78" spans="1:4" x14ac:dyDescent="0.25">
      <c r="A78" s="259">
        <f>Evidence!A78</f>
        <v>0</v>
      </c>
      <c r="B78" s="259"/>
      <c r="C78">
        <f>Evidence!G78</f>
        <v>0</v>
      </c>
      <c r="D78">
        <f>Evidence!G78</f>
        <v>0</v>
      </c>
    </row>
    <row r="79" spans="1:4" x14ac:dyDescent="0.25">
      <c r="A79" s="259">
        <f>Evidence!A79</f>
        <v>0</v>
      </c>
      <c r="B79" s="259"/>
      <c r="C79">
        <f>Evidence!G79</f>
        <v>0</v>
      </c>
      <c r="D79">
        <f>Evidence!G79</f>
        <v>0</v>
      </c>
    </row>
    <row r="80" spans="1:4" x14ac:dyDescent="0.25">
      <c r="A80" s="259">
        <f>Evidence!A80</f>
        <v>0</v>
      </c>
      <c r="B80" s="259"/>
      <c r="C80">
        <f>Evidence!G80</f>
        <v>0</v>
      </c>
      <c r="D80">
        <f>Evidence!G80</f>
        <v>0</v>
      </c>
    </row>
    <row r="81" spans="1:4" x14ac:dyDescent="0.25">
      <c r="A81" s="259">
        <f>Evidence!A81</f>
        <v>0</v>
      </c>
      <c r="B81" s="259"/>
      <c r="C81">
        <f>Evidence!G81</f>
        <v>0</v>
      </c>
      <c r="D81">
        <f>Evidence!G81</f>
        <v>0</v>
      </c>
    </row>
    <row r="82" spans="1:4" x14ac:dyDescent="0.25">
      <c r="A82" s="259">
        <f>Evidence!A82</f>
        <v>0</v>
      </c>
      <c r="B82" s="259"/>
      <c r="C82">
        <f>Evidence!G82</f>
        <v>0</v>
      </c>
      <c r="D82">
        <f>Evidence!G82</f>
        <v>0</v>
      </c>
    </row>
    <row r="83" spans="1:4" x14ac:dyDescent="0.25">
      <c r="A83" s="259">
        <f>Evidence!A83</f>
        <v>0</v>
      </c>
      <c r="B83" s="259"/>
      <c r="C83">
        <f>Evidence!G83</f>
        <v>0</v>
      </c>
      <c r="D83">
        <f>Evidence!G83</f>
        <v>0</v>
      </c>
    </row>
    <row r="84" spans="1:4" x14ac:dyDescent="0.25">
      <c r="A84" s="259">
        <f>Evidence!A84</f>
        <v>0</v>
      </c>
      <c r="B84" s="259"/>
      <c r="C84">
        <f>Evidence!G84</f>
        <v>0</v>
      </c>
      <c r="D84">
        <f>Evidence!G84</f>
        <v>0</v>
      </c>
    </row>
    <row r="85" spans="1:4" x14ac:dyDescent="0.25">
      <c r="A85" s="259">
        <f>Evidence!A85</f>
        <v>0</v>
      </c>
      <c r="B85" s="259"/>
      <c r="C85">
        <f>Evidence!G85</f>
        <v>0</v>
      </c>
      <c r="D85">
        <f>Evidence!G85</f>
        <v>0</v>
      </c>
    </row>
    <row r="86" spans="1:4" x14ac:dyDescent="0.25">
      <c r="A86" s="259">
        <f>Evidence!A86</f>
        <v>0</v>
      </c>
      <c r="B86" s="259"/>
      <c r="C86">
        <f>Evidence!G86</f>
        <v>0</v>
      </c>
      <c r="D86">
        <f>Evidence!G86</f>
        <v>0</v>
      </c>
    </row>
    <row r="87" spans="1:4" x14ac:dyDescent="0.25">
      <c r="A87" s="259">
        <f>Evidence!A87</f>
        <v>0</v>
      </c>
      <c r="B87" s="259"/>
      <c r="C87">
        <f>Evidence!G87</f>
        <v>0</v>
      </c>
      <c r="D87">
        <f>Evidence!G87</f>
        <v>0</v>
      </c>
    </row>
    <row r="88" spans="1:4" x14ac:dyDescent="0.25">
      <c r="A88" s="259">
        <f>Evidence!A88</f>
        <v>0</v>
      </c>
      <c r="B88" s="259"/>
      <c r="C88">
        <f>Evidence!G88</f>
        <v>0</v>
      </c>
      <c r="D88">
        <f>Evidence!G88</f>
        <v>0</v>
      </c>
    </row>
    <row r="89" spans="1:4" x14ac:dyDescent="0.25">
      <c r="A89" s="259">
        <f>Evidence!A89</f>
        <v>0</v>
      </c>
      <c r="B89" s="259"/>
      <c r="C89">
        <f>Evidence!G89</f>
        <v>0</v>
      </c>
      <c r="D89">
        <f>Evidence!G89</f>
        <v>0</v>
      </c>
    </row>
    <row r="90" spans="1:4" x14ac:dyDescent="0.25">
      <c r="A90" s="259">
        <f>Evidence!A90</f>
        <v>0</v>
      </c>
      <c r="B90" s="259"/>
      <c r="C90">
        <f>Evidence!G90</f>
        <v>0</v>
      </c>
      <c r="D90">
        <f>Evidence!G90</f>
        <v>0</v>
      </c>
    </row>
    <row r="91" spans="1:4" x14ac:dyDescent="0.25">
      <c r="A91" s="259">
        <f>Evidence!A91</f>
        <v>0</v>
      </c>
      <c r="B91" s="259"/>
      <c r="C91">
        <f>Evidence!G91</f>
        <v>0</v>
      </c>
      <c r="D91">
        <f>Evidence!G91</f>
        <v>0</v>
      </c>
    </row>
    <row r="92" spans="1:4" x14ac:dyDescent="0.25">
      <c r="A92" s="259">
        <f>Evidence!A92</f>
        <v>0</v>
      </c>
      <c r="B92" s="259"/>
      <c r="C92">
        <f>Evidence!G92</f>
        <v>0</v>
      </c>
      <c r="D92">
        <f>Evidence!G92</f>
        <v>0</v>
      </c>
    </row>
    <row r="93" spans="1:4" x14ac:dyDescent="0.25">
      <c r="A93" s="259">
        <f>Evidence!A93</f>
        <v>0</v>
      </c>
      <c r="B93" s="259"/>
      <c r="C93">
        <f>Evidence!G93</f>
        <v>0</v>
      </c>
      <c r="D93">
        <f>Evidence!G93</f>
        <v>0</v>
      </c>
    </row>
    <row r="94" spans="1:4" x14ac:dyDescent="0.25">
      <c r="A94" s="259">
        <f>Evidence!A94</f>
        <v>0</v>
      </c>
      <c r="B94" s="259"/>
      <c r="C94">
        <f>Evidence!G94</f>
        <v>0</v>
      </c>
      <c r="D94">
        <f>Evidence!G94</f>
        <v>0</v>
      </c>
    </row>
    <row r="95" spans="1:4" x14ac:dyDescent="0.25">
      <c r="A95" s="259">
        <f>Evidence!A95</f>
        <v>0</v>
      </c>
      <c r="B95" s="259"/>
      <c r="C95">
        <f>Evidence!G95</f>
        <v>0</v>
      </c>
      <c r="D95">
        <f>Evidence!G95</f>
        <v>0</v>
      </c>
    </row>
    <row r="96" spans="1:4" x14ac:dyDescent="0.25">
      <c r="A96" s="259">
        <f>Evidence!A96</f>
        <v>0</v>
      </c>
      <c r="B96" s="259"/>
      <c r="C96">
        <f>Evidence!G96</f>
        <v>0</v>
      </c>
      <c r="D96">
        <f>Evidence!G96</f>
        <v>0</v>
      </c>
    </row>
    <row r="97" spans="1:4" x14ac:dyDescent="0.25">
      <c r="A97" s="259">
        <f>Evidence!A97</f>
        <v>0</v>
      </c>
      <c r="B97" s="259"/>
      <c r="C97">
        <f>Evidence!G97</f>
        <v>0</v>
      </c>
      <c r="D97">
        <f>Evidence!G97</f>
        <v>0</v>
      </c>
    </row>
    <row r="98" spans="1:4" x14ac:dyDescent="0.25">
      <c r="A98" s="259">
        <f>Evidence!A98</f>
        <v>0</v>
      </c>
      <c r="B98" s="259"/>
      <c r="C98">
        <f>Evidence!G98</f>
        <v>0</v>
      </c>
      <c r="D98">
        <f>Evidence!G98</f>
        <v>0</v>
      </c>
    </row>
    <row r="99" spans="1:4" x14ac:dyDescent="0.25">
      <c r="A99" s="259">
        <f>Evidence!A99</f>
        <v>0</v>
      </c>
      <c r="B99" s="259"/>
      <c r="C99">
        <f>Evidence!G99</f>
        <v>0</v>
      </c>
      <c r="D99">
        <f>Evidence!G99</f>
        <v>0</v>
      </c>
    </row>
    <row r="100" spans="1:4" x14ac:dyDescent="0.25">
      <c r="A100" s="259">
        <f>Evidence!A100</f>
        <v>0</v>
      </c>
      <c r="B100" s="259"/>
      <c r="C100">
        <f>Evidence!G100</f>
        <v>0</v>
      </c>
      <c r="D100">
        <f>Evidence!G100</f>
        <v>0</v>
      </c>
    </row>
    <row r="101" spans="1:4" x14ac:dyDescent="0.25">
      <c r="A101" s="259">
        <f>Evidence!A101</f>
        <v>0</v>
      </c>
      <c r="B101" s="259"/>
      <c r="C101">
        <f>Evidence!G101</f>
        <v>0</v>
      </c>
      <c r="D101">
        <f>Evidence!G101</f>
        <v>0</v>
      </c>
    </row>
    <row r="102" spans="1:4" x14ac:dyDescent="0.25">
      <c r="A102" s="259">
        <f>Evidence!A102</f>
        <v>0</v>
      </c>
      <c r="B102" s="259"/>
      <c r="C102">
        <f>Evidence!G102</f>
        <v>0</v>
      </c>
      <c r="D102">
        <f>Evidence!G102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1200-000000000000}"/>
  </hyperlinks>
  <pageMargins left="0.7" right="0.7" top="0.78740157499999996" bottom="0.78740157499999996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K115"/>
  <sheetViews>
    <sheetView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9.28515625" style="2" customWidth="1"/>
    <col min="4" max="4" width="12.140625" style="2" customWidth="1"/>
    <col min="5" max="5" width="15.5703125" style="2" customWidth="1"/>
    <col min="6" max="6" width="10.28515625" style="242" customWidth="1"/>
    <col min="7" max="8" width="24" style="114" customWidth="1"/>
    <col min="9" max="9" width="24.5703125" style="2" customWidth="1"/>
    <col min="10" max="10" width="15.85546875" style="2" customWidth="1"/>
    <col min="11" max="11" width="22.42578125" style="2" customWidth="1"/>
    <col min="12" max="12" width="14.7109375" style="2" customWidth="1"/>
    <col min="13" max="1024" width="9.140625" style="2"/>
    <col min="1025" max="1025" width="9.140625" style="27"/>
  </cols>
  <sheetData>
    <row r="1" spans="1:12" s="5" customFormat="1" ht="15.95" customHeight="1" x14ac:dyDescent="0.3">
      <c r="A1" s="596" t="s">
        <v>569</v>
      </c>
      <c r="B1" s="577" t="s">
        <v>65</v>
      </c>
      <c r="C1" s="577" t="s">
        <v>570</v>
      </c>
      <c r="D1" s="577" t="s">
        <v>571</v>
      </c>
      <c r="E1" s="577" t="s">
        <v>572</v>
      </c>
      <c r="F1" s="578" t="s">
        <v>136</v>
      </c>
      <c r="G1" s="579" t="s">
        <v>573</v>
      </c>
      <c r="H1" s="579" t="s">
        <v>467</v>
      </c>
      <c r="I1" s="580" t="s">
        <v>574</v>
      </c>
      <c r="J1" s="581" t="s">
        <v>75</v>
      </c>
      <c r="K1" s="581" t="s">
        <v>575</v>
      </c>
      <c r="L1" s="581" t="s">
        <v>6</v>
      </c>
    </row>
    <row r="2" spans="1:12" ht="15.95" customHeight="1" x14ac:dyDescent="0.25">
      <c r="A2" s="116" t="s">
        <v>342</v>
      </c>
      <c r="B2" s="2" t="s">
        <v>541</v>
      </c>
      <c r="C2" s="16" t="s">
        <v>576</v>
      </c>
      <c r="D2" s="5"/>
      <c r="E2" s="100"/>
      <c r="F2" s="239"/>
      <c r="G2" s="102"/>
      <c r="H2" s="102"/>
      <c r="I2" s="117">
        <f t="shared" ref="I2:I33" si="0">H2-G2</f>
        <v>0</v>
      </c>
      <c r="J2" s="102"/>
      <c r="K2" s="29"/>
      <c r="L2" s="29"/>
    </row>
    <row r="3" spans="1:12" x14ac:dyDescent="0.25">
      <c r="A3" s="116" t="s">
        <v>351</v>
      </c>
      <c r="B3" s="29" t="s">
        <v>544</v>
      </c>
      <c r="C3" s="20" t="s">
        <v>576</v>
      </c>
      <c r="D3" s="20"/>
      <c r="E3" s="104"/>
      <c r="F3" s="240"/>
      <c r="G3" s="106"/>
      <c r="H3" s="106"/>
      <c r="I3" s="107">
        <f t="shared" si="0"/>
        <v>0</v>
      </c>
      <c r="J3" s="106"/>
      <c r="K3" s="29"/>
      <c r="L3" s="29"/>
    </row>
    <row r="4" spans="1:12" x14ac:dyDescent="0.25">
      <c r="A4" s="116" t="s">
        <v>357</v>
      </c>
      <c r="B4" s="29" t="s">
        <v>545</v>
      </c>
      <c r="C4" s="20" t="s">
        <v>576</v>
      </c>
      <c r="D4" s="20"/>
      <c r="E4" s="104"/>
      <c r="F4" s="240"/>
      <c r="G4" s="106"/>
      <c r="H4" s="106"/>
      <c r="I4" s="107">
        <f t="shared" si="0"/>
        <v>0</v>
      </c>
      <c r="J4" s="106"/>
      <c r="K4" s="29"/>
      <c r="L4" s="29"/>
    </row>
    <row r="5" spans="1:12" x14ac:dyDescent="0.25">
      <c r="A5" s="116" t="s">
        <v>363</v>
      </c>
      <c r="B5" s="29" t="s">
        <v>546</v>
      </c>
      <c r="C5" s="20" t="s">
        <v>576</v>
      </c>
      <c r="D5" s="20"/>
      <c r="E5" s="104"/>
      <c r="F5" s="240"/>
      <c r="G5" s="106"/>
      <c r="H5" s="106"/>
      <c r="I5" s="107">
        <f t="shared" si="0"/>
        <v>0</v>
      </c>
      <c r="J5" s="106"/>
      <c r="K5" s="29"/>
      <c r="L5" s="29"/>
    </row>
    <row r="6" spans="1:12" x14ac:dyDescent="0.25">
      <c r="A6" s="116" t="s">
        <v>370</v>
      </c>
      <c r="B6" s="29" t="s">
        <v>547</v>
      </c>
      <c r="C6" s="20" t="s">
        <v>576</v>
      </c>
      <c r="D6" s="20"/>
      <c r="E6" s="104"/>
      <c r="F6" s="240"/>
      <c r="G6" s="106"/>
      <c r="H6" s="106"/>
      <c r="I6" s="107">
        <f t="shared" si="0"/>
        <v>0</v>
      </c>
      <c r="J6" s="106"/>
      <c r="K6" s="29"/>
      <c r="L6" s="29"/>
    </row>
    <row r="7" spans="1:12" x14ac:dyDescent="0.25">
      <c r="A7" s="116" t="s">
        <v>376</v>
      </c>
      <c r="B7" s="29" t="s">
        <v>377</v>
      </c>
      <c r="C7" s="20" t="s">
        <v>576</v>
      </c>
      <c r="D7" s="20"/>
      <c r="E7" s="104"/>
      <c r="F7" s="240"/>
      <c r="G7" s="106"/>
      <c r="H7" s="106"/>
      <c r="I7" s="107">
        <f t="shared" si="0"/>
        <v>0</v>
      </c>
      <c r="J7" s="106"/>
      <c r="K7" s="29"/>
      <c r="L7" s="29"/>
    </row>
    <row r="8" spans="1:12" x14ac:dyDescent="0.25">
      <c r="A8" s="116" t="s">
        <v>382</v>
      </c>
      <c r="B8" s="29" t="s">
        <v>383</v>
      </c>
      <c r="C8" s="20" t="s">
        <v>576</v>
      </c>
      <c r="D8" s="20"/>
      <c r="E8" s="104"/>
      <c r="F8" s="240"/>
      <c r="G8" s="106"/>
      <c r="H8" s="106"/>
      <c r="I8" s="107">
        <f t="shared" si="0"/>
        <v>0</v>
      </c>
      <c r="J8" s="106"/>
      <c r="K8" s="29"/>
      <c r="L8" s="29"/>
    </row>
    <row r="9" spans="1:12" x14ac:dyDescent="0.25">
      <c r="A9" s="116" t="s">
        <v>389</v>
      </c>
      <c r="B9" s="29" t="s">
        <v>390</v>
      </c>
      <c r="C9" s="20" t="s">
        <v>576</v>
      </c>
      <c r="D9" s="20"/>
      <c r="E9" s="104"/>
      <c r="F9" s="240"/>
      <c r="G9" s="106"/>
      <c r="H9" s="106"/>
      <c r="I9" s="107">
        <f t="shared" si="0"/>
        <v>0</v>
      </c>
      <c r="J9" s="106"/>
      <c r="K9" s="29"/>
      <c r="L9" s="29"/>
    </row>
    <row r="10" spans="1:12" x14ac:dyDescent="0.25">
      <c r="A10" s="116" t="s">
        <v>394</v>
      </c>
      <c r="B10" s="29" t="s">
        <v>377</v>
      </c>
      <c r="C10" s="20" t="s">
        <v>576</v>
      </c>
      <c r="D10" s="20"/>
      <c r="E10" s="104"/>
      <c r="F10" s="240"/>
      <c r="G10" s="106"/>
      <c r="H10" s="106"/>
      <c r="I10" s="107">
        <f t="shared" si="0"/>
        <v>0</v>
      </c>
      <c r="J10" s="106"/>
      <c r="K10" s="29"/>
      <c r="L10" s="29"/>
    </row>
    <row r="11" spans="1:12" x14ac:dyDescent="0.25">
      <c r="A11" s="116" t="s">
        <v>395</v>
      </c>
      <c r="B11" s="29" t="s">
        <v>548</v>
      </c>
      <c r="C11" s="20" t="s">
        <v>576</v>
      </c>
      <c r="D11" s="20"/>
      <c r="E11" s="104"/>
      <c r="F11" s="240"/>
      <c r="G11" s="106"/>
      <c r="H11" s="106"/>
      <c r="I11" s="107">
        <f t="shared" si="0"/>
        <v>0</v>
      </c>
      <c r="J11" s="106"/>
      <c r="K11" s="29"/>
      <c r="L11" s="29"/>
    </row>
    <row r="12" spans="1:12" x14ac:dyDescent="0.25">
      <c r="A12" s="116" t="s">
        <v>400</v>
      </c>
      <c r="B12" s="29" t="s">
        <v>549</v>
      </c>
      <c r="C12" s="20" t="s">
        <v>576</v>
      </c>
      <c r="D12" s="20"/>
      <c r="E12" s="104"/>
      <c r="F12" s="240"/>
      <c r="G12" s="106"/>
      <c r="H12" s="106"/>
      <c r="I12" s="107">
        <f t="shared" si="0"/>
        <v>0</v>
      </c>
      <c r="J12" s="106"/>
      <c r="K12" s="29"/>
      <c r="L12" s="29"/>
    </row>
    <row r="13" spans="1:12" x14ac:dyDescent="0.25">
      <c r="A13" s="116" t="s">
        <v>405</v>
      </c>
      <c r="B13" s="29" t="s">
        <v>550</v>
      </c>
      <c r="C13" s="20" t="s">
        <v>576</v>
      </c>
      <c r="D13" s="20"/>
      <c r="E13" s="104"/>
      <c r="F13" s="240"/>
      <c r="G13" s="106"/>
      <c r="H13" s="106"/>
      <c r="I13" s="107">
        <f t="shared" si="0"/>
        <v>0</v>
      </c>
      <c r="J13" s="106"/>
      <c r="K13" s="29"/>
      <c r="L13" s="29"/>
    </row>
    <row r="14" spans="1:12" x14ac:dyDescent="0.25">
      <c r="A14" s="116" t="s">
        <v>410</v>
      </c>
      <c r="B14" s="29" t="s">
        <v>551</v>
      </c>
      <c r="C14" s="20" t="s">
        <v>576</v>
      </c>
      <c r="D14" s="20"/>
      <c r="E14" s="104"/>
      <c r="F14" s="240"/>
      <c r="G14" s="106"/>
      <c r="H14" s="106"/>
      <c r="I14" s="107">
        <f t="shared" si="0"/>
        <v>0</v>
      </c>
      <c r="J14" s="106"/>
      <c r="K14" s="29"/>
      <c r="L14" s="29"/>
    </row>
    <row r="15" spans="1:12" x14ac:dyDescent="0.25">
      <c r="A15" s="116" t="s">
        <v>415</v>
      </c>
      <c r="B15" s="29" t="s">
        <v>416</v>
      </c>
      <c r="C15" s="20" t="s">
        <v>576</v>
      </c>
      <c r="D15" s="20"/>
      <c r="E15" s="104"/>
      <c r="F15" s="240"/>
      <c r="G15" s="106"/>
      <c r="H15" s="106"/>
      <c r="I15" s="107">
        <f t="shared" si="0"/>
        <v>0</v>
      </c>
      <c r="J15" s="106"/>
      <c r="K15" s="29"/>
      <c r="L15" s="29"/>
    </row>
    <row r="16" spans="1:12" x14ac:dyDescent="0.25">
      <c r="A16" s="116" t="s">
        <v>419</v>
      </c>
      <c r="B16" s="29" t="s">
        <v>552</v>
      </c>
      <c r="C16" s="20" t="s">
        <v>576</v>
      </c>
      <c r="D16" s="20"/>
      <c r="E16" s="104"/>
      <c r="F16" s="240"/>
      <c r="G16" s="106"/>
      <c r="H16" s="106"/>
      <c r="I16" s="107">
        <f t="shared" si="0"/>
        <v>0</v>
      </c>
      <c r="J16" s="106"/>
      <c r="K16" s="29"/>
      <c r="L16" s="29"/>
    </row>
    <row r="17" spans="1:12" x14ac:dyDescent="0.25">
      <c r="A17" s="116" t="s">
        <v>423</v>
      </c>
      <c r="B17" s="29" t="s">
        <v>553</v>
      </c>
      <c r="C17" s="20" t="s">
        <v>576</v>
      </c>
      <c r="D17" s="20"/>
      <c r="E17" s="104"/>
      <c r="F17" s="240"/>
      <c r="G17" s="106"/>
      <c r="H17" s="106"/>
      <c r="I17" s="107">
        <f t="shared" si="0"/>
        <v>0</v>
      </c>
      <c r="J17" s="106"/>
      <c r="K17" s="29"/>
      <c r="L17" s="29"/>
    </row>
    <row r="18" spans="1:12" x14ac:dyDescent="0.25">
      <c r="A18" s="116" t="s">
        <v>429</v>
      </c>
      <c r="B18" s="29" t="s">
        <v>554</v>
      </c>
      <c r="C18" s="20" t="s">
        <v>576</v>
      </c>
      <c r="D18" s="20"/>
      <c r="E18" s="104"/>
      <c r="F18" s="240"/>
      <c r="G18" s="106"/>
      <c r="H18" s="106"/>
      <c r="I18" s="107">
        <f t="shared" si="0"/>
        <v>0</v>
      </c>
      <c r="J18" s="106"/>
      <c r="K18" s="29"/>
      <c r="L18" s="29"/>
    </row>
    <row r="19" spans="1:12" x14ac:dyDescent="0.25">
      <c r="A19" s="116" t="s">
        <v>435</v>
      </c>
      <c r="B19" s="29" t="s">
        <v>436</v>
      </c>
      <c r="C19" s="20" t="s">
        <v>576</v>
      </c>
      <c r="D19" s="20"/>
      <c r="E19" s="104"/>
      <c r="F19" s="240"/>
      <c r="G19" s="106"/>
      <c r="H19" s="106"/>
      <c r="I19" s="107">
        <f t="shared" si="0"/>
        <v>0</v>
      </c>
      <c r="J19" s="106"/>
      <c r="K19" s="29"/>
      <c r="L19" s="29"/>
    </row>
    <row r="20" spans="1:12" x14ac:dyDescent="0.25">
      <c r="A20" s="116" t="s">
        <v>443</v>
      </c>
      <c r="B20" s="29" t="s">
        <v>444</v>
      </c>
      <c r="C20" s="20" t="s">
        <v>576</v>
      </c>
      <c r="D20" s="20"/>
      <c r="E20" s="104"/>
      <c r="F20" s="240"/>
      <c r="G20" s="106"/>
      <c r="H20" s="106"/>
      <c r="I20" s="107">
        <f t="shared" si="0"/>
        <v>0</v>
      </c>
      <c r="J20" s="106"/>
      <c r="K20" s="29"/>
      <c r="L20" s="29"/>
    </row>
    <row r="21" spans="1:12" x14ac:dyDescent="0.25">
      <c r="A21" s="116" t="s">
        <v>449</v>
      </c>
      <c r="B21" s="29" t="s">
        <v>450</v>
      </c>
      <c r="C21" s="20" t="s">
        <v>576</v>
      </c>
      <c r="D21" s="20"/>
      <c r="E21" s="104"/>
      <c r="F21" s="240"/>
      <c r="G21" s="106"/>
      <c r="H21" s="106"/>
      <c r="I21" s="107">
        <f t="shared" si="0"/>
        <v>0</v>
      </c>
      <c r="J21" s="106"/>
      <c r="K21" s="29"/>
      <c r="L21" s="29"/>
    </row>
    <row r="22" spans="1:12" x14ac:dyDescent="0.25">
      <c r="A22" s="116"/>
      <c r="B22" s="29"/>
      <c r="C22" s="20"/>
      <c r="D22" s="20"/>
      <c r="E22" s="104"/>
      <c r="F22" s="240"/>
      <c r="G22" s="106"/>
      <c r="H22" s="106"/>
      <c r="I22" s="107">
        <f t="shared" si="0"/>
        <v>0</v>
      </c>
      <c r="J22" s="106"/>
      <c r="K22" s="29"/>
      <c r="L22" s="29"/>
    </row>
    <row r="23" spans="1:12" x14ac:dyDescent="0.25">
      <c r="A23" s="116"/>
      <c r="B23" s="29"/>
      <c r="C23" s="20"/>
      <c r="D23" s="20"/>
      <c r="E23" s="104"/>
      <c r="F23" s="240"/>
      <c r="G23" s="106"/>
      <c r="H23" s="106"/>
      <c r="I23" s="107">
        <f t="shared" si="0"/>
        <v>0</v>
      </c>
      <c r="J23" s="106"/>
      <c r="K23" s="29"/>
      <c r="L23" s="29"/>
    </row>
    <row r="24" spans="1:12" x14ac:dyDescent="0.25">
      <c r="A24" s="116"/>
      <c r="B24" s="29"/>
      <c r="C24" s="20"/>
      <c r="D24" s="20"/>
      <c r="E24" s="104"/>
      <c r="F24" s="240"/>
      <c r="G24" s="106"/>
      <c r="H24" s="106"/>
      <c r="I24" s="107">
        <f t="shared" si="0"/>
        <v>0</v>
      </c>
      <c r="J24" s="106"/>
      <c r="K24" s="29"/>
      <c r="L24" s="29"/>
    </row>
    <row r="25" spans="1:12" x14ac:dyDescent="0.25">
      <c r="A25" s="116"/>
      <c r="B25" s="29"/>
      <c r="C25" s="20"/>
      <c r="D25" s="20"/>
      <c r="E25" s="104"/>
      <c r="F25" s="240"/>
      <c r="G25" s="106"/>
      <c r="H25" s="106"/>
      <c r="I25" s="107">
        <f t="shared" si="0"/>
        <v>0</v>
      </c>
      <c r="J25" s="106"/>
      <c r="K25" s="29"/>
      <c r="L25" s="29"/>
    </row>
    <row r="26" spans="1:12" x14ac:dyDescent="0.25">
      <c r="A26" s="116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29"/>
      <c r="L26" s="29"/>
    </row>
    <row r="27" spans="1:12" x14ac:dyDescent="0.25">
      <c r="A27" s="116"/>
      <c r="B27" s="29"/>
      <c r="C27" s="20"/>
      <c r="D27" s="20"/>
      <c r="E27" s="179"/>
      <c r="F27" s="240"/>
      <c r="G27" s="106"/>
      <c r="H27" s="106"/>
      <c r="I27" s="180">
        <f t="shared" si="0"/>
        <v>0</v>
      </c>
      <c r="J27" s="106"/>
      <c r="K27" s="29"/>
      <c r="L27" s="29"/>
    </row>
    <row r="28" spans="1:12" x14ac:dyDescent="0.25">
      <c r="A28" s="116"/>
      <c r="B28" s="29"/>
      <c r="C28" s="20"/>
      <c r="D28" s="20"/>
      <c r="E28" s="179"/>
      <c r="F28" s="240"/>
      <c r="G28" s="106"/>
      <c r="H28" s="106"/>
      <c r="I28" s="180">
        <f t="shared" si="0"/>
        <v>0</v>
      </c>
      <c r="J28" s="106"/>
      <c r="K28" s="29"/>
      <c r="L28" s="29"/>
    </row>
    <row r="29" spans="1:12" x14ac:dyDescent="0.25">
      <c r="A29" s="116"/>
      <c r="B29" s="29"/>
      <c r="C29" s="20"/>
      <c r="D29" s="20"/>
      <c r="E29" s="179"/>
      <c r="F29" s="240"/>
      <c r="G29" s="106"/>
      <c r="H29" s="106"/>
      <c r="I29" s="180">
        <f t="shared" si="0"/>
        <v>0</v>
      </c>
      <c r="J29" s="106"/>
      <c r="K29" s="29"/>
      <c r="L29" s="29"/>
    </row>
    <row r="30" spans="1:12" x14ac:dyDescent="0.25">
      <c r="A30" s="116"/>
      <c r="B30" s="29"/>
      <c r="C30" s="20"/>
      <c r="D30" s="20"/>
      <c r="E30" s="179"/>
      <c r="F30" s="240"/>
      <c r="G30" s="106"/>
      <c r="H30" s="106"/>
      <c r="I30" s="180">
        <f t="shared" si="0"/>
        <v>0</v>
      </c>
      <c r="J30" s="106"/>
      <c r="K30" s="29"/>
      <c r="L30" s="29"/>
    </row>
    <row r="31" spans="1:12" x14ac:dyDescent="0.25">
      <c r="A31" s="116"/>
      <c r="B31" s="29"/>
      <c r="C31" s="20"/>
      <c r="D31" s="20"/>
      <c r="E31" s="179"/>
      <c r="F31" s="240"/>
      <c r="G31" s="106"/>
      <c r="H31" s="106"/>
      <c r="I31" s="180">
        <f t="shared" si="0"/>
        <v>0</v>
      </c>
      <c r="J31" s="106"/>
      <c r="K31" s="29"/>
      <c r="L31" s="29"/>
    </row>
    <row r="32" spans="1:12" x14ac:dyDescent="0.25">
      <c r="A32" s="116"/>
      <c r="B32" s="29"/>
      <c r="C32" s="20"/>
      <c r="D32" s="20"/>
      <c r="E32" s="179"/>
      <c r="F32" s="240"/>
      <c r="G32" s="106"/>
      <c r="H32" s="106"/>
      <c r="I32" s="180">
        <f t="shared" si="0"/>
        <v>0</v>
      </c>
      <c r="J32" s="106"/>
      <c r="K32" s="29"/>
      <c r="L32" s="29"/>
    </row>
    <row r="33" spans="1:12" x14ac:dyDescent="0.25">
      <c r="A33" s="116"/>
      <c r="B33" s="29"/>
      <c r="C33" s="20"/>
      <c r="D33" s="20"/>
      <c r="E33" s="179"/>
      <c r="F33" s="240"/>
      <c r="G33" s="106"/>
      <c r="H33" s="106"/>
      <c r="I33" s="180">
        <f t="shared" si="0"/>
        <v>0</v>
      </c>
      <c r="J33" s="106"/>
      <c r="K33" s="29"/>
      <c r="L33" s="29"/>
    </row>
    <row r="34" spans="1:12" x14ac:dyDescent="0.25">
      <c r="A34" s="116"/>
      <c r="B34" s="29"/>
      <c r="C34" s="20"/>
      <c r="D34" s="20"/>
      <c r="E34" s="179"/>
      <c r="F34" s="240"/>
      <c r="G34" s="106"/>
      <c r="H34" s="106"/>
      <c r="I34" s="180">
        <f t="shared" ref="I34:I65" si="1">H34-G34</f>
        <v>0</v>
      </c>
      <c r="J34" s="106"/>
      <c r="K34" s="29"/>
      <c r="L34" s="29"/>
    </row>
    <row r="35" spans="1:12" x14ac:dyDescent="0.25">
      <c r="A35" s="116"/>
      <c r="B35" s="29"/>
      <c r="C35" s="20"/>
      <c r="D35" s="20"/>
      <c r="E35" s="179"/>
      <c r="F35" s="240"/>
      <c r="G35" s="106"/>
      <c r="H35" s="106"/>
      <c r="I35" s="180">
        <f t="shared" si="1"/>
        <v>0</v>
      </c>
      <c r="J35" s="106"/>
      <c r="K35" s="29"/>
      <c r="L35" s="29"/>
    </row>
    <row r="36" spans="1:12" x14ac:dyDescent="0.25">
      <c r="A36" s="116"/>
      <c r="B36" s="29"/>
      <c r="C36" s="20"/>
      <c r="D36" s="20"/>
      <c r="E36" s="179"/>
      <c r="F36" s="240"/>
      <c r="G36" s="106"/>
      <c r="H36" s="106"/>
      <c r="I36" s="180">
        <f t="shared" si="1"/>
        <v>0</v>
      </c>
      <c r="J36" s="106"/>
      <c r="K36" s="29"/>
      <c r="L36" s="29"/>
    </row>
    <row r="37" spans="1:12" x14ac:dyDescent="0.25">
      <c r="A37" s="116"/>
      <c r="B37" s="29"/>
      <c r="C37" s="20"/>
      <c r="D37" s="20"/>
      <c r="E37" s="179"/>
      <c r="F37" s="240"/>
      <c r="G37" s="106"/>
      <c r="H37" s="106"/>
      <c r="I37" s="180">
        <f t="shared" si="1"/>
        <v>0</v>
      </c>
      <c r="J37" s="106"/>
      <c r="K37" s="29"/>
      <c r="L37" s="29"/>
    </row>
    <row r="38" spans="1:12" x14ac:dyDescent="0.25">
      <c r="A38" s="116"/>
      <c r="B38" s="29"/>
      <c r="C38" s="20"/>
      <c r="D38" s="20"/>
      <c r="E38" s="179"/>
      <c r="F38" s="240"/>
      <c r="G38" s="106"/>
      <c r="H38" s="106"/>
      <c r="I38" s="180">
        <f t="shared" si="1"/>
        <v>0</v>
      </c>
      <c r="J38" s="106"/>
      <c r="K38" s="29"/>
      <c r="L38" s="29"/>
    </row>
    <row r="39" spans="1:12" x14ac:dyDescent="0.25">
      <c r="A39" s="116"/>
      <c r="B39" s="29"/>
      <c r="C39" s="20"/>
      <c r="D39" s="20"/>
      <c r="E39" s="179"/>
      <c r="F39" s="240"/>
      <c r="G39" s="106"/>
      <c r="H39" s="106"/>
      <c r="I39" s="180">
        <f t="shared" si="1"/>
        <v>0</v>
      </c>
      <c r="J39" s="106"/>
      <c r="K39" s="29"/>
      <c r="L39" s="29"/>
    </row>
    <row r="40" spans="1:12" x14ac:dyDescent="0.25">
      <c r="A40" s="116"/>
      <c r="B40" s="29"/>
      <c r="C40" s="20"/>
      <c r="D40" s="20"/>
      <c r="E40" s="179"/>
      <c r="F40" s="240"/>
      <c r="G40" s="106"/>
      <c r="H40" s="106"/>
      <c r="I40" s="180">
        <f t="shared" si="1"/>
        <v>0</v>
      </c>
      <c r="J40" s="106"/>
      <c r="K40" s="29"/>
      <c r="L40" s="29"/>
    </row>
    <row r="41" spans="1:12" x14ac:dyDescent="0.25">
      <c r="A41" s="116"/>
      <c r="B41" s="29"/>
      <c r="C41" s="20"/>
      <c r="D41" s="20"/>
      <c r="E41" s="179"/>
      <c r="F41" s="240"/>
      <c r="G41" s="106"/>
      <c r="H41" s="106"/>
      <c r="I41" s="180">
        <f t="shared" si="1"/>
        <v>0</v>
      </c>
      <c r="J41" s="106"/>
      <c r="K41" s="29"/>
      <c r="L41" s="29"/>
    </row>
    <row r="42" spans="1:12" x14ac:dyDescent="0.25">
      <c r="A42" s="116"/>
      <c r="B42" s="29"/>
      <c r="C42" s="20"/>
      <c r="D42" s="20"/>
      <c r="E42" s="179"/>
      <c r="F42" s="240"/>
      <c r="G42" s="106"/>
      <c r="H42" s="106"/>
      <c r="I42" s="180">
        <f t="shared" si="1"/>
        <v>0</v>
      </c>
      <c r="J42" s="106"/>
      <c r="K42" s="29"/>
      <c r="L42" s="29"/>
    </row>
    <row r="43" spans="1:12" x14ac:dyDescent="0.25">
      <c r="A43" s="116"/>
      <c r="B43" s="29"/>
      <c r="C43" s="20"/>
      <c r="D43" s="20"/>
      <c r="E43" s="179"/>
      <c r="F43" s="240"/>
      <c r="G43" s="106"/>
      <c r="H43" s="106"/>
      <c r="I43" s="180">
        <f t="shared" si="1"/>
        <v>0</v>
      </c>
      <c r="J43" s="106"/>
      <c r="K43" s="29"/>
      <c r="L43" s="29"/>
    </row>
    <row r="44" spans="1:12" x14ac:dyDescent="0.25">
      <c r="A44" s="116"/>
      <c r="B44" s="29"/>
      <c r="C44" s="20"/>
      <c r="D44" s="20"/>
      <c r="E44" s="179"/>
      <c r="F44" s="240"/>
      <c r="G44" s="106"/>
      <c r="H44" s="106"/>
      <c r="I44" s="180">
        <f t="shared" si="1"/>
        <v>0</v>
      </c>
      <c r="J44" s="106"/>
      <c r="K44" s="29"/>
      <c r="L44" s="29"/>
    </row>
    <row r="45" spans="1:12" x14ac:dyDescent="0.25">
      <c r="A45" s="116"/>
      <c r="B45" s="29"/>
      <c r="C45" s="20"/>
      <c r="D45" s="20"/>
      <c r="E45" s="179"/>
      <c r="F45" s="240"/>
      <c r="G45" s="106"/>
      <c r="H45" s="106"/>
      <c r="I45" s="180">
        <f t="shared" si="1"/>
        <v>0</v>
      </c>
      <c r="J45" s="106"/>
      <c r="K45" s="29"/>
      <c r="L45" s="29"/>
    </row>
    <row r="46" spans="1:12" x14ac:dyDescent="0.25">
      <c r="A46" s="116"/>
      <c r="B46" s="29"/>
      <c r="C46" s="20"/>
      <c r="D46" s="20"/>
      <c r="E46" s="179"/>
      <c r="F46" s="240"/>
      <c r="G46" s="106"/>
      <c r="H46" s="106"/>
      <c r="I46" s="180">
        <f t="shared" si="1"/>
        <v>0</v>
      </c>
      <c r="J46" s="106"/>
      <c r="K46" s="29"/>
      <c r="L46" s="29"/>
    </row>
    <row r="47" spans="1:12" x14ac:dyDescent="0.25">
      <c r="A47" s="116"/>
      <c r="B47" s="29"/>
      <c r="C47" s="20"/>
      <c r="D47" s="20"/>
      <c r="E47" s="179"/>
      <c r="F47" s="240"/>
      <c r="G47" s="106"/>
      <c r="H47" s="106"/>
      <c r="I47" s="180">
        <f t="shared" si="1"/>
        <v>0</v>
      </c>
      <c r="J47" s="106"/>
      <c r="K47" s="29"/>
      <c r="L47" s="29"/>
    </row>
    <row r="48" spans="1:12" x14ac:dyDescent="0.25">
      <c r="A48" s="116"/>
      <c r="B48" s="29"/>
      <c r="C48" s="20"/>
      <c r="D48" s="20"/>
      <c r="E48" s="179"/>
      <c r="F48" s="240"/>
      <c r="G48" s="106"/>
      <c r="H48" s="106"/>
      <c r="I48" s="180">
        <f t="shared" si="1"/>
        <v>0</v>
      </c>
      <c r="J48" s="106"/>
      <c r="K48" s="29"/>
      <c r="L48" s="29"/>
    </row>
    <row r="49" spans="1:12" x14ac:dyDescent="0.25">
      <c r="A49" s="116"/>
      <c r="B49" s="29"/>
      <c r="C49" s="20"/>
      <c r="D49" s="20"/>
      <c r="E49" s="179"/>
      <c r="F49" s="240"/>
      <c r="G49" s="106"/>
      <c r="H49" s="106"/>
      <c r="I49" s="180">
        <f t="shared" si="1"/>
        <v>0</v>
      </c>
      <c r="J49" s="106"/>
      <c r="K49" s="29"/>
      <c r="L49" s="29"/>
    </row>
    <row r="50" spans="1:12" x14ac:dyDescent="0.25">
      <c r="A50" s="116"/>
      <c r="B50" s="29"/>
      <c r="C50" s="20"/>
      <c r="D50" s="20"/>
      <c r="E50" s="179"/>
      <c r="F50" s="240"/>
      <c r="G50" s="106"/>
      <c r="H50" s="106"/>
      <c r="I50" s="180">
        <f t="shared" si="1"/>
        <v>0</v>
      </c>
      <c r="J50" s="106"/>
      <c r="K50" s="29"/>
      <c r="L50" s="29"/>
    </row>
    <row r="51" spans="1:12" x14ac:dyDescent="0.25">
      <c r="A51" s="116"/>
      <c r="B51" s="29"/>
      <c r="C51" s="20"/>
      <c r="D51" s="20"/>
      <c r="E51" s="179"/>
      <c r="F51" s="240"/>
      <c r="G51" s="106"/>
      <c r="H51" s="106"/>
      <c r="I51" s="180">
        <f t="shared" si="1"/>
        <v>0</v>
      </c>
      <c r="J51" s="106"/>
      <c r="K51" s="29"/>
      <c r="L51" s="29"/>
    </row>
    <row r="52" spans="1:12" x14ac:dyDescent="0.25">
      <c r="A52" s="116"/>
      <c r="B52" s="29"/>
      <c r="C52" s="20"/>
      <c r="D52" s="20"/>
      <c r="E52" s="179"/>
      <c r="F52" s="240"/>
      <c r="G52" s="106"/>
      <c r="H52" s="106"/>
      <c r="I52" s="180">
        <f t="shared" si="1"/>
        <v>0</v>
      </c>
      <c r="J52" s="106"/>
      <c r="K52" s="29"/>
      <c r="L52" s="29"/>
    </row>
    <row r="53" spans="1:12" x14ac:dyDescent="0.25">
      <c r="A53" s="116"/>
      <c r="B53" s="29"/>
      <c r="C53" s="20"/>
      <c r="D53" s="20"/>
      <c r="E53" s="179"/>
      <c r="F53" s="240"/>
      <c r="G53" s="106"/>
      <c r="H53" s="106"/>
      <c r="I53" s="180">
        <f t="shared" si="1"/>
        <v>0</v>
      </c>
      <c r="J53" s="106"/>
      <c r="K53" s="29"/>
      <c r="L53" s="29"/>
    </row>
    <row r="54" spans="1:12" x14ac:dyDescent="0.25">
      <c r="A54" s="116"/>
      <c r="B54" s="29"/>
      <c r="C54" s="20"/>
      <c r="D54" s="20"/>
      <c r="E54" s="179"/>
      <c r="F54" s="240"/>
      <c r="G54" s="106"/>
      <c r="H54" s="106"/>
      <c r="I54" s="180">
        <f t="shared" si="1"/>
        <v>0</v>
      </c>
      <c r="J54" s="106"/>
      <c r="K54" s="29"/>
      <c r="L54" s="29"/>
    </row>
    <row r="55" spans="1:12" x14ac:dyDescent="0.25">
      <c r="A55" s="116"/>
      <c r="B55" s="29"/>
      <c r="C55" s="20"/>
      <c r="D55" s="20"/>
      <c r="E55" s="179"/>
      <c r="F55" s="240"/>
      <c r="G55" s="106"/>
      <c r="H55" s="106"/>
      <c r="I55" s="180">
        <f t="shared" si="1"/>
        <v>0</v>
      </c>
      <c r="J55" s="106"/>
      <c r="K55" s="29"/>
      <c r="L55" s="29"/>
    </row>
    <row r="56" spans="1:12" x14ac:dyDescent="0.25">
      <c r="A56" s="116"/>
      <c r="B56" s="29"/>
      <c r="C56" s="20"/>
      <c r="D56" s="20"/>
      <c r="E56" s="179"/>
      <c r="F56" s="240"/>
      <c r="G56" s="106"/>
      <c r="H56" s="106"/>
      <c r="I56" s="180">
        <f t="shared" si="1"/>
        <v>0</v>
      </c>
      <c r="J56" s="106"/>
      <c r="K56" s="29"/>
      <c r="L56" s="29"/>
    </row>
    <row r="57" spans="1:12" x14ac:dyDescent="0.25">
      <c r="A57" s="116"/>
      <c r="B57" s="29"/>
      <c r="C57" s="20"/>
      <c r="D57" s="20"/>
      <c r="E57" s="179"/>
      <c r="F57" s="240"/>
      <c r="G57" s="106"/>
      <c r="H57" s="106"/>
      <c r="I57" s="180">
        <f t="shared" si="1"/>
        <v>0</v>
      </c>
      <c r="J57" s="106"/>
      <c r="K57" s="29"/>
      <c r="L57" s="29"/>
    </row>
    <row r="58" spans="1:12" x14ac:dyDescent="0.25">
      <c r="A58" s="116"/>
      <c r="B58" s="29"/>
      <c r="C58" s="20"/>
      <c r="D58" s="20"/>
      <c r="E58" s="179"/>
      <c r="F58" s="240"/>
      <c r="G58" s="106"/>
      <c r="H58" s="106"/>
      <c r="I58" s="180">
        <f t="shared" si="1"/>
        <v>0</v>
      </c>
      <c r="J58" s="106"/>
      <c r="K58" s="29"/>
      <c r="L58" s="29"/>
    </row>
    <row r="59" spans="1:12" x14ac:dyDescent="0.25">
      <c r="A59" s="116"/>
      <c r="B59" s="29"/>
      <c r="C59" s="20"/>
      <c r="D59" s="20"/>
      <c r="E59" s="179"/>
      <c r="F59" s="240"/>
      <c r="G59" s="106"/>
      <c r="H59" s="106"/>
      <c r="I59" s="180">
        <f t="shared" si="1"/>
        <v>0</v>
      </c>
      <c r="J59" s="106"/>
      <c r="K59" s="29"/>
      <c r="L59" s="29"/>
    </row>
    <row r="60" spans="1:12" x14ac:dyDescent="0.25">
      <c r="A60" s="116"/>
      <c r="B60" s="29"/>
      <c r="C60" s="20"/>
      <c r="D60" s="20"/>
      <c r="E60" s="179"/>
      <c r="F60" s="240"/>
      <c r="G60" s="106"/>
      <c r="H60" s="106"/>
      <c r="I60" s="180">
        <f t="shared" si="1"/>
        <v>0</v>
      </c>
      <c r="J60" s="106"/>
      <c r="K60" s="29"/>
      <c r="L60" s="29"/>
    </row>
    <row r="61" spans="1:12" x14ac:dyDescent="0.25">
      <c r="A61" s="116"/>
      <c r="B61" s="29"/>
      <c r="C61" s="20"/>
      <c r="D61" s="20"/>
      <c r="E61" s="179"/>
      <c r="F61" s="240"/>
      <c r="G61" s="106"/>
      <c r="H61" s="106"/>
      <c r="I61" s="180">
        <f t="shared" si="1"/>
        <v>0</v>
      </c>
      <c r="J61" s="106"/>
      <c r="K61" s="29"/>
      <c r="L61" s="29"/>
    </row>
    <row r="62" spans="1:12" x14ac:dyDescent="0.25">
      <c r="A62" s="116"/>
      <c r="B62" s="29"/>
      <c r="C62" s="20"/>
      <c r="D62" s="20"/>
      <c r="E62" s="179"/>
      <c r="F62" s="240"/>
      <c r="G62" s="106"/>
      <c r="H62" s="106"/>
      <c r="I62" s="180">
        <f t="shared" si="1"/>
        <v>0</v>
      </c>
      <c r="J62" s="106"/>
      <c r="K62" s="29"/>
      <c r="L62" s="29"/>
    </row>
    <row r="63" spans="1:12" x14ac:dyDescent="0.25">
      <c r="A63" s="116"/>
      <c r="B63" s="29"/>
      <c r="C63" s="20"/>
      <c r="D63" s="20"/>
      <c r="E63" s="179"/>
      <c r="F63" s="240"/>
      <c r="G63" s="106"/>
      <c r="H63" s="106"/>
      <c r="I63" s="180">
        <f t="shared" si="1"/>
        <v>0</v>
      </c>
      <c r="J63" s="106"/>
      <c r="K63" s="29"/>
      <c r="L63" s="29"/>
    </row>
    <row r="64" spans="1:12" x14ac:dyDescent="0.25">
      <c r="A64" s="116"/>
      <c r="B64" s="29"/>
      <c r="C64" s="20"/>
      <c r="D64" s="20"/>
      <c r="E64" s="179"/>
      <c r="F64" s="240"/>
      <c r="G64" s="106"/>
      <c r="H64" s="106"/>
      <c r="I64" s="180">
        <f t="shared" si="1"/>
        <v>0</v>
      </c>
      <c r="J64" s="106"/>
      <c r="K64" s="29"/>
      <c r="L64" s="29"/>
    </row>
    <row r="65" spans="1:12" x14ac:dyDescent="0.25">
      <c r="A65" s="116"/>
      <c r="B65" s="29"/>
      <c r="C65" s="20"/>
      <c r="D65" s="20"/>
      <c r="E65" s="179"/>
      <c r="F65" s="240"/>
      <c r="G65" s="106"/>
      <c r="H65" s="106"/>
      <c r="I65" s="180">
        <f t="shared" si="1"/>
        <v>0</v>
      </c>
      <c r="J65" s="106"/>
      <c r="K65" s="29"/>
      <c r="L65" s="29"/>
    </row>
    <row r="66" spans="1:12" x14ac:dyDescent="0.25">
      <c r="A66" s="116"/>
      <c r="B66" s="29"/>
      <c r="C66" s="20"/>
      <c r="D66" s="20"/>
      <c r="E66" s="179"/>
      <c r="F66" s="240"/>
      <c r="G66" s="106"/>
      <c r="H66" s="106"/>
      <c r="I66" s="180">
        <f t="shared" ref="I66:I97" si="2">H66-G66</f>
        <v>0</v>
      </c>
      <c r="J66" s="106"/>
      <c r="K66" s="29"/>
      <c r="L66" s="29"/>
    </row>
    <row r="67" spans="1:12" x14ac:dyDescent="0.25">
      <c r="A67" s="116"/>
      <c r="B67" s="29"/>
      <c r="C67" s="20"/>
      <c r="D67" s="20"/>
      <c r="E67" s="179"/>
      <c r="F67" s="240"/>
      <c r="G67" s="106"/>
      <c r="H67" s="106"/>
      <c r="I67" s="180">
        <f t="shared" si="2"/>
        <v>0</v>
      </c>
      <c r="J67" s="106"/>
      <c r="K67" s="29"/>
      <c r="L67" s="29"/>
    </row>
    <row r="68" spans="1:12" x14ac:dyDescent="0.25">
      <c r="A68" s="116"/>
      <c r="B68" s="29"/>
      <c r="C68" s="20"/>
      <c r="D68" s="20"/>
      <c r="E68" s="179"/>
      <c r="F68" s="240"/>
      <c r="G68" s="106"/>
      <c r="H68" s="106"/>
      <c r="I68" s="180">
        <f t="shared" si="2"/>
        <v>0</v>
      </c>
      <c r="J68" s="106"/>
      <c r="K68" s="29"/>
      <c r="L68" s="29"/>
    </row>
    <row r="69" spans="1:12" x14ac:dyDescent="0.25">
      <c r="A69" s="116"/>
      <c r="B69" s="29"/>
      <c r="C69" s="20"/>
      <c r="D69" s="20"/>
      <c r="E69" s="179"/>
      <c r="F69" s="240"/>
      <c r="G69" s="106"/>
      <c r="H69" s="106"/>
      <c r="I69" s="180">
        <f t="shared" si="2"/>
        <v>0</v>
      </c>
      <c r="J69" s="106"/>
      <c r="K69" s="29"/>
      <c r="L69" s="29"/>
    </row>
    <row r="70" spans="1:12" x14ac:dyDescent="0.25">
      <c r="A70" s="116"/>
      <c r="B70" s="29"/>
      <c r="C70" s="20"/>
      <c r="D70" s="20"/>
      <c r="E70" s="179"/>
      <c r="F70" s="240"/>
      <c r="G70" s="106"/>
      <c r="H70" s="106"/>
      <c r="I70" s="180">
        <f t="shared" si="2"/>
        <v>0</v>
      </c>
      <c r="J70" s="106"/>
      <c r="K70" s="29"/>
      <c r="L70" s="29"/>
    </row>
    <row r="71" spans="1:12" x14ac:dyDescent="0.25">
      <c r="A71" s="116"/>
      <c r="B71" s="29"/>
      <c r="C71" s="20"/>
      <c r="D71" s="20"/>
      <c r="E71" s="179"/>
      <c r="F71" s="240"/>
      <c r="G71" s="106"/>
      <c r="H71" s="106"/>
      <c r="I71" s="180">
        <f t="shared" si="2"/>
        <v>0</v>
      </c>
      <c r="J71" s="106"/>
      <c r="K71" s="29"/>
      <c r="L71" s="29"/>
    </row>
    <row r="72" spans="1:12" x14ac:dyDescent="0.25">
      <c r="A72" s="116"/>
      <c r="B72" s="29"/>
      <c r="C72" s="20"/>
      <c r="D72" s="20"/>
      <c r="E72" s="179"/>
      <c r="F72" s="240"/>
      <c r="G72" s="106"/>
      <c r="H72" s="106"/>
      <c r="I72" s="180">
        <f t="shared" si="2"/>
        <v>0</v>
      </c>
      <c r="J72" s="106"/>
      <c r="K72" s="29"/>
      <c r="L72" s="29"/>
    </row>
    <row r="73" spans="1:12" x14ac:dyDescent="0.25">
      <c r="A73" s="116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29"/>
      <c r="L73" s="29"/>
    </row>
    <row r="74" spans="1:12" x14ac:dyDescent="0.25">
      <c r="A74" s="116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29"/>
      <c r="L74" s="29"/>
    </row>
    <row r="75" spans="1:12" x14ac:dyDescent="0.25">
      <c r="A75" s="116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29"/>
      <c r="L75" s="29"/>
    </row>
    <row r="76" spans="1:12" x14ac:dyDescent="0.25">
      <c r="A76" s="116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29"/>
      <c r="L76" s="29"/>
    </row>
    <row r="77" spans="1:12" x14ac:dyDescent="0.25">
      <c r="A77" s="116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29"/>
      <c r="L77" s="29"/>
    </row>
    <row r="78" spans="1:12" x14ac:dyDescent="0.25">
      <c r="A78" s="116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29"/>
      <c r="L78" s="29"/>
    </row>
    <row r="79" spans="1:12" x14ac:dyDescent="0.25">
      <c r="A79" s="116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29"/>
      <c r="L79" s="29"/>
    </row>
    <row r="80" spans="1:12" x14ac:dyDescent="0.25">
      <c r="A80" s="116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29"/>
      <c r="L80" s="29"/>
    </row>
    <row r="81" spans="1:12" x14ac:dyDescent="0.25">
      <c r="A81" s="116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29"/>
      <c r="L81" s="29"/>
    </row>
    <row r="82" spans="1:12" x14ac:dyDescent="0.25">
      <c r="A82" s="116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29"/>
      <c r="L82" s="29"/>
    </row>
    <row r="83" spans="1:12" x14ac:dyDescent="0.25">
      <c r="A83" s="116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29"/>
      <c r="L83" s="29"/>
    </row>
    <row r="84" spans="1:12" x14ac:dyDescent="0.25">
      <c r="A84" s="116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29"/>
      <c r="L84" s="29"/>
    </row>
    <row r="85" spans="1:12" x14ac:dyDescent="0.25">
      <c r="A85" s="116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29"/>
      <c r="L85" s="29"/>
    </row>
    <row r="86" spans="1:12" x14ac:dyDescent="0.25">
      <c r="A86" s="116"/>
      <c r="B86" s="29"/>
      <c r="C86" s="20"/>
      <c r="D86" s="20"/>
      <c r="E86" s="179"/>
      <c r="F86" s="240"/>
      <c r="G86" s="106"/>
      <c r="H86" s="106"/>
      <c r="I86" s="180">
        <f t="shared" si="2"/>
        <v>0</v>
      </c>
      <c r="J86" s="106"/>
      <c r="K86" s="29"/>
      <c r="L86" s="29"/>
    </row>
    <row r="87" spans="1:12" x14ac:dyDescent="0.25">
      <c r="A87" s="116"/>
      <c r="B87" s="29"/>
      <c r="C87" s="20"/>
      <c r="D87" s="20"/>
      <c r="E87" s="179"/>
      <c r="F87" s="240"/>
      <c r="G87" s="106"/>
      <c r="H87" s="106"/>
      <c r="I87" s="180">
        <f t="shared" si="2"/>
        <v>0</v>
      </c>
      <c r="J87" s="106"/>
      <c r="K87" s="29"/>
      <c r="L87" s="29"/>
    </row>
    <row r="88" spans="1:12" x14ac:dyDescent="0.25">
      <c r="A88" s="116"/>
      <c r="B88" s="29"/>
      <c r="C88" s="20"/>
      <c r="D88" s="20"/>
      <c r="E88" s="179"/>
      <c r="F88" s="240"/>
      <c r="G88" s="106"/>
      <c r="H88" s="106"/>
      <c r="I88" s="180">
        <f t="shared" si="2"/>
        <v>0</v>
      </c>
      <c r="J88" s="106"/>
      <c r="K88" s="29"/>
      <c r="L88" s="29"/>
    </row>
    <row r="89" spans="1:12" x14ac:dyDescent="0.25">
      <c r="A89" s="116"/>
      <c r="B89" s="29"/>
      <c r="C89" s="20"/>
      <c r="D89" s="20"/>
      <c r="E89" s="179"/>
      <c r="F89" s="240"/>
      <c r="G89" s="106"/>
      <c r="H89" s="106"/>
      <c r="I89" s="180">
        <f t="shared" si="2"/>
        <v>0</v>
      </c>
      <c r="J89" s="106"/>
      <c r="K89" s="29"/>
      <c r="L89" s="29"/>
    </row>
    <row r="90" spans="1:12" x14ac:dyDescent="0.25">
      <c r="A90" s="116"/>
      <c r="B90" s="29"/>
      <c r="C90" s="20"/>
      <c r="D90" s="20"/>
      <c r="E90" s="179"/>
      <c r="F90" s="240"/>
      <c r="G90" s="106"/>
      <c r="H90" s="106"/>
      <c r="I90" s="180">
        <f t="shared" si="2"/>
        <v>0</v>
      </c>
      <c r="J90" s="106"/>
      <c r="K90" s="29"/>
      <c r="L90" s="29"/>
    </row>
    <row r="91" spans="1:12" x14ac:dyDescent="0.25">
      <c r="A91" s="116"/>
      <c r="B91" s="29"/>
      <c r="C91" s="20"/>
      <c r="D91" s="20"/>
      <c r="E91" s="179"/>
      <c r="F91" s="240"/>
      <c r="G91" s="106"/>
      <c r="H91" s="106"/>
      <c r="I91" s="180">
        <f t="shared" si="2"/>
        <v>0</v>
      </c>
      <c r="J91" s="106"/>
      <c r="K91" s="29"/>
      <c r="L91" s="29"/>
    </row>
    <row r="92" spans="1:12" x14ac:dyDescent="0.25">
      <c r="A92" s="116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29"/>
      <c r="L92" s="29"/>
    </row>
    <row r="93" spans="1:12" x14ac:dyDescent="0.25">
      <c r="A93" s="116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29"/>
      <c r="L93" s="29"/>
    </row>
    <row r="94" spans="1:12" x14ac:dyDescent="0.25">
      <c r="A94" s="116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29"/>
      <c r="L94" s="29"/>
    </row>
    <row r="95" spans="1:12" x14ac:dyDescent="0.25">
      <c r="A95" s="116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29"/>
      <c r="L95" s="29"/>
    </row>
    <row r="96" spans="1:12" x14ac:dyDescent="0.25">
      <c r="A96" s="116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29"/>
      <c r="L96" s="29"/>
    </row>
    <row r="97" spans="1:12" x14ac:dyDescent="0.25">
      <c r="A97" s="116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29"/>
      <c r="L97" s="29"/>
    </row>
    <row r="98" spans="1:12" x14ac:dyDescent="0.25">
      <c r="A98" s="116"/>
      <c r="B98" s="29"/>
      <c r="C98" s="20"/>
      <c r="D98" s="20"/>
      <c r="E98" s="104"/>
      <c r="F98" s="240"/>
      <c r="G98" s="106"/>
      <c r="H98" s="106"/>
      <c r="I98" s="107">
        <f t="shared" ref="I98:I129" si="3">H98-G98</f>
        <v>0</v>
      </c>
      <c r="J98" s="106"/>
      <c r="K98" s="29"/>
      <c r="L98" s="29"/>
    </row>
    <row r="99" spans="1:12" x14ac:dyDescent="0.25">
      <c r="A99" s="116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29"/>
      <c r="L99" s="29"/>
    </row>
    <row r="100" spans="1:12" x14ac:dyDescent="0.25">
      <c r="A100" s="116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29"/>
      <c r="L100" s="29"/>
    </row>
    <row r="101" spans="1:12" x14ac:dyDescent="0.25">
      <c r="A101" s="116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29"/>
      <c r="L101" s="29"/>
    </row>
    <row r="102" spans="1:12" x14ac:dyDescent="0.25">
      <c r="A102" s="116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29"/>
      <c r="L102" s="29"/>
    </row>
    <row r="103" spans="1:12" ht="15.95" customHeight="1" x14ac:dyDescent="0.25">
      <c r="A103" s="116"/>
      <c r="B103" s="29"/>
      <c r="C103" s="20"/>
      <c r="D103" s="20"/>
      <c r="E103" s="104"/>
      <c r="F103" s="240"/>
      <c r="G103" s="106"/>
      <c r="H103" s="106"/>
      <c r="I103" s="107">
        <f t="shared" si="3"/>
        <v>0</v>
      </c>
      <c r="J103" s="106"/>
      <c r="K103" s="29"/>
      <c r="L103" s="29"/>
    </row>
    <row r="104" spans="1:12" ht="15.95" customHeight="1" x14ac:dyDescent="0.25">
      <c r="A104" s="116"/>
      <c r="B104" s="29"/>
      <c r="C104" s="20"/>
      <c r="D104" s="20"/>
      <c r="E104" s="104"/>
      <c r="F104" s="240"/>
      <c r="G104" s="106"/>
      <c r="H104" s="106"/>
      <c r="I104" s="107">
        <f t="shared" si="3"/>
        <v>0</v>
      </c>
      <c r="J104" s="106"/>
      <c r="K104" s="29"/>
      <c r="L104" s="29"/>
    </row>
    <row r="105" spans="1:12" x14ac:dyDescent="0.25">
      <c r="A105" s="116"/>
      <c r="B105" s="29"/>
      <c r="C105" s="20"/>
      <c r="D105" s="20"/>
      <c r="E105" s="104"/>
      <c r="F105" s="240"/>
      <c r="G105" s="106"/>
      <c r="H105" s="106"/>
      <c r="I105" s="107">
        <f t="shared" si="3"/>
        <v>0</v>
      </c>
      <c r="J105" s="106"/>
      <c r="K105" s="29"/>
      <c r="L105" s="29"/>
    </row>
    <row r="106" spans="1:12" x14ac:dyDescent="0.25">
      <c r="A106" s="116"/>
      <c r="B106" s="29"/>
      <c r="C106" s="20"/>
      <c r="D106" s="20"/>
      <c r="E106" s="104"/>
      <c r="F106" s="240"/>
      <c r="G106" s="106"/>
      <c r="H106" s="106"/>
      <c r="I106" s="107">
        <f t="shared" si="3"/>
        <v>0</v>
      </c>
      <c r="J106" s="106"/>
      <c r="K106" s="29"/>
      <c r="L106" s="29"/>
    </row>
    <row r="107" spans="1:12" x14ac:dyDescent="0.25">
      <c r="A107" s="116"/>
      <c r="B107" s="29"/>
      <c r="C107" s="20"/>
      <c r="D107" s="20"/>
      <c r="E107" s="104"/>
      <c r="F107" s="240"/>
      <c r="G107" s="106"/>
      <c r="H107" s="106"/>
      <c r="I107" s="107">
        <f t="shared" si="3"/>
        <v>0</v>
      </c>
      <c r="J107" s="106"/>
      <c r="K107" s="29"/>
      <c r="L107" s="29"/>
    </row>
    <row r="108" spans="1:12" x14ac:dyDescent="0.25">
      <c r="A108" s="116"/>
      <c r="B108" s="29"/>
      <c r="C108" s="20"/>
      <c r="D108" s="20"/>
      <c r="E108" s="104"/>
      <c r="F108" s="240"/>
      <c r="G108" s="106"/>
      <c r="H108" s="106"/>
      <c r="I108" s="107">
        <f t="shared" si="3"/>
        <v>0</v>
      </c>
      <c r="J108" s="106"/>
      <c r="K108" s="29"/>
      <c r="L108" s="29"/>
    </row>
    <row r="109" spans="1:12" x14ac:dyDescent="0.25">
      <c r="A109" s="116"/>
      <c r="B109" s="29"/>
      <c r="C109" s="20"/>
      <c r="D109" s="20"/>
      <c r="E109" s="104"/>
      <c r="F109" s="240"/>
      <c r="G109" s="106"/>
      <c r="H109" s="106"/>
      <c r="I109" s="107">
        <f t="shared" si="3"/>
        <v>0</v>
      </c>
      <c r="J109" s="106"/>
      <c r="K109" s="29"/>
      <c r="L109" s="29"/>
    </row>
    <row r="110" spans="1:12" x14ac:dyDescent="0.25">
      <c r="A110" s="116"/>
      <c r="B110" s="29"/>
      <c r="C110" s="20"/>
      <c r="D110" s="20"/>
      <c r="E110" s="104"/>
      <c r="F110" s="240"/>
      <c r="G110" s="106"/>
      <c r="H110" s="106"/>
      <c r="I110" s="107">
        <f t="shared" si="3"/>
        <v>0</v>
      </c>
      <c r="J110" s="106"/>
      <c r="K110" s="29"/>
      <c r="L110" s="29"/>
    </row>
    <row r="111" spans="1:12" x14ac:dyDescent="0.25">
      <c r="A111" s="116"/>
      <c r="B111" s="29"/>
      <c r="C111" s="20"/>
      <c r="D111" s="20"/>
      <c r="E111" s="104"/>
      <c r="F111" s="240"/>
      <c r="G111" s="106"/>
      <c r="H111" s="106"/>
      <c r="I111" s="107">
        <f t="shared" si="3"/>
        <v>0</v>
      </c>
      <c r="J111" s="106"/>
      <c r="K111" s="29"/>
      <c r="L111" s="29"/>
    </row>
    <row r="112" spans="1:12" x14ac:dyDescent="0.25">
      <c r="A112" s="116"/>
      <c r="B112" s="29"/>
      <c r="C112" s="20"/>
      <c r="D112" s="20"/>
      <c r="E112" s="104"/>
      <c r="F112" s="240"/>
      <c r="G112" s="106"/>
      <c r="H112" s="106"/>
      <c r="I112" s="107">
        <f t="shared" si="3"/>
        <v>0</v>
      </c>
      <c r="J112" s="106"/>
      <c r="K112" s="29"/>
      <c r="L112" s="29"/>
    </row>
    <row r="113" spans="1:12" x14ac:dyDescent="0.25">
      <c r="A113" s="116"/>
      <c r="B113" s="29"/>
      <c r="C113" s="20"/>
      <c r="D113" s="20"/>
      <c r="E113" s="104"/>
      <c r="F113" s="240"/>
      <c r="G113" s="106"/>
      <c r="H113" s="106"/>
      <c r="I113" s="107">
        <f t="shared" si="3"/>
        <v>0</v>
      </c>
      <c r="J113" s="106"/>
      <c r="K113" s="29"/>
      <c r="L113" s="29"/>
    </row>
    <row r="114" spans="1:12" ht="15.75" customHeight="1" x14ac:dyDescent="0.25">
      <c r="A114" s="118"/>
      <c r="B114" s="109"/>
      <c r="C114" s="54"/>
      <c r="D114" s="110"/>
      <c r="E114" s="111"/>
      <c r="F114" s="241"/>
      <c r="G114" s="113"/>
      <c r="H114" s="113"/>
      <c r="I114" s="119">
        <f t="shared" si="3"/>
        <v>0</v>
      </c>
      <c r="J114" s="113"/>
      <c r="K114" s="113"/>
      <c r="L114" s="113"/>
    </row>
    <row r="115" spans="1:12" ht="15.75" customHeight="1" x14ac:dyDescent="0.25">
      <c r="I115" s="115">
        <f>SUM(I2:I114)</f>
        <v>0</v>
      </c>
      <c r="J115" s="115">
        <f>SUM(J2:J114)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300-000000000000}"/>
  </hyperlinks>
  <pageMargins left="0.25" right="0.25" top="0.75" bottom="0.75" header="0.51180555555554996" footer="0.3"/>
  <pageSetup orientation="portrait"/>
  <headerFooter>
    <oddFooter>&amp;Ldatum:      30.3.2014
vystavila: Ing. Marie Gottwaldová&amp;Ckancelar@adminreal.cz
mobil: 607 959 876&amp;Rwww.onlinesprava.cz</oddFooter>
  </headerFooter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K104"/>
  <sheetViews>
    <sheetView zoomScale="115" zoomScaleNormal="115" workbookViewId="0"/>
  </sheetViews>
  <sheetFormatPr defaultColWidth="9.140625" defaultRowHeight="15" x14ac:dyDescent="0.25"/>
  <cols>
    <col min="1" max="1" width="21.5703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42" customWidth="1"/>
    <col min="7" max="8" width="20" style="114" customWidth="1"/>
    <col min="9" max="9" width="19.42578125" style="2" customWidth="1"/>
    <col min="10" max="10" width="18" style="2" customWidth="1"/>
    <col min="11" max="11" width="22.42578125" style="5" customWidth="1"/>
    <col min="12" max="1024" width="18" style="2" customWidth="1"/>
    <col min="1025" max="1025" width="9.140625" style="27"/>
  </cols>
  <sheetData>
    <row r="1" spans="1:12" s="5" customFormat="1" ht="15.95" customHeight="1" x14ac:dyDescent="0.25">
      <c r="A1" s="585" t="s">
        <v>569</v>
      </c>
      <c r="B1" s="97" t="s">
        <v>65</v>
      </c>
      <c r="C1" s="97" t="s">
        <v>570</v>
      </c>
      <c r="D1" s="97" t="s">
        <v>571</v>
      </c>
      <c r="E1" s="97" t="s">
        <v>572</v>
      </c>
      <c r="F1" s="238" t="s">
        <v>136</v>
      </c>
      <c r="G1" s="98" t="s">
        <v>466</v>
      </c>
      <c r="H1" s="98" t="s">
        <v>467</v>
      </c>
      <c r="I1" s="175" t="s">
        <v>574</v>
      </c>
      <c r="J1" s="175" t="s">
        <v>75</v>
      </c>
      <c r="K1" s="97" t="s">
        <v>575</v>
      </c>
      <c r="L1" s="97" t="s">
        <v>6</v>
      </c>
    </row>
    <row r="2" spans="1:12" ht="15.95" customHeight="1" x14ac:dyDescent="0.25">
      <c r="A2" s="99" t="s">
        <v>342</v>
      </c>
      <c r="B2" s="2" t="s">
        <v>541</v>
      </c>
      <c r="C2" s="16" t="s">
        <v>577</v>
      </c>
      <c r="D2" s="5"/>
      <c r="E2" s="100"/>
      <c r="F2" s="239"/>
      <c r="G2" s="102"/>
      <c r="H2" s="102"/>
      <c r="I2" s="103">
        <f t="shared" ref="I2:I33" si="0">ABS(G2-H2)</f>
        <v>0</v>
      </c>
      <c r="J2" s="102"/>
      <c r="K2" s="102"/>
      <c r="L2" s="102"/>
    </row>
    <row r="3" spans="1:12" x14ac:dyDescent="0.25">
      <c r="A3" s="99" t="s">
        <v>351</v>
      </c>
      <c r="B3" s="29" t="s">
        <v>544</v>
      </c>
      <c r="C3" s="20" t="s">
        <v>577</v>
      </c>
      <c r="D3" s="20"/>
      <c r="E3" s="104"/>
      <c r="F3" s="240"/>
      <c r="G3" s="106"/>
      <c r="H3" s="106"/>
      <c r="I3" s="107">
        <f t="shared" si="0"/>
        <v>0</v>
      </c>
      <c r="J3" s="106"/>
      <c r="K3" s="106"/>
      <c r="L3" s="106"/>
    </row>
    <row r="4" spans="1:12" x14ac:dyDescent="0.25">
      <c r="A4" s="99" t="s">
        <v>357</v>
      </c>
      <c r="B4" s="29" t="s">
        <v>545</v>
      </c>
      <c r="C4" s="20" t="s">
        <v>577</v>
      </c>
      <c r="D4" s="20"/>
      <c r="E4" s="104"/>
      <c r="F4" s="240"/>
      <c r="G4" s="106"/>
      <c r="H4" s="106"/>
      <c r="I4" s="107">
        <f t="shared" si="0"/>
        <v>0</v>
      </c>
      <c r="J4" s="106"/>
      <c r="K4" s="106"/>
      <c r="L4" s="106"/>
    </row>
    <row r="5" spans="1:12" x14ac:dyDescent="0.25">
      <c r="A5" s="99" t="s">
        <v>363</v>
      </c>
      <c r="B5" s="29" t="s">
        <v>546</v>
      </c>
      <c r="C5" s="20" t="s">
        <v>577</v>
      </c>
      <c r="D5" s="20"/>
      <c r="E5" s="104"/>
      <c r="F5" s="240"/>
      <c r="G5" s="106"/>
      <c r="H5" s="106"/>
      <c r="I5" s="107">
        <f t="shared" si="0"/>
        <v>0</v>
      </c>
      <c r="J5" s="106"/>
      <c r="K5" s="106"/>
      <c r="L5" s="106"/>
    </row>
    <row r="6" spans="1:12" x14ac:dyDescent="0.25">
      <c r="A6" s="99" t="s">
        <v>370</v>
      </c>
      <c r="B6" s="29" t="s">
        <v>547</v>
      </c>
      <c r="C6" s="20" t="s">
        <v>577</v>
      </c>
      <c r="D6" s="20"/>
      <c r="E6" s="104"/>
      <c r="F6" s="240"/>
      <c r="G6" s="106"/>
      <c r="H6" s="106"/>
      <c r="I6" s="107">
        <f t="shared" si="0"/>
        <v>0</v>
      </c>
      <c r="J6" s="106"/>
      <c r="K6" s="106"/>
      <c r="L6" s="106"/>
    </row>
    <row r="7" spans="1:12" x14ac:dyDescent="0.25">
      <c r="A7" s="99" t="s">
        <v>376</v>
      </c>
      <c r="B7" s="29" t="s">
        <v>377</v>
      </c>
      <c r="C7" s="20" t="s">
        <v>577</v>
      </c>
      <c r="D7" s="20"/>
      <c r="E7" s="104"/>
      <c r="F7" s="240"/>
      <c r="G7" s="106"/>
      <c r="H7" s="106"/>
      <c r="I7" s="107">
        <f t="shared" si="0"/>
        <v>0</v>
      </c>
      <c r="J7" s="106"/>
      <c r="K7" s="106"/>
      <c r="L7" s="106"/>
    </row>
    <row r="8" spans="1:12" x14ac:dyDescent="0.25">
      <c r="A8" s="99" t="s">
        <v>382</v>
      </c>
      <c r="B8" s="29" t="s">
        <v>383</v>
      </c>
      <c r="C8" s="20" t="s">
        <v>577</v>
      </c>
      <c r="D8" s="20"/>
      <c r="E8" s="104"/>
      <c r="F8" s="240"/>
      <c r="G8" s="106"/>
      <c r="H8" s="106"/>
      <c r="I8" s="107">
        <f t="shared" si="0"/>
        <v>0</v>
      </c>
      <c r="J8" s="106"/>
      <c r="K8" s="106"/>
      <c r="L8" s="106"/>
    </row>
    <row r="9" spans="1:12" x14ac:dyDescent="0.25">
      <c r="A9" s="99" t="s">
        <v>389</v>
      </c>
      <c r="B9" s="29" t="s">
        <v>390</v>
      </c>
      <c r="C9" s="20" t="s">
        <v>577</v>
      </c>
      <c r="D9" s="20"/>
      <c r="E9" s="104"/>
      <c r="F9" s="240"/>
      <c r="G9" s="106"/>
      <c r="H9" s="106"/>
      <c r="I9" s="107">
        <f t="shared" si="0"/>
        <v>0</v>
      </c>
      <c r="J9" s="106"/>
      <c r="K9" s="106"/>
      <c r="L9" s="106"/>
    </row>
    <row r="10" spans="1:12" x14ac:dyDescent="0.25">
      <c r="A10" s="99" t="s">
        <v>394</v>
      </c>
      <c r="B10" s="29" t="s">
        <v>377</v>
      </c>
      <c r="C10" s="20" t="s">
        <v>577</v>
      </c>
      <c r="D10" s="20"/>
      <c r="E10" s="104"/>
      <c r="F10" s="240"/>
      <c r="G10" s="106"/>
      <c r="H10" s="106"/>
      <c r="I10" s="107">
        <f t="shared" si="0"/>
        <v>0</v>
      </c>
      <c r="J10" s="106"/>
      <c r="K10" s="106"/>
      <c r="L10" s="106"/>
    </row>
    <row r="11" spans="1:12" x14ac:dyDescent="0.25">
      <c r="A11" s="99" t="s">
        <v>395</v>
      </c>
      <c r="B11" s="29" t="s">
        <v>548</v>
      </c>
      <c r="C11" s="20" t="s">
        <v>577</v>
      </c>
      <c r="D11" s="20"/>
      <c r="E11" s="104"/>
      <c r="F11" s="240"/>
      <c r="G11" s="106"/>
      <c r="H11" s="106"/>
      <c r="I11" s="107">
        <f t="shared" si="0"/>
        <v>0</v>
      </c>
      <c r="J11" s="106"/>
      <c r="K11" s="106"/>
      <c r="L11" s="106"/>
    </row>
    <row r="12" spans="1:12" x14ac:dyDescent="0.25">
      <c r="A12" s="99" t="s">
        <v>400</v>
      </c>
      <c r="B12" s="29" t="s">
        <v>549</v>
      </c>
      <c r="C12" s="20" t="s">
        <v>577</v>
      </c>
      <c r="D12" s="20"/>
      <c r="E12" s="104"/>
      <c r="F12" s="240"/>
      <c r="G12" s="106"/>
      <c r="H12" s="106"/>
      <c r="I12" s="107">
        <f t="shared" si="0"/>
        <v>0</v>
      </c>
      <c r="J12" s="106"/>
      <c r="K12" s="106"/>
      <c r="L12" s="106"/>
    </row>
    <row r="13" spans="1:12" x14ac:dyDescent="0.25">
      <c r="A13" s="99" t="s">
        <v>405</v>
      </c>
      <c r="B13" s="29" t="s">
        <v>550</v>
      </c>
      <c r="C13" s="20" t="s">
        <v>577</v>
      </c>
      <c r="D13" s="20"/>
      <c r="E13" s="104"/>
      <c r="F13" s="240"/>
      <c r="G13" s="106"/>
      <c r="H13" s="106"/>
      <c r="I13" s="107">
        <f t="shared" si="0"/>
        <v>0</v>
      </c>
      <c r="J13" s="106"/>
      <c r="K13" s="106"/>
      <c r="L13" s="106"/>
    </row>
    <row r="14" spans="1:12" x14ac:dyDescent="0.25">
      <c r="A14" s="99" t="s">
        <v>410</v>
      </c>
      <c r="B14" s="29" t="s">
        <v>551</v>
      </c>
      <c r="C14" s="20" t="s">
        <v>577</v>
      </c>
      <c r="D14" s="20"/>
      <c r="E14" s="104"/>
      <c r="F14" s="240"/>
      <c r="G14" s="106"/>
      <c r="H14" s="106"/>
      <c r="I14" s="107">
        <f t="shared" si="0"/>
        <v>0</v>
      </c>
      <c r="J14" s="106"/>
      <c r="K14" s="106"/>
      <c r="L14" s="106"/>
    </row>
    <row r="15" spans="1:12" x14ac:dyDescent="0.25">
      <c r="A15" s="99" t="s">
        <v>415</v>
      </c>
      <c r="B15" s="29" t="s">
        <v>416</v>
      </c>
      <c r="C15" s="20" t="s">
        <v>577</v>
      </c>
      <c r="D15" s="20"/>
      <c r="E15" s="104"/>
      <c r="F15" s="240"/>
      <c r="G15" s="106"/>
      <c r="H15" s="106"/>
      <c r="I15" s="107">
        <f t="shared" si="0"/>
        <v>0</v>
      </c>
      <c r="J15" s="106"/>
      <c r="K15" s="106"/>
      <c r="L15" s="106"/>
    </row>
    <row r="16" spans="1:12" x14ac:dyDescent="0.25">
      <c r="A16" s="99" t="s">
        <v>419</v>
      </c>
      <c r="B16" s="29" t="s">
        <v>552</v>
      </c>
      <c r="C16" s="20" t="s">
        <v>577</v>
      </c>
      <c r="D16" s="20"/>
      <c r="E16" s="104"/>
      <c r="F16" s="240"/>
      <c r="G16" s="106"/>
      <c r="H16" s="106"/>
      <c r="I16" s="107">
        <f t="shared" si="0"/>
        <v>0</v>
      </c>
      <c r="J16" s="106"/>
      <c r="K16" s="106"/>
      <c r="L16" s="106"/>
    </row>
    <row r="17" spans="1:12" x14ac:dyDescent="0.25">
      <c r="A17" s="99" t="s">
        <v>423</v>
      </c>
      <c r="B17" s="29" t="s">
        <v>553</v>
      </c>
      <c r="C17" s="20" t="s">
        <v>577</v>
      </c>
      <c r="D17" s="20"/>
      <c r="E17" s="104"/>
      <c r="F17" s="240">
        <v>0</v>
      </c>
      <c r="G17" s="106">
        <v>377.63</v>
      </c>
      <c r="H17" s="106">
        <v>455.73200000000003</v>
      </c>
      <c r="I17" s="107">
        <f t="shared" si="0"/>
        <v>78.102000000000032</v>
      </c>
      <c r="J17" s="106">
        <v>0</v>
      </c>
      <c r="K17" s="106"/>
      <c r="L17" s="106"/>
    </row>
    <row r="18" spans="1:12" x14ac:dyDescent="0.25">
      <c r="A18" s="99" t="s">
        <v>429</v>
      </c>
      <c r="B18" s="29" t="s">
        <v>554</v>
      </c>
      <c r="C18" s="20" t="s">
        <v>577</v>
      </c>
      <c r="D18" s="20"/>
      <c r="E18" s="104" t="s">
        <v>578</v>
      </c>
      <c r="F18" s="240">
        <v>0</v>
      </c>
      <c r="G18" s="106">
        <v>147.86600000000001</v>
      </c>
      <c r="H18" s="106">
        <v>173.548</v>
      </c>
      <c r="I18" s="107">
        <f t="shared" si="0"/>
        <v>25.681999999999988</v>
      </c>
      <c r="J18" s="106">
        <v>0</v>
      </c>
      <c r="K18" s="106"/>
      <c r="L18" s="106"/>
    </row>
    <row r="19" spans="1:12" x14ac:dyDescent="0.25">
      <c r="A19" s="99" t="s">
        <v>435</v>
      </c>
      <c r="B19" s="29" t="s">
        <v>436</v>
      </c>
      <c r="C19" s="20" t="s">
        <v>577</v>
      </c>
      <c r="D19" s="20"/>
      <c r="E19" s="104"/>
      <c r="F19" s="240">
        <v>0</v>
      </c>
      <c r="G19" s="106">
        <v>147.18600000000001</v>
      </c>
      <c r="H19" s="106">
        <v>147.86600000000001</v>
      </c>
      <c r="I19" s="107">
        <f t="shared" si="0"/>
        <v>0.68000000000000682</v>
      </c>
      <c r="J19" s="106">
        <v>0</v>
      </c>
      <c r="K19" s="106"/>
      <c r="L19" s="106"/>
    </row>
    <row r="20" spans="1:12" x14ac:dyDescent="0.25">
      <c r="A20" s="99" t="s">
        <v>443</v>
      </c>
      <c r="B20" s="29" t="s">
        <v>444</v>
      </c>
      <c r="C20" s="20" t="s">
        <v>577</v>
      </c>
      <c r="D20" s="20"/>
      <c r="E20" s="104"/>
      <c r="F20" s="240">
        <v>0</v>
      </c>
      <c r="G20" s="106">
        <v>395.92</v>
      </c>
      <c r="H20" s="106">
        <v>430.87599999999998</v>
      </c>
      <c r="I20" s="107">
        <f t="shared" si="0"/>
        <v>34.95599999999996</v>
      </c>
      <c r="J20" s="106">
        <v>0</v>
      </c>
      <c r="K20" s="106"/>
      <c r="L20" s="106"/>
    </row>
    <row r="21" spans="1:12" x14ac:dyDescent="0.25">
      <c r="A21" s="99" t="s">
        <v>449</v>
      </c>
      <c r="B21" s="29" t="s">
        <v>450</v>
      </c>
      <c r="C21" s="20" t="s">
        <v>577</v>
      </c>
      <c r="D21" s="20"/>
      <c r="E21" s="104" t="s">
        <v>578</v>
      </c>
      <c r="F21" s="240">
        <v>0</v>
      </c>
      <c r="G21" s="106">
        <v>100.241</v>
      </c>
      <c r="H21" s="106">
        <v>107.5</v>
      </c>
      <c r="I21" s="107">
        <f t="shared" si="0"/>
        <v>7.2590000000000003</v>
      </c>
      <c r="J21" s="106">
        <v>0</v>
      </c>
      <c r="K21" s="106"/>
      <c r="L21" s="106"/>
    </row>
    <row r="22" spans="1:12" x14ac:dyDescent="0.25">
      <c r="A22" s="99"/>
      <c r="B22" s="29"/>
      <c r="C22" s="20"/>
      <c r="D22" s="20"/>
      <c r="E22" s="104"/>
      <c r="F22" s="240"/>
      <c r="G22" s="106"/>
      <c r="H22" s="106"/>
      <c r="I22" s="107">
        <f t="shared" si="0"/>
        <v>0</v>
      </c>
      <c r="J22" s="106"/>
      <c r="K22" s="106"/>
      <c r="L22" s="106"/>
    </row>
    <row r="23" spans="1:12" x14ac:dyDescent="0.25">
      <c r="A23" s="99"/>
      <c r="B23" s="29"/>
      <c r="C23" s="20"/>
      <c r="D23" s="20"/>
      <c r="E23" s="104"/>
      <c r="F23" s="240"/>
      <c r="G23" s="106"/>
      <c r="H23" s="106"/>
      <c r="I23" s="107">
        <f t="shared" si="0"/>
        <v>0</v>
      </c>
      <c r="J23" s="106"/>
      <c r="K23" s="106"/>
      <c r="L23" s="106"/>
    </row>
    <row r="24" spans="1:12" x14ac:dyDescent="0.25">
      <c r="A24" s="99"/>
      <c r="B24" s="29"/>
      <c r="C24" s="20"/>
      <c r="D24" s="20"/>
      <c r="E24" s="104"/>
      <c r="F24" s="240"/>
      <c r="G24" s="106"/>
      <c r="H24" s="106"/>
      <c r="I24" s="107">
        <f t="shared" si="0"/>
        <v>0</v>
      </c>
      <c r="J24" s="106"/>
      <c r="K24" s="106"/>
      <c r="L24" s="106"/>
    </row>
    <row r="25" spans="1:12" x14ac:dyDescent="0.25">
      <c r="A25" s="99"/>
      <c r="B25" s="29"/>
      <c r="C25" s="20"/>
      <c r="D25" s="20"/>
      <c r="E25" s="104"/>
      <c r="F25" s="240"/>
      <c r="G25" s="106"/>
      <c r="H25" s="106"/>
      <c r="I25" s="107">
        <f t="shared" si="0"/>
        <v>0</v>
      </c>
      <c r="J25" s="106"/>
      <c r="K25" s="106"/>
      <c r="L25" s="106"/>
    </row>
    <row r="26" spans="1:12" x14ac:dyDescent="0.25">
      <c r="A26" s="99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240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240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240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240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240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240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240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240"/>
      <c r="G34" s="106"/>
      <c r="H34" s="106"/>
      <c r="I34" s="107">
        <f t="shared" ref="I34:I65" si="1">ABS(G34-H34)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240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240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240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240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240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240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240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240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240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240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240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240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240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240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240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240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240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240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240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240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240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240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240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240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240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240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240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240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240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240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240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240"/>
      <c r="G66" s="106"/>
      <c r="H66" s="106"/>
      <c r="I66" s="107">
        <f t="shared" ref="I66:I97" si="2">ABS(G66-H66)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240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240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240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240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240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240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240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240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240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240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240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240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240"/>
      <c r="G98" s="106"/>
      <c r="H98" s="106"/>
      <c r="I98" s="107">
        <f t="shared" ref="I98:I129" si="3">ABS(G98-H98)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241"/>
      <c r="G103" s="113"/>
      <c r="H103" s="113"/>
      <c r="I103" s="177">
        <f t="shared" si="3"/>
        <v>0</v>
      </c>
      <c r="J103" s="113"/>
      <c r="K103" s="113"/>
      <c r="L103" s="113"/>
    </row>
    <row r="104" spans="1:12" ht="15.95" customHeight="1" x14ac:dyDescent="0.25">
      <c r="I104" s="176">
        <f>SUM(I2:I103)</f>
        <v>146.67899999999997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400-000000000000}"/>
  </hyperlinks>
  <printOptions horizontalCentered="1" verticalCentered="1"/>
  <pageMargins left="0.19685039370078999" right="0.19685039370078999" top="0.39370078740157" bottom="0.59055118110236005" header="0.51181102362205" footer="0.31496062992126"/>
  <pageSetup scale="90" orientation="landscape"/>
  <headerFooter>
    <oddFooter>&amp;Ldatum:      30.3.2014&amp;C
info@onlinesprava.cz | mobil: 607 959 876&amp;Rwww.onlinesprava.cz</oddFooter>
  </headerFooter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K104"/>
  <sheetViews>
    <sheetView zoomScale="115" zoomScaleNormal="115"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" customWidth="1"/>
    <col min="7" max="8" width="22.28515625" style="114" customWidth="1"/>
    <col min="9" max="9" width="22.85546875" style="2" customWidth="1"/>
    <col min="10" max="10" width="19.140625" style="2" customWidth="1"/>
    <col min="11" max="11" width="22.42578125" style="2" customWidth="1"/>
    <col min="12" max="12" width="10.7109375" style="2" customWidth="1"/>
    <col min="13" max="1024" width="9.140625" style="2"/>
    <col min="1025" max="1025" width="9.140625" style="27"/>
  </cols>
  <sheetData>
    <row r="1" spans="1:12" s="5" customFormat="1" ht="15.95" customHeight="1" x14ac:dyDescent="0.25">
      <c r="A1" s="584" t="s">
        <v>569</v>
      </c>
      <c r="B1" s="582" t="s">
        <v>65</v>
      </c>
      <c r="C1" s="582" t="s">
        <v>570</v>
      </c>
      <c r="D1" s="582" t="s">
        <v>571</v>
      </c>
      <c r="E1" s="582" t="s">
        <v>572</v>
      </c>
      <c r="F1" s="583" t="s">
        <v>136</v>
      </c>
      <c r="G1" s="581" t="s">
        <v>466</v>
      </c>
      <c r="H1" s="581" t="s">
        <v>467</v>
      </c>
      <c r="I1" s="582" t="s">
        <v>574</v>
      </c>
      <c r="J1" s="581" t="s">
        <v>75</v>
      </c>
      <c r="K1" s="582" t="s">
        <v>575</v>
      </c>
      <c r="L1" s="582" t="s">
        <v>6</v>
      </c>
    </row>
    <row r="2" spans="1:12" ht="15.95" customHeight="1" x14ac:dyDescent="0.25">
      <c r="A2" s="99" t="s">
        <v>342</v>
      </c>
      <c r="B2" s="2" t="s">
        <v>541</v>
      </c>
      <c r="C2" s="16" t="s">
        <v>115</v>
      </c>
      <c r="D2" s="5"/>
      <c r="E2" s="100"/>
      <c r="F2" s="101"/>
      <c r="G2" s="102"/>
      <c r="H2" s="102"/>
      <c r="I2" s="107">
        <f t="shared" ref="I2:I33" si="0">H2-G2</f>
        <v>0</v>
      </c>
      <c r="J2" s="102"/>
      <c r="K2" s="102"/>
      <c r="L2" s="102"/>
    </row>
    <row r="3" spans="1:12" x14ac:dyDescent="0.25">
      <c r="A3" s="99" t="s">
        <v>351</v>
      </c>
      <c r="B3" s="29" t="s">
        <v>544</v>
      </c>
      <c r="C3" s="20" t="s">
        <v>115</v>
      </c>
      <c r="D3" s="20"/>
      <c r="E3" s="104"/>
      <c r="F3" s="105"/>
      <c r="G3" s="106"/>
      <c r="H3" s="106"/>
      <c r="I3" s="107">
        <f t="shared" si="0"/>
        <v>0</v>
      </c>
      <c r="J3" s="106"/>
      <c r="K3" s="106"/>
      <c r="L3" s="106"/>
    </row>
    <row r="4" spans="1:12" x14ac:dyDescent="0.25">
      <c r="A4" s="99" t="s">
        <v>357</v>
      </c>
      <c r="B4" s="29" t="s">
        <v>545</v>
      </c>
      <c r="C4" s="20" t="s">
        <v>115</v>
      </c>
      <c r="D4" s="20"/>
      <c r="E4" s="104"/>
      <c r="F4" s="105"/>
      <c r="G4" s="106"/>
      <c r="H4" s="106"/>
      <c r="I4" s="107">
        <f t="shared" si="0"/>
        <v>0</v>
      </c>
      <c r="J4" s="106"/>
      <c r="K4" s="106"/>
      <c r="L4" s="106"/>
    </row>
    <row r="5" spans="1:12" x14ac:dyDescent="0.25">
      <c r="A5" s="99" t="s">
        <v>363</v>
      </c>
      <c r="B5" s="29" t="s">
        <v>546</v>
      </c>
      <c r="C5" s="20" t="s">
        <v>115</v>
      </c>
      <c r="D5" s="20"/>
      <c r="E5" s="104"/>
      <c r="F5" s="105"/>
      <c r="G5" s="106"/>
      <c r="H5" s="106"/>
      <c r="I5" s="107">
        <f t="shared" si="0"/>
        <v>0</v>
      </c>
      <c r="J5" s="106"/>
      <c r="K5" s="106"/>
      <c r="L5" s="106"/>
    </row>
    <row r="6" spans="1:12" x14ac:dyDescent="0.25">
      <c r="A6" s="99" t="s">
        <v>370</v>
      </c>
      <c r="B6" s="29" t="s">
        <v>547</v>
      </c>
      <c r="C6" s="20" t="s">
        <v>115</v>
      </c>
      <c r="D6" s="20"/>
      <c r="E6" s="104"/>
      <c r="F6" s="105"/>
      <c r="G6" s="106"/>
      <c r="H6" s="106"/>
      <c r="I6" s="107">
        <f t="shared" si="0"/>
        <v>0</v>
      </c>
      <c r="J6" s="106"/>
      <c r="K6" s="106"/>
      <c r="L6" s="106"/>
    </row>
    <row r="7" spans="1:12" x14ac:dyDescent="0.25">
      <c r="A7" s="99" t="s">
        <v>376</v>
      </c>
      <c r="B7" s="29" t="s">
        <v>377</v>
      </c>
      <c r="C7" s="20" t="s">
        <v>115</v>
      </c>
      <c r="D7" s="20"/>
      <c r="E7" s="104"/>
      <c r="F7" s="105"/>
      <c r="G7" s="106"/>
      <c r="H7" s="106"/>
      <c r="I7" s="107">
        <f t="shared" si="0"/>
        <v>0</v>
      </c>
      <c r="J7" s="106"/>
      <c r="K7" s="106"/>
      <c r="L7" s="106"/>
    </row>
    <row r="8" spans="1:12" x14ac:dyDescent="0.25">
      <c r="A8" s="99" t="s">
        <v>382</v>
      </c>
      <c r="B8" s="29" t="s">
        <v>383</v>
      </c>
      <c r="C8" s="20" t="s">
        <v>115</v>
      </c>
      <c r="D8" s="20"/>
      <c r="E8" s="104"/>
      <c r="F8" s="105"/>
      <c r="G8" s="106"/>
      <c r="H8" s="106"/>
      <c r="I8" s="107">
        <f t="shared" si="0"/>
        <v>0</v>
      </c>
      <c r="J8" s="106"/>
      <c r="K8" s="106"/>
      <c r="L8" s="106"/>
    </row>
    <row r="9" spans="1:12" x14ac:dyDescent="0.25">
      <c r="A9" s="99" t="s">
        <v>389</v>
      </c>
      <c r="B9" s="29" t="s">
        <v>390</v>
      </c>
      <c r="C9" s="20" t="s">
        <v>115</v>
      </c>
      <c r="D9" s="20"/>
      <c r="E9" s="104"/>
      <c r="F9" s="105"/>
      <c r="G9" s="106"/>
      <c r="H9" s="106"/>
      <c r="I9" s="107">
        <f t="shared" si="0"/>
        <v>0</v>
      </c>
      <c r="J9" s="106"/>
      <c r="K9" s="106"/>
      <c r="L9" s="106"/>
    </row>
    <row r="10" spans="1:12" x14ac:dyDescent="0.25">
      <c r="A10" s="99" t="s">
        <v>394</v>
      </c>
      <c r="B10" s="29" t="s">
        <v>377</v>
      </c>
      <c r="C10" s="20" t="s">
        <v>115</v>
      </c>
      <c r="D10" s="20"/>
      <c r="E10" s="104"/>
      <c r="F10" s="105"/>
      <c r="G10" s="106"/>
      <c r="H10" s="106"/>
      <c r="I10" s="107">
        <f t="shared" si="0"/>
        <v>0</v>
      </c>
      <c r="J10" s="106"/>
      <c r="K10" s="106"/>
      <c r="L10" s="106"/>
    </row>
    <row r="11" spans="1:12" x14ac:dyDescent="0.25">
      <c r="A11" s="99" t="s">
        <v>395</v>
      </c>
      <c r="B11" s="29" t="s">
        <v>548</v>
      </c>
      <c r="C11" s="20" t="s">
        <v>115</v>
      </c>
      <c r="D11" s="20"/>
      <c r="E11" s="104"/>
      <c r="F11" s="105"/>
      <c r="G11" s="106"/>
      <c r="H11" s="106"/>
      <c r="I11" s="107">
        <f t="shared" si="0"/>
        <v>0</v>
      </c>
      <c r="J11" s="106"/>
      <c r="K11" s="106"/>
      <c r="L11" s="106"/>
    </row>
    <row r="12" spans="1:12" x14ac:dyDescent="0.25">
      <c r="A12" s="99" t="s">
        <v>400</v>
      </c>
      <c r="B12" s="29" t="s">
        <v>549</v>
      </c>
      <c r="C12" s="20" t="s">
        <v>115</v>
      </c>
      <c r="D12" s="20"/>
      <c r="E12" s="104"/>
      <c r="F12" s="105"/>
      <c r="G12" s="106"/>
      <c r="H12" s="106"/>
      <c r="I12" s="107">
        <f t="shared" si="0"/>
        <v>0</v>
      </c>
      <c r="J12" s="106"/>
      <c r="K12" s="106"/>
      <c r="L12" s="106"/>
    </row>
    <row r="13" spans="1:12" x14ac:dyDescent="0.25">
      <c r="A13" s="99" t="s">
        <v>405</v>
      </c>
      <c r="B13" s="29" t="s">
        <v>550</v>
      </c>
      <c r="C13" s="20" t="s">
        <v>115</v>
      </c>
      <c r="D13" s="20"/>
      <c r="E13" s="104"/>
      <c r="F13" s="105"/>
      <c r="G13" s="106"/>
      <c r="H13" s="106"/>
      <c r="I13" s="107">
        <f t="shared" si="0"/>
        <v>0</v>
      </c>
      <c r="J13" s="106"/>
      <c r="K13" s="106"/>
      <c r="L13" s="106"/>
    </row>
    <row r="14" spans="1:12" x14ac:dyDescent="0.25">
      <c r="A14" s="99" t="s">
        <v>410</v>
      </c>
      <c r="B14" s="29" t="s">
        <v>551</v>
      </c>
      <c r="C14" s="20" t="s">
        <v>115</v>
      </c>
      <c r="D14" s="20"/>
      <c r="E14" s="104"/>
      <c r="F14" s="105"/>
      <c r="G14" s="106"/>
      <c r="H14" s="106"/>
      <c r="I14" s="107">
        <f t="shared" si="0"/>
        <v>0</v>
      </c>
      <c r="J14" s="106"/>
      <c r="K14" s="106"/>
      <c r="L14" s="106"/>
    </row>
    <row r="15" spans="1:12" x14ac:dyDescent="0.25">
      <c r="A15" s="99" t="s">
        <v>415</v>
      </c>
      <c r="B15" s="29" t="s">
        <v>416</v>
      </c>
      <c r="C15" s="20" t="s">
        <v>115</v>
      </c>
      <c r="D15" s="20"/>
      <c r="E15" s="104"/>
      <c r="F15" s="105"/>
      <c r="G15" s="106"/>
      <c r="H15" s="106"/>
      <c r="I15" s="107">
        <f t="shared" si="0"/>
        <v>0</v>
      </c>
      <c r="J15" s="106"/>
      <c r="K15" s="106"/>
      <c r="L15" s="106"/>
    </row>
    <row r="16" spans="1:12" x14ac:dyDescent="0.25">
      <c r="A16" s="99" t="s">
        <v>419</v>
      </c>
      <c r="B16" s="29" t="s">
        <v>552</v>
      </c>
      <c r="C16" s="20" t="s">
        <v>115</v>
      </c>
      <c r="D16" s="20"/>
      <c r="E16" s="104"/>
      <c r="F16" s="105"/>
      <c r="G16" s="106"/>
      <c r="H16" s="106"/>
      <c r="I16" s="107">
        <f t="shared" si="0"/>
        <v>0</v>
      </c>
      <c r="J16" s="106"/>
      <c r="K16" s="106"/>
      <c r="L16" s="106"/>
    </row>
    <row r="17" spans="1:12" x14ac:dyDescent="0.25">
      <c r="A17" s="99" t="s">
        <v>423</v>
      </c>
      <c r="B17" s="29" t="s">
        <v>553</v>
      </c>
      <c r="C17" s="20" t="s">
        <v>115</v>
      </c>
      <c r="D17" s="20"/>
      <c r="E17" s="104"/>
      <c r="F17" s="105"/>
      <c r="G17" s="106"/>
      <c r="H17" s="106"/>
      <c r="I17" s="107">
        <f t="shared" si="0"/>
        <v>0</v>
      </c>
      <c r="J17" s="106"/>
      <c r="K17" s="106"/>
      <c r="L17" s="106"/>
    </row>
    <row r="18" spans="1:12" x14ac:dyDescent="0.25">
      <c r="A18" s="99" t="s">
        <v>429</v>
      </c>
      <c r="B18" s="29" t="s">
        <v>554</v>
      </c>
      <c r="C18" s="20" t="s">
        <v>115</v>
      </c>
      <c r="D18" s="20"/>
      <c r="E18" s="104"/>
      <c r="F18" s="105"/>
      <c r="G18" s="106"/>
      <c r="H18" s="106"/>
      <c r="I18" s="107">
        <f t="shared" si="0"/>
        <v>0</v>
      </c>
      <c r="J18" s="106"/>
      <c r="K18" s="106"/>
      <c r="L18" s="106"/>
    </row>
    <row r="19" spans="1:12" x14ac:dyDescent="0.25">
      <c r="A19" s="99" t="s">
        <v>435</v>
      </c>
      <c r="B19" s="29" t="s">
        <v>436</v>
      </c>
      <c r="C19" s="20" t="s">
        <v>115</v>
      </c>
      <c r="D19" s="20"/>
      <c r="E19" s="104"/>
      <c r="F19" s="105"/>
      <c r="G19" s="106"/>
      <c r="H19" s="106"/>
      <c r="I19" s="107">
        <f t="shared" si="0"/>
        <v>0</v>
      </c>
      <c r="J19" s="106"/>
      <c r="K19" s="106"/>
      <c r="L19" s="106"/>
    </row>
    <row r="20" spans="1:12" x14ac:dyDescent="0.25">
      <c r="A20" s="99" t="s">
        <v>443</v>
      </c>
      <c r="B20" s="29" t="s">
        <v>444</v>
      </c>
      <c r="C20" s="20" t="s">
        <v>115</v>
      </c>
      <c r="D20" s="20"/>
      <c r="E20" s="104"/>
      <c r="F20" s="105"/>
      <c r="G20" s="106"/>
      <c r="H20" s="106"/>
      <c r="I20" s="107">
        <f t="shared" si="0"/>
        <v>0</v>
      </c>
      <c r="J20" s="106"/>
      <c r="K20" s="106"/>
      <c r="L20" s="106"/>
    </row>
    <row r="21" spans="1:12" x14ac:dyDescent="0.25">
      <c r="A21" s="99" t="s">
        <v>449</v>
      </c>
      <c r="B21" s="29" t="s">
        <v>450</v>
      </c>
      <c r="C21" s="20" t="s">
        <v>115</v>
      </c>
      <c r="D21" s="20"/>
      <c r="E21" s="104"/>
      <c r="F21" s="105"/>
      <c r="G21" s="106"/>
      <c r="H21" s="106"/>
      <c r="I21" s="107">
        <f t="shared" si="0"/>
        <v>0</v>
      </c>
      <c r="J21" s="106"/>
      <c r="K21" s="106"/>
      <c r="L21" s="106"/>
    </row>
    <row r="22" spans="1:12" x14ac:dyDescent="0.25">
      <c r="A22" s="99"/>
      <c r="B22" s="29"/>
      <c r="C22" s="20"/>
      <c r="D22" s="20"/>
      <c r="E22" s="104"/>
      <c r="F22" s="105"/>
      <c r="G22" s="106"/>
      <c r="H22" s="106"/>
      <c r="I22" s="107">
        <f t="shared" si="0"/>
        <v>0</v>
      </c>
      <c r="J22" s="106"/>
      <c r="K22" s="106"/>
      <c r="L22" s="106"/>
    </row>
    <row r="23" spans="1:12" x14ac:dyDescent="0.25">
      <c r="A23" s="99"/>
      <c r="B23" s="29"/>
      <c r="C23" s="20"/>
      <c r="D23" s="20"/>
      <c r="E23" s="104"/>
      <c r="F23" s="105"/>
      <c r="G23" s="106"/>
      <c r="H23" s="106"/>
      <c r="I23" s="107">
        <f t="shared" si="0"/>
        <v>0</v>
      </c>
      <c r="J23" s="106"/>
      <c r="K23" s="106"/>
      <c r="L23" s="106"/>
    </row>
    <row r="24" spans="1:12" x14ac:dyDescent="0.25">
      <c r="A24" s="99"/>
      <c r="B24" s="29"/>
      <c r="C24" s="20"/>
      <c r="D24" s="20"/>
      <c r="E24" s="104"/>
      <c r="F24" s="105"/>
      <c r="G24" s="106"/>
      <c r="H24" s="106"/>
      <c r="I24" s="107">
        <f t="shared" si="0"/>
        <v>0</v>
      </c>
      <c r="J24" s="106"/>
      <c r="K24" s="106"/>
      <c r="L24" s="106"/>
    </row>
    <row r="25" spans="1:12" x14ac:dyDescent="0.25">
      <c r="A25" s="99"/>
      <c r="B25" s="29"/>
      <c r="C25" s="20"/>
      <c r="D25" s="20"/>
      <c r="E25" s="104"/>
      <c r="F25" s="105"/>
      <c r="G25" s="106"/>
      <c r="H25" s="106"/>
      <c r="I25" s="107">
        <f t="shared" si="0"/>
        <v>0</v>
      </c>
      <c r="J25" s="106"/>
      <c r="K25" s="106"/>
      <c r="L25" s="106"/>
    </row>
    <row r="26" spans="1:12" x14ac:dyDescent="0.25">
      <c r="A26" s="99"/>
      <c r="B26" s="29"/>
      <c r="C26" s="20"/>
      <c r="D26" s="20"/>
      <c r="E26" s="104"/>
      <c r="F26" s="105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105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105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105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105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105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105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105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105"/>
      <c r="G34" s="106"/>
      <c r="H34" s="106"/>
      <c r="I34" s="107">
        <f t="shared" ref="I34:I65" si="1">H34-G34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105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105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105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105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105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105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105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105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105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105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105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105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105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105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105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105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105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105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105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105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105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105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105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105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105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105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105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105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105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105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105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105"/>
      <c r="G66" s="106"/>
      <c r="H66" s="106"/>
      <c r="I66" s="107">
        <f t="shared" ref="I66:I97" si="2">H66-G66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105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105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105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105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105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105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105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105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105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105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105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105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105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105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105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105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105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105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105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105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105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105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105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105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105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105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105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105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105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105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105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105"/>
      <c r="G98" s="106"/>
      <c r="H98" s="106"/>
      <c r="I98" s="107">
        <f t="shared" ref="I98:I129" si="3">H98-G98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105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105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105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105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112"/>
      <c r="G103" s="113"/>
      <c r="H103" s="113"/>
      <c r="I103" s="107">
        <f t="shared" si="3"/>
        <v>0</v>
      </c>
      <c r="J103" s="113"/>
      <c r="K103" s="113"/>
      <c r="L103" s="113"/>
    </row>
    <row r="104" spans="1:12" ht="15.95" customHeight="1" x14ac:dyDescent="0.25">
      <c r="I104" s="115">
        <f>SUM(I2:I103)</f>
        <v>0</v>
      </c>
      <c r="J104" s="114">
        <f>SUM(J2:J103)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500-000000000000}"/>
  </hyperlinks>
  <printOptions horizontalCentered="1" verticalCentered="1"/>
  <pageMargins left="0.23622047244093999" right="0.23622047244093999" top="0.39370078740157" bottom="0.74803149606299002" header="0.51181102362205" footer="0.31496062992126"/>
  <pageSetup orientation="landscape"/>
  <headerFooter>
    <oddFooter>&amp;L
datum:      30.3.2014&amp;C
info@onlinesprava.cz |mobil: 607 959 876&amp;Rwww.onlinesprava.cz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16"/>
  <sheetViews>
    <sheetView workbookViewId="0"/>
  </sheetViews>
  <sheetFormatPr defaultColWidth="24.42578125" defaultRowHeight="15" x14ac:dyDescent="0.25"/>
  <cols>
    <col min="1" max="1" width="20.85546875" customWidth="1"/>
  </cols>
  <sheetData>
    <row r="1" spans="1:10" s="5" customFormat="1" ht="15.95" customHeight="1" x14ac:dyDescent="0.25">
      <c r="A1" s="576" t="s">
        <v>569</v>
      </c>
      <c r="B1" s="577" t="s">
        <v>65</v>
      </c>
      <c r="C1" s="577" t="s">
        <v>570</v>
      </c>
      <c r="D1" s="577" t="s">
        <v>571</v>
      </c>
      <c r="E1" s="577" t="s">
        <v>572</v>
      </c>
      <c r="F1" s="578" t="s">
        <v>136</v>
      </c>
      <c r="G1" s="579" t="s">
        <v>573</v>
      </c>
      <c r="H1" s="579" t="s">
        <v>467</v>
      </c>
      <c r="I1" s="580" t="s">
        <v>574</v>
      </c>
      <c r="J1" s="581" t="s">
        <v>75</v>
      </c>
    </row>
    <row r="2" spans="1:10" ht="15.75" customHeight="1" x14ac:dyDescent="0.25">
      <c r="A2" t="s">
        <v>342</v>
      </c>
      <c r="B2" t="s">
        <v>541</v>
      </c>
      <c r="C2" t="s">
        <v>119</v>
      </c>
      <c r="I2">
        <f t="shared" ref="I2:I33" si="0">H2-G2</f>
        <v>0</v>
      </c>
    </row>
    <row r="3" spans="1:10" x14ac:dyDescent="0.25">
      <c r="A3" t="s">
        <v>351</v>
      </c>
      <c r="B3" t="s">
        <v>544</v>
      </c>
      <c r="C3" t="s">
        <v>119</v>
      </c>
      <c r="I3">
        <f t="shared" si="0"/>
        <v>0</v>
      </c>
    </row>
    <row r="4" spans="1:10" x14ac:dyDescent="0.25">
      <c r="A4" t="s">
        <v>357</v>
      </c>
      <c r="B4" t="s">
        <v>545</v>
      </c>
      <c r="C4" t="s">
        <v>119</v>
      </c>
      <c r="I4">
        <f t="shared" si="0"/>
        <v>0</v>
      </c>
    </row>
    <row r="5" spans="1:10" x14ac:dyDescent="0.25">
      <c r="A5" t="s">
        <v>363</v>
      </c>
      <c r="B5" t="s">
        <v>546</v>
      </c>
      <c r="C5" t="s">
        <v>119</v>
      </c>
      <c r="I5">
        <f t="shared" si="0"/>
        <v>0</v>
      </c>
    </row>
    <row r="6" spans="1:10" x14ac:dyDescent="0.25">
      <c r="A6" t="s">
        <v>370</v>
      </c>
      <c r="B6" t="s">
        <v>547</v>
      </c>
      <c r="C6" t="s">
        <v>119</v>
      </c>
      <c r="I6">
        <f t="shared" si="0"/>
        <v>0</v>
      </c>
    </row>
    <row r="7" spans="1:10" x14ac:dyDescent="0.25">
      <c r="A7" t="s">
        <v>376</v>
      </c>
      <c r="B7" t="s">
        <v>377</v>
      </c>
      <c r="C7" t="s">
        <v>119</v>
      </c>
      <c r="I7">
        <f t="shared" si="0"/>
        <v>0</v>
      </c>
    </row>
    <row r="8" spans="1:10" x14ac:dyDescent="0.25">
      <c r="A8" t="s">
        <v>382</v>
      </c>
      <c r="B8" t="s">
        <v>383</v>
      </c>
      <c r="C8" t="s">
        <v>119</v>
      </c>
      <c r="I8">
        <f t="shared" si="0"/>
        <v>0</v>
      </c>
    </row>
    <row r="9" spans="1:10" x14ac:dyDescent="0.25">
      <c r="A9" t="s">
        <v>389</v>
      </c>
      <c r="B9" t="s">
        <v>390</v>
      </c>
      <c r="C9" t="s">
        <v>119</v>
      </c>
      <c r="I9">
        <f t="shared" si="0"/>
        <v>0</v>
      </c>
    </row>
    <row r="10" spans="1:10" x14ac:dyDescent="0.25">
      <c r="A10" t="s">
        <v>394</v>
      </c>
      <c r="B10" t="s">
        <v>377</v>
      </c>
      <c r="C10" t="s">
        <v>119</v>
      </c>
      <c r="I10">
        <f t="shared" si="0"/>
        <v>0</v>
      </c>
    </row>
    <row r="11" spans="1:10" x14ac:dyDescent="0.25">
      <c r="A11" t="s">
        <v>395</v>
      </c>
      <c r="B11" t="s">
        <v>548</v>
      </c>
      <c r="C11" t="s">
        <v>119</v>
      </c>
      <c r="I11">
        <f t="shared" si="0"/>
        <v>0</v>
      </c>
    </row>
    <row r="12" spans="1:10" x14ac:dyDescent="0.25">
      <c r="A12" t="s">
        <v>400</v>
      </c>
      <c r="B12" t="s">
        <v>549</v>
      </c>
      <c r="C12" t="s">
        <v>119</v>
      </c>
      <c r="I12">
        <f t="shared" si="0"/>
        <v>0</v>
      </c>
    </row>
    <row r="13" spans="1:10" x14ac:dyDescent="0.25">
      <c r="A13" t="s">
        <v>405</v>
      </c>
      <c r="B13" t="s">
        <v>550</v>
      </c>
      <c r="C13" t="s">
        <v>119</v>
      </c>
      <c r="I13">
        <f t="shared" si="0"/>
        <v>0</v>
      </c>
    </row>
    <row r="14" spans="1:10" x14ac:dyDescent="0.25">
      <c r="A14" t="s">
        <v>410</v>
      </c>
      <c r="B14" t="s">
        <v>551</v>
      </c>
      <c r="C14" t="s">
        <v>119</v>
      </c>
      <c r="I14">
        <f t="shared" si="0"/>
        <v>0</v>
      </c>
    </row>
    <row r="15" spans="1:10" x14ac:dyDescent="0.25">
      <c r="A15" t="s">
        <v>415</v>
      </c>
      <c r="B15" t="s">
        <v>416</v>
      </c>
      <c r="C15" t="s">
        <v>119</v>
      </c>
      <c r="I15">
        <f t="shared" si="0"/>
        <v>0</v>
      </c>
    </row>
    <row r="16" spans="1:10" x14ac:dyDescent="0.25">
      <c r="A16" t="s">
        <v>419</v>
      </c>
      <c r="B16" t="s">
        <v>552</v>
      </c>
      <c r="C16" t="s">
        <v>119</v>
      </c>
      <c r="I16">
        <f t="shared" si="0"/>
        <v>0</v>
      </c>
    </row>
    <row r="17" spans="1:9" x14ac:dyDescent="0.25">
      <c r="A17" t="s">
        <v>423</v>
      </c>
      <c r="B17" t="s">
        <v>553</v>
      </c>
      <c r="C17" t="s">
        <v>119</v>
      </c>
      <c r="I17">
        <f t="shared" si="0"/>
        <v>0</v>
      </c>
    </row>
    <row r="18" spans="1:9" x14ac:dyDescent="0.25">
      <c r="A18" t="s">
        <v>429</v>
      </c>
      <c r="B18" t="s">
        <v>554</v>
      </c>
      <c r="C18" t="s">
        <v>119</v>
      </c>
      <c r="I18">
        <f t="shared" si="0"/>
        <v>0</v>
      </c>
    </row>
    <row r="19" spans="1:9" x14ac:dyDescent="0.25">
      <c r="A19" t="s">
        <v>435</v>
      </c>
      <c r="B19" t="s">
        <v>436</v>
      </c>
      <c r="C19" t="s">
        <v>119</v>
      </c>
      <c r="I19">
        <f t="shared" si="0"/>
        <v>0</v>
      </c>
    </row>
    <row r="20" spans="1:9" x14ac:dyDescent="0.25">
      <c r="A20" t="s">
        <v>443</v>
      </c>
      <c r="B20" t="s">
        <v>444</v>
      </c>
      <c r="C20" t="s">
        <v>119</v>
      </c>
      <c r="I20">
        <f t="shared" si="0"/>
        <v>0</v>
      </c>
    </row>
    <row r="21" spans="1:9" x14ac:dyDescent="0.25">
      <c r="A21" t="s">
        <v>449</v>
      </c>
      <c r="B21" t="s">
        <v>450</v>
      </c>
      <c r="C21" t="s">
        <v>119</v>
      </c>
      <c r="I21">
        <f t="shared" si="0"/>
        <v>0</v>
      </c>
    </row>
    <row r="22" spans="1:9" x14ac:dyDescent="0.25">
      <c r="I22">
        <f t="shared" si="0"/>
        <v>0</v>
      </c>
    </row>
    <row r="23" spans="1:9" x14ac:dyDescent="0.25">
      <c r="I23">
        <f t="shared" si="0"/>
        <v>0</v>
      </c>
    </row>
    <row r="24" spans="1:9" x14ac:dyDescent="0.25">
      <c r="I24">
        <f t="shared" si="0"/>
        <v>0</v>
      </c>
    </row>
    <row r="25" spans="1:9" x14ac:dyDescent="0.25">
      <c r="I25">
        <f t="shared" si="0"/>
        <v>0</v>
      </c>
    </row>
    <row r="26" spans="1:9" x14ac:dyDescent="0.25">
      <c r="I26">
        <f t="shared" si="0"/>
        <v>0</v>
      </c>
    </row>
    <row r="27" spans="1:9" x14ac:dyDescent="0.25">
      <c r="I27">
        <f t="shared" si="0"/>
        <v>0</v>
      </c>
    </row>
    <row r="28" spans="1:9" x14ac:dyDescent="0.25">
      <c r="I28">
        <f t="shared" si="0"/>
        <v>0</v>
      </c>
    </row>
    <row r="29" spans="1:9" x14ac:dyDescent="0.25">
      <c r="I29">
        <f t="shared" si="0"/>
        <v>0</v>
      </c>
    </row>
    <row r="30" spans="1:9" x14ac:dyDescent="0.25">
      <c r="I30">
        <f t="shared" si="0"/>
        <v>0</v>
      </c>
    </row>
    <row r="31" spans="1:9" x14ac:dyDescent="0.25">
      <c r="I31">
        <f t="shared" si="0"/>
        <v>0</v>
      </c>
    </row>
    <row r="32" spans="1:9" x14ac:dyDescent="0.25">
      <c r="I32">
        <f t="shared" si="0"/>
        <v>0</v>
      </c>
    </row>
    <row r="33" spans="9:9" x14ac:dyDescent="0.25">
      <c r="I33">
        <f t="shared" si="0"/>
        <v>0</v>
      </c>
    </row>
    <row r="34" spans="9:9" x14ac:dyDescent="0.25">
      <c r="I34">
        <f t="shared" ref="I34:I65" si="1">H34-G34</f>
        <v>0</v>
      </c>
    </row>
    <row r="35" spans="9:9" x14ac:dyDescent="0.25">
      <c r="I35">
        <f t="shared" si="1"/>
        <v>0</v>
      </c>
    </row>
    <row r="36" spans="9:9" x14ac:dyDescent="0.25">
      <c r="I36">
        <f t="shared" si="1"/>
        <v>0</v>
      </c>
    </row>
    <row r="37" spans="9:9" x14ac:dyDescent="0.25">
      <c r="I37">
        <f t="shared" si="1"/>
        <v>0</v>
      </c>
    </row>
    <row r="38" spans="9:9" x14ac:dyDescent="0.25">
      <c r="I38">
        <f t="shared" si="1"/>
        <v>0</v>
      </c>
    </row>
    <row r="39" spans="9:9" x14ac:dyDescent="0.25">
      <c r="I39">
        <f t="shared" si="1"/>
        <v>0</v>
      </c>
    </row>
    <row r="40" spans="9:9" x14ac:dyDescent="0.25">
      <c r="I40">
        <f t="shared" si="1"/>
        <v>0</v>
      </c>
    </row>
    <row r="41" spans="9:9" x14ac:dyDescent="0.25">
      <c r="I41">
        <f t="shared" si="1"/>
        <v>0</v>
      </c>
    </row>
    <row r="42" spans="9:9" x14ac:dyDescent="0.25">
      <c r="I42">
        <f t="shared" si="1"/>
        <v>0</v>
      </c>
    </row>
    <row r="43" spans="9:9" x14ac:dyDescent="0.25">
      <c r="I43">
        <f t="shared" si="1"/>
        <v>0</v>
      </c>
    </row>
    <row r="44" spans="9:9" x14ac:dyDescent="0.25">
      <c r="I44">
        <f t="shared" si="1"/>
        <v>0</v>
      </c>
    </row>
    <row r="45" spans="9:9" x14ac:dyDescent="0.25">
      <c r="I45">
        <f t="shared" si="1"/>
        <v>0</v>
      </c>
    </row>
    <row r="46" spans="9:9" x14ac:dyDescent="0.25">
      <c r="I46">
        <f t="shared" si="1"/>
        <v>0</v>
      </c>
    </row>
    <row r="47" spans="9:9" x14ac:dyDescent="0.25">
      <c r="I47">
        <f t="shared" si="1"/>
        <v>0</v>
      </c>
    </row>
    <row r="48" spans="9:9" x14ac:dyDescent="0.25">
      <c r="I48">
        <f t="shared" si="1"/>
        <v>0</v>
      </c>
    </row>
    <row r="49" spans="9:9" x14ac:dyDescent="0.25">
      <c r="I49">
        <f t="shared" si="1"/>
        <v>0</v>
      </c>
    </row>
    <row r="50" spans="9:9" x14ac:dyDescent="0.25">
      <c r="I50">
        <f t="shared" si="1"/>
        <v>0</v>
      </c>
    </row>
    <row r="51" spans="9:9" x14ac:dyDescent="0.25">
      <c r="I51">
        <f t="shared" si="1"/>
        <v>0</v>
      </c>
    </row>
    <row r="52" spans="9:9" x14ac:dyDescent="0.25">
      <c r="I52">
        <f t="shared" si="1"/>
        <v>0</v>
      </c>
    </row>
    <row r="53" spans="9:9" x14ac:dyDescent="0.25">
      <c r="I53">
        <f t="shared" si="1"/>
        <v>0</v>
      </c>
    </row>
    <row r="54" spans="9:9" x14ac:dyDescent="0.25">
      <c r="I54">
        <f t="shared" si="1"/>
        <v>0</v>
      </c>
    </row>
    <row r="55" spans="9:9" x14ac:dyDescent="0.25">
      <c r="I55">
        <f t="shared" si="1"/>
        <v>0</v>
      </c>
    </row>
    <row r="56" spans="9:9" x14ac:dyDescent="0.25">
      <c r="I56">
        <f t="shared" si="1"/>
        <v>0</v>
      </c>
    </row>
    <row r="57" spans="9:9" x14ac:dyDescent="0.25">
      <c r="I57">
        <f t="shared" si="1"/>
        <v>0</v>
      </c>
    </row>
    <row r="58" spans="9:9" x14ac:dyDescent="0.25">
      <c r="I58">
        <f t="shared" si="1"/>
        <v>0</v>
      </c>
    </row>
    <row r="59" spans="9:9" x14ac:dyDescent="0.25">
      <c r="I59">
        <f t="shared" si="1"/>
        <v>0</v>
      </c>
    </row>
    <row r="60" spans="9:9" x14ac:dyDescent="0.25">
      <c r="I60">
        <f t="shared" si="1"/>
        <v>0</v>
      </c>
    </row>
    <row r="61" spans="9:9" x14ac:dyDescent="0.25">
      <c r="I61">
        <f t="shared" si="1"/>
        <v>0</v>
      </c>
    </row>
    <row r="62" spans="9:9" x14ac:dyDescent="0.25">
      <c r="I62">
        <f t="shared" si="1"/>
        <v>0</v>
      </c>
    </row>
    <row r="63" spans="9:9" x14ac:dyDescent="0.25">
      <c r="I63">
        <f t="shared" si="1"/>
        <v>0</v>
      </c>
    </row>
    <row r="64" spans="9:9" x14ac:dyDescent="0.25">
      <c r="I64">
        <f t="shared" si="1"/>
        <v>0</v>
      </c>
    </row>
    <row r="65" spans="9:9" x14ac:dyDescent="0.25">
      <c r="I65">
        <f t="shared" si="1"/>
        <v>0</v>
      </c>
    </row>
    <row r="66" spans="9:9" x14ac:dyDescent="0.25">
      <c r="I66">
        <f t="shared" ref="I66:I97" si="2">H66-G66</f>
        <v>0</v>
      </c>
    </row>
    <row r="67" spans="9:9" x14ac:dyDescent="0.25">
      <c r="I67">
        <f t="shared" si="2"/>
        <v>0</v>
      </c>
    </row>
    <row r="68" spans="9:9" x14ac:dyDescent="0.25">
      <c r="I68">
        <f t="shared" si="2"/>
        <v>0</v>
      </c>
    </row>
    <row r="69" spans="9:9" x14ac:dyDescent="0.25">
      <c r="I69">
        <f t="shared" si="2"/>
        <v>0</v>
      </c>
    </row>
    <row r="70" spans="9:9" x14ac:dyDescent="0.25">
      <c r="I70">
        <f t="shared" si="2"/>
        <v>0</v>
      </c>
    </row>
    <row r="71" spans="9:9" x14ac:dyDescent="0.25">
      <c r="I71">
        <f t="shared" si="2"/>
        <v>0</v>
      </c>
    </row>
    <row r="72" spans="9:9" x14ac:dyDescent="0.25">
      <c r="I72">
        <f t="shared" si="2"/>
        <v>0</v>
      </c>
    </row>
    <row r="73" spans="9:9" x14ac:dyDescent="0.25">
      <c r="I73">
        <f t="shared" si="2"/>
        <v>0</v>
      </c>
    </row>
    <row r="74" spans="9:9" x14ac:dyDescent="0.25">
      <c r="I74">
        <f t="shared" si="2"/>
        <v>0</v>
      </c>
    </row>
    <row r="75" spans="9:9" x14ac:dyDescent="0.25">
      <c r="I75">
        <f t="shared" si="2"/>
        <v>0</v>
      </c>
    </row>
    <row r="76" spans="9:9" x14ac:dyDescent="0.25">
      <c r="I76">
        <f t="shared" si="2"/>
        <v>0</v>
      </c>
    </row>
    <row r="77" spans="9:9" x14ac:dyDescent="0.25">
      <c r="I77">
        <f t="shared" si="2"/>
        <v>0</v>
      </c>
    </row>
    <row r="78" spans="9:9" x14ac:dyDescent="0.25">
      <c r="I78">
        <f t="shared" si="2"/>
        <v>0</v>
      </c>
    </row>
    <row r="79" spans="9:9" x14ac:dyDescent="0.25">
      <c r="I79">
        <f t="shared" si="2"/>
        <v>0</v>
      </c>
    </row>
    <row r="80" spans="9:9" x14ac:dyDescent="0.25">
      <c r="I80">
        <f t="shared" si="2"/>
        <v>0</v>
      </c>
    </row>
    <row r="81" spans="9:9" x14ac:dyDescent="0.25">
      <c r="I81">
        <f t="shared" si="2"/>
        <v>0</v>
      </c>
    </row>
    <row r="82" spans="9:9" x14ac:dyDescent="0.25">
      <c r="I82">
        <f t="shared" si="2"/>
        <v>0</v>
      </c>
    </row>
    <row r="83" spans="9:9" x14ac:dyDescent="0.25">
      <c r="I83">
        <f t="shared" si="2"/>
        <v>0</v>
      </c>
    </row>
    <row r="84" spans="9:9" x14ac:dyDescent="0.25">
      <c r="I84">
        <f t="shared" si="2"/>
        <v>0</v>
      </c>
    </row>
    <row r="85" spans="9:9" x14ac:dyDescent="0.25">
      <c r="I85">
        <f t="shared" si="2"/>
        <v>0</v>
      </c>
    </row>
    <row r="86" spans="9:9" x14ac:dyDescent="0.25">
      <c r="I86">
        <f t="shared" si="2"/>
        <v>0</v>
      </c>
    </row>
    <row r="87" spans="9:9" x14ac:dyDescent="0.25">
      <c r="I87">
        <f t="shared" si="2"/>
        <v>0</v>
      </c>
    </row>
    <row r="88" spans="9:9" x14ac:dyDescent="0.25">
      <c r="I88">
        <f t="shared" si="2"/>
        <v>0</v>
      </c>
    </row>
    <row r="89" spans="9:9" x14ac:dyDescent="0.25">
      <c r="I89">
        <f t="shared" si="2"/>
        <v>0</v>
      </c>
    </row>
    <row r="90" spans="9:9" x14ac:dyDescent="0.25">
      <c r="I90">
        <f t="shared" si="2"/>
        <v>0</v>
      </c>
    </row>
    <row r="91" spans="9:9" x14ac:dyDescent="0.25">
      <c r="I91">
        <f t="shared" si="2"/>
        <v>0</v>
      </c>
    </row>
    <row r="92" spans="9:9" x14ac:dyDescent="0.25">
      <c r="I92">
        <f t="shared" si="2"/>
        <v>0</v>
      </c>
    </row>
    <row r="93" spans="9:9" x14ac:dyDescent="0.25">
      <c r="I93">
        <f t="shared" si="2"/>
        <v>0</v>
      </c>
    </row>
    <row r="94" spans="9:9" x14ac:dyDescent="0.25">
      <c r="I94">
        <f t="shared" si="2"/>
        <v>0</v>
      </c>
    </row>
    <row r="95" spans="9:9" x14ac:dyDescent="0.25">
      <c r="I95">
        <f t="shared" si="2"/>
        <v>0</v>
      </c>
    </row>
    <row r="96" spans="9:9" x14ac:dyDescent="0.25">
      <c r="I96">
        <f t="shared" si="2"/>
        <v>0</v>
      </c>
    </row>
    <row r="97" spans="9:9" x14ac:dyDescent="0.25">
      <c r="I97">
        <f t="shared" si="2"/>
        <v>0</v>
      </c>
    </row>
    <row r="98" spans="9:9" x14ac:dyDescent="0.25">
      <c r="I98">
        <f t="shared" ref="I98:I129" si="3">H98-G98</f>
        <v>0</v>
      </c>
    </row>
    <row r="99" spans="9:9" x14ac:dyDescent="0.25">
      <c r="I99">
        <f t="shared" si="3"/>
        <v>0</v>
      </c>
    </row>
    <row r="100" spans="9:9" x14ac:dyDescent="0.25">
      <c r="I100">
        <f t="shared" si="3"/>
        <v>0</v>
      </c>
    </row>
    <row r="101" spans="9:9" x14ac:dyDescent="0.25">
      <c r="I101">
        <f t="shared" si="3"/>
        <v>0</v>
      </c>
    </row>
    <row r="102" spans="9:9" x14ac:dyDescent="0.25">
      <c r="I102">
        <f t="shared" si="3"/>
        <v>0</v>
      </c>
    </row>
    <row r="103" spans="9:9" x14ac:dyDescent="0.25">
      <c r="I103">
        <f t="shared" si="3"/>
        <v>0</v>
      </c>
    </row>
    <row r="104" spans="9:9" x14ac:dyDescent="0.25">
      <c r="I104">
        <f t="shared" si="3"/>
        <v>0</v>
      </c>
    </row>
    <row r="105" spans="9:9" x14ac:dyDescent="0.25">
      <c r="I105">
        <f t="shared" si="3"/>
        <v>0</v>
      </c>
    </row>
    <row r="106" spans="9:9" x14ac:dyDescent="0.25">
      <c r="I106">
        <f t="shared" si="3"/>
        <v>0</v>
      </c>
    </row>
    <row r="107" spans="9:9" x14ac:dyDescent="0.25">
      <c r="I107">
        <f t="shared" si="3"/>
        <v>0</v>
      </c>
    </row>
    <row r="108" spans="9:9" x14ac:dyDescent="0.25">
      <c r="I108">
        <f t="shared" si="3"/>
        <v>0</v>
      </c>
    </row>
    <row r="109" spans="9:9" x14ac:dyDescent="0.25">
      <c r="I109">
        <f t="shared" si="3"/>
        <v>0</v>
      </c>
    </row>
    <row r="110" spans="9:9" x14ac:dyDescent="0.25">
      <c r="I110">
        <f t="shared" si="3"/>
        <v>0</v>
      </c>
    </row>
    <row r="111" spans="9:9" x14ac:dyDescent="0.25">
      <c r="I111">
        <f t="shared" si="3"/>
        <v>0</v>
      </c>
    </row>
    <row r="112" spans="9:9" x14ac:dyDescent="0.25">
      <c r="I112">
        <f t="shared" si="3"/>
        <v>0</v>
      </c>
    </row>
    <row r="113" spans="1:10" x14ac:dyDescent="0.25">
      <c r="I113">
        <f t="shared" si="3"/>
        <v>0</v>
      </c>
    </row>
    <row r="114" spans="1:10" x14ac:dyDescent="0.25">
      <c r="I114">
        <f t="shared" si="3"/>
        <v>0</v>
      </c>
    </row>
    <row r="115" spans="1:10" ht="15.75" customHeight="1" x14ac:dyDescent="0.25">
      <c r="A115" s="414"/>
      <c r="B115" s="414"/>
      <c r="C115" s="414"/>
      <c r="D115" s="414"/>
      <c r="E115" s="414"/>
      <c r="F115" s="414"/>
      <c r="G115" s="414"/>
      <c r="H115" s="414"/>
      <c r="I115" s="414">
        <f t="shared" si="3"/>
        <v>0</v>
      </c>
      <c r="J115" s="414"/>
    </row>
    <row r="116" spans="1:10" ht="15.75" customHeight="1" x14ac:dyDescent="0.25">
      <c r="I116" s="263">
        <f>SUM(I2:I115)</f>
        <v>0</v>
      </c>
      <c r="J116" s="263">
        <f>SUM(J2:J115)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600-000000000000}"/>
  </hyperlinks>
  <printOptions horizontalCentered="1" verticalCentered="1"/>
  <pageMargins left="0.70866141732282995" right="0.70866141732282995" top="0.74803149606299002" bottom="0.74803149606299002" header="0.31496062992126" footer="0.31496062992126"/>
  <pageSetup paperSize="9" scale="50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0"/>
  <sheetViews>
    <sheetView workbookViewId="0"/>
  </sheetViews>
  <sheetFormatPr defaultColWidth="8.85546875" defaultRowHeight="15" x14ac:dyDescent="0.25"/>
  <cols>
    <col min="1" max="1" width="32.5703125" style="2" customWidth="1"/>
    <col min="2" max="2" width="20.85546875" style="326" customWidth="1"/>
    <col min="3" max="3" width="17" style="326" customWidth="1"/>
    <col min="4" max="4" width="21" style="2" customWidth="1"/>
    <col min="5" max="5" width="10.85546875" style="315" customWidth="1"/>
  </cols>
  <sheetData>
    <row r="1" spans="1:7" ht="15.95" customHeight="1" x14ac:dyDescent="0.3">
      <c r="A1" s="599" t="s">
        <v>327</v>
      </c>
      <c r="B1" s="320" t="s">
        <v>579</v>
      </c>
      <c r="C1" s="321" t="s">
        <v>580</v>
      </c>
      <c r="D1" s="161" t="s">
        <v>581</v>
      </c>
      <c r="E1" s="327" t="s">
        <v>155</v>
      </c>
    </row>
    <row r="2" spans="1:7" ht="15.95" customHeight="1" x14ac:dyDescent="0.25">
      <c r="A2" s="162"/>
      <c r="B2" s="322"/>
      <c r="C2" s="322"/>
      <c r="D2" s="163"/>
      <c r="E2" s="328"/>
    </row>
    <row r="3" spans="1:7" x14ac:dyDescent="0.25">
      <c r="A3" s="99" t="s">
        <v>342</v>
      </c>
      <c r="B3" s="323">
        <v>-3029</v>
      </c>
      <c r="C3" s="323">
        <v>3029</v>
      </c>
      <c r="D3" s="164" t="s">
        <v>582</v>
      </c>
      <c r="E3" s="328">
        <v>0</v>
      </c>
      <c r="F3">
        <v>45756</v>
      </c>
      <c r="G3">
        <v>45756</v>
      </c>
    </row>
    <row r="4" spans="1:7" x14ac:dyDescent="0.25">
      <c r="A4" s="99" t="s">
        <v>351</v>
      </c>
      <c r="B4" s="323">
        <v>-3029</v>
      </c>
      <c r="C4" s="323">
        <v>3029</v>
      </c>
      <c r="D4" s="164" t="s">
        <v>582</v>
      </c>
      <c r="E4" s="328">
        <v>0</v>
      </c>
      <c r="F4">
        <v>30528</v>
      </c>
      <c r="G4">
        <v>30528</v>
      </c>
    </row>
    <row r="5" spans="1:7" x14ac:dyDescent="0.25">
      <c r="A5" s="99" t="s">
        <v>357</v>
      </c>
      <c r="B5" s="323">
        <v>7643</v>
      </c>
      <c r="C5" s="323">
        <v>-7643</v>
      </c>
      <c r="D5" s="164" t="s">
        <v>582</v>
      </c>
      <c r="E5" s="328">
        <v>0</v>
      </c>
      <c r="F5">
        <v>42588</v>
      </c>
      <c r="G5">
        <v>42588</v>
      </c>
    </row>
    <row r="6" spans="1:7" x14ac:dyDescent="0.25">
      <c r="A6" s="99" t="s">
        <v>363</v>
      </c>
      <c r="B6" s="323">
        <v>478</v>
      </c>
      <c r="C6" s="323">
        <v>-478</v>
      </c>
      <c r="D6" s="164" t="s">
        <v>582</v>
      </c>
      <c r="E6" s="328">
        <v>0</v>
      </c>
      <c r="F6">
        <v>29064</v>
      </c>
      <c r="G6">
        <v>29064</v>
      </c>
    </row>
    <row r="7" spans="1:7" x14ac:dyDescent="0.25">
      <c r="A7" s="99" t="s">
        <v>370</v>
      </c>
      <c r="B7" s="323">
        <v>-807</v>
      </c>
      <c r="C7" s="323">
        <v>807</v>
      </c>
      <c r="D7" s="164" t="s">
        <v>582</v>
      </c>
      <c r="E7" s="328">
        <v>0</v>
      </c>
      <c r="F7">
        <v>29856</v>
      </c>
      <c r="G7">
        <v>29856</v>
      </c>
    </row>
    <row r="8" spans="1:7" x14ac:dyDescent="0.25">
      <c r="A8" s="99" t="s">
        <v>376</v>
      </c>
      <c r="B8" s="323">
        <v>-6709</v>
      </c>
      <c r="C8" s="323">
        <v>6709</v>
      </c>
      <c r="D8" s="164" t="s">
        <v>582</v>
      </c>
      <c r="E8" s="328">
        <v>0</v>
      </c>
      <c r="F8">
        <v>30696</v>
      </c>
      <c r="G8">
        <v>30696</v>
      </c>
    </row>
    <row r="9" spans="1:7" x14ac:dyDescent="0.25">
      <c r="A9" s="99" t="s">
        <v>382</v>
      </c>
      <c r="B9" s="323">
        <v>-902</v>
      </c>
      <c r="C9" s="323">
        <v>902</v>
      </c>
      <c r="D9" s="164" t="s">
        <v>582</v>
      </c>
      <c r="E9" s="328">
        <v>0</v>
      </c>
      <c r="F9">
        <v>35826</v>
      </c>
      <c r="G9">
        <v>36411</v>
      </c>
    </row>
    <row r="10" spans="1:7" x14ac:dyDescent="0.25">
      <c r="A10" s="99" t="s">
        <v>389</v>
      </c>
      <c r="B10" s="323">
        <v>-990</v>
      </c>
      <c r="C10" s="323">
        <v>990</v>
      </c>
      <c r="D10" s="164" t="s">
        <v>582</v>
      </c>
      <c r="E10" s="328">
        <v>0</v>
      </c>
      <c r="F10">
        <v>34884</v>
      </c>
      <c r="G10">
        <v>34884</v>
      </c>
    </row>
    <row r="11" spans="1:7" x14ac:dyDescent="0.25">
      <c r="A11" s="99" t="s">
        <v>394</v>
      </c>
      <c r="B11" s="323">
        <v>-5659</v>
      </c>
      <c r="C11" s="323">
        <v>5659</v>
      </c>
      <c r="D11" s="164" t="s">
        <v>582</v>
      </c>
      <c r="E11" s="328">
        <v>0</v>
      </c>
      <c r="F11">
        <v>34800</v>
      </c>
      <c r="G11">
        <v>34800</v>
      </c>
    </row>
    <row r="12" spans="1:7" x14ac:dyDescent="0.25">
      <c r="A12" s="99" t="s">
        <v>395</v>
      </c>
      <c r="B12" s="323">
        <v>-662</v>
      </c>
      <c r="C12" s="323">
        <v>662</v>
      </c>
      <c r="D12" s="164" t="s">
        <v>582</v>
      </c>
      <c r="E12" s="328">
        <v>0</v>
      </c>
      <c r="F12">
        <v>32174</v>
      </c>
      <c r="G12">
        <v>32174</v>
      </c>
    </row>
    <row r="13" spans="1:7" x14ac:dyDescent="0.25">
      <c r="A13" s="99" t="s">
        <v>400</v>
      </c>
      <c r="B13" s="323">
        <v>-1502</v>
      </c>
      <c r="C13" s="323">
        <v>1502</v>
      </c>
      <c r="D13" s="164" t="s">
        <v>582</v>
      </c>
      <c r="E13" s="328">
        <v>0</v>
      </c>
      <c r="F13">
        <v>25044</v>
      </c>
      <c r="G13">
        <v>25044</v>
      </c>
    </row>
    <row r="14" spans="1:7" x14ac:dyDescent="0.25">
      <c r="A14" s="99" t="s">
        <v>405</v>
      </c>
      <c r="B14" s="323">
        <v>-1767</v>
      </c>
      <c r="C14" s="323">
        <v>1767</v>
      </c>
      <c r="D14" s="164" t="s">
        <v>582</v>
      </c>
      <c r="E14" s="328">
        <v>0</v>
      </c>
      <c r="F14">
        <v>34116</v>
      </c>
      <c r="G14">
        <v>34116</v>
      </c>
    </row>
    <row r="15" spans="1:7" x14ac:dyDescent="0.25">
      <c r="A15" s="99" t="s">
        <v>410</v>
      </c>
      <c r="B15" s="323">
        <v>1758</v>
      </c>
      <c r="C15" s="323">
        <v>-1758</v>
      </c>
      <c r="D15" s="164" t="s">
        <v>582</v>
      </c>
      <c r="E15" s="328">
        <v>0</v>
      </c>
      <c r="F15">
        <v>40596</v>
      </c>
      <c r="G15">
        <v>40783</v>
      </c>
    </row>
    <row r="16" spans="1:7" x14ac:dyDescent="0.25">
      <c r="A16" s="99" t="s">
        <v>415</v>
      </c>
      <c r="B16" s="323">
        <v>2409</v>
      </c>
      <c r="C16" s="323">
        <v>-2409</v>
      </c>
      <c r="D16" s="164" t="s">
        <v>582</v>
      </c>
      <c r="E16" s="328">
        <v>0</v>
      </c>
      <c r="F16">
        <v>54192</v>
      </c>
      <c r="G16">
        <v>54192</v>
      </c>
    </row>
    <row r="17" spans="1:7" x14ac:dyDescent="0.25">
      <c r="A17" s="99" t="s">
        <v>419</v>
      </c>
      <c r="B17" s="323">
        <v>-774</v>
      </c>
      <c r="C17" s="323">
        <v>774</v>
      </c>
      <c r="D17" s="164" t="s">
        <v>582</v>
      </c>
      <c r="E17" s="328">
        <v>0</v>
      </c>
      <c r="F17">
        <v>36376</v>
      </c>
      <c r="G17">
        <v>36335</v>
      </c>
    </row>
    <row r="18" spans="1:7" x14ac:dyDescent="0.25">
      <c r="A18" s="99" t="s">
        <v>423</v>
      </c>
      <c r="B18" s="323">
        <v>-6647</v>
      </c>
      <c r="C18" s="323">
        <v>6647</v>
      </c>
      <c r="D18" s="164" t="s">
        <v>582</v>
      </c>
      <c r="E18" s="328">
        <v>0</v>
      </c>
      <c r="F18">
        <v>21336</v>
      </c>
      <c r="G18">
        <v>21336</v>
      </c>
    </row>
    <row r="19" spans="1:7" x14ac:dyDescent="0.25">
      <c r="A19" s="99" t="s">
        <v>429</v>
      </c>
      <c r="B19" s="323">
        <v>0</v>
      </c>
      <c r="C19" s="323">
        <v>0</v>
      </c>
      <c r="D19" s="164" t="s">
        <v>583</v>
      </c>
      <c r="E19" s="328">
        <v>0</v>
      </c>
      <c r="F19">
        <v>15001</v>
      </c>
      <c r="G19">
        <v>15001</v>
      </c>
    </row>
    <row r="20" spans="1:7" x14ac:dyDescent="0.25">
      <c r="A20" s="99" t="s">
        <v>435</v>
      </c>
      <c r="B20" s="323">
        <v>1888</v>
      </c>
      <c r="C20" s="323">
        <v>-1888</v>
      </c>
      <c r="D20" s="164" t="s">
        <v>582</v>
      </c>
      <c r="E20" s="328">
        <v>0</v>
      </c>
      <c r="F20">
        <v>9665</v>
      </c>
      <c r="G20">
        <v>9665</v>
      </c>
    </row>
    <row r="21" spans="1:7" x14ac:dyDescent="0.25">
      <c r="A21" s="99" t="s">
        <v>443</v>
      </c>
      <c r="B21" s="323">
        <v>-6002</v>
      </c>
      <c r="C21" s="323">
        <v>6002</v>
      </c>
      <c r="D21" s="164" t="s">
        <v>582</v>
      </c>
      <c r="E21" s="328">
        <v>0</v>
      </c>
      <c r="F21">
        <v>16440</v>
      </c>
      <c r="G21">
        <v>16440</v>
      </c>
    </row>
    <row r="22" spans="1:7" x14ac:dyDescent="0.25">
      <c r="A22" s="99" t="s">
        <v>449</v>
      </c>
      <c r="B22" s="323">
        <v>1666</v>
      </c>
      <c r="C22" s="323">
        <v>-1666</v>
      </c>
      <c r="D22" s="164" t="s">
        <v>582</v>
      </c>
      <c r="E22" s="328">
        <v>0</v>
      </c>
      <c r="F22">
        <v>49992</v>
      </c>
      <c r="G22">
        <v>49992</v>
      </c>
    </row>
    <row r="23" spans="1:7" x14ac:dyDescent="0.25">
      <c r="A23" s="99"/>
      <c r="B23" s="323"/>
      <c r="C23" s="323"/>
      <c r="D23" s="164"/>
      <c r="E23" s="328"/>
    </row>
    <row r="24" spans="1:7" x14ac:dyDescent="0.25">
      <c r="A24" s="99"/>
      <c r="B24" s="323"/>
      <c r="C24" s="323"/>
      <c r="D24" s="164"/>
      <c r="E24" s="328"/>
    </row>
    <row r="25" spans="1:7" x14ac:dyDescent="0.25">
      <c r="A25" s="99"/>
      <c r="B25" s="323"/>
      <c r="C25" s="323"/>
      <c r="D25" s="164"/>
      <c r="E25" s="328"/>
    </row>
    <row r="26" spans="1:7" x14ac:dyDescent="0.25">
      <c r="A26" s="99"/>
      <c r="B26" s="323"/>
      <c r="C26" s="323"/>
      <c r="D26" s="164"/>
      <c r="E26" s="328"/>
    </row>
    <row r="27" spans="1:7" x14ac:dyDescent="0.25">
      <c r="A27" s="99"/>
      <c r="B27" s="323"/>
      <c r="C27" s="323"/>
      <c r="D27" s="164"/>
      <c r="E27" s="328"/>
    </row>
    <row r="28" spans="1:7" x14ac:dyDescent="0.25">
      <c r="A28" s="99"/>
      <c r="B28" s="323"/>
      <c r="C28" s="323"/>
      <c r="D28" s="164"/>
      <c r="E28" s="328"/>
    </row>
    <row r="29" spans="1:7" x14ac:dyDescent="0.25">
      <c r="A29" s="99"/>
      <c r="B29" s="323"/>
      <c r="C29" s="323"/>
      <c r="D29" s="164"/>
      <c r="E29" s="328"/>
    </row>
    <row r="30" spans="1:7" x14ac:dyDescent="0.25">
      <c r="A30" s="99"/>
      <c r="B30" s="323"/>
      <c r="C30" s="323"/>
      <c r="D30" s="164"/>
      <c r="E30" s="328"/>
    </row>
    <row r="31" spans="1:7" x14ac:dyDescent="0.25">
      <c r="A31" s="99"/>
      <c r="B31" s="323"/>
      <c r="C31" s="323"/>
      <c r="D31" s="164"/>
      <c r="E31" s="328"/>
    </row>
    <row r="32" spans="1:7" x14ac:dyDescent="0.25">
      <c r="A32" s="99"/>
      <c r="B32" s="323"/>
      <c r="C32" s="323"/>
      <c r="D32" s="164"/>
      <c r="E32" s="328"/>
    </row>
    <row r="33" spans="1:5" x14ac:dyDescent="0.25">
      <c r="A33" s="99"/>
      <c r="B33" s="323"/>
      <c r="C33" s="323"/>
      <c r="D33" s="164"/>
      <c r="E33" s="328"/>
    </row>
    <row r="34" spans="1:5" x14ac:dyDescent="0.25">
      <c r="A34" s="99"/>
      <c r="B34" s="323"/>
      <c r="C34" s="323"/>
      <c r="D34" s="164"/>
      <c r="E34" s="328"/>
    </row>
    <row r="35" spans="1:5" x14ac:dyDescent="0.25">
      <c r="A35" s="99"/>
      <c r="B35" s="323"/>
      <c r="C35" s="323"/>
      <c r="D35" s="164"/>
      <c r="E35" s="328"/>
    </row>
    <row r="36" spans="1:5" x14ac:dyDescent="0.25">
      <c r="A36" s="99"/>
      <c r="B36" s="323"/>
      <c r="C36" s="323"/>
      <c r="D36" s="164"/>
      <c r="E36" s="328"/>
    </row>
    <row r="37" spans="1:5" x14ac:dyDescent="0.25">
      <c r="A37" s="99"/>
      <c r="B37" s="323"/>
      <c r="C37" s="323"/>
      <c r="D37" s="164"/>
      <c r="E37" s="328"/>
    </row>
    <row r="38" spans="1:5" x14ac:dyDescent="0.25">
      <c r="A38" s="99"/>
      <c r="B38" s="323"/>
      <c r="C38" s="323"/>
      <c r="D38" s="164"/>
      <c r="E38" s="328"/>
    </row>
    <row r="39" spans="1:5" x14ac:dyDescent="0.25">
      <c r="A39" s="99"/>
      <c r="B39" s="323"/>
      <c r="C39" s="323"/>
      <c r="D39" s="164"/>
      <c r="E39" s="328"/>
    </row>
    <row r="40" spans="1:5" x14ac:dyDescent="0.25">
      <c r="A40" s="99"/>
      <c r="B40" s="323"/>
      <c r="C40" s="323"/>
      <c r="D40" s="164"/>
      <c r="E40" s="328"/>
    </row>
    <row r="41" spans="1:5" x14ac:dyDescent="0.25">
      <c r="A41" s="99"/>
      <c r="B41" s="323"/>
      <c r="C41" s="323"/>
      <c r="D41" s="164"/>
      <c r="E41" s="328"/>
    </row>
    <row r="42" spans="1:5" x14ac:dyDescent="0.25">
      <c r="A42" s="99"/>
      <c r="B42" s="323"/>
      <c r="C42" s="323"/>
      <c r="D42" s="164"/>
      <c r="E42" s="328"/>
    </row>
    <row r="43" spans="1:5" x14ac:dyDescent="0.25">
      <c r="A43" s="99"/>
      <c r="B43" s="323"/>
      <c r="C43" s="323"/>
      <c r="D43" s="164"/>
      <c r="E43" s="328"/>
    </row>
    <row r="44" spans="1:5" x14ac:dyDescent="0.25">
      <c r="A44" s="99"/>
      <c r="B44" s="323"/>
      <c r="C44" s="323"/>
      <c r="D44" s="164"/>
      <c r="E44" s="328"/>
    </row>
    <row r="45" spans="1:5" x14ac:dyDescent="0.25">
      <c r="A45" s="99"/>
      <c r="B45" s="323"/>
      <c r="C45" s="323"/>
      <c r="D45" s="164"/>
      <c r="E45" s="328"/>
    </row>
    <row r="46" spans="1:5" x14ac:dyDescent="0.25">
      <c r="A46" s="99"/>
      <c r="B46" s="323"/>
      <c r="C46" s="323"/>
      <c r="D46" s="164"/>
      <c r="E46" s="328"/>
    </row>
    <row r="47" spans="1:5" x14ac:dyDescent="0.25">
      <c r="A47" s="99"/>
      <c r="B47" s="323"/>
      <c r="C47" s="323"/>
      <c r="D47" s="164"/>
      <c r="E47" s="328"/>
    </row>
    <row r="48" spans="1:5" x14ac:dyDescent="0.25">
      <c r="A48" s="99"/>
      <c r="B48" s="323"/>
      <c r="C48" s="323"/>
      <c r="D48" s="164"/>
      <c r="E48" s="328"/>
    </row>
    <row r="49" spans="1:5" x14ac:dyDescent="0.25">
      <c r="A49" s="99"/>
      <c r="B49" s="323"/>
      <c r="C49" s="323"/>
      <c r="D49" s="164"/>
      <c r="E49" s="328"/>
    </row>
    <row r="50" spans="1:5" x14ac:dyDescent="0.25">
      <c r="A50" s="99"/>
      <c r="B50" s="323"/>
      <c r="C50" s="323"/>
      <c r="D50" s="164"/>
      <c r="E50" s="328"/>
    </row>
    <row r="51" spans="1:5" x14ac:dyDescent="0.25">
      <c r="A51" s="99"/>
      <c r="B51" s="323"/>
      <c r="C51" s="323"/>
      <c r="D51" s="164"/>
      <c r="E51" s="328"/>
    </row>
    <row r="52" spans="1:5" x14ac:dyDescent="0.25">
      <c r="A52" s="99"/>
      <c r="B52" s="323"/>
      <c r="C52" s="323"/>
      <c r="D52" s="164"/>
      <c r="E52" s="328"/>
    </row>
    <row r="53" spans="1:5" x14ac:dyDescent="0.25">
      <c r="A53" s="99"/>
      <c r="B53" s="323"/>
      <c r="C53" s="323"/>
      <c r="D53" s="164"/>
      <c r="E53" s="328"/>
    </row>
    <row r="54" spans="1:5" x14ac:dyDescent="0.25">
      <c r="A54" s="99"/>
      <c r="B54" s="323"/>
      <c r="C54" s="323"/>
      <c r="D54" s="164"/>
      <c r="E54" s="328"/>
    </row>
    <row r="55" spans="1:5" x14ac:dyDescent="0.25">
      <c r="A55" s="99"/>
      <c r="B55" s="323"/>
      <c r="C55" s="323"/>
      <c r="D55" s="164"/>
      <c r="E55" s="328"/>
    </row>
    <row r="56" spans="1:5" x14ac:dyDescent="0.25">
      <c r="A56" s="99"/>
      <c r="B56" s="323"/>
      <c r="C56" s="323"/>
      <c r="D56" s="164"/>
      <c r="E56" s="328"/>
    </row>
    <row r="57" spans="1:5" x14ac:dyDescent="0.25">
      <c r="A57" s="99"/>
      <c r="B57" s="323"/>
      <c r="C57" s="323"/>
      <c r="D57" s="164"/>
      <c r="E57" s="328"/>
    </row>
    <row r="58" spans="1:5" x14ac:dyDescent="0.25">
      <c r="A58" s="99"/>
      <c r="B58" s="323"/>
      <c r="C58" s="323"/>
      <c r="D58" s="164"/>
      <c r="E58" s="328"/>
    </row>
    <row r="59" spans="1:5" x14ac:dyDescent="0.25">
      <c r="A59" s="99"/>
      <c r="B59" s="323"/>
      <c r="C59" s="323"/>
      <c r="D59" s="164"/>
      <c r="E59" s="328"/>
    </row>
    <row r="60" spans="1:5" x14ac:dyDescent="0.25">
      <c r="A60" s="99"/>
      <c r="B60" s="323"/>
      <c r="C60" s="323"/>
      <c r="D60" s="164"/>
      <c r="E60" s="328"/>
    </row>
    <row r="61" spans="1:5" x14ac:dyDescent="0.25">
      <c r="A61" s="99"/>
      <c r="B61" s="323"/>
      <c r="C61" s="323"/>
      <c r="D61" s="164"/>
      <c r="E61" s="328"/>
    </row>
    <row r="62" spans="1:5" x14ac:dyDescent="0.25">
      <c r="A62" s="99"/>
      <c r="B62" s="323"/>
      <c r="C62" s="323"/>
      <c r="D62" s="164"/>
      <c r="E62" s="328"/>
    </row>
    <row r="63" spans="1:5" x14ac:dyDescent="0.25">
      <c r="A63" s="99"/>
      <c r="B63" s="323"/>
      <c r="C63" s="323"/>
      <c r="D63" s="164"/>
      <c r="E63" s="328"/>
    </row>
    <row r="64" spans="1:5" x14ac:dyDescent="0.25">
      <c r="A64" s="99"/>
      <c r="B64" s="323"/>
      <c r="C64" s="323"/>
      <c r="D64" s="164"/>
      <c r="E64" s="328"/>
    </row>
    <row r="65" spans="1:5" x14ac:dyDescent="0.25">
      <c r="A65" s="99"/>
      <c r="B65" s="323"/>
      <c r="C65" s="323"/>
      <c r="D65" s="164"/>
      <c r="E65" s="328"/>
    </row>
    <row r="66" spans="1:5" x14ac:dyDescent="0.25">
      <c r="A66" s="99"/>
      <c r="B66" s="323"/>
      <c r="C66" s="323"/>
      <c r="D66" s="164"/>
      <c r="E66" s="328"/>
    </row>
    <row r="67" spans="1:5" x14ac:dyDescent="0.25">
      <c r="A67" s="99"/>
      <c r="B67" s="323"/>
      <c r="C67" s="323"/>
      <c r="D67" s="164"/>
      <c r="E67" s="328"/>
    </row>
    <row r="68" spans="1:5" x14ac:dyDescent="0.25">
      <c r="A68" s="99"/>
      <c r="B68" s="323"/>
      <c r="C68" s="323"/>
      <c r="D68" s="164"/>
      <c r="E68" s="328"/>
    </row>
    <row r="69" spans="1:5" x14ac:dyDescent="0.25">
      <c r="A69" s="99"/>
      <c r="B69" s="323"/>
      <c r="C69" s="323"/>
      <c r="D69" s="164"/>
      <c r="E69" s="328"/>
    </row>
    <row r="70" spans="1:5" x14ac:dyDescent="0.25">
      <c r="A70" s="99"/>
      <c r="B70" s="323"/>
      <c r="C70" s="323"/>
      <c r="D70" s="164"/>
      <c r="E70" s="328"/>
    </row>
    <row r="71" spans="1:5" x14ac:dyDescent="0.25">
      <c r="A71" s="99"/>
      <c r="B71" s="323"/>
      <c r="C71" s="323"/>
      <c r="D71" s="164"/>
      <c r="E71" s="328"/>
    </row>
    <row r="72" spans="1:5" x14ac:dyDescent="0.25">
      <c r="A72" s="99"/>
      <c r="B72" s="323"/>
      <c r="C72" s="323"/>
      <c r="D72" s="164"/>
      <c r="E72" s="328"/>
    </row>
    <row r="73" spans="1:5" x14ac:dyDescent="0.25">
      <c r="A73" s="99"/>
      <c r="B73" s="323"/>
      <c r="C73" s="323"/>
      <c r="D73" s="164"/>
      <c r="E73" s="328"/>
    </row>
    <row r="74" spans="1:5" x14ac:dyDescent="0.25">
      <c r="A74" s="99"/>
      <c r="B74" s="323"/>
      <c r="C74" s="323"/>
      <c r="D74" s="164"/>
      <c r="E74" s="328"/>
    </row>
    <row r="75" spans="1:5" x14ac:dyDescent="0.25">
      <c r="A75" s="99"/>
      <c r="B75" s="323"/>
      <c r="C75" s="323"/>
      <c r="D75" s="164"/>
      <c r="E75" s="328"/>
    </row>
    <row r="76" spans="1:5" x14ac:dyDescent="0.25">
      <c r="A76" s="99"/>
      <c r="B76" s="323"/>
      <c r="C76" s="323"/>
      <c r="D76" s="164"/>
      <c r="E76" s="328"/>
    </row>
    <row r="77" spans="1:5" x14ac:dyDescent="0.25">
      <c r="A77" s="99"/>
      <c r="B77" s="323"/>
      <c r="C77" s="323"/>
      <c r="D77" s="164"/>
      <c r="E77" s="328"/>
    </row>
    <row r="78" spans="1:5" x14ac:dyDescent="0.25">
      <c r="A78" s="99"/>
      <c r="B78" s="323"/>
      <c r="C78" s="323"/>
      <c r="D78" s="164"/>
      <c r="E78" s="328"/>
    </row>
    <row r="79" spans="1:5" x14ac:dyDescent="0.25">
      <c r="A79" s="99"/>
      <c r="B79" s="323"/>
      <c r="C79" s="323"/>
      <c r="D79" s="164"/>
      <c r="E79" s="328"/>
    </row>
    <row r="80" spans="1:5" x14ac:dyDescent="0.25">
      <c r="A80" s="99"/>
      <c r="B80" s="323"/>
      <c r="C80" s="323"/>
      <c r="D80" s="164"/>
      <c r="E80" s="328"/>
    </row>
    <row r="81" spans="1:5" x14ac:dyDescent="0.25">
      <c r="A81" s="99"/>
      <c r="B81" s="323"/>
      <c r="C81" s="323"/>
      <c r="D81" s="164"/>
      <c r="E81" s="328"/>
    </row>
    <row r="82" spans="1:5" x14ac:dyDescent="0.25">
      <c r="A82" s="99"/>
      <c r="B82" s="323"/>
      <c r="C82" s="323"/>
      <c r="D82" s="164"/>
      <c r="E82" s="328"/>
    </row>
    <row r="83" spans="1:5" x14ac:dyDescent="0.25">
      <c r="A83" s="99"/>
      <c r="B83" s="323"/>
      <c r="C83" s="323"/>
      <c r="D83" s="164"/>
      <c r="E83" s="328"/>
    </row>
    <row r="84" spans="1:5" x14ac:dyDescent="0.25">
      <c r="A84" s="99"/>
      <c r="B84" s="323"/>
      <c r="C84" s="323"/>
      <c r="D84" s="164"/>
      <c r="E84" s="328"/>
    </row>
    <row r="85" spans="1:5" x14ac:dyDescent="0.25">
      <c r="A85" s="99"/>
      <c r="B85" s="323"/>
      <c r="C85" s="323"/>
      <c r="D85" s="164"/>
      <c r="E85" s="328"/>
    </row>
    <row r="86" spans="1:5" x14ac:dyDescent="0.25">
      <c r="A86" s="99"/>
      <c r="B86" s="323"/>
      <c r="C86" s="323"/>
      <c r="D86" s="164"/>
      <c r="E86" s="328"/>
    </row>
    <row r="87" spans="1:5" x14ac:dyDescent="0.25">
      <c r="A87" s="99"/>
      <c r="B87" s="323"/>
      <c r="C87" s="323"/>
      <c r="D87" s="164"/>
      <c r="E87" s="328"/>
    </row>
    <row r="88" spans="1:5" x14ac:dyDescent="0.25">
      <c r="A88" s="99"/>
      <c r="B88" s="323"/>
      <c r="C88" s="323"/>
      <c r="D88" s="164"/>
      <c r="E88" s="328"/>
    </row>
    <row r="89" spans="1:5" x14ac:dyDescent="0.25">
      <c r="A89" s="99"/>
      <c r="B89" s="323"/>
      <c r="C89" s="323"/>
      <c r="D89" s="164"/>
      <c r="E89" s="328"/>
    </row>
    <row r="90" spans="1:5" x14ac:dyDescent="0.25">
      <c r="A90" s="99"/>
      <c r="B90" s="323"/>
      <c r="C90" s="323"/>
      <c r="D90" s="164"/>
      <c r="E90" s="328"/>
    </row>
    <row r="91" spans="1:5" x14ac:dyDescent="0.25">
      <c r="A91" s="99"/>
      <c r="B91" s="323"/>
      <c r="C91" s="323"/>
      <c r="D91" s="164"/>
      <c r="E91" s="328"/>
    </row>
    <row r="92" spans="1:5" x14ac:dyDescent="0.25">
      <c r="A92" s="99"/>
      <c r="B92" s="323"/>
      <c r="C92" s="323"/>
      <c r="D92" s="164"/>
      <c r="E92" s="328"/>
    </row>
    <row r="93" spans="1:5" x14ac:dyDescent="0.25">
      <c r="A93" s="99"/>
      <c r="B93" s="323"/>
      <c r="C93" s="323"/>
      <c r="D93" s="164"/>
      <c r="E93" s="328"/>
    </row>
    <row r="94" spans="1:5" x14ac:dyDescent="0.25">
      <c r="A94" s="99"/>
      <c r="B94" s="323"/>
      <c r="C94" s="323"/>
      <c r="D94" s="164"/>
      <c r="E94" s="328"/>
    </row>
    <row r="95" spans="1:5" x14ac:dyDescent="0.25">
      <c r="A95" s="99"/>
      <c r="B95" s="323"/>
      <c r="C95" s="323"/>
      <c r="D95" s="164"/>
      <c r="E95" s="328"/>
    </row>
    <row r="96" spans="1:5" x14ac:dyDescent="0.25">
      <c r="A96" s="99"/>
      <c r="B96" s="323"/>
      <c r="C96" s="323"/>
      <c r="D96" s="164"/>
      <c r="E96" s="328"/>
    </row>
    <row r="97" spans="1:5" x14ac:dyDescent="0.25">
      <c r="A97" s="99"/>
      <c r="B97" s="323"/>
      <c r="C97" s="323"/>
      <c r="D97" s="164"/>
      <c r="E97" s="328"/>
    </row>
    <row r="98" spans="1:5" x14ac:dyDescent="0.25">
      <c r="A98" s="99"/>
      <c r="B98" s="323"/>
      <c r="C98" s="323"/>
      <c r="D98" s="164"/>
      <c r="E98" s="328"/>
    </row>
    <row r="99" spans="1:5" x14ac:dyDescent="0.25">
      <c r="A99" s="99"/>
      <c r="B99" s="323"/>
      <c r="C99" s="323"/>
      <c r="D99" s="164"/>
      <c r="E99" s="328"/>
    </row>
    <row r="100" spans="1:5" x14ac:dyDescent="0.25">
      <c r="A100" s="99"/>
      <c r="B100" s="323"/>
      <c r="C100" s="323"/>
      <c r="D100" s="164"/>
      <c r="E100" s="328"/>
    </row>
    <row r="101" spans="1:5" x14ac:dyDescent="0.25">
      <c r="A101" s="99"/>
      <c r="B101" s="323"/>
      <c r="C101" s="323"/>
      <c r="D101" s="164"/>
      <c r="E101" s="328"/>
    </row>
    <row r="102" spans="1:5" x14ac:dyDescent="0.25">
      <c r="A102" s="99"/>
      <c r="B102" s="323"/>
      <c r="C102" s="323"/>
      <c r="D102" s="164"/>
      <c r="E102" s="328"/>
    </row>
    <row r="103" spans="1:5" ht="15.95" customHeight="1" x14ac:dyDescent="0.25">
      <c r="A103" s="108"/>
      <c r="B103" s="324"/>
      <c r="C103" s="324"/>
      <c r="D103" s="165"/>
      <c r="E103" s="328"/>
    </row>
    <row r="104" spans="1:5" ht="15.95" customHeight="1" x14ac:dyDescent="0.25">
      <c r="A104" s="162"/>
      <c r="B104" s="325">
        <f>SUM(B2:B103)</f>
        <v>-22637</v>
      </c>
      <c r="C104" s="322"/>
      <c r="D104" s="163"/>
      <c r="E104" s="329">
        <f>SUM(E2:E103)</f>
        <v>0</v>
      </c>
    </row>
    <row r="110" spans="1:5" x14ac:dyDescent="0.25">
      <c r="A110" s="27"/>
    </row>
  </sheetData>
  <sheetProtection formatCells="0" formatColumns="0" formatRows="0" insertColumns="0" insertRows="0" insertHyperlinks="0" deleteColumns="0" deleteRows="0" sort="0" autoFilter="0" pivotTables="0"/>
  <autoFilter ref="A1:E104" xr:uid="{00000000-0009-0000-0000-000017000000}"/>
  <hyperlinks>
    <hyperlink ref="A1" location="Seznam!A1" display="Jednotky" xr:uid="{00000000-0004-0000-1700-000000000000}"/>
  </hyperlinks>
  <pageMargins left="0.7" right="0.7" top="0.78740157499999996" bottom="0.78740157499999996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01"/>
  <sheetViews>
    <sheetView workbookViewId="0"/>
  </sheetViews>
  <sheetFormatPr defaultRowHeight="15" x14ac:dyDescent="0.25"/>
  <cols>
    <col min="1" max="1" width="26.85546875" style="173" customWidth="1"/>
    <col min="2" max="10" width="9.140625" customWidth="1"/>
    <col min="11" max="13" width="10.140625" customWidth="1"/>
    <col min="14" max="14" width="9.85546875" customWidth="1"/>
    <col min="15" max="15" width="9.140625" customWidth="1"/>
    <col min="16" max="16" width="13.42578125" style="285" customWidth="1"/>
    <col min="17" max="17" width="26.85546875" style="288" customWidth="1"/>
    <col min="18" max="18" width="9.140625" customWidth="1"/>
  </cols>
  <sheetData>
    <row r="1" spans="1:25" ht="18.75" customHeight="1" x14ac:dyDescent="0.3">
      <c r="A1" s="598" t="s">
        <v>182</v>
      </c>
      <c r="B1" s="65" t="str">
        <f>("01/"&amp;'vstupní data'!$B$12&amp;" ")</f>
        <v xml:space="preserve">01/2024 </v>
      </c>
      <c r="C1" s="65" t="str">
        <f>("02/"&amp;'vstupní data'!$B$12&amp;" ")</f>
        <v xml:space="preserve">02/2024 </v>
      </c>
      <c r="D1" s="65" t="str">
        <f>("03/"&amp;'vstupní data'!$B$12&amp;" ")</f>
        <v xml:space="preserve">03/2024 </v>
      </c>
      <c r="E1" s="65" t="str">
        <f>("04/"&amp;'vstupní data'!$B$12&amp;" ")</f>
        <v xml:space="preserve">04/2024 </v>
      </c>
      <c r="F1" s="65" t="str">
        <f>("05/"&amp;'vstupní data'!$B$12&amp;" ")</f>
        <v xml:space="preserve">05/2024 </v>
      </c>
      <c r="G1" s="65" t="str">
        <f>("06/"&amp;'vstupní data'!$B$12&amp;" ")</f>
        <v xml:space="preserve">06/2024 </v>
      </c>
      <c r="H1" s="65" t="str">
        <f>("07/"&amp;'vstupní data'!$B$12&amp;" ")</f>
        <v xml:space="preserve">07/2024 </v>
      </c>
      <c r="I1" s="65" t="str">
        <f>("08/"&amp;'vstupní data'!$B$12&amp;" ")</f>
        <v xml:space="preserve">08/2024 </v>
      </c>
      <c r="J1" s="65" t="str">
        <f>("09/"&amp;'vstupní data'!$B$12&amp;" ")</f>
        <v xml:space="preserve">09/2024 </v>
      </c>
      <c r="K1" s="65" t="str">
        <f>("10/"&amp;'vstupní data'!$B$12&amp;" ")</f>
        <v xml:space="preserve">10/2024 </v>
      </c>
      <c r="L1" s="65" t="str">
        <f>("11/"&amp;'vstupní data'!$B$12&amp;" ")</f>
        <v xml:space="preserve">11/2024 </v>
      </c>
      <c r="M1" s="65" t="str">
        <f>("12/"&amp;'vstupní data'!$B$12&amp;" ")</f>
        <v xml:space="preserve">12/2024 </v>
      </c>
      <c r="N1" s="167" t="s">
        <v>202</v>
      </c>
      <c r="P1" s="283" t="s">
        <v>584</v>
      </c>
      <c r="Q1" s="283" t="s">
        <v>585</v>
      </c>
    </row>
    <row r="2" spans="1:25" x14ac:dyDescent="0.25">
      <c r="A2" s="170" t="s">
        <v>342</v>
      </c>
      <c r="B2" s="171">
        <v>3813</v>
      </c>
      <c r="C2" s="171">
        <v>0</v>
      </c>
      <c r="D2" s="171">
        <v>7626</v>
      </c>
      <c r="E2" s="171">
        <v>3813</v>
      </c>
      <c r="F2" s="171">
        <v>0</v>
      </c>
      <c r="G2" s="171">
        <v>7626</v>
      </c>
      <c r="H2" s="171">
        <v>7626</v>
      </c>
      <c r="I2" s="171">
        <v>0</v>
      </c>
      <c r="J2" s="171">
        <v>0</v>
      </c>
      <c r="K2" s="171">
        <v>7626</v>
      </c>
      <c r="L2" s="171">
        <v>7626</v>
      </c>
      <c r="M2" s="171">
        <v>0</v>
      </c>
      <c r="N2" s="169">
        <f t="shared" ref="N2:N33" si="0">SUM(B2:M2)</f>
        <v>45756</v>
      </c>
      <c r="O2" s="27"/>
      <c r="P2" s="284">
        <f>VLOOKUP(A2,'Předpis po mesici'!$A$1:$JQ$103,274,0)*12</f>
        <v>45756</v>
      </c>
      <c r="Q2" s="286">
        <f t="shared" ref="Q2:Q33" si="1">SUM(B2:M2)-P2</f>
        <v>0</v>
      </c>
      <c r="R2" s="27"/>
      <c r="S2" s="27"/>
      <c r="T2" s="27"/>
      <c r="U2" s="27"/>
      <c r="V2" s="27"/>
      <c r="W2" s="27"/>
      <c r="X2" s="27"/>
      <c r="Y2" s="27"/>
    </row>
    <row r="3" spans="1:25" x14ac:dyDescent="0.25">
      <c r="A3" s="168" t="s">
        <v>351</v>
      </c>
      <c r="B3" s="65">
        <v>2544</v>
      </c>
      <c r="C3" s="65">
        <v>2544</v>
      </c>
      <c r="D3" s="65">
        <v>2544</v>
      </c>
      <c r="E3" s="65">
        <v>2544</v>
      </c>
      <c r="F3" s="65">
        <v>2544</v>
      </c>
      <c r="G3" s="65">
        <v>2544</v>
      </c>
      <c r="H3" s="65">
        <v>0</v>
      </c>
      <c r="I3" s="65">
        <v>5088</v>
      </c>
      <c r="J3" s="65">
        <v>0</v>
      </c>
      <c r="K3" s="65">
        <v>7632</v>
      </c>
      <c r="L3" s="65">
        <v>0</v>
      </c>
      <c r="M3" s="65">
        <v>2544</v>
      </c>
      <c r="N3" s="169">
        <f t="shared" si="0"/>
        <v>30528</v>
      </c>
      <c r="O3" s="27"/>
      <c r="P3" s="284">
        <f>VLOOKUP(A3,'Předpis po mesici'!$A$1:$JQ$103,274,0)*12</f>
        <v>30528</v>
      </c>
      <c r="Q3" s="286">
        <f t="shared" si="1"/>
        <v>0</v>
      </c>
      <c r="R3" s="27"/>
      <c r="S3" s="27"/>
      <c r="T3" s="27"/>
      <c r="U3" s="27"/>
      <c r="V3" s="27"/>
      <c r="W3" s="27"/>
      <c r="X3" s="27"/>
      <c r="Y3" s="27"/>
    </row>
    <row r="4" spans="1:25" x14ac:dyDescent="0.25">
      <c r="A4" s="170" t="s">
        <v>357</v>
      </c>
      <c r="B4" s="171">
        <v>3549</v>
      </c>
      <c r="C4" s="171">
        <v>3549</v>
      </c>
      <c r="D4" s="171">
        <v>3549</v>
      </c>
      <c r="E4" s="171">
        <v>3549</v>
      </c>
      <c r="F4" s="171">
        <v>3549</v>
      </c>
      <c r="G4" s="171">
        <v>3549</v>
      </c>
      <c r="H4" s="171">
        <v>3549</v>
      </c>
      <c r="I4" s="171">
        <v>3549</v>
      </c>
      <c r="J4" s="171">
        <v>3549</v>
      </c>
      <c r="K4" s="171">
        <v>3549</v>
      </c>
      <c r="L4" s="171">
        <v>3549</v>
      </c>
      <c r="M4" s="171">
        <v>3549</v>
      </c>
      <c r="N4" s="169">
        <f t="shared" si="0"/>
        <v>42588</v>
      </c>
      <c r="O4" s="27"/>
      <c r="P4" s="284">
        <f>VLOOKUP(A4,'Předpis po mesici'!$A$1:$JQ$103,274,0)*12</f>
        <v>42588</v>
      </c>
      <c r="Q4" s="286">
        <f t="shared" si="1"/>
        <v>0</v>
      </c>
      <c r="R4" s="27"/>
      <c r="S4" s="27"/>
      <c r="T4" s="27"/>
      <c r="U4" s="27"/>
      <c r="V4" s="27"/>
      <c r="W4" s="27"/>
      <c r="X4" s="27"/>
      <c r="Y4" s="27"/>
    </row>
    <row r="5" spans="1:25" x14ac:dyDescent="0.25">
      <c r="A5" s="168" t="s">
        <v>363</v>
      </c>
      <c r="B5" s="65">
        <v>2422</v>
      </c>
      <c r="C5" s="65">
        <v>2422</v>
      </c>
      <c r="D5" s="65">
        <v>2422</v>
      </c>
      <c r="E5" s="65">
        <v>2422</v>
      </c>
      <c r="F5" s="65">
        <v>2422</v>
      </c>
      <c r="G5" s="65">
        <v>2422</v>
      </c>
      <c r="H5" s="65">
        <v>2422</v>
      </c>
      <c r="I5" s="65">
        <v>2422</v>
      </c>
      <c r="J5" s="65">
        <v>2422</v>
      </c>
      <c r="K5" s="65">
        <v>2422</v>
      </c>
      <c r="L5" s="65">
        <v>2422</v>
      </c>
      <c r="M5" s="65">
        <v>2422</v>
      </c>
      <c r="N5" s="169">
        <f t="shared" si="0"/>
        <v>29064</v>
      </c>
      <c r="O5" s="27"/>
      <c r="P5" s="284">
        <f>VLOOKUP(A5,'Předpis po mesici'!$A$1:$JQ$103,274,0)*12</f>
        <v>29064</v>
      </c>
      <c r="Q5" s="286">
        <f t="shared" si="1"/>
        <v>0</v>
      </c>
      <c r="R5" s="27"/>
      <c r="S5" s="27"/>
      <c r="T5" s="27"/>
      <c r="U5" s="27"/>
      <c r="V5" s="27"/>
      <c r="W5" s="27"/>
      <c r="X5" s="27"/>
      <c r="Y5" s="27"/>
    </row>
    <row r="6" spans="1:25" x14ac:dyDescent="0.25">
      <c r="A6" s="170" t="s">
        <v>370</v>
      </c>
      <c r="B6" s="171">
        <v>2488</v>
      </c>
      <c r="C6" s="171">
        <v>2488</v>
      </c>
      <c r="D6" s="171">
        <v>2488</v>
      </c>
      <c r="E6" s="171">
        <v>2488</v>
      </c>
      <c r="F6" s="171">
        <v>2488</v>
      </c>
      <c r="G6" s="171">
        <v>2488</v>
      </c>
      <c r="H6" s="171">
        <v>2488</v>
      </c>
      <c r="I6" s="171">
        <v>2488</v>
      </c>
      <c r="J6" s="171">
        <v>2488</v>
      </c>
      <c r="K6" s="171">
        <v>2488</v>
      </c>
      <c r="L6" s="171">
        <v>2488</v>
      </c>
      <c r="M6" s="171">
        <v>2488</v>
      </c>
      <c r="N6" s="169">
        <f t="shared" si="0"/>
        <v>29856</v>
      </c>
      <c r="O6" s="27"/>
      <c r="P6" s="284">
        <f>VLOOKUP(A6,'Předpis po mesici'!$A$1:$JQ$103,274,0)*12</f>
        <v>29856</v>
      </c>
      <c r="Q6" s="286">
        <f t="shared" si="1"/>
        <v>0</v>
      </c>
      <c r="R6" s="27"/>
      <c r="S6" s="27"/>
      <c r="T6" s="27"/>
      <c r="U6" s="27"/>
      <c r="V6" s="27"/>
      <c r="W6" s="27"/>
      <c r="X6" s="27"/>
      <c r="Y6" s="27"/>
    </row>
    <row r="7" spans="1:25" x14ac:dyDescent="0.25">
      <c r="A7" s="168" t="s">
        <v>382</v>
      </c>
      <c r="B7" s="65">
        <v>2693</v>
      </c>
      <c r="C7" s="65">
        <v>2693</v>
      </c>
      <c r="D7" s="65">
        <v>2693</v>
      </c>
      <c r="E7" s="65">
        <v>2693</v>
      </c>
      <c r="F7" s="65">
        <v>2693</v>
      </c>
      <c r="G7" s="65">
        <v>3278</v>
      </c>
      <c r="H7" s="65">
        <v>3278</v>
      </c>
      <c r="I7" s="65">
        <v>3278</v>
      </c>
      <c r="J7" s="65">
        <v>3278</v>
      </c>
      <c r="K7" s="65">
        <v>3278</v>
      </c>
      <c r="L7" s="65">
        <v>3278</v>
      </c>
      <c r="M7" s="65">
        <v>3278</v>
      </c>
      <c r="N7" s="169">
        <f t="shared" si="0"/>
        <v>36411</v>
      </c>
      <c r="O7" s="27"/>
      <c r="P7" s="284">
        <f>VLOOKUP(A7,'Předpis po mesici'!$A$1:$JQ$103,274,0)*12</f>
        <v>39336</v>
      </c>
      <c r="Q7" s="286">
        <f t="shared" si="1"/>
        <v>-2925</v>
      </c>
      <c r="R7" s="27"/>
      <c r="S7" s="27"/>
      <c r="T7" s="27"/>
      <c r="U7" s="27"/>
      <c r="V7" s="27"/>
      <c r="W7" s="27"/>
      <c r="X7" s="27"/>
      <c r="Y7" s="27"/>
    </row>
    <row r="8" spans="1:25" x14ac:dyDescent="0.25">
      <c r="A8" s="170" t="s">
        <v>389</v>
      </c>
      <c r="B8" s="171">
        <v>2907</v>
      </c>
      <c r="C8" s="171">
        <v>2907</v>
      </c>
      <c r="D8" s="171">
        <v>2907</v>
      </c>
      <c r="E8" s="171">
        <v>2907</v>
      </c>
      <c r="F8" s="171">
        <v>2907</v>
      </c>
      <c r="G8" s="171">
        <v>2907</v>
      </c>
      <c r="H8" s="171">
        <v>2907</v>
      </c>
      <c r="I8" s="171">
        <v>2907</v>
      </c>
      <c r="J8" s="171">
        <v>2907</v>
      </c>
      <c r="K8" s="171">
        <v>2907</v>
      </c>
      <c r="L8" s="171">
        <v>2907</v>
      </c>
      <c r="M8" s="171">
        <v>2907</v>
      </c>
      <c r="N8" s="169">
        <f t="shared" si="0"/>
        <v>34884</v>
      </c>
      <c r="O8" s="27"/>
      <c r="P8" s="284">
        <f>VLOOKUP(A8,'Předpis po mesici'!$A$1:$JQ$103,274,0)*12</f>
        <v>34884</v>
      </c>
      <c r="Q8" s="286">
        <f t="shared" si="1"/>
        <v>0</v>
      </c>
      <c r="R8" s="27"/>
      <c r="S8" s="27"/>
      <c r="T8" s="27"/>
      <c r="U8" s="27"/>
      <c r="V8" s="27"/>
      <c r="W8" s="27"/>
      <c r="X8" s="27"/>
      <c r="Y8" s="27"/>
    </row>
    <row r="9" spans="1:25" x14ac:dyDescent="0.25">
      <c r="A9" s="168" t="s">
        <v>394</v>
      </c>
      <c r="B9" s="65">
        <v>2870</v>
      </c>
      <c r="C9" s="65">
        <v>2900</v>
      </c>
      <c r="D9" s="65">
        <v>2900</v>
      </c>
      <c r="E9" s="65">
        <v>2900</v>
      </c>
      <c r="F9" s="65">
        <v>2930</v>
      </c>
      <c r="G9" s="65">
        <v>2900</v>
      </c>
      <c r="H9" s="65">
        <v>2900</v>
      </c>
      <c r="I9" s="65">
        <v>2900</v>
      </c>
      <c r="J9" s="65">
        <v>2900</v>
      </c>
      <c r="K9" s="65">
        <v>2900</v>
      </c>
      <c r="L9" s="65">
        <v>2900</v>
      </c>
      <c r="M9" s="65">
        <v>2900</v>
      </c>
      <c r="N9" s="169">
        <f t="shared" si="0"/>
        <v>34800</v>
      </c>
      <c r="O9" s="27"/>
      <c r="P9" s="284">
        <f>VLOOKUP(A9,'Předpis po mesici'!$A$1:$JQ$103,274,0)*12</f>
        <v>34800</v>
      </c>
      <c r="Q9" s="286">
        <f t="shared" si="1"/>
        <v>0</v>
      </c>
      <c r="R9" s="27"/>
      <c r="S9" s="27"/>
      <c r="T9" s="27"/>
      <c r="U9" s="27"/>
      <c r="V9" s="27"/>
      <c r="W9" s="27"/>
      <c r="X9" s="27"/>
      <c r="Y9" s="27"/>
    </row>
    <row r="10" spans="1:25" x14ac:dyDescent="0.25">
      <c r="A10" s="170" t="s">
        <v>395</v>
      </c>
      <c r="B10" s="171">
        <v>2177</v>
      </c>
      <c r="C10" s="171">
        <v>2177</v>
      </c>
      <c r="D10" s="171">
        <v>2782</v>
      </c>
      <c r="E10" s="171">
        <v>2782</v>
      </c>
      <c r="F10" s="171">
        <v>2782</v>
      </c>
      <c r="G10" s="171">
        <v>2782</v>
      </c>
      <c r="H10" s="171">
        <v>2782</v>
      </c>
      <c r="I10" s="171">
        <v>2782</v>
      </c>
      <c r="J10" s="171">
        <v>2782</v>
      </c>
      <c r="K10" s="171">
        <v>2782</v>
      </c>
      <c r="L10" s="171">
        <v>2782</v>
      </c>
      <c r="M10" s="171">
        <v>2782</v>
      </c>
      <c r="N10" s="169">
        <f t="shared" si="0"/>
        <v>32174</v>
      </c>
      <c r="O10" s="27"/>
      <c r="P10" s="284">
        <f>VLOOKUP(A10,'Předpis po mesici'!$A$1:$JQ$103,274,0)*12</f>
        <v>33384</v>
      </c>
      <c r="Q10" s="286">
        <f t="shared" si="1"/>
        <v>-1210</v>
      </c>
      <c r="R10" s="27"/>
      <c r="S10" s="27"/>
      <c r="T10" s="27"/>
      <c r="U10" s="27"/>
      <c r="V10" s="27"/>
      <c r="W10" s="27"/>
      <c r="X10" s="27"/>
      <c r="Y10" s="27"/>
    </row>
    <row r="11" spans="1:25" x14ac:dyDescent="0.25">
      <c r="A11" s="168" t="s">
        <v>400</v>
      </c>
      <c r="B11" s="65">
        <v>2087</v>
      </c>
      <c r="C11" s="65">
        <v>2087</v>
      </c>
      <c r="D11" s="65">
        <v>2087</v>
      </c>
      <c r="E11" s="65">
        <v>2087</v>
      </c>
      <c r="F11" s="65">
        <v>2087</v>
      </c>
      <c r="G11" s="65">
        <v>2087</v>
      </c>
      <c r="H11" s="65">
        <v>2087</v>
      </c>
      <c r="I11" s="65">
        <v>2087</v>
      </c>
      <c r="J11" s="65">
        <v>2087</v>
      </c>
      <c r="K11" s="65">
        <v>2087</v>
      </c>
      <c r="L11" s="65">
        <v>2087</v>
      </c>
      <c r="M11" s="65">
        <v>2087</v>
      </c>
      <c r="N11" s="169">
        <f t="shared" si="0"/>
        <v>25044</v>
      </c>
      <c r="O11" s="27"/>
      <c r="P11" s="284">
        <f>VLOOKUP(A11,'Předpis po mesici'!$A$1:$JQ$103,274,0)*12</f>
        <v>25044</v>
      </c>
      <c r="Q11" s="286">
        <f t="shared" si="1"/>
        <v>0</v>
      </c>
      <c r="R11" s="27"/>
      <c r="S11" s="27"/>
      <c r="T11" s="27"/>
      <c r="U11" s="27"/>
      <c r="V11" s="27"/>
      <c r="W11" s="27"/>
      <c r="X11" s="27"/>
      <c r="Y11" s="27"/>
    </row>
    <row r="12" spans="1:25" x14ac:dyDescent="0.25">
      <c r="A12" s="170" t="s">
        <v>405</v>
      </c>
      <c r="B12" s="171">
        <v>2843</v>
      </c>
      <c r="C12" s="171">
        <v>2843</v>
      </c>
      <c r="D12" s="171">
        <v>2843</v>
      </c>
      <c r="E12" s="171">
        <v>2843</v>
      </c>
      <c r="F12" s="171">
        <v>2843</v>
      </c>
      <c r="G12" s="171">
        <v>2843</v>
      </c>
      <c r="H12" s="171">
        <v>2843</v>
      </c>
      <c r="I12" s="171">
        <v>2843</v>
      </c>
      <c r="J12" s="171">
        <v>2843</v>
      </c>
      <c r="K12" s="171">
        <v>2843</v>
      </c>
      <c r="L12" s="171">
        <v>2843</v>
      </c>
      <c r="M12" s="171">
        <v>2843</v>
      </c>
      <c r="N12" s="169">
        <f t="shared" si="0"/>
        <v>34116</v>
      </c>
      <c r="O12" s="27"/>
      <c r="P12" s="284">
        <f>VLOOKUP(A12,'Předpis po mesici'!$A$1:$JQ$103,274,0)*12</f>
        <v>34116</v>
      </c>
      <c r="Q12" s="286">
        <f t="shared" si="1"/>
        <v>0</v>
      </c>
      <c r="R12" s="27"/>
      <c r="S12" s="27"/>
      <c r="T12" s="27"/>
      <c r="U12" s="27"/>
      <c r="V12" s="27"/>
      <c r="W12" s="27"/>
      <c r="X12" s="27"/>
      <c r="Y12" s="27"/>
    </row>
    <row r="13" spans="1:25" x14ac:dyDescent="0.25">
      <c r="A13" s="168" t="s">
        <v>410</v>
      </c>
      <c r="B13" s="65">
        <v>3383</v>
      </c>
      <c r="C13" s="65">
        <v>3400</v>
      </c>
      <c r="D13" s="65">
        <v>3400</v>
      </c>
      <c r="E13" s="65">
        <v>3400</v>
      </c>
      <c r="F13" s="65">
        <v>3400</v>
      </c>
      <c r="G13" s="65">
        <v>3400</v>
      </c>
      <c r="H13" s="65">
        <v>3400</v>
      </c>
      <c r="I13" s="65">
        <v>3400</v>
      </c>
      <c r="J13" s="65">
        <v>3400</v>
      </c>
      <c r="K13" s="65">
        <v>3400</v>
      </c>
      <c r="L13" s="65">
        <v>3400</v>
      </c>
      <c r="M13" s="65">
        <v>3400</v>
      </c>
      <c r="N13" s="169">
        <f t="shared" si="0"/>
        <v>40783</v>
      </c>
      <c r="O13" s="27"/>
      <c r="P13" s="284">
        <f>VLOOKUP(A13,'Předpis po mesici'!$A$1:$JQ$103,274,0)*12</f>
        <v>40596</v>
      </c>
      <c r="Q13" s="286">
        <f t="shared" si="1"/>
        <v>187</v>
      </c>
      <c r="R13" s="27"/>
      <c r="S13" s="27"/>
      <c r="T13" s="27"/>
      <c r="U13" s="27"/>
      <c r="V13" s="27"/>
      <c r="W13" s="27"/>
      <c r="X13" s="27"/>
      <c r="Y13" s="27"/>
    </row>
    <row r="14" spans="1:25" x14ac:dyDescent="0.25">
      <c r="A14" s="170" t="s">
        <v>415</v>
      </c>
      <c r="B14" s="171">
        <v>4516</v>
      </c>
      <c r="C14" s="171">
        <v>4516</v>
      </c>
      <c r="D14" s="171">
        <v>4516</v>
      </c>
      <c r="E14" s="171">
        <v>4516</v>
      </c>
      <c r="F14" s="171">
        <v>4516</v>
      </c>
      <c r="G14" s="171">
        <v>4516</v>
      </c>
      <c r="H14" s="171">
        <v>4516</v>
      </c>
      <c r="I14" s="171">
        <v>4516</v>
      </c>
      <c r="J14" s="171">
        <v>4516</v>
      </c>
      <c r="K14" s="171">
        <v>4516</v>
      </c>
      <c r="L14" s="171">
        <v>4516</v>
      </c>
      <c r="M14" s="171">
        <v>4516</v>
      </c>
      <c r="N14" s="169">
        <f t="shared" si="0"/>
        <v>54192</v>
      </c>
      <c r="O14" s="27"/>
      <c r="P14" s="284">
        <f>VLOOKUP(A14,'Předpis po mesici'!$A$1:$JQ$103,274,0)*12</f>
        <v>54192</v>
      </c>
      <c r="Q14" s="286">
        <f t="shared" si="1"/>
        <v>0</v>
      </c>
      <c r="R14" s="27"/>
      <c r="S14" s="27"/>
      <c r="T14" s="27"/>
      <c r="U14" s="27"/>
      <c r="V14" s="27"/>
      <c r="W14" s="27"/>
      <c r="X14" s="27"/>
      <c r="Y14" s="27"/>
    </row>
    <row r="15" spans="1:25" x14ac:dyDescent="0.25">
      <c r="A15" s="168" t="s">
        <v>419</v>
      </c>
      <c r="B15" s="65">
        <v>2882</v>
      </c>
      <c r="C15" s="65">
        <v>2882</v>
      </c>
      <c r="D15" s="65">
        <v>2882</v>
      </c>
      <c r="E15" s="65">
        <v>2882</v>
      </c>
      <c r="F15" s="65">
        <v>3046</v>
      </c>
      <c r="G15" s="65">
        <v>2923</v>
      </c>
      <c r="H15" s="65">
        <v>2923</v>
      </c>
      <c r="I15" s="65">
        <v>2923</v>
      </c>
      <c r="J15" s="65">
        <v>3248</v>
      </c>
      <c r="K15" s="65">
        <v>3248</v>
      </c>
      <c r="L15" s="65">
        <v>3248</v>
      </c>
      <c r="M15" s="65">
        <v>3248</v>
      </c>
      <c r="N15" s="169">
        <f t="shared" si="0"/>
        <v>36335</v>
      </c>
      <c r="O15" s="27"/>
      <c r="P15" s="284">
        <f>VLOOKUP(A15,'Předpis po mesici'!$A$1:$JQ$103,274,0)*12</f>
        <v>38976</v>
      </c>
      <c r="Q15" s="286">
        <f t="shared" si="1"/>
        <v>-2641</v>
      </c>
      <c r="R15" s="27"/>
      <c r="S15" s="27"/>
      <c r="T15" s="27"/>
      <c r="U15" s="27"/>
      <c r="V15" s="27"/>
      <c r="W15" s="27"/>
      <c r="X15" s="27"/>
      <c r="Y15" s="27"/>
    </row>
    <row r="16" spans="1:25" x14ac:dyDescent="0.25">
      <c r="A16" s="170" t="s">
        <v>423</v>
      </c>
      <c r="B16" s="171">
        <v>1778</v>
      </c>
      <c r="C16" s="171">
        <v>1778</v>
      </c>
      <c r="D16" s="171">
        <v>1778</v>
      </c>
      <c r="E16" s="171">
        <v>1778</v>
      </c>
      <c r="F16" s="171">
        <v>1778</v>
      </c>
      <c r="G16" s="171">
        <v>1778</v>
      </c>
      <c r="H16" s="171">
        <v>1778</v>
      </c>
      <c r="I16" s="171">
        <v>1778</v>
      </c>
      <c r="J16" s="171">
        <v>1778</v>
      </c>
      <c r="K16" s="171">
        <v>1778</v>
      </c>
      <c r="L16" s="171">
        <v>1778</v>
      </c>
      <c r="M16" s="171">
        <v>1778</v>
      </c>
      <c r="N16" s="169">
        <f t="shared" si="0"/>
        <v>21336</v>
      </c>
      <c r="O16" s="27"/>
      <c r="P16" s="284">
        <f>VLOOKUP(A16,'Předpis po mesici'!$A$1:$JQ$103,274,0)*12</f>
        <v>21336</v>
      </c>
      <c r="Q16" s="286">
        <f t="shared" si="1"/>
        <v>0</v>
      </c>
      <c r="R16" s="27"/>
      <c r="S16" s="27"/>
      <c r="T16" s="27"/>
      <c r="U16" s="27"/>
      <c r="V16" s="27"/>
      <c r="W16" s="27"/>
      <c r="X16" s="27"/>
      <c r="Y16" s="27"/>
    </row>
    <row r="17" spans="1:25" x14ac:dyDescent="0.25">
      <c r="A17" s="168" t="s">
        <v>435</v>
      </c>
      <c r="B17" s="65">
        <v>1933</v>
      </c>
      <c r="C17" s="65">
        <v>1933</v>
      </c>
      <c r="D17" s="65">
        <v>1933</v>
      </c>
      <c r="E17" s="65">
        <v>1933</v>
      </c>
      <c r="F17" s="65">
        <v>1933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169">
        <f t="shared" si="0"/>
        <v>9665</v>
      </c>
      <c r="O17" s="27"/>
      <c r="P17" s="284">
        <f>VLOOKUP(A17,'Předpis po mesici'!$A$1:$JQ$103,274,0)*12</f>
        <v>0</v>
      </c>
      <c r="Q17" s="286">
        <f t="shared" si="1"/>
        <v>9665</v>
      </c>
      <c r="R17" s="27"/>
      <c r="S17" s="27"/>
      <c r="T17" s="27"/>
      <c r="U17" s="27"/>
      <c r="V17" s="27"/>
      <c r="W17" s="27"/>
      <c r="X17" s="27"/>
      <c r="Y17" s="27"/>
    </row>
    <row r="18" spans="1:25" x14ac:dyDescent="0.25">
      <c r="A18" s="170" t="s">
        <v>443</v>
      </c>
      <c r="B18" s="171">
        <v>1370</v>
      </c>
      <c r="C18" s="171">
        <v>1370</v>
      </c>
      <c r="D18" s="171">
        <v>1370</v>
      </c>
      <c r="E18" s="171">
        <v>1370</v>
      </c>
      <c r="F18" s="171">
        <v>1370</v>
      </c>
      <c r="G18" s="171">
        <v>1370</v>
      </c>
      <c r="H18" s="171">
        <v>1370</v>
      </c>
      <c r="I18" s="171">
        <v>1370</v>
      </c>
      <c r="J18" s="171">
        <v>1370</v>
      </c>
      <c r="K18" s="171">
        <v>1370</v>
      </c>
      <c r="L18" s="171">
        <v>1370</v>
      </c>
      <c r="M18" s="171">
        <v>1370</v>
      </c>
      <c r="N18" s="169">
        <f t="shared" si="0"/>
        <v>16440</v>
      </c>
      <c r="O18" s="27"/>
      <c r="P18" s="284">
        <f>VLOOKUP(A18,'Předpis po mesici'!$A$1:$JQ$103,274,0)*12</f>
        <v>16440</v>
      </c>
      <c r="Q18" s="286">
        <f t="shared" si="1"/>
        <v>0</v>
      </c>
      <c r="R18" s="27"/>
      <c r="S18" s="27"/>
      <c r="T18" s="27"/>
      <c r="U18" s="27"/>
      <c r="V18" s="27"/>
      <c r="W18" s="27"/>
      <c r="X18" s="27"/>
      <c r="Y18" s="27"/>
    </row>
    <row r="19" spans="1:25" x14ac:dyDescent="0.25">
      <c r="A19" s="168" t="s">
        <v>449</v>
      </c>
      <c r="B19" s="65">
        <v>4166</v>
      </c>
      <c r="C19" s="65">
        <v>4166</v>
      </c>
      <c r="D19" s="65">
        <v>4166</v>
      </c>
      <c r="E19" s="65">
        <v>4166</v>
      </c>
      <c r="F19" s="65">
        <v>4166</v>
      </c>
      <c r="G19" s="65">
        <v>4166</v>
      </c>
      <c r="H19" s="65">
        <v>4166</v>
      </c>
      <c r="I19" s="65">
        <v>4166</v>
      </c>
      <c r="J19" s="65">
        <v>4166</v>
      </c>
      <c r="K19" s="65">
        <v>4166</v>
      </c>
      <c r="L19" s="65">
        <v>4166</v>
      </c>
      <c r="M19" s="65">
        <v>4166</v>
      </c>
      <c r="N19" s="169">
        <f t="shared" si="0"/>
        <v>49992</v>
      </c>
      <c r="O19" s="27"/>
      <c r="P19" s="284">
        <f>VLOOKUP(A19,'Předpis po mesici'!$A$1:$JQ$103,274,0)*12</f>
        <v>49992</v>
      </c>
      <c r="Q19" s="286">
        <f t="shared" si="1"/>
        <v>0</v>
      </c>
      <c r="R19" s="27"/>
      <c r="S19" s="27"/>
      <c r="T19" s="27"/>
      <c r="U19" s="27"/>
      <c r="V19" s="27"/>
      <c r="W19" s="27"/>
      <c r="X19" s="27"/>
      <c r="Y19" s="27"/>
    </row>
    <row r="20" spans="1:25" x14ac:dyDescent="0.25">
      <c r="A20" s="170" t="s">
        <v>376</v>
      </c>
      <c r="B20" s="171">
        <v>2558</v>
      </c>
      <c r="C20" s="171">
        <v>2558</v>
      </c>
      <c r="D20" s="171">
        <v>2558</v>
      </c>
      <c r="E20" s="171">
        <v>2558</v>
      </c>
      <c r="F20" s="171">
        <v>2558</v>
      </c>
      <c r="G20" s="171">
        <v>2558</v>
      </c>
      <c r="H20" s="171">
        <v>2558</v>
      </c>
      <c r="I20" s="171">
        <v>2558</v>
      </c>
      <c r="J20" s="171">
        <v>0</v>
      </c>
      <c r="K20" s="171">
        <v>5116</v>
      </c>
      <c r="L20" s="171">
        <v>2558</v>
      </c>
      <c r="M20" s="171">
        <v>2558</v>
      </c>
      <c r="N20" s="169">
        <f t="shared" si="0"/>
        <v>30696</v>
      </c>
      <c r="O20" s="27"/>
      <c r="P20" s="284">
        <f>VLOOKUP(A20,'Předpis po mesici'!$A$1:$JQ$103,274,0)*12</f>
        <v>30696</v>
      </c>
      <c r="Q20" s="286">
        <f t="shared" si="1"/>
        <v>0</v>
      </c>
      <c r="R20" s="27"/>
      <c r="S20" s="27"/>
      <c r="T20" s="27"/>
      <c r="U20" s="27"/>
      <c r="V20" s="27"/>
      <c r="W20" s="27"/>
      <c r="X20" s="27"/>
      <c r="Y20" s="27"/>
    </row>
    <row r="21" spans="1:25" x14ac:dyDescent="0.25">
      <c r="A21" s="168" t="s">
        <v>429</v>
      </c>
      <c r="B21" s="65">
        <v>0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4286</v>
      </c>
      <c r="I21" s="65">
        <v>2143</v>
      </c>
      <c r="J21" s="65">
        <v>2143</v>
      </c>
      <c r="K21" s="65">
        <v>2143</v>
      </c>
      <c r="L21" s="65">
        <v>2143</v>
      </c>
      <c r="M21" s="65">
        <v>2143</v>
      </c>
      <c r="N21" s="169">
        <f t="shared" si="0"/>
        <v>15001</v>
      </c>
      <c r="O21" s="27"/>
      <c r="P21" s="284">
        <f>VLOOKUP(A21,'Předpis po mesici'!$A$1:$JQ$103,274,0)*12</f>
        <v>25716</v>
      </c>
      <c r="Q21" s="286">
        <f t="shared" si="1"/>
        <v>-10715</v>
      </c>
      <c r="R21" s="27"/>
      <c r="S21" s="27"/>
      <c r="T21" s="27"/>
      <c r="U21" s="27"/>
      <c r="V21" s="27"/>
      <c r="W21" s="27"/>
      <c r="X21" s="27"/>
      <c r="Y21" s="27"/>
    </row>
    <row r="22" spans="1:25" x14ac:dyDescent="0.25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69">
        <f t="shared" si="0"/>
        <v>0</v>
      </c>
      <c r="O22" s="27"/>
      <c r="P22" s="284" t="e">
        <f>VLOOKUP(A22,'Předpis po mesici'!$A$1:$JQ$103,274,0)*12</f>
        <v>#N/A</v>
      </c>
      <c r="Q22" s="286" t="e">
        <f t="shared" si="1"/>
        <v>#N/A</v>
      </c>
      <c r="R22" s="27"/>
      <c r="S22" s="27"/>
      <c r="T22" s="27"/>
      <c r="U22" s="27"/>
      <c r="V22" s="27"/>
      <c r="W22" s="27"/>
      <c r="X22" s="27"/>
      <c r="Y22" s="27"/>
    </row>
    <row r="23" spans="1:25" x14ac:dyDescent="0.25">
      <c r="A23" s="168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169">
        <f t="shared" si="0"/>
        <v>0</v>
      </c>
      <c r="O23" s="27"/>
      <c r="P23" s="284" t="e">
        <f>VLOOKUP(A23,'Předpis po mesici'!$A$1:$JQ$103,274,0)*12</f>
        <v>#N/A</v>
      </c>
      <c r="Q23" s="286" t="e">
        <f t="shared" si="1"/>
        <v>#N/A</v>
      </c>
      <c r="R23" s="27"/>
      <c r="S23" s="27"/>
      <c r="T23" s="27"/>
      <c r="U23" s="27"/>
      <c r="V23" s="27"/>
      <c r="W23" s="27"/>
      <c r="X23" s="27"/>
      <c r="Y23" s="27"/>
    </row>
    <row r="24" spans="1:25" x14ac:dyDescent="0.25">
      <c r="A24" s="170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>
        <f t="shared" si="0"/>
        <v>0</v>
      </c>
      <c r="O24" s="27"/>
      <c r="P24" s="284" t="e">
        <f>VLOOKUP(A24,'Předpis po mesici'!$A$1:$JQ$103,274,0)*12</f>
        <v>#N/A</v>
      </c>
      <c r="Q24" s="286" t="e">
        <f t="shared" si="1"/>
        <v>#N/A</v>
      </c>
      <c r="R24" s="27"/>
      <c r="S24" s="27"/>
      <c r="T24" s="27"/>
      <c r="U24" s="27"/>
      <c r="V24" s="27"/>
      <c r="W24" s="27"/>
      <c r="X24" s="27"/>
      <c r="Y24" s="27"/>
    </row>
    <row r="25" spans="1:25" x14ac:dyDescent="0.25">
      <c r="A25" s="168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169">
        <f t="shared" si="0"/>
        <v>0</v>
      </c>
      <c r="O25" s="27"/>
      <c r="P25" s="284" t="e">
        <f>VLOOKUP(A25,'Předpis po mesici'!$A$1:$JQ$103,274,0)*12</f>
        <v>#N/A</v>
      </c>
      <c r="Q25" s="286" t="e">
        <f t="shared" si="1"/>
        <v>#N/A</v>
      </c>
      <c r="R25" s="27"/>
      <c r="S25" s="27"/>
      <c r="T25" s="27"/>
      <c r="U25" s="27"/>
      <c r="V25" s="27"/>
      <c r="W25" s="27"/>
      <c r="X25" s="27"/>
      <c r="Y25" s="27"/>
    </row>
    <row r="26" spans="1:25" x14ac:dyDescent="0.25">
      <c r="A26" s="170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69">
        <f t="shared" si="0"/>
        <v>0</v>
      </c>
      <c r="O26" s="27"/>
      <c r="P26" s="284" t="e">
        <f>VLOOKUP(A26,'Předpis po mesici'!$A$1:$JQ$103,274,0)*12</f>
        <v>#N/A</v>
      </c>
      <c r="Q26" s="286" t="e">
        <f t="shared" si="1"/>
        <v>#N/A</v>
      </c>
      <c r="R26" s="27"/>
      <c r="S26" s="27"/>
      <c r="T26" s="27"/>
      <c r="U26" s="27"/>
      <c r="V26" s="27"/>
      <c r="W26" s="27"/>
      <c r="X26" s="27"/>
      <c r="Y26" s="27"/>
    </row>
    <row r="27" spans="1:25" x14ac:dyDescent="0.25">
      <c r="A27" s="168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169">
        <f t="shared" si="0"/>
        <v>0</v>
      </c>
      <c r="O27" s="27"/>
      <c r="P27" s="284" t="e">
        <f>VLOOKUP(A27,'Předpis po mesici'!$A$1:$JQ$103,274,0)*12</f>
        <v>#N/A</v>
      </c>
      <c r="Q27" s="286" t="e">
        <f t="shared" si="1"/>
        <v>#N/A</v>
      </c>
      <c r="R27" s="27"/>
      <c r="S27" s="27"/>
      <c r="T27" s="27"/>
      <c r="U27" s="27"/>
      <c r="V27" s="27"/>
      <c r="W27" s="27"/>
      <c r="X27" s="27"/>
      <c r="Y27" s="27"/>
    </row>
    <row r="28" spans="1:25" x14ac:dyDescent="0.25">
      <c r="A28" s="170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69">
        <f t="shared" si="0"/>
        <v>0</v>
      </c>
      <c r="O28" s="27"/>
      <c r="P28" s="284" t="e">
        <f>VLOOKUP(A28,'Předpis po mesici'!$A$1:$JQ$103,274,0)*12</f>
        <v>#N/A</v>
      </c>
      <c r="Q28" s="286" t="e">
        <f t="shared" si="1"/>
        <v>#N/A</v>
      </c>
      <c r="R28" s="27"/>
      <c r="S28" s="27"/>
      <c r="T28" s="27"/>
      <c r="U28" s="27"/>
      <c r="V28" s="27"/>
      <c r="W28" s="27"/>
      <c r="X28" s="27"/>
      <c r="Y28" s="27"/>
    </row>
    <row r="29" spans="1:25" x14ac:dyDescent="0.25">
      <c r="A29" s="168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169">
        <f t="shared" si="0"/>
        <v>0</v>
      </c>
      <c r="O29" s="27"/>
      <c r="P29" s="284" t="e">
        <f>VLOOKUP(A29,'Předpis po mesici'!$A$1:$JQ$103,274,0)*12</f>
        <v>#N/A</v>
      </c>
      <c r="Q29" s="286" t="e">
        <f t="shared" si="1"/>
        <v>#N/A</v>
      </c>
      <c r="R29" s="27"/>
      <c r="S29" s="27"/>
      <c r="T29" s="27"/>
      <c r="U29" s="27"/>
      <c r="V29" s="27"/>
      <c r="W29" s="27"/>
      <c r="X29" s="27"/>
      <c r="Y29" s="27"/>
    </row>
    <row r="30" spans="1:25" x14ac:dyDescent="0.25">
      <c r="A30" s="170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69">
        <f t="shared" si="0"/>
        <v>0</v>
      </c>
      <c r="O30" s="27"/>
      <c r="P30" s="284" t="e">
        <f>VLOOKUP(A30,'Předpis po mesici'!$A$1:$JQ$103,274,0)*12</f>
        <v>#N/A</v>
      </c>
      <c r="Q30" s="286" t="e">
        <f t="shared" si="1"/>
        <v>#N/A</v>
      </c>
      <c r="R30" s="27"/>
      <c r="S30" s="27"/>
      <c r="T30" s="27"/>
      <c r="U30" s="27"/>
      <c r="V30" s="27"/>
      <c r="W30" s="27"/>
      <c r="X30" s="27"/>
      <c r="Y30" s="27"/>
    </row>
    <row r="31" spans="1:25" x14ac:dyDescent="0.25">
      <c r="A31" s="168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69">
        <f t="shared" si="0"/>
        <v>0</v>
      </c>
      <c r="O31" s="27"/>
      <c r="P31" s="284" t="e">
        <f>VLOOKUP(A31,'Předpis po mesici'!$A$1:$JQ$103,274,0)*12</f>
        <v>#N/A</v>
      </c>
      <c r="Q31" s="286" t="e">
        <f t="shared" si="1"/>
        <v>#N/A</v>
      </c>
      <c r="R31" s="27"/>
      <c r="S31" s="27"/>
      <c r="T31" s="27"/>
      <c r="U31" s="27"/>
      <c r="V31" s="27"/>
      <c r="W31" s="27"/>
      <c r="X31" s="27"/>
      <c r="Y31" s="27"/>
    </row>
    <row r="32" spans="1:25" x14ac:dyDescent="0.25">
      <c r="A32" s="170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69">
        <f t="shared" si="0"/>
        <v>0</v>
      </c>
      <c r="O32" s="27"/>
      <c r="P32" s="284" t="e">
        <f>VLOOKUP(A32,'Předpis po mesici'!$A$1:$JQ$103,274,0)*12</f>
        <v>#N/A</v>
      </c>
      <c r="Q32" s="286" t="e">
        <f t="shared" si="1"/>
        <v>#N/A</v>
      </c>
      <c r="R32" s="27"/>
      <c r="S32" s="27"/>
      <c r="T32" s="27"/>
      <c r="U32" s="27"/>
      <c r="V32" s="27"/>
      <c r="W32" s="27"/>
      <c r="X32" s="27"/>
      <c r="Y32" s="27"/>
    </row>
    <row r="33" spans="1:25" x14ac:dyDescent="0.25">
      <c r="A33" s="168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169">
        <f t="shared" si="0"/>
        <v>0</v>
      </c>
      <c r="O33" s="27"/>
      <c r="P33" s="284" t="e">
        <f>VLOOKUP(A33,'Předpis po mesici'!$A$1:$JQ$103,274,0)*12</f>
        <v>#N/A</v>
      </c>
      <c r="Q33" s="286" t="e">
        <f t="shared" si="1"/>
        <v>#N/A</v>
      </c>
      <c r="R33" s="27"/>
      <c r="S33" s="27"/>
      <c r="T33" s="27"/>
      <c r="U33" s="27"/>
      <c r="V33" s="27"/>
      <c r="W33" s="27"/>
      <c r="X33" s="27"/>
      <c r="Y33" s="27"/>
    </row>
    <row r="34" spans="1:25" x14ac:dyDescent="0.25">
      <c r="A34" s="170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69">
        <f t="shared" ref="N34:N65" si="2">SUM(B34:M34)</f>
        <v>0</v>
      </c>
      <c r="O34" s="27"/>
      <c r="P34" s="284" t="e">
        <f>VLOOKUP(A34,'Předpis po mesici'!$A$1:$JQ$103,274,0)*12</f>
        <v>#N/A</v>
      </c>
      <c r="Q34" s="286" t="e">
        <f t="shared" ref="Q34:Q65" si="3">SUM(B34:M34)-P34</f>
        <v>#N/A</v>
      </c>
      <c r="R34" s="27"/>
      <c r="S34" s="27"/>
      <c r="T34" s="27"/>
      <c r="U34" s="27"/>
      <c r="V34" s="27"/>
      <c r="W34" s="27"/>
      <c r="X34" s="27"/>
      <c r="Y34" s="27"/>
    </row>
    <row r="35" spans="1:25" x14ac:dyDescent="0.25">
      <c r="A35" s="168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169">
        <f t="shared" si="2"/>
        <v>0</v>
      </c>
      <c r="O35" s="27"/>
      <c r="P35" s="284" t="e">
        <f>VLOOKUP(A35,'Předpis po mesici'!$A$1:$JQ$103,274,0)*12</f>
        <v>#N/A</v>
      </c>
      <c r="Q35" s="286" t="e">
        <f t="shared" si="3"/>
        <v>#N/A</v>
      </c>
      <c r="R35" s="27"/>
      <c r="S35" s="27"/>
      <c r="T35" s="27"/>
      <c r="U35" s="27"/>
      <c r="V35" s="27"/>
      <c r="W35" s="27"/>
      <c r="X35" s="27"/>
      <c r="Y35" s="27"/>
    </row>
    <row r="36" spans="1:2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69">
        <f t="shared" si="2"/>
        <v>0</v>
      </c>
      <c r="O36" s="27"/>
      <c r="P36" s="284" t="e">
        <f>VLOOKUP(A36,'Předpis po mesici'!$A$1:$JQ$103,274,0)*12</f>
        <v>#N/A</v>
      </c>
      <c r="Q36" s="286" t="e">
        <f t="shared" si="3"/>
        <v>#N/A</v>
      </c>
      <c r="R36" s="27"/>
      <c r="S36" s="27"/>
      <c r="T36" s="27"/>
      <c r="U36" s="27"/>
      <c r="V36" s="27"/>
      <c r="W36" s="27"/>
      <c r="X36" s="27"/>
      <c r="Y36" s="27"/>
    </row>
    <row r="37" spans="1:25" x14ac:dyDescent="0.25">
      <c r="A37" s="1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169">
        <f t="shared" si="2"/>
        <v>0</v>
      </c>
      <c r="O37" s="27"/>
      <c r="P37" s="284" t="e">
        <f>VLOOKUP(A37,'Předpis po mesici'!$A$1:$JQ$103,274,0)*12</f>
        <v>#N/A</v>
      </c>
      <c r="Q37" s="286" t="e">
        <f t="shared" si="3"/>
        <v>#N/A</v>
      </c>
      <c r="R37" s="27"/>
      <c r="S37" s="27"/>
      <c r="T37" s="27"/>
      <c r="U37" s="27"/>
      <c r="V37" s="27"/>
      <c r="W37" s="27"/>
      <c r="X37" s="27"/>
      <c r="Y37" s="27"/>
    </row>
    <row r="38" spans="1:25" x14ac:dyDescent="0.2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69">
        <f t="shared" si="2"/>
        <v>0</v>
      </c>
      <c r="O38" s="27"/>
      <c r="P38" s="284" t="e">
        <f>VLOOKUP(A38,'Předpis po mesici'!$A$1:$JQ$103,274,0)*12</f>
        <v>#N/A</v>
      </c>
      <c r="Q38" s="286" t="e">
        <f t="shared" si="3"/>
        <v>#N/A</v>
      </c>
      <c r="R38" s="27"/>
      <c r="S38" s="27"/>
      <c r="T38" s="27"/>
      <c r="U38" s="27"/>
      <c r="V38" s="27"/>
      <c r="W38" s="27"/>
      <c r="X38" s="27"/>
      <c r="Y38" s="27"/>
    </row>
    <row r="39" spans="1:25" x14ac:dyDescent="0.25">
      <c r="A39" s="168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169">
        <f t="shared" si="2"/>
        <v>0</v>
      </c>
      <c r="O39" s="27"/>
      <c r="P39" s="284" t="e">
        <f>VLOOKUP(A39,'Předpis po mesici'!$A$1:$JQ$103,274,0)*12</f>
        <v>#N/A</v>
      </c>
      <c r="Q39" s="286" t="e">
        <f t="shared" si="3"/>
        <v>#N/A</v>
      </c>
      <c r="R39" s="27"/>
      <c r="S39" s="27"/>
      <c r="T39" s="27"/>
      <c r="U39" s="27"/>
      <c r="V39" s="27"/>
      <c r="W39" s="27"/>
      <c r="X39" s="27"/>
      <c r="Y39" s="27"/>
    </row>
    <row r="40" spans="1:25" x14ac:dyDescent="0.25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69">
        <f t="shared" si="2"/>
        <v>0</v>
      </c>
      <c r="O40" s="27"/>
      <c r="P40" s="284" t="e">
        <f>VLOOKUP(A40,'Předpis po mesici'!$A$1:$JQ$103,274,0)*12</f>
        <v>#N/A</v>
      </c>
      <c r="Q40" s="286" t="e">
        <f t="shared" si="3"/>
        <v>#N/A</v>
      </c>
      <c r="R40" s="27"/>
      <c r="S40" s="27"/>
      <c r="T40" s="27"/>
      <c r="U40" s="27"/>
      <c r="V40" s="27"/>
      <c r="W40" s="27"/>
      <c r="X40" s="27"/>
      <c r="Y40" s="27"/>
    </row>
    <row r="41" spans="1:25" x14ac:dyDescent="0.25">
      <c r="A41" s="1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169">
        <f t="shared" si="2"/>
        <v>0</v>
      </c>
      <c r="O41" s="27"/>
      <c r="P41" s="284" t="e">
        <f>VLOOKUP(A41,'Předpis po mesici'!$A$1:$JQ$103,274,0)*12</f>
        <v>#N/A</v>
      </c>
      <c r="Q41" s="286" t="e">
        <f t="shared" si="3"/>
        <v>#N/A</v>
      </c>
      <c r="R41" s="27"/>
      <c r="S41" s="27"/>
      <c r="T41" s="27"/>
      <c r="U41" s="27"/>
      <c r="V41" s="27"/>
      <c r="W41" s="27"/>
      <c r="X41" s="27"/>
      <c r="Y41" s="27"/>
    </row>
    <row r="42" spans="1:25" x14ac:dyDescent="0.25">
      <c r="A42" s="170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69">
        <f t="shared" si="2"/>
        <v>0</v>
      </c>
      <c r="O42" s="27"/>
      <c r="P42" s="284" t="e">
        <f>VLOOKUP(A42,'Předpis po mesici'!$A$1:$JQ$103,274,0)*12</f>
        <v>#N/A</v>
      </c>
      <c r="Q42" s="286" t="e">
        <f t="shared" si="3"/>
        <v>#N/A</v>
      </c>
      <c r="R42" s="27"/>
      <c r="S42" s="27"/>
      <c r="T42" s="27"/>
      <c r="U42" s="27"/>
      <c r="V42" s="27"/>
      <c r="W42" s="27"/>
      <c r="X42" s="27"/>
      <c r="Y42" s="27"/>
    </row>
    <row r="43" spans="1:25" x14ac:dyDescent="0.25">
      <c r="A43" s="168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169">
        <f t="shared" si="2"/>
        <v>0</v>
      </c>
      <c r="O43" s="27"/>
      <c r="P43" s="284" t="e">
        <f>VLOOKUP(A43,'Předpis po mesici'!$A$1:$JQ$103,274,0)*12</f>
        <v>#N/A</v>
      </c>
      <c r="Q43" s="286" t="e">
        <f t="shared" si="3"/>
        <v>#N/A</v>
      </c>
      <c r="R43" s="27"/>
      <c r="S43" s="27"/>
      <c r="T43" s="27"/>
      <c r="U43" s="27"/>
      <c r="V43" s="27"/>
      <c r="W43" s="27"/>
      <c r="X43" s="27"/>
      <c r="Y43" s="27"/>
    </row>
    <row r="44" spans="1:25" x14ac:dyDescent="0.25">
      <c r="A44" s="170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69">
        <f t="shared" si="2"/>
        <v>0</v>
      </c>
      <c r="O44" s="27"/>
      <c r="P44" s="284" t="e">
        <f>VLOOKUP(A44,'Předpis po mesici'!$A$1:$JQ$103,274,0)*12</f>
        <v>#N/A</v>
      </c>
      <c r="Q44" s="286" t="e">
        <f t="shared" si="3"/>
        <v>#N/A</v>
      </c>
      <c r="R44" s="27"/>
      <c r="S44" s="27"/>
      <c r="T44" s="27"/>
      <c r="U44" s="27"/>
      <c r="V44" s="27"/>
      <c r="W44" s="27"/>
      <c r="X44" s="27"/>
      <c r="Y44" s="27"/>
    </row>
    <row r="45" spans="1:25" x14ac:dyDescent="0.25">
      <c r="A45" s="168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169">
        <f t="shared" si="2"/>
        <v>0</v>
      </c>
      <c r="O45" s="27"/>
      <c r="P45" s="284" t="e">
        <f>VLOOKUP(A45,'Předpis po mesici'!$A$1:$JQ$103,274,0)*12</f>
        <v>#N/A</v>
      </c>
      <c r="Q45" s="286" t="e">
        <f t="shared" si="3"/>
        <v>#N/A</v>
      </c>
      <c r="R45" s="27"/>
      <c r="S45" s="27"/>
      <c r="T45" s="27"/>
      <c r="U45" s="27"/>
      <c r="V45" s="27"/>
      <c r="W45" s="27"/>
      <c r="X45" s="27"/>
      <c r="Y45" s="27"/>
    </row>
    <row r="46" spans="1:25" x14ac:dyDescent="0.25">
      <c r="A46" s="170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69">
        <f t="shared" si="2"/>
        <v>0</v>
      </c>
      <c r="O46" s="27"/>
      <c r="P46" s="284" t="e">
        <f>VLOOKUP(A46,'Předpis po mesici'!$A$1:$JQ$103,274,0)*12</f>
        <v>#N/A</v>
      </c>
      <c r="Q46" s="286" t="e">
        <f t="shared" si="3"/>
        <v>#N/A</v>
      </c>
      <c r="R46" s="27"/>
      <c r="S46" s="27"/>
      <c r="T46" s="27"/>
      <c r="U46" s="27"/>
      <c r="V46" s="27"/>
      <c r="W46" s="27"/>
      <c r="X46" s="27"/>
      <c r="Y46" s="27"/>
    </row>
    <row r="47" spans="1:25" x14ac:dyDescent="0.25">
      <c r="A47" s="168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169">
        <f t="shared" si="2"/>
        <v>0</v>
      </c>
      <c r="O47" s="27"/>
      <c r="P47" s="284" t="e">
        <f>VLOOKUP(A47,'Předpis po mesici'!$A$1:$JQ$103,274,0)*12</f>
        <v>#N/A</v>
      </c>
      <c r="Q47" s="286" t="e">
        <f t="shared" si="3"/>
        <v>#N/A</v>
      </c>
      <c r="R47" s="27"/>
      <c r="S47" s="27"/>
      <c r="T47" s="27"/>
      <c r="U47" s="27"/>
      <c r="V47" s="27"/>
      <c r="W47" s="27"/>
      <c r="X47" s="27"/>
      <c r="Y47" s="27"/>
    </row>
    <row r="48" spans="1:25" x14ac:dyDescent="0.25">
      <c r="A48" s="170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69">
        <f t="shared" si="2"/>
        <v>0</v>
      </c>
      <c r="O48" s="27"/>
      <c r="P48" s="284" t="e">
        <f>VLOOKUP(A48,'Předpis po mesici'!$A$1:$JQ$103,274,0)*12</f>
        <v>#N/A</v>
      </c>
      <c r="Q48" s="286" t="e">
        <f t="shared" si="3"/>
        <v>#N/A</v>
      </c>
      <c r="R48" s="27"/>
      <c r="S48" s="27"/>
      <c r="T48" s="27"/>
      <c r="U48" s="27"/>
      <c r="V48" s="27"/>
      <c r="W48" s="27"/>
      <c r="X48" s="27"/>
      <c r="Y48" s="27"/>
    </row>
    <row r="49" spans="1:25" x14ac:dyDescent="0.25">
      <c r="A49" s="168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169">
        <f t="shared" si="2"/>
        <v>0</v>
      </c>
      <c r="O49" s="27"/>
      <c r="P49" s="284" t="e">
        <f>VLOOKUP(A49,'Předpis po mesici'!$A$1:$JQ$103,274,0)*12</f>
        <v>#N/A</v>
      </c>
      <c r="Q49" s="286" t="e">
        <f t="shared" si="3"/>
        <v>#N/A</v>
      </c>
      <c r="R49" s="27"/>
      <c r="S49" s="27"/>
      <c r="T49" s="27"/>
      <c r="U49" s="27"/>
      <c r="V49" s="27"/>
      <c r="W49" s="27"/>
      <c r="X49" s="27"/>
      <c r="Y49" s="27"/>
    </row>
    <row r="50" spans="1:25" x14ac:dyDescent="0.25">
      <c r="A50" s="170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69">
        <f t="shared" si="2"/>
        <v>0</v>
      </c>
      <c r="O50" s="27"/>
      <c r="P50" s="284" t="e">
        <f>VLOOKUP(A50,'Předpis po mesici'!$A$1:$JQ$103,274,0)*12</f>
        <v>#N/A</v>
      </c>
      <c r="Q50" s="286" t="e">
        <f t="shared" si="3"/>
        <v>#N/A</v>
      </c>
      <c r="R50" s="27"/>
      <c r="S50" s="27"/>
      <c r="T50" s="27"/>
      <c r="U50" s="27"/>
      <c r="V50" s="27"/>
      <c r="W50" s="27"/>
      <c r="X50" s="27"/>
      <c r="Y50" s="27"/>
    </row>
    <row r="51" spans="1:25" x14ac:dyDescent="0.25">
      <c r="A51" s="16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169">
        <f t="shared" si="2"/>
        <v>0</v>
      </c>
      <c r="O51" s="27"/>
      <c r="P51" s="284" t="e">
        <f>VLOOKUP(A51,'Předpis po mesici'!$A$1:$JQ$103,274,0)*12</f>
        <v>#N/A</v>
      </c>
      <c r="Q51" s="286" t="e">
        <f t="shared" si="3"/>
        <v>#N/A</v>
      </c>
      <c r="R51" s="27"/>
      <c r="S51" s="27"/>
      <c r="T51" s="27"/>
      <c r="U51" s="27"/>
      <c r="V51" s="27"/>
      <c r="W51" s="27"/>
      <c r="X51" s="27"/>
      <c r="Y51" s="27"/>
    </row>
    <row r="52" spans="1:25" x14ac:dyDescent="0.25">
      <c r="A52" s="170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69">
        <f t="shared" si="2"/>
        <v>0</v>
      </c>
      <c r="O52" s="27"/>
      <c r="P52" s="284" t="e">
        <f>VLOOKUP(A52,'Předpis po mesici'!$A$1:$JQ$103,274,0)*12</f>
        <v>#N/A</v>
      </c>
      <c r="Q52" s="286" t="e">
        <f t="shared" si="3"/>
        <v>#N/A</v>
      </c>
      <c r="R52" s="27"/>
      <c r="S52" s="27"/>
      <c r="T52" s="27"/>
      <c r="U52" s="27"/>
      <c r="V52" s="27"/>
      <c r="W52" s="27"/>
      <c r="X52" s="27"/>
      <c r="Y52" s="27"/>
    </row>
    <row r="53" spans="1:25" x14ac:dyDescent="0.25">
      <c r="A53" s="168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169">
        <f t="shared" si="2"/>
        <v>0</v>
      </c>
      <c r="O53" s="27"/>
      <c r="P53" s="284" t="e">
        <f>VLOOKUP(A53,'Předpis po mesici'!$A$1:$JQ$103,274,0)*12</f>
        <v>#N/A</v>
      </c>
      <c r="Q53" s="286" t="e">
        <f t="shared" si="3"/>
        <v>#N/A</v>
      </c>
      <c r="R53" s="27"/>
      <c r="S53" s="27"/>
      <c r="T53" s="27"/>
      <c r="U53" s="27"/>
      <c r="V53" s="27"/>
      <c r="W53" s="27"/>
      <c r="X53" s="27"/>
      <c r="Y53" s="27"/>
    </row>
    <row r="54" spans="1:25" x14ac:dyDescent="0.25">
      <c r="A54" s="170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69">
        <f t="shared" si="2"/>
        <v>0</v>
      </c>
      <c r="O54" s="27"/>
      <c r="P54" s="284" t="e">
        <f>VLOOKUP(A54,'Předpis po mesici'!$A$1:$JQ$103,274,0)*12</f>
        <v>#N/A</v>
      </c>
      <c r="Q54" s="286" t="e">
        <f t="shared" si="3"/>
        <v>#N/A</v>
      </c>
      <c r="R54" s="27"/>
      <c r="S54" s="27"/>
      <c r="T54" s="27"/>
      <c r="U54" s="27"/>
      <c r="V54" s="27"/>
      <c r="W54" s="27"/>
      <c r="X54" s="27"/>
      <c r="Y54" s="27"/>
    </row>
    <row r="55" spans="1:25" x14ac:dyDescent="0.25">
      <c r="A55" s="168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169">
        <f t="shared" si="2"/>
        <v>0</v>
      </c>
      <c r="O55" s="27"/>
      <c r="P55" s="284" t="e">
        <f>VLOOKUP(A55,'Předpis po mesici'!$A$1:$JQ$103,274,0)*12</f>
        <v>#N/A</v>
      </c>
      <c r="Q55" s="286" t="e">
        <f t="shared" si="3"/>
        <v>#N/A</v>
      </c>
      <c r="R55" s="27"/>
      <c r="S55" s="27"/>
      <c r="T55" s="27"/>
      <c r="U55" s="27"/>
      <c r="V55" s="27"/>
      <c r="W55" s="27"/>
      <c r="X55" s="27"/>
      <c r="Y55" s="27"/>
    </row>
    <row r="56" spans="1:25" x14ac:dyDescent="0.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69">
        <f t="shared" si="2"/>
        <v>0</v>
      </c>
      <c r="O56" s="27"/>
      <c r="P56" s="284" t="e">
        <f>VLOOKUP(A56,'Předpis po mesici'!$A$1:$JQ$103,274,0)*12</f>
        <v>#N/A</v>
      </c>
      <c r="Q56" s="286" t="e">
        <f t="shared" si="3"/>
        <v>#N/A</v>
      </c>
      <c r="R56" s="27"/>
      <c r="S56" s="27"/>
      <c r="T56" s="27"/>
      <c r="U56" s="27"/>
      <c r="V56" s="27"/>
      <c r="W56" s="27"/>
      <c r="X56" s="27"/>
      <c r="Y56" s="27"/>
    </row>
    <row r="57" spans="1:25" x14ac:dyDescent="0.25">
      <c r="A57" s="168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169">
        <f t="shared" si="2"/>
        <v>0</v>
      </c>
      <c r="O57" s="27"/>
      <c r="P57" s="284" t="e">
        <f>VLOOKUP(A57,'Předpis po mesici'!$A$1:$JQ$103,274,0)*12</f>
        <v>#N/A</v>
      </c>
      <c r="Q57" s="286" t="e">
        <f t="shared" si="3"/>
        <v>#N/A</v>
      </c>
      <c r="R57" s="27"/>
      <c r="S57" s="27"/>
      <c r="T57" s="27"/>
      <c r="U57" s="27"/>
      <c r="V57" s="27"/>
      <c r="W57" s="27"/>
      <c r="X57" s="27"/>
      <c r="Y57" s="27"/>
    </row>
    <row r="58" spans="1:25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69">
        <f t="shared" si="2"/>
        <v>0</v>
      </c>
      <c r="O58" s="27"/>
      <c r="P58" s="284" t="e">
        <f>VLOOKUP(A58,'Předpis po mesici'!$A$1:$JQ$103,274,0)*12</f>
        <v>#N/A</v>
      </c>
      <c r="Q58" s="286" t="e">
        <f t="shared" si="3"/>
        <v>#N/A</v>
      </c>
      <c r="R58" s="27"/>
      <c r="S58" s="27"/>
      <c r="T58" s="27"/>
      <c r="U58" s="27"/>
      <c r="V58" s="27"/>
      <c r="W58" s="27"/>
      <c r="X58" s="27"/>
      <c r="Y58" s="27"/>
    </row>
    <row r="59" spans="1:25" x14ac:dyDescent="0.25">
      <c r="A59" s="168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169">
        <f t="shared" si="2"/>
        <v>0</v>
      </c>
      <c r="O59" s="27"/>
      <c r="P59" s="284" t="e">
        <f>VLOOKUP(A59,'Předpis po mesici'!$A$1:$JQ$103,274,0)*12</f>
        <v>#N/A</v>
      </c>
      <c r="Q59" s="286" t="e">
        <f t="shared" si="3"/>
        <v>#N/A</v>
      </c>
      <c r="R59" s="27"/>
      <c r="S59" s="27"/>
      <c r="T59" s="27"/>
      <c r="U59" s="27"/>
      <c r="V59" s="27"/>
      <c r="W59" s="27"/>
      <c r="X59" s="27"/>
      <c r="Y59" s="27"/>
    </row>
    <row r="60" spans="1:25" x14ac:dyDescent="0.25">
      <c r="A60" s="170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69">
        <f t="shared" si="2"/>
        <v>0</v>
      </c>
      <c r="O60" s="27"/>
      <c r="P60" s="284" t="e">
        <f>VLOOKUP(A60,'Předpis po mesici'!$A$1:$JQ$103,274,0)*12</f>
        <v>#N/A</v>
      </c>
      <c r="Q60" s="286" t="e">
        <f t="shared" si="3"/>
        <v>#N/A</v>
      </c>
      <c r="R60" s="27"/>
      <c r="S60" s="27"/>
      <c r="T60" s="27"/>
      <c r="U60" s="27"/>
      <c r="V60" s="27"/>
      <c r="W60" s="27"/>
      <c r="X60" s="27"/>
      <c r="Y60" s="27"/>
    </row>
    <row r="61" spans="1:25" x14ac:dyDescent="0.25">
      <c r="A61" s="168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169">
        <f t="shared" si="2"/>
        <v>0</v>
      </c>
      <c r="O61" s="27"/>
      <c r="P61" s="284" t="e">
        <f>VLOOKUP(A61,'Předpis po mesici'!$A$1:$JQ$103,274,0)*12</f>
        <v>#N/A</v>
      </c>
      <c r="Q61" s="286" t="e">
        <f t="shared" si="3"/>
        <v>#N/A</v>
      </c>
      <c r="R61" s="27"/>
      <c r="S61" s="27"/>
      <c r="T61" s="27"/>
      <c r="U61" s="27"/>
      <c r="V61" s="27"/>
      <c r="W61" s="27"/>
      <c r="X61" s="27"/>
      <c r="Y61" s="27"/>
    </row>
    <row r="62" spans="1:25" x14ac:dyDescent="0.25">
      <c r="A62" s="170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69">
        <f t="shared" si="2"/>
        <v>0</v>
      </c>
      <c r="O62" s="27"/>
      <c r="P62" s="284" t="e">
        <f>VLOOKUP(A62,'Předpis po mesici'!$A$1:$JQ$103,274,0)*12</f>
        <v>#N/A</v>
      </c>
      <c r="Q62" s="286" t="e">
        <f t="shared" si="3"/>
        <v>#N/A</v>
      </c>
      <c r="R62" s="27"/>
      <c r="S62" s="27"/>
      <c r="T62" s="27"/>
      <c r="U62" s="27"/>
      <c r="V62" s="27"/>
      <c r="W62" s="27"/>
      <c r="X62" s="27"/>
      <c r="Y62" s="27"/>
    </row>
    <row r="63" spans="1:25" x14ac:dyDescent="0.25">
      <c r="A63" s="168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169">
        <f t="shared" si="2"/>
        <v>0</v>
      </c>
      <c r="O63" s="27"/>
      <c r="P63" s="284" t="e">
        <f>VLOOKUP(A63,'Předpis po mesici'!$A$1:$JQ$103,274,0)*12</f>
        <v>#N/A</v>
      </c>
      <c r="Q63" s="286" t="e">
        <f t="shared" si="3"/>
        <v>#N/A</v>
      </c>
      <c r="R63" s="27"/>
      <c r="S63" s="27"/>
      <c r="T63" s="27"/>
      <c r="U63" s="27"/>
      <c r="V63" s="27"/>
      <c r="W63" s="27"/>
      <c r="X63" s="27"/>
      <c r="Y63" s="27"/>
    </row>
    <row r="64" spans="1:25" x14ac:dyDescent="0.25">
      <c r="A64" s="170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69">
        <f t="shared" si="2"/>
        <v>0</v>
      </c>
      <c r="O64" s="27"/>
      <c r="P64" s="284" t="e">
        <f>VLOOKUP(A64,'Předpis po mesici'!$A$1:$JQ$103,274,0)*12</f>
        <v>#N/A</v>
      </c>
      <c r="Q64" s="286" t="e">
        <f t="shared" si="3"/>
        <v>#N/A</v>
      </c>
      <c r="R64" s="27"/>
      <c r="S64" s="27"/>
      <c r="T64" s="27"/>
      <c r="U64" s="27"/>
      <c r="V64" s="27"/>
      <c r="W64" s="27"/>
      <c r="X64" s="27"/>
      <c r="Y64" s="27"/>
    </row>
    <row r="65" spans="1:25" x14ac:dyDescent="0.25">
      <c r="A65" s="168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169">
        <f t="shared" si="2"/>
        <v>0</v>
      </c>
      <c r="O65" s="27"/>
      <c r="P65" s="284" t="e">
        <f>VLOOKUP(A65,'Předpis po mesici'!$A$1:$JQ$103,274,0)*12</f>
        <v>#N/A</v>
      </c>
      <c r="Q65" s="286" t="e">
        <f t="shared" si="3"/>
        <v>#N/A</v>
      </c>
      <c r="R65" s="27"/>
      <c r="S65" s="27"/>
      <c r="T65" s="27"/>
      <c r="U65" s="27"/>
      <c r="V65" s="27"/>
      <c r="W65" s="27"/>
      <c r="X65" s="27"/>
      <c r="Y65" s="27"/>
    </row>
    <row r="66" spans="1:25" x14ac:dyDescent="0.25">
      <c r="A66" s="170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69">
        <f t="shared" ref="N66:N97" si="4">SUM(B66:M66)</f>
        <v>0</v>
      </c>
      <c r="O66" s="27"/>
      <c r="P66" s="284" t="e">
        <f>VLOOKUP(A66,'Předpis po mesici'!$A$1:$JQ$103,274,0)*12</f>
        <v>#N/A</v>
      </c>
      <c r="Q66" s="286" t="e">
        <f t="shared" ref="Q66:Q97" si="5">SUM(B66:M66)-P66</f>
        <v>#N/A</v>
      </c>
      <c r="R66" s="27"/>
      <c r="S66" s="27"/>
      <c r="T66" s="27"/>
      <c r="U66" s="27"/>
      <c r="V66" s="27"/>
      <c r="W66" s="27"/>
      <c r="X66" s="27"/>
      <c r="Y66" s="27"/>
    </row>
    <row r="67" spans="1:25" x14ac:dyDescent="0.25">
      <c r="A67" s="168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169">
        <f t="shared" si="4"/>
        <v>0</v>
      </c>
      <c r="O67" s="27"/>
      <c r="P67" s="284" t="e">
        <f>VLOOKUP(A67,'Předpis po mesici'!$A$1:$JQ$103,274,0)*12</f>
        <v>#N/A</v>
      </c>
      <c r="Q67" s="286" t="e">
        <f t="shared" si="5"/>
        <v>#N/A</v>
      </c>
      <c r="R67" s="27"/>
      <c r="S67" s="27"/>
      <c r="T67" s="27"/>
      <c r="U67" s="27"/>
      <c r="V67" s="27"/>
      <c r="W67" s="27"/>
      <c r="X67" s="27"/>
      <c r="Y67" s="27"/>
    </row>
    <row r="68" spans="1:25" x14ac:dyDescent="0.25">
      <c r="A68" s="170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69">
        <f t="shared" si="4"/>
        <v>0</v>
      </c>
      <c r="O68" s="27"/>
      <c r="P68" s="284" t="e">
        <f>VLOOKUP(A68,'Předpis po mesici'!$A$1:$JQ$103,274,0)*12</f>
        <v>#N/A</v>
      </c>
      <c r="Q68" s="286" t="e">
        <f t="shared" si="5"/>
        <v>#N/A</v>
      </c>
      <c r="R68" s="27"/>
      <c r="S68" s="27"/>
      <c r="T68" s="27"/>
      <c r="U68" s="27"/>
      <c r="V68" s="27"/>
      <c r="W68" s="27"/>
      <c r="X68" s="27"/>
      <c r="Y68" s="27"/>
    </row>
    <row r="69" spans="1:25" x14ac:dyDescent="0.25">
      <c r="A69" s="1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169">
        <f t="shared" si="4"/>
        <v>0</v>
      </c>
      <c r="O69" s="27"/>
      <c r="P69" s="284" t="e">
        <f>VLOOKUP(A69,'Předpis po mesici'!$A$1:$JQ$103,274,0)*12</f>
        <v>#N/A</v>
      </c>
      <c r="Q69" s="286" t="e">
        <f t="shared" si="5"/>
        <v>#N/A</v>
      </c>
      <c r="R69" s="27"/>
      <c r="S69" s="27"/>
      <c r="T69" s="27"/>
      <c r="U69" s="27"/>
      <c r="V69" s="27"/>
      <c r="W69" s="27"/>
      <c r="X69" s="27"/>
      <c r="Y69" s="27"/>
    </row>
    <row r="70" spans="1:25" x14ac:dyDescent="0.25">
      <c r="A70" s="170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69">
        <f t="shared" si="4"/>
        <v>0</v>
      </c>
      <c r="O70" s="27"/>
      <c r="P70" s="284" t="e">
        <f>VLOOKUP(A70,'Předpis po mesici'!$A$1:$JQ$103,274,0)*12</f>
        <v>#N/A</v>
      </c>
      <c r="Q70" s="286" t="e">
        <f t="shared" si="5"/>
        <v>#N/A</v>
      </c>
      <c r="R70" s="27"/>
      <c r="S70" s="27"/>
      <c r="T70" s="27"/>
      <c r="U70" s="27"/>
      <c r="V70" s="27"/>
      <c r="W70" s="27"/>
      <c r="X70" s="27"/>
      <c r="Y70" s="27"/>
    </row>
    <row r="71" spans="1:25" x14ac:dyDescent="0.25">
      <c r="A71" s="168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169">
        <f t="shared" si="4"/>
        <v>0</v>
      </c>
      <c r="O71" s="27"/>
      <c r="P71" s="284" t="e">
        <f>VLOOKUP(A71,'Předpis po mesici'!$A$1:$JQ$103,274,0)*12</f>
        <v>#N/A</v>
      </c>
      <c r="Q71" s="286" t="e">
        <f t="shared" si="5"/>
        <v>#N/A</v>
      </c>
      <c r="R71" s="27"/>
      <c r="S71" s="27"/>
      <c r="T71" s="27"/>
      <c r="U71" s="27"/>
      <c r="V71" s="27"/>
      <c r="W71" s="27"/>
      <c r="X71" s="27"/>
      <c r="Y71" s="27"/>
    </row>
    <row r="72" spans="1:25" x14ac:dyDescent="0.25">
      <c r="A72" s="170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69">
        <f t="shared" si="4"/>
        <v>0</v>
      </c>
      <c r="O72" s="27"/>
      <c r="P72" s="284" t="e">
        <f>VLOOKUP(A72,'Předpis po mesici'!$A$1:$JQ$103,274,0)*12</f>
        <v>#N/A</v>
      </c>
      <c r="Q72" s="286" t="e">
        <f t="shared" si="5"/>
        <v>#N/A</v>
      </c>
      <c r="R72" s="27"/>
      <c r="S72" s="27"/>
      <c r="T72" s="27"/>
      <c r="U72" s="27"/>
      <c r="V72" s="27"/>
      <c r="W72" s="27"/>
      <c r="X72" s="27"/>
      <c r="Y72" s="27"/>
    </row>
    <row r="73" spans="1:25" x14ac:dyDescent="0.25">
      <c r="A73" s="168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169">
        <f t="shared" si="4"/>
        <v>0</v>
      </c>
      <c r="O73" s="27"/>
      <c r="P73" s="284" t="e">
        <f>VLOOKUP(A73,'Předpis po mesici'!$A$1:$JQ$103,274,0)*12</f>
        <v>#N/A</v>
      </c>
      <c r="Q73" s="286" t="e">
        <f t="shared" si="5"/>
        <v>#N/A</v>
      </c>
      <c r="R73" s="27"/>
      <c r="S73" s="27"/>
      <c r="T73" s="27"/>
      <c r="U73" s="27"/>
      <c r="V73" s="27"/>
      <c r="W73" s="27"/>
      <c r="X73" s="27"/>
      <c r="Y73" s="27"/>
    </row>
    <row r="74" spans="1:25" x14ac:dyDescent="0.25">
      <c r="A74" s="170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69">
        <f t="shared" si="4"/>
        <v>0</v>
      </c>
      <c r="O74" s="27"/>
      <c r="P74" s="284" t="e">
        <f>VLOOKUP(A74,'Předpis po mesici'!$A$1:$JQ$103,274,0)*12</f>
        <v>#N/A</v>
      </c>
      <c r="Q74" s="286" t="e">
        <f t="shared" si="5"/>
        <v>#N/A</v>
      </c>
      <c r="R74" s="27"/>
      <c r="S74" s="27"/>
      <c r="T74" s="27"/>
      <c r="U74" s="27"/>
      <c r="V74" s="27"/>
      <c r="W74" s="27"/>
      <c r="X74" s="27"/>
      <c r="Y74" s="27"/>
    </row>
    <row r="75" spans="1:25" x14ac:dyDescent="0.25">
      <c r="A75" s="168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169">
        <f t="shared" si="4"/>
        <v>0</v>
      </c>
      <c r="O75" s="27"/>
      <c r="P75" s="284" t="e">
        <f>VLOOKUP(A75,'Předpis po mesici'!$A$1:$JQ$103,274,0)*12</f>
        <v>#N/A</v>
      </c>
      <c r="Q75" s="286" t="e">
        <f t="shared" si="5"/>
        <v>#N/A</v>
      </c>
      <c r="R75" s="27"/>
      <c r="S75" s="27"/>
      <c r="T75" s="27"/>
      <c r="U75" s="27"/>
      <c r="V75" s="27"/>
      <c r="W75" s="27"/>
      <c r="X75" s="27"/>
      <c r="Y75" s="27"/>
    </row>
    <row r="76" spans="1:25" x14ac:dyDescent="0.25">
      <c r="A76" s="170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69">
        <f t="shared" si="4"/>
        <v>0</v>
      </c>
      <c r="O76" s="27"/>
      <c r="P76" s="284" t="e">
        <f>VLOOKUP(A76,'Předpis po mesici'!$A$1:$JQ$103,274,0)*12</f>
        <v>#N/A</v>
      </c>
      <c r="Q76" s="286" t="e">
        <f t="shared" si="5"/>
        <v>#N/A</v>
      </c>
      <c r="R76" s="27"/>
      <c r="S76" s="27"/>
      <c r="T76" s="27"/>
      <c r="U76" s="27"/>
      <c r="V76" s="27"/>
      <c r="W76" s="27"/>
      <c r="X76" s="27"/>
      <c r="Y76" s="27"/>
    </row>
    <row r="77" spans="1:25" x14ac:dyDescent="0.25">
      <c r="A77" s="168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169">
        <f t="shared" si="4"/>
        <v>0</v>
      </c>
      <c r="O77" s="27"/>
      <c r="P77" s="284" t="e">
        <f>VLOOKUP(A77,'Předpis po mesici'!$A$1:$JQ$103,274,0)*12</f>
        <v>#N/A</v>
      </c>
      <c r="Q77" s="286" t="e">
        <f t="shared" si="5"/>
        <v>#N/A</v>
      </c>
      <c r="R77" s="27"/>
      <c r="S77" s="27"/>
      <c r="T77" s="27"/>
      <c r="U77" s="27"/>
      <c r="V77" s="27"/>
      <c r="W77" s="27"/>
      <c r="X77" s="27"/>
      <c r="Y77" s="27"/>
    </row>
    <row r="78" spans="1:25" x14ac:dyDescent="0.25">
      <c r="A78" s="170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69">
        <f t="shared" si="4"/>
        <v>0</v>
      </c>
      <c r="O78" s="27"/>
      <c r="P78" s="284" t="e">
        <f>VLOOKUP(A78,'Předpis po mesici'!$A$1:$JQ$103,274,0)*12</f>
        <v>#N/A</v>
      </c>
      <c r="Q78" s="286" t="e">
        <f t="shared" si="5"/>
        <v>#N/A</v>
      </c>
      <c r="R78" s="27"/>
      <c r="S78" s="27"/>
      <c r="T78" s="27"/>
      <c r="U78" s="27"/>
      <c r="V78" s="27"/>
      <c r="W78" s="27"/>
      <c r="X78" s="27"/>
      <c r="Y78" s="27"/>
    </row>
    <row r="79" spans="1:25" x14ac:dyDescent="0.25">
      <c r="A79" s="168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169">
        <f t="shared" si="4"/>
        <v>0</v>
      </c>
      <c r="O79" s="27"/>
      <c r="P79" s="284" t="e">
        <f>VLOOKUP(A79,'Předpis po mesici'!$A$1:$JQ$103,274,0)*12</f>
        <v>#N/A</v>
      </c>
      <c r="Q79" s="286" t="e">
        <f t="shared" si="5"/>
        <v>#N/A</v>
      </c>
      <c r="R79" s="27"/>
      <c r="S79" s="27"/>
      <c r="T79" s="27"/>
      <c r="U79" s="27"/>
      <c r="V79" s="27"/>
      <c r="W79" s="27"/>
      <c r="X79" s="27"/>
      <c r="Y79" s="27"/>
    </row>
    <row r="80" spans="1:25" x14ac:dyDescent="0.25">
      <c r="A80" s="170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69">
        <f t="shared" si="4"/>
        <v>0</v>
      </c>
      <c r="O80" s="27"/>
      <c r="P80" s="284" t="e">
        <f>VLOOKUP(A80,'Předpis po mesici'!$A$1:$JQ$103,274,0)*12</f>
        <v>#N/A</v>
      </c>
      <c r="Q80" s="286" t="e">
        <f t="shared" si="5"/>
        <v>#N/A</v>
      </c>
      <c r="R80" s="27"/>
      <c r="S80" s="27"/>
      <c r="T80" s="27"/>
      <c r="U80" s="27"/>
      <c r="V80" s="27"/>
      <c r="W80" s="27"/>
      <c r="X80" s="27"/>
      <c r="Y80" s="27"/>
    </row>
    <row r="81" spans="1:25" x14ac:dyDescent="0.25">
      <c r="A81" s="168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169">
        <f t="shared" si="4"/>
        <v>0</v>
      </c>
      <c r="O81" s="27"/>
      <c r="P81" s="284" t="e">
        <f>VLOOKUP(A81,'Předpis po mesici'!$A$1:$JQ$103,274,0)*12</f>
        <v>#N/A</v>
      </c>
      <c r="Q81" s="286" t="e">
        <f t="shared" si="5"/>
        <v>#N/A</v>
      </c>
      <c r="R81" s="27"/>
      <c r="S81" s="27"/>
      <c r="T81" s="27"/>
      <c r="U81" s="27"/>
      <c r="V81" s="27"/>
      <c r="W81" s="27"/>
      <c r="X81" s="27"/>
      <c r="Y81" s="27"/>
    </row>
    <row r="82" spans="1:25" x14ac:dyDescent="0.25">
      <c r="A82" s="170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69">
        <f t="shared" si="4"/>
        <v>0</v>
      </c>
      <c r="O82" s="27"/>
      <c r="P82" s="284" t="e">
        <f>VLOOKUP(A82,'Předpis po mesici'!$A$1:$JQ$103,274,0)*12</f>
        <v>#N/A</v>
      </c>
      <c r="Q82" s="286" t="e">
        <f t="shared" si="5"/>
        <v>#N/A</v>
      </c>
      <c r="R82" s="27"/>
      <c r="S82" s="27"/>
      <c r="T82" s="27"/>
      <c r="U82" s="27"/>
      <c r="V82" s="27"/>
      <c r="W82" s="27"/>
      <c r="X82" s="27"/>
      <c r="Y82" s="27"/>
    </row>
    <row r="83" spans="1:25" x14ac:dyDescent="0.25">
      <c r="A83" s="168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169">
        <f t="shared" si="4"/>
        <v>0</v>
      </c>
      <c r="O83" s="27"/>
      <c r="P83" s="284" t="e">
        <f>VLOOKUP(A83,'Předpis po mesici'!$A$1:$JQ$103,274,0)*12</f>
        <v>#N/A</v>
      </c>
      <c r="Q83" s="286" t="e">
        <f t="shared" si="5"/>
        <v>#N/A</v>
      </c>
      <c r="R83" s="27"/>
      <c r="S83" s="27"/>
      <c r="T83" s="27"/>
      <c r="U83" s="27"/>
      <c r="V83" s="27"/>
      <c r="W83" s="27"/>
      <c r="X83" s="27"/>
      <c r="Y83" s="27"/>
    </row>
    <row r="84" spans="1:25" x14ac:dyDescent="0.25">
      <c r="A84" s="170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69">
        <f t="shared" si="4"/>
        <v>0</v>
      </c>
      <c r="O84" s="27"/>
      <c r="P84" s="284" t="e">
        <f>VLOOKUP(A84,'Předpis po mesici'!$A$1:$JQ$103,274,0)*12</f>
        <v>#N/A</v>
      </c>
      <c r="Q84" s="286" t="e">
        <f t="shared" si="5"/>
        <v>#N/A</v>
      </c>
      <c r="R84" s="27"/>
      <c r="S84" s="27"/>
      <c r="T84" s="27"/>
      <c r="U84" s="27"/>
      <c r="V84" s="27"/>
      <c r="W84" s="27"/>
      <c r="X84" s="27"/>
      <c r="Y84" s="27"/>
    </row>
    <row r="85" spans="1:25" x14ac:dyDescent="0.25">
      <c r="A85" s="168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169">
        <f t="shared" si="4"/>
        <v>0</v>
      </c>
      <c r="O85" s="27"/>
      <c r="P85" s="284" t="e">
        <f>VLOOKUP(A85,'Předpis po mesici'!$A$1:$JQ$103,274,0)*12</f>
        <v>#N/A</v>
      </c>
      <c r="Q85" s="286" t="e">
        <f t="shared" si="5"/>
        <v>#N/A</v>
      </c>
      <c r="R85" s="27"/>
      <c r="S85" s="27"/>
      <c r="T85" s="27"/>
      <c r="U85" s="27"/>
      <c r="V85" s="27"/>
      <c r="W85" s="27"/>
      <c r="X85" s="27"/>
      <c r="Y85" s="27"/>
    </row>
    <row r="86" spans="1:25" x14ac:dyDescent="0.25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69">
        <f t="shared" si="4"/>
        <v>0</v>
      </c>
      <c r="O86" s="27"/>
      <c r="P86" s="284" t="e">
        <f>VLOOKUP(A86,'Předpis po mesici'!$A$1:$JQ$103,274,0)*12</f>
        <v>#N/A</v>
      </c>
      <c r="Q86" s="286" t="e">
        <f t="shared" si="5"/>
        <v>#N/A</v>
      </c>
      <c r="R86" s="27"/>
      <c r="S86" s="27"/>
      <c r="T86" s="27"/>
      <c r="U86" s="27"/>
      <c r="V86" s="27"/>
      <c r="W86" s="27"/>
      <c r="X86" s="27"/>
      <c r="Y86" s="27"/>
    </row>
    <row r="87" spans="1:25" x14ac:dyDescent="0.25">
      <c r="A87" s="168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169">
        <f t="shared" si="4"/>
        <v>0</v>
      </c>
      <c r="O87" s="27"/>
      <c r="P87" s="284" t="e">
        <f>VLOOKUP(A87,'Předpis po mesici'!$A$1:$JQ$103,274,0)*12</f>
        <v>#N/A</v>
      </c>
      <c r="Q87" s="286" t="e">
        <f t="shared" si="5"/>
        <v>#N/A</v>
      </c>
      <c r="R87" s="27"/>
      <c r="S87" s="27"/>
      <c r="T87" s="27"/>
      <c r="U87" s="27"/>
      <c r="V87" s="27"/>
      <c r="W87" s="27"/>
      <c r="X87" s="27"/>
      <c r="Y87" s="27"/>
    </row>
    <row r="88" spans="1:25" x14ac:dyDescent="0.25">
      <c r="A88" s="170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69">
        <f t="shared" si="4"/>
        <v>0</v>
      </c>
      <c r="O88" s="27"/>
      <c r="P88" s="284" t="e">
        <f>VLOOKUP(A88,'Předpis po mesici'!$A$1:$JQ$103,274,0)*12</f>
        <v>#N/A</v>
      </c>
      <c r="Q88" s="286" t="e">
        <f t="shared" si="5"/>
        <v>#N/A</v>
      </c>
      <c r="R88" s="27"/>
      <c r="S88" s="27"/>
      <c r="T88" s="27"/>
      <c r="U88" s="27"/>
      <c r="V88" s="27"/>
      <c r="W88" s="27"/>
      <c r="X88" s="27"/>
      <c r="Y88" s="27"/>
    </row>
    <row r="89" spans="1:25" x14ac:dyDescent="0.25">
      <c r="A89" s="168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169">
        <f t="shared" si="4"/>
        <v>0</v>
      </c>
      <c r="O89" s="27"/>
      <c r="P89" s="284" t="e">
        <f>VLOOKUP(A89,'Předpis po mesici'!$A$1:$JQ$103,274,0)*12</f>
        <v>#N/A</v>
      </c>
      <c r="Q89" s="286" t="e">
        <f t="shared" si="5"/>
        <v>#N/A</v>
      </c>
      <c r="R89" s="27"/>
      <c r="S89" s="27"/>
      <c r="T89" s="27"/>
      <c r="U89" s="27"/>
      <c r="V89" s="27"/>
      <c r="W89" s="27"/>
      <c r="X89" s="27"/>
      <c r="Y89" s="27"/>
    </row>
    <row r="90" spans="1:25" x14ac:dyDescent="0.25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69">
        <f t="shared" si="4"/>
        <v>0</v>
      </c>
      <c r="O90" s="27"/>
      <c r="P90" s="284" t="e">
        <f>VLOOKUP(A90,'Předpis po mesici'!$A$1:$JQ$103,274,0)*12</f>
        <v>#N/A</v>
      </c>
      <c r="Q90" s="286" t="e">
        <f t="shared" si="5"/>
        <v>#N/A</v>
      </c>
      <c r="R90" s="27"/>
      <c r="S90" s="27"/>
      <c r="T90" s="27"/>
      <c r="U90" s="27"/>
      <c r="V90" s="27"/>
      <c r="W90" s="27"/>
      <c r="X90" s="27"/>
      <c r="Y90" s="27"/>
    </row>
    <row r="91" spans="1:25" x14ac:dyDescent="0.25">
      <c r="A91" s="168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169">
        <f t="shared" si="4"/>
        <v>0</v>
      </c>
      <c r="O91" s="27"/>
      <c r="P91" s="284" t="e">
        <f>VLOOKUP(A91,'Předpis po mesici'!$A$1:$JQ$103,274,0)*12</f>
        <v>#N/A</v>
      </c>
      <c r="Q91" s="286" t="e">
        <f t="shared" si="5"/>
        <v>#N/A</v>
      </c>
      <c r="R91" s="27"/>
      <c r="S91" s="27"/>
      <c r="T91" s="27"/>
      <c r="U91" s="27"/>
      <c r="V91" s="27"/>
      <c r="W91" s="27"/>
      <c r="X91" s="27"/>
      <c r="Y91" s="27"/>
    </row>
    <row r="92" spans="1:25" x14ac:dyDescent="0.25">
      <c r="A92" s="170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69">
        <f t="shared" si="4"/>
        <v>0</v>
      </c>
      <c r="O92" s="27"/>
      <c r="P92" s="284" t="e">
        <f>VLOOKUP(A92,'Předpis po mesici'!$A$1:$JQ$103,274,0)*12</f>
        <v>#N/A</v>
      </c>
      <c r="Q92" s="286" t="e">
        <f t="shared" si="5"/>
        <v>#N/A</v>
      </c>
      <c r="R92" s="27"/>
      <c r="S92" s="27"/>
      <c r="T92" s="27"/>
      <c r="U92" s="27"/>
      <c r="V92" s="27"/>
      <c r="W92" s="27"/>
      <c r="X92" s="27"/>
      <c r="Y92" s="27"/>
    </row>
    <row r="93" spans="1:25" x14ac:dyDescent="0.25">
      <c r="A93" s="168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169">
        <f t="shared" si="4"/>
        <v>0</v>
      </c>
      <c r="O93" s="27"/>
      <c r="P93" s="284" t="e">
        <f>VLOOKUP(A93,'Předpis po mesici'!$A$1:$JQ$103,274,0)*12</f>
        <v>#N/A</v>
      </c>
      <c r="Q93" s="286" t="e">
        <f t="shared" si="5"/>
        <v>#N/A</v>
      </c>
      <c r="R93" s="27"/>
      <c r="S93" s="27"/>
      <c r="T93" s="27"/>
      <c r="U93" s="27"/>
      <c r="V93" s="27"/>
      <c r="W93" s="27"/>
      <c r="X93" s="27"/>
      <c r="Y93" s="27"/>
    </row>
    <row r="94" spans="1:25" x14ac:dyDescent="0.25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69">
        <f t="shared" si="4"/>
        <v>0</v>
      </c>
      <c r="O94" s="27"/>
      <c r="P94" s="284" t="e">
        <f>VLOOKUP(A94,'Předpis po mesici'!$A$1:$JQ$103,274,0)*12</f>
        <v>#N/A</v>
      </c>
      <c r="Q94" s="286" t="e">
        <f t="shared" si="5"/>
        <v>#N/A</v>
      </c>
      <c r="R94" s="27"/>
      <c r="S94" s="27"/>
      <c r="T94" s="27"/>
      <c r="U94" s="27"/>
      <c r="V94" s="27"/>
      <c r="W94" s="27"/>
      <c r="X94" s="27"/>
      <c r="Y94" s="27"/>
    </row>
    <row r="95" spans="1:25" x14ac:dyDescent="0.25">
      <c r="A95" s="168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169">
        <f t="shared" si="4"/>
        <v>0</v>
      </c>
      <c r="O95" s="27"/>
      <c r="P95" s="284" t="e">
        <f>VLOOKUP(A95,'Předpis po mesici'!$A$1:$JQ$103,274,0)*12</f>
        <v>#N/A</v>
      </c>
      <c r="Q95" s="286" t="e">
        <f t="shared" si="5"/>
        <v>#N/A</v>
      </c>
      <c r="R95" s="27"/>
      <c r="S95" s="27"/>
      <c r="T95" s="27"/>
      <c r="U95" s="27"/>
      <c r="V95" s="27"/>
      <c r="W95" s="27"/>
      <c r="X95" s="27"/>
      <c r="Y95" s="27"/>
    </row>
    <row r="96" spans="1:25" x14ac:dyDescent="0.25">
      <c r="A96" s="170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69">
        <f t="shared" si="4"/>
        <v>0</v>
      </c>
      <c r="O96" s="27"/>
      <c r="P96" s="284" t="e">
        <f>VLOOKUP(A96,'Předpis po mesici'!$A$1:$JQ$103,274,0)*12</f>
        <v>#N/A</v>
      </c>
      <c r="Q96" s="286" t="e">
        <f t="shared" si="5"/>
        <v>#N/A</v>
      </c>
      <c r="R96" s="27"/>
      <c r="S96" s="27"/>
      <c r="T96" s="27"/>
      <c r="U96" s="27"/>
      <c r="V96" s="27"/>
      <c r="W96" s="27"/>
      <c r="X96" s="27"/>
      <c r="Y96" s="27"/>
    </row>
    <row r="97" spans="1:25" x14ac:dyDescent="0.25">
      <c r="A97" s="168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169">
        <f t="shared" si="4"/>
        <v>0</v>
      </c>
      <c r="O97" s="27"/>
      <c r="P97" s="284" t="e">
        <f>VLOOKUP(A97,'Předpis po mesici'!$A$1:$JQ$103,274,0)*12</f>
        <v>#N/A</v>
      </c>
      <c r="Q97" s="286" t="e">
        <f t="shared" si="5"/>
        <v>#N/A</v>
      </c>
      <c r="R97" s="27"/>
      <c r="S97" s="27"/>
      <c r="T97" s="27"/>
      <c r="U97" s="27"/>
      <c r="V97" s="27"/>
      <c r="W97" s="27"/>
      <c r="X97" s="27"/>
      <c r="Y97" s="27"/>
    </row>
    <row r="98" spans="1:25" x14ac:dyDescent="0.25">
      <c r="A98" s="170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69">
        <f t="shared" ref="N98:N129" si="6">SUM(B98:M98)</f>
        <v>0</v>
      </c>
      <c r="O98" s="27"/>
      <c r="P98" s="284" t="e">
        <f>VLOOKUP(A98,'Předpis po mesici'!$A$1:$JQ$103,274,0)*12</f>
        <v>#N/A</v>
      </c>
      <c r="Q98" s="286" t="e">
        <f t="shared" ref="Q98:Q129" si="7">SUM(B98:M98)-P98</f>
        <v>#N/A</v>
      </c>
      <c r="R98" s="27"/>
      <c r="S98" s="27"/>
      <c r="T98" s="27"/>
      <c r="U98" s="27"/>
      <c r="V98" s="27"/>
      <c r="W98" s="27"/>
      <c r="X98" s="27"/>
      <c r="Y98" s="27"/>
    </row>
    <row r="99" spans="1:25" x14ac:dyDescent="0.25">
      <c r="A99" s="168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169">
        <f t="shared" si="6"/>
        <v>0</v>
      </c>
      <c r="O99" s="27"/>
      <c r="P99" s="284" t="e">
        <f>VLOOKUP(A99,'Předpis po mesici'!$A$1:$JQ$103,274,0)*12</f>
        <v>#N/A</v>
      </c>
      <c r="Q99" s="286" t="e">
        <f t="shared" si="7"/>
        <v>#N/A</v>
      </c>
      <c r="R99" s="27"/>
      <c r="S99" s="27"/>
      <c r="T99" s="27"/>
      <c r="U99" s="27"/>
      <c r="V99" s="27"/>
      <c r="W99" s="27"/>
      <c r="X99" s="27"/>
      <c r="Y99" s="27"/>
    </row>
    <row r="100" spans="1:25" x14ac:dyDescent="0.25">
      <c r="A100" s="170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69">
        <f t="shared" si="6"/>
        <v>0</v>
      </c>
      <c r="O100" s="27"/>
      <c r="P100" s="284" t="e">
        <f>VLOOKUP(A100,'Předpis po mesici'!$A$1:$JQ$103,274,0)*12</f>
        <v>#N/A</v>
      </c>
      <c r="Q100" s="286" t="e">
        <f t="shared" si="7"/>
        <v>#N/A</v>
      </c>
      <c r="R100" s="27"/>
      <c r="S100" s="27"/>
      <c r="T100" s="27"/>
      <c r="U100" s="27"/>
      <c r="V100" s="27"/>
      <c r="W100" s="27"/>
      <c r="X100" s="27"/>
      <c r="Y100" s="27"/>
    </row>
    <row r="101" spans="1:25" x14ac:dyDescent="0.25">
      <c r="A101" s="168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169">
        <f t="shared" si="6"/>
        <v>0</v>
      </c>
      <c r="O101" s="27"/>
      <c r="P101" s="284" t="e">
        <f>VLOOKUP(A101,'Předpis po mesici'!$A$1:$JQ$103,274,0)*12</f>
        <v>#N/A</v>
      </c>
      <c r="Q101" s="286" t="e">
        <f t="shared" si="7"/>
        <v>#N/A</v>
      </c>
      <c r="R101" s="27"/>
      <c r="S101" s="27"/>
      <c r="T101" s="27"/>
      <c r="U101" s="27"/>
      <c r="V101" s="27"/>
      <c r="W101" s="27"/>
      <c r="X101" s="27"/>
      <c r="Y101" s="27"/>
    </row>
    <row r="102" spans="1:25" x14ac:dyDescent="0.25">
      <c r="A102" s="170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69">
        <f t="shared" si="6"/>
        <v>0</v>
      </c>
      <c r="O102" s="27"/>
      <c r="P102" s="284" t="e">
        <f>VLOOKUP(A102,'Předpis po mesici'!$A$1:$JQ$103,274,0)*12</f>
        <v>#N/A</v>
      </c>
      <c r="Q102" s="286" t="e">
        <f t="shared" si="7"/>
        <v>#N/A</v>
      </c>
      <c r="R102" s="27"/>
      <c r="S102" s="27"/>
      <c r="T102" s="27"/>
      <c r="U102" s="27"/>
      <c r="V102" s="27"/>
      <c r="W102" s="27"/>
      <c r="X102" s="27"/>
      <c r="Y102" s="27"/>
    </row>
    <row r="103" spans="1:25" x14ac:dyDescent="0.25">
      <c r="A103" s="172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82"/>
      <c r="Q103" s="619" t="e">
        <f>SUM(Q2:Q102)</f>
        <v>#N/A</v>
      </c>
      <c r="R103" s="27"/>
      <c r="S103" s="27"/>
      <c r="T103" s="27"/>
      <c r="U103" s="27"/>
      <c r="V103" s="27"/>
    </row>
    <row r="104" spans="1:25" x14ac:dyDescent="0.25">
      <c r="A104" s="172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82"/>
      <c r="Q104" s="287"/>
      <c r="R104" s="27"/>
      <c r="S104" s="27"/>
      <c r="T104" s="27"/>
      <c r="U104" s="27"/>
      <c r="V104" s="27"/>
    </row>
    <row r="105" spans="1:25" x14ac:dyDescent="0.25">
      <c r="A105" s="172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82"/>
      <c r="Q105" s="287"/>
      <c r="R105" s="27"/>
      <c r="S105" s="27"/>
      <c r="T105" s="27"/>
      <c r="U105" s="27"/>
      <c r="V105" s="27"/>
    </row>
    <row r="106" spans="1:25" x14ac:dyDescent="0.25">
      <c r="A106" s="172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82"/>
      <c r="Q106" s="287"/>
      <c r="R106" s="27"/>
      <c r="S106" s="27"/>
      <c r="T106" s="27"/>
      <c r="U106" s="27"/>
      <c r="V106" s="27"/>
    </row>
    <row r="107" spans="1:25" x14ac:dyDescent="0.25">
      <c r="A107" s="172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82"/>
      <c r="Q107" s="287"/>
      <c r="R107" s="27"/>
      <c r="S107" s="27"/>
      <c r="T107" s="27"/>
      <c r="U107" s="27"/>
      <c r="V107" s="27"/>
    </row>
    <row r="108" spans="1:25" x14ac:dyDescent="0.25">
      <c r="A108" s="172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82"/>
      <c r="Q108" s="287"/>
      <c r="R108" s="27"/>
      <c r="S108" s="27"/>
      <c r="T108" s="27"/>
      <c r="U108" s="27"/>
      <c r="V108" s="27"/>
    </row>
    <row r="109" spans="1:25" x14ac:dyDescent="0.25">
      <c r="A109" s="172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82"/>
      <c r="Q109" s="287"/>
      <c r="R109" s="27"/>
      <c r="S109" s="27"/>
      <c r="T109" s="27"/>
      <c r="U109" s="27"/>
      <c r="V109" s="27"/>
    </row>
    <row r="110" spans="1:25" x14ac:dyDescent="0.25">
      <c r="A110" s="172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82"/>
      <c r="Q110" s="287"/>
      <c r="R110" s="27"/>
      <c r="S110" s="27"/>
      <c r="T110" s="27"/>
      <c r="U110" s="27"/>
      <c r="V110" s="27"/>
    </row>
    <row r="111" spans="1:25" x14ac:dyDescent="0.25">
      <c r="A111" s="172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82"/>
      <c r="Q111" s="287"/>
      <c r="R111" s="27"/>
      <c r="S111" s="27"/>
      <c r="T111" s="27"/>
      <c r="U111" s="27"/>
      <c r="V111" s="27"/>
    </row>
    <row r="112" spans="1:25" x14ac:dyDescent="0.25">
      <c r="A112" s="172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82"/>
      <c r="Q112" s="287"/>
      <c r="R112" s="27"/>
      <c r="S112" s="27"/>
      <c r="T112" s="27"/>
      <c r="U112" s="27"/>
      <c r="V112" s="27"/>
    </row>
    <row r="113" spans="1:22" x14ac:dyDescent="0.25">
      <c r="A113" s="172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82"/>
      <c r="Q113" s="287"/>
      <c r="R113" s="27"/>
      <c r="S113" s="27"/>
      <c r="T113" s="27"/>
      <c r="U113" s="27"/>
      <c r="V113" s="27"/>
    </row>
    <row r="114" spans="1:22" x14ac:dyDescent="0.25">
      <c r="A114" s="172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82"/>
      <c r="Q114" s="287"/>
      <c r="R114" s="27"/>
      <c r="S114" s="27"/>
      <c r="T114" s="27"/>
      <c r="U114" s="27"/>
      <c r="V114" s="27"/>
    </row>
    <row r="115" spans="1:22" x14ac:dyDescent="0.25">
      <c r="A115" s="172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82"/>
      <c r="Q115" s="287"/>
      <c r="R115" s="27"/>
      <c r="S115" s="27"/>
      <c r="T115" s="27"/>
      <c r="U115" s="27"/>
      <c r="V115" s="27"/>
    </row>
    <row r="116" spans="1:22" x14ac:dyDescent="0.25">
      <c r="A116" s="172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82"/>
      <c r="Q116" s="287"/>
      <c r="R116" s="27"/>
      <c r="S116" s="27"/>
      <c r="T116" s="27"/>
      <c r="U116" s="27"/>
      <c r="V116" s="27"/>
    </row>
    <row r="117" spans="1:22" x14ac:dyDescent="0.25">
      <c r="A117" s="172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82"/>
      <c r="Q117" s="287"/>
      <c r="R117" s="27"/>
      <c r="S117" s="27"/>
      <c r="T117" s="27"/>
      <c r="U117" s="27"/>
      <c r="V117" s="27"/>
    </row>
    <row r="118" spans="1:22" x14ac:dyDescent="0.25">
      <c r="A118" s="172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82"/>
      <c r="Q118" s="287"/>
      <c r="R118" s="27"/>
      <c r="S118" s="27"/>
      <c r="T118" s="27"/>
      <c r="U118" s="27"/>
      <c r="V118" s="27"/>
    </row>
    <row r="119" spans="1:22" x14ac:dyDescent="0.25">
      <c r="A119" s="172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82"/>
      <c r="Q119" s="287"/>
      <c r="R119" s="27"/>
      <c r="S119" s="27"/>
      <c r="T119" s="27"/>
      <c r="U119" s="27"/>
      <c r="V119" s="27"/>
    </row>
    <row r="120" spans="1:22" x14ac:dyDescent="0.25">
      <c r="A120" s="172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82"/>
      <c r="Q120" s="287"/>
      <c r="R120" s="27"/>
      <c r="S120" s="27"/>
      <c r="T120" s="27"/>
      <c r="U120" s="27"/>
      <c r="V120" s="27"/>
    </row>
    <row r="121" spans="1:22" x14ac:dyDescent="0.25">
      <c r="A121" s="172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82"/>
      <c r="Q121" s="287"/>
      <c r="R121" s="27"/>
      <c r="S121" s="27"/>
      <c r="T121" s="27"/>
      <c r="U121" s="27"/>
      <c r="V121" s="27"/>
    </row>
    <row r="122" spans="1:22" x14ac:dyDescent="0.25">
      <c r="A122" s="172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82"/>
      <c r="Q122" s="287"/>
      <c r="R122" s="27"/>
      <c r="S122" s="27"/>
      <c r="T122" s="27"/>
      <c r="U122" s="27"/>
      <c r="V122" s="27"/>
    </row>
    <row r="123" spans="1:22" x14ac:dyDescent="0.25">
      <c r="A123" s="172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82"/>
      <c r="Q123" s="287"/>
      <c r="R123" s="27"/>
      <c r="S123" s="27"/>
      <c r="T123" s="27"/>
      <c r="U123" s="27"/>
      <c r="V123" s="27"/>
    </row>
    <row r="124" spans="1:22" x14ac:dyDescent="0.25">
      <c r="A124" s="172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82"/>
      <c r="Q124" s="287"/>
      <c r="R124" s="27"/>
      <c r="S124" s="27"/>
      <c r="T124" s="27"/>
      <c r="U124" s="27"/>
      <c r="V124" s="27"/>
    </row>
    <row r="125" spans="1:22" x14ac:dyDescent="0.25">
      <c r="A125" s="172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82"/>
      <c r="Q125" s="287"/>
      <c r="R125" s="27"/>
      <c r="S125" s="27"/>
      <c r="T125" s="27"/>
      <c r="U125" s="27"/>
      <c r="V125" s="27"/>
    </row>
    <row r="126" spans="1:22" x14ac:dyDescent="0.25">
      <c r="A126" s="172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82"/>
      <c r="Q126" s="287"/>
      <c r="R126" s="27"/>
      <c r="S126" s="27"/>
      <c r="T126" s="27"/>
      <c r="U126" s="27"/>
      <c r="V126" s="27"/>
    </row>
    <row r="127" spans="1:22" x14ac:dyDescent="0.25">
      <c r="A127" s="172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82"/>
      <c r="Q127" s="287"/>
      <c r="R127" s="27"/>
      <c r="S127" s="27"/>
      <c r="T127" s="27"/>
      <c r="U127" s="27"/>
      <c r="V127" s="27"/>
    </row>
    <row r="128" spans="1:22" x14ac:dyDescent="0.25">
      <c r="A128" s="172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82"/>
      <c r="Q128" s="287"/>
      <c r="R128" s="27"/>
      <c r="S128" s="27"/>
      <c r="T128" s="27"/>
      <c r="U128" s="27"/>
      <c r="V128" s="27"/>
    </row>
    <row r="129" spans="1:22" x14ac:dyDescent="0.25">
      <c r="A129" s="172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82"/>
      <c r="Q129" s="287"/>
      <c r="R129" s="27"/>
      <c r="S129" s="27"/>
      <c r="T129" s="27"/>
      <c r="U129" s="27"/>
      <c r="V129" s="27"/>
    </row>
    <row r="130" spans="1:22" x14ac:dyDescent="0.25">
      <c r="A130" s="172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82"/>
      <c r="Q130" s="287"/>
      <c r="R130" s="27"/>
      <c r="S130" s="27"/>
      <c r="T130" s="27"/>
      <c r="U130" s="27"/>
      <c r="V130" s="27"/>
    </row>
    <row r="131" spans="1:22" x14ac:dyDescent="0.25">
      <c r="A131" s="172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82"/>
      <c r="Q131" s="287"/>
      <c r="R131" s="27"/>
      <c r="S131" s="27"/>
      <c r="T131" s="27"/>
      <c r="U131" s="27"/>
      <c r="V131" s="27"/>
    </row>
    <row r="132" spans="1:22" x14ac:dyDescent="0.25">
      <c r="A132" s="172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82"/>
      <c r="Q132" s="287"/>
      <c r="R132" s="27"/>
      <c r="S132" s="27"/>
      <c r="T132" s="27"/>
      <c r="U132" s="27"/>
      <c r="V132" s="27"/>
    </row>
    <row r="133" spans="1:22" x14ac:dyDescent="0.25">
      <c r="A133" s="172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82"/>
      <c r="Q133" s="287"/>
      <c r="R133" s="27"/>
      <c r="S133" s="27"/>
      <c r="T133" s="27"/>
      <c r="U133" s="27"/>
      <c r="V133" s="27"/>
    </row>
    <row r="134" spans="1:22" x14ac:dyDescent="0.25">
      <c r="A134" s="172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82"/>
      <c r="Q134" s="287"/>
      <c r="R134" s="27"/>
      <c r="S134" s="27"/>
      <c r="T134" s="27"/>
      <c r="U134" s="27"/>
      <c r="V134" s="27"/>
    </row>
    <row r="135" spans="1:22" x14ac:dyDescent="0.25">
      <c r="A135" s="172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82"/>
      <c r="Q135" s="287"/>
      <c r="R135" s="27"/>
      <c r="S135" s="27"/>
      <c r="T135" s="27"/>
      <c r="U135" s="27"/>
      <c r="V135" s="27"/>
    </row>
    <row r="136" spans="1:22" x14ac:dyDescent="0.25">
      <c r="A136" s="172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82"/>
      <c r="Q136" s="287"/>
      <c r="R136" s="27"/>
      <c r="S136" s="27"/>
      <c r="T136" s="27"/>
      <c r="U136" s="27"/>
      <c r="V136" s="27"/>
    </row>
    <row r="137" spans="1:22" x14ac:dyDescent="0.25">
      <c r="A137" s="172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82"/>
      <c r="Q137" s="287"/>
      <c r="R137" s="27"/>
      <c r="S137" s="27"/>
      <c r="T137" s="27"/>
      <c r="U137" s="27"/>
      <c r="V137" s="27"/>
    </row>
    <row r="138" spans="1:22" x14ac:dyDescent="0.25">
      <c r="A138" s="172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82"/>
      <c r="Q138" s="287"/>
      <c r="R138" s="27"/>
      <c r="S138" s="27"/>
      <c r="T138" s="27"/>
      <c r="U138" s="27"/>
      <c r="V138" s="27"/>
    </row>
    <row r="139" spans="1:22" x14ac:dyDescent="0.25">
      <c r="A139" s="172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82"/>
      <c r="Q139" s="287"/>
      <c r="R139" s="27"/>
      <c r="S139" s="27"/>
      <c r="T139" s="27"/>
      <c r="U139" s="27"/>
      <c r="V139" s="27"/>
    </row>
    <row r="140" spans="1:22" x14ac:dyDescent="0.25">
      <c r="A140" s="172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82"/>
      <c r="Q140" s="287"/>
      <c r="R140" s="27"/>
      <c r="S140" s="27"/>
      <c r="T140" s="27"/>
      <c r="U140" s="27"/>
      <c r="V140" s="27"/>
    </row>
    <row r="141" spans="1:22" x14ac:dyDescent="0.25">
      <c r="A141" s="172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82"/>
      <c r="Q141" s="287"/>
      <c r="R141" s="27"/>
      <c r="S141" s="27"/>
      <c r="T141" s="27"/>
      <c r="U141" s="27"/>
      <c r="V141" s="27"/>
    </row>
    <row r="142" spans="1:22" x14ac:dyDescent="0.25">
      <c r="A142" s="172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82"/>
      <c r="Q142" s="287"/>
      <c r="R142" s="27"/>
      <c r="S142" s="27"/>
      <c r="T142" s="27"/>
      <c r="U142" s="27"/>
      <c r="V142" s="27"/>
    </row>
    <row r="143" spans="1:22" x14ac:dyDescent="0.25">
      <c r="A143" s="172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82"/>
      <c r="Q143" s="287"/>
      <c r="R143" s="27"/>
      <c r="S143" s="27"/>
      <c r="T143" s="27"/>
      <c r="U143" s="27"/>
      <c r="V143" s="27"/>
    </row>
    <row r="144" spans="1:22" x14ac:dyDescent="0.25">
      <c r="A144" s="172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82"/>
      <c r="Q144" s="287"/>
      <c r="R144" s="27"/>
      <c r="S144" s="27"/>
      <c r="T144" s="27"/>
      <c r="U144" s="27"/>
      <c r="V144" s="27"/>
    </row>
    <row r="145" spans="1:22" x14ac:dyDescent="0.25">
      <c r="A145" s="172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82"/>
      <c r="Q145" s="287"/>
      <c r="R145" s="27"/>
      <c r="S145" s="27"/>
      <c r="T145" s="27"/>
      <c r="U145" s="27"/>
      <c r="V145" s="27"/>
    </row>
    <row r="146" spans="1:22" x14ac:dyDescent="0.25">
      <c r="A146" s="172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82"/>
      <c r="Q146" s="287"/>
      <c r="R146" s="27"/>
      <c r="S146" s="27"/>
      <c r="T146" s="27"/>
      <c r="U146" s="27"/>
      <c r="V146" s="27"/>
    </row>
    <row r="147" spans="1:22" x14ac:dyDescent="0.25">
      <c r="A147" s="172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82"/>
      <c r="Q147" s="287"/>
      <c r="R147" s="27"/>
      <c r="S147" s="27"/>
      <c r="T147" s="27"/>
      <c r="U147" s="27"/>
      <c r="V147" s="27"/>
    </row>
    <row r="148" spans="1:22" x14ac:dyDescent="0.25">
      <c r="A148" s="172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82"/>
      <c r="Q148" s="287"/>
      <c r="R148" s="27"/>
      <c r="S148" s="27"/>
      <c r="T148" s="27"/>
      <c r="U148" s="27"/>
      <c r="V148" s="27"/>
    </row>
    <row r="149" spans="1:22" x14ac:dyDescent="0.25">
      <c r="A149" s="172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82"/>
      <c r="Q149" s="287"/>
      <c r="R149" s="27"/>
      <c r="S149" s="27"/>
      <c r="T149" s="27"/>
      <c r="U149" s="27"/>
      <c r="V149" s="27"/>
    </row>
    <row r="150" spans="1:22" x14ac:dyDescent="0.25">
      <c r="A150" s="172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82"/>
      <c r="Q150" s="287"/>
      <c r="R150" s="27"/>
      <c r="S150" s="27"/>
      <c r="T150" s="27"/>
      <c r="U150" s="27"/>
      <c r="V150" s="27"/>
    </row>
    <row r="151" spans="1:22" x14ac:dyDescent="0.25">
      <c r="A151" s="172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82"/>
      <c r="Q151" s="287"/>
      <c r="R151" s="27"/>
      <c r="S151" s="27"/>
      <c r="T151" s="27"/>
      <c r="U151" s="27"/>
      <c r="V151" s="27"/>
    </row>
    <row r="152" spans="1:22" x14ac:dyDescent="0.25">
      <c r="A152" s="172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82"/>
      <c r="Q152" s="287"/>
      <c r="R152" s="27"/>
      <c r="S152" s="27"/>
      <c r="T152" s="27"/>
      <c r="U152" s="27"/>
      <c r="V152" s="27"/>
    </row>
    <row r="153" spans="1:22" x14ac:dyDescent="0.25">
      <c r="A153" s="172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82"/>
      <c r="Q153" s="287"/>
      <c r="R153" s="27"/>
      <c r="S153" s="27"/>
      <c r="T153" s="27"/>
      <c r="U153" s="27"/>
      <c r="V153" s="27"/>
    </row>
    <row r="154" spans="1:22" x14ac:dyDescent="0.25">
      <c r="A154" s="172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82"/>
      <c r="Q154" s="287"/>
      <c r="R154" s="27"/>
      <c r="S154" s="27"/>
      <c r="T154" s="27"/>
      <c r="U154" s="27"/>
      <c r="V154" s="27"/>
    </row>
    <row r="155" spans="1:22" x14ac:dyDescent="0.25">
      <c r="A155" s="17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82"/>
      <c r="Q155" s="287"/>
      <c r="R155" s="27"/>
      <c r="S155" s="27"/>
      <c r="T155" s="27"/>
      <c r="U155" s="27"/>
      <c r="V155" s="27"/>
    </row>
    <row r="156" spans="1:22" x14ac:dyDescent="0.25">
      <c r="A156" s="17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82"/>
      <c r="Q156" s="287"/>
      <c r="R156" s="27"/>
      <c r="S156" s="27"/>
      <c r="T156" s="27"/>
      <c r="U156" s="27"/>
      <c r="V156" s="27"/>
    </row>
    <row r="157" spans="1:22" x14ac:dyDescent="0.25">
      <c r="A157" s="172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82"/>
      <c r="Q157" s="287"/>
      <c r="R157" s="27"/>
      <c r="S157" s="27"/>
      <c r="T157" s="27"/>
      <c r="U157" s="27"/>
      <c r="V157" s="27"/>
    </row>
    <row r="158" spans="1:22" x14ac:dyDescent="0.25">
      <c r="A158" s="172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82"/>
      <c r="Q158" s="287"/>
      <c r="R158" s="27"/>
      <c r="S158" s="27"/>
      <c r="T158" s="27"/>
      <c r="U158" s="27"/>
      <c r="V158" s="27"/>
    </row>
    <row r="159" spans="1:22" x14ac:dyDescent="0.25">
      <c r="A159" s="172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82"/>
      <c r="Q159" s="287"/>
      <c r="R159" s="27"/>
      <c r="S159" s="27"/>
      <c r="T159" s="27"/>
      <c r="U159" s="27"/>
      <c r="V159" s="27"/>
    </row>
    <row r="160" spans="1:22" x14ac:dyDescent="0.25">
      <c r="A160" s="172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82"/>
      <c r="Q160" s="287"/>
      <c r="R160" s="27"/>
      <c r="S160" s="27"/>
      <c r="T160" s="27"/>
      <c r="U160" s="27"/>
      <c r="V160" s="27"/>
    </row>
    <row r="161" spans="1:22" x14ac:dyDescent="0.25">
      <c r="A161" s="172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82"/>
      <c r="Q161" s="287"/>
      <c r="R161" s="27"/>
      <c r="S161" s="27"/>
      <c r="T161" s="27"/>
      <c r="U161" s="27"/>
      <c r="V161" s="27"/>
    </row>
    <row r="162" spans="1:22" x14ac:dyDescent="0.25">
      <c r="A162" s="172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82"/>
      <c r="Q162" s="287"/>
      <c r="R162" s="27"/>
      <c r="S162" s="27"/>
      <c r="T162" s="27"/>
      <c r="U162" s="27"/>
      <c r="V162" s="27"/>
    </row>
    <row r="163" spans="1:22" x14ac:dyDescent="0.25">
      <c r="A163" s="172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82"/>
      <c r="Q163" s="287"/>
      <c r="R163" s="27"/>
      <c r="S163" s="27"/>
      <c r="T163" s="27"/>
      <c r="U163" s="27"/>
      <c r="V163" s="27"/>
    </row>
    <row r="164" spans="1:22" x14ac:dyDescent="0.25">
      <c r="A164" s="172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82"/>
      <c r="Q164" s="287"/>
      <c r="R164" s="27"/>
      <c r="S164" s="27"/>
      <c r="T164" s="27"/>
      <c r="U164" s="27"/>
      <c r="V164" s="27"/>
    </row>
    <row r="165" spans="1:22" x14ac:dyDescent="0.25">
      <c r="A165" s="172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82"/>
      <c r="Q165" s="287"/>
      <c r="R165" s="27"/>
      <c r="S165" s="27"/>
      <c r="T165" s="27"/>
      <c r="U165" s="27"/>
      <c r="V165" s="27"/>
    </row>
    <row r="166" spans="1:22" x14ac:dyDescent="0.25">
      <c r="A166" s="172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82"/>
      <c r="Q166" s="287"/>
      <c r="R166" s="27"/>
      <c r="S166" s="27"/>
      <c r="T166" s="27"/>
      <c r="U166" s="27"/>
      <c r="V166" s="27"/>
    </row>
    <row r="167" spans="1:22" x14ac:dyDescent="0.25">
      <c r="A167" s="172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82"/>
      <c r="Q167" s="287"/>
      <c r="R167" s="27"/>
      <c r="S167" s="27"/>
      <c r="T167" s="27"/>
      <c r="U167" s="27"/>
      <c r="V167" s="27"/>
    </row>
    <row r="168" spans="1:22" x14ac:dyDescent="0.25">
      <c r="A168" s="172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82"/>
      <c r="Q168" s="287"/>
      <c r="R168" s="27"/>
      <c r="S168" s="27"/>
      <c r="T168" s="27"/>
      <c r="U168" s="27"/>
      <c r="V168" s="27"/>
    </row>
    <row r="169" spans="1:22" x14ac:dyDescent="0.25">
      <c r="A169" s="172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82"/>
      <c r="Q169" s="287"/>
      <c r="R169" s="27"/>
      <c r="S169" s="27"/>
      <c r="T169" s="27"/>
      <c r="U169" s="27"/>
      <c r="V169" s="27"/>
    </row>
    <row r="170" spans="1:22" x14ac:dyDescent="0.25">
      <c r="A170" s="172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82"/>
      <c r="Q170" s="287"/>
      <c r="R170" s="27"/>
      <c r="S170" s="27"/>
      <c r="T170" s="27"/>
      <c r="U170" s="27"/>
      <c r="V170" s="27"/>
    </row>
    <row r="171" spans="1:22" x14ac:dyDescent="0.25">
      <c r="A171" s="172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82"/>
      <c r="Q171" s="287"/>
      <c r="R171" s="27"/>
      <c r="S171" s="27"/>
      <c r="T171" s="27"/>
      <c r="U171" s="27"/>
      <c r="V171" s="27"/>
    </row>
    <row r="172" spans="1:22" x14ac:dyDescent="0.25">
      <c r="A172" s="172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82"/>
      <c r="Q172" s="287"/>
      <c r="R172" s="27"/>
      <c r="S172" s="27"/>
      <c r="T172" s="27"/>
      <c r="U172" s="27"/>
      <c r="V172" s="27"/>
    </row>
    <row r="173" spans="1:22" x14ac:dyDescent="0.25">
      <c r="A173" s="172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82"/>
      <c r="Q173" s="287"/>
      <c r="R173" s="27"/>
      <c r="S173" s="27"/>
      <c r="T173" s="27"/>
      <c r="U173" s="27"/>
      <c r="V173" s="27"/>
    </row>
    <row r="174" spans="1:22" x14ac:dyDescent="0.25">
      <c r="A174" s="172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82"/>
      <c r="Q174" s="287"/>
      <c r="R174" s="27"/>
      <c r="S174" s="27"/>
      <c r="T174" s="27"/>
      <c r="U174" s="27"/>
      <c r="V174" s="27"/>
    </row>
    <row r="175" spans="1:22" x14ac:dyDescent="0.25">
      <c r="A175" s="172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82"/>
      <c r="Q175" s="287"/>
      <c r="R175" s="27"/>
      <c r="S175" s="27"/>
      <c r="T175" s="27"/>
      <c r="U175" s="27"/>
      <c r="V175" s="27"/>
    </row>
    <row r="176" spans="1:22" x14ac:dyDescent="0.25">
      <c r="A176" s="172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82"/>
      <c r="Q176" s="287"/>
      <c r="R176" s="27"/>
      <c r="S176" s="27"/>
      <c r="T176" s="27"/>
      <c r="U176" s="27"/>
      <c r="V176" s="27"/>
    </row>
    <row r="177" spans="1:22" x14ac:dyDescent="0.25">
      <c r="A177" s="172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82"/>
      <c r="Q177" s="287"/>
      <c r="R177" s="27"/>
      <c r="S177" s="27"/>
      <c r="T177" s="27"/>
      <c r="U177" s="27"/>
      <c r="V177" s="27"/>
    </row>
    <row r="178" spans="1:22" x14ac:dyDescent="0.25">
      <c r="A178" s="172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82"/>
      <c r="Q178" s="287"/>
      <c r="R178" s="27"/>
      <c r="S178" s="27"/>
      <c r="T178" s="27"/>
      <c r="U178" s="27"/>
      <c r="V178" s="27"/>
    </row>
    <row r="179" spans="1:22" x14ac:dyDescent="0.25">
      <c r="A179" s="172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82"/>
      <c r="Q179" s="287"/>
      <c r="R179" s="27"/>
      <c r="S179" s="27"/>
      <c r="T179" s="27"/>
      <c r="U179" s="27"/>
      <c r="V179" s="27"/>
    </row>
    <row r="180" spans="1:22" x14ac:dyDescent="0.25">
      <c r="A180" s="172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82"/>
      <c r="Q180" s="287"/>
      <c r="R180" s="27"/>
      <c r="S180" s="27"/>
      <c r="T180" s="27"/>
      <c r="U180" s="27"/>
      <c r="V180" s="27"/>
    </row>
    <row r="181" spans="1:22" x14ac:dyDescent="0.25">
      <c r="A181" s="172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82"/>
      <c r="Q181" s="287"/>
      <c r="R181" s="27"/>
      <c r="S181" s="27"/>
      <c r="T181" s="27"/>
      <c r="U181" s="27"/>
      <c r="V181" s="27"/>
    </row>
    <row r="182" spans="1:22" x14ac:dyDescent="0.25">
      <c r="A182" s="172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82"/>
      <c r="Q182" s="287"/>
      <c r="R182" s="27"/>
      <c r="S182" s="27"/>
      <c r="T182" s="27"/>
      <c r="U182" s="27"/>
      <c r="V182" s="27"/>
    </row>
    <row r="183" spans="1:22" x14ac:dyDescent="0.25">
      <c r="A183" s="172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2"/>
      <c r="Q183" s="287"/>
      <c r="R183" s="27"/>
      <c r="S183" s="27"/>
      <c r="T183" s="27"/>
      <c r="U183" s="27"/>
      <c r="V183" s="27"/>
    </row>
    <row r="184" spans="1:22" x14ac:dyDescent="0.25">
      <c r="A184" s="172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2"/>
      <c r="Q184" s="287"/>
      <c r="R184" s="27"/>
      <c r="S184" s="27"/>
      <c r="T184" s="27"/>
      <c r="U184" s="27"/>
      <c r="V184" s="27"/>
    </row>
    <row r="185" spans="1:22" x14ac:dyDescent="0.25">
      <c r="A185" s="172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2"/>
      <c r="Q185" s="287"/>
      <c r="R185" s="27"/>
      <c r="S185" s="27"/>
      <c r="T185" s="27"/>
      <c r="U185" s="27"/>
      <c r="V185" s="27"/>
    </row>
    <row r="186" spans="1:22" x14ac:dyDescent="0.25">
      <c r="A186" s="172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82"/>
      <c r="Q186" s="287"/>
      <c r="R186" s="27"/>
      <c r="S186" s="27"/>
      <c r="T186" s="27"/>
      <c r="U186" s="27"/>
      <c r="V186" s="27"/>
    </row>
    <row r="187" spans="1:22" x14ac:dyDescent="0.25">
      <c r="A187" s="172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2"/>
      <c r="Q187" s="287"/>
      <c r="R187" s="27"/>
      <c r="S187" s="27"/>
      <c r="T187" s="27"/>
      <c r="U187" s="27"/>
      <c r="V187" s="27"/>
    </row>
    <row r="188" spans="1:22" x14ac:dyDescent="0.25">
      <c r="A188" s="172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82"/>
      <c r="Q188" s="287"/>
      <c r="R188" s="27"/>
      <c r="S188" s="27"/>
      <c r="T188" s="27"/>
      <c r="U188" s="27"/>
      <c r="V188" s="27"/>
    </row>
    <row r="189" spans="1:22" x14ac:dyDescent="0.25">
      <c r="A189" s="172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82"/>
      <c r="Q189" s="287"/>
      <c r="R189" s="27"/>
      <c r="S189" s="27"/>
      <c r="T189" s="27"/>
      <c r="U189" s="27"/>
      <c r="V189" s="27"/>
    </row>
    <row r="190" spans="1:22" x14ac:dyDescent="0.25">
      <c r="A190" s="172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82"/>
      <c r="Q190" s="287"/>
      <c r="R190" s="27"/>
      <c r="S190" s="27"/>
      <c r="T190" s="27"/>
      <c r="U190" s="27"/>
      <c r="V190" s="27"/>
    </row>
    <row r="191" spans="1:22" x14ac:dyDescent="0.25">
      <c r="A191" s="172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82"/>
      <c r="Q191" s="287"/>
      <c r="R191" s="27"/>
      <c r="S191" s="27"/>
      <c r="T191" s="27"/>
      <c r="U191" s="27"/>
      <c r="V191" s="27"/>
    </row>
    <row r="192" spans="1:22" x14ac:dyDescent="0.25">
      <c r="A192" s="172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82"/>
      <c r="Q192" s="287"/>
      <c r="R192" s="27"/>
      <c r="S192" s="27"/>
      <c r="T192" s="27"/>
      <c r="U192" s="27"/>
      <c r="V192" s="27"/>
    </row>
    <row r="193" spans="1:22" x14ac:dyDescent="0.25">
      <c r="A193" s="172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82"/>
      <c r="Q193" s="287"/>
      <c r="R193" s="27"/>
      <c r="S193" s="27"/>
      <c r="T193" s="27"/>
      <c r="U193" s="27"/>
      <c r="V193" s="27"/>
    </row>
    <row r="194" spans="1:22" x14ac:dyDescent="0.25">
      <c r="A194" s="172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82"/>
      <c r="Q194" s="287"/>
      <c r="R194" s="27"/>
      <c r="S194" s="27"/>
      <c r="T194" s="27"/>
      <c r="U194" s="27"/>
      <c r="V194" s="27"/>
    </row>
    <row r="195" spans="1:22" x14ac:dyDescent="0.25">
      <c r="A195" s="172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82"/>
      <c r="Q195" s="287"/>
      <c r="R195" s="27"/>
      <c r="S195" s="27"/>
      <c r="T195" s="27"/>
      <c r="U195" s="27"/>
      <c r="V195" s="27"/>
    </row>
    <row r="196" spans="1:22" x14ac:dyDescent="0.25">
      <c r="A196" s="172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82"/>
      <c r="Q196" s="287"/>
      <c r="R196" s="27"/>
      <c r="S196" s="27"/>
      <c r="T196" s="27"/>
      <c r="U196" s="27"/>
      <c r="V196" s="27"/>
    </row>
    <row r="197" spans="1:22" x14ac:dyDescent="0.25">
      <c r="A197" s="172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82"/>
      <c r="Q197" s="287"/>
      <c r="R197" s="27"/>
      <c r="S197" s="27"/>
      <c r="T197" s="27"/>
      <c r="U197" s="27"/>
      <c r="V197" s="27"/>
    </row>
    <row r="198" spans="1:22" x14ac:dyDescent="0.25">
      <c r="A198" s="172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82"/>
      <c r="Q198" s="287"/>
      <c r="R198" s="27"/>
      <c r="S198" s="27"/>
      <c r="T198" s="27"/>
      <c r="U198" s="27"/>
      <c r="V198" s="27"/>
    </row>
    <row r="199" spans="1:22" x14ac:dyDescent="0.25">
      <c r="A199" s="172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82"/>
      <c r="Q199" s="287"/>
      <c r="R199" s="27"/>
      <c r="S199" s="27"/>
      <c r="T199" s="27"/>
      <c r="U199" s="27"/>
      <c r="V199" s="27"/>
    </row>
    <row r="200" spans="1:22" x14ac:dyDescent="0.25">
      <c r="A200" s="172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82"/>
      <c r="Q200" s="287"/>
      <c r="R200" s="27"/>
      <c r="S200" s="27"/>
      <c r="T200" s="27"/>
      <c r="U200" s="27"/>
      <c r="V200" s="27"/>
    </row>
    <row r="201" spans="1:22" x14ac:dyDescent="0.25">
      <c r="A201" s="172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82"/>
      <c r="Q201" s="287"/>
      <c r="R201" s="27"/>
      <c r="S201" s="27"/>
      <c r="T201" s="27"/>
      <c r="U201" s="27"/>
      <c r="V201" s="27"/>
    </row>
  </sheetData>
  <sheetProtection formatCells="0" formatColumns="0" formatRows="0" insertColumns="0" insertRows="0" insertHyperlinks="0" deleteColumns="0" deleteRows="0" sort="0" autoFilter="0" pivotTables="0"/>
  <autoFilter ref="A1:N102" xr:uid="{00000000-0009-0000-0000-000018000000}"/>
  <hyperlinks>
    <hyperlink ref="A1" location="Seznam!A1" display="Měsíc" xr:uid="{00000000-0004-0000-1800-000000000000}"/>
  </hyperlinks>
  <pageMargins left="0.7" right="0.7" top="0.78740157499999996" bottom="0.78740157499999996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37"/>
  <sheetViews>
    <sheetView workbookViewId="0">
      <selection activeCell="A5" sqref="A5"/>
    </sheetView>
  </sheetViews>
  <sheetFormatPr defaultRowHeight="15" x14ac:dyDescent="0.25"/>
  <cols>
    <col min="1" max="1" width="23" customWidth="1"/>
    <col min="2" max="2" width="22" customWidth="1"/>
    <col min="3" max="3" width="14.7109375" customWidth="1"/>
    <col min="4" max="4" width="10.5703125" style="212" customWidth="1"/>
    <col min="5" max="5" width="14.7109375" customWidth="1"/>
    <col min="6" max="6" width="10.5703125" customWidth="1"/>
    <col min="7" max="7" width="16.5703125" customWidth="1"/>
    <col min="8" max="8" width="27" customWidth="1"/>
    <col min="9" max="9" width="26.5703125" customWidth="1"/>
  </cols>
  <sheetData>
    <row r="1" spans="1:18" ht="26.25" customHeight="1" x14ac:dyDescent="0.25">
      <c r="A1" s="811" t="str">
        <f>("Hromadné odečty energií k datu 31.12."&amp;'vstupní data'!B12&amp;"")</f>
        <v>Hromadné odečty energií k datu 31.12.2024</v>
      </c>
      <c r="B1" s="811"/>
      <c r="C1" s="811"/>
      <c r="D1" s="811"/>
      <c r="E1" s="811"/>
      <c r="F1" s="811"/>
      <c r="G1" s="811"/>
      <c r="H1" s="811"/>
      <c r="I1" s="303"/>
      <c r="Q1" s="303"/>
    </row>
    <row r="2" spans="1:18" ht="37.5" customHeight="1" x14ac:dyDescent="0.25">
      <c r="A2" s="302" t="s">
        <v>586</v>
      </c>
      <c r="B2" s="301"/>
      <c r="C2" s="812" t="s">
        <v>572</v>
      </c>
      <c r="D2" s="813"/>
      <c r="E2" s="814"/>
      <c r="F2" s="815"/>
      <c r="G2" s="302" t="s">
        <v>587</v>
      </c>
      <c r="H2" s="301"/>
      <c r="I2" s="588" t="s">
        <v>54</v>
      </c>
    </row>
    <row r="3" spans="1:18" ht="15.75" customHeight="1" x14ac:dyDescent="0.25">
      <c r="A3" s="302" t="s">
        <v>588</v>
      </c>
      <c r="B3" s="808" t="str">
        <f>'vstupní data'!B3</f>
        <v>Společenství pro dům Zborovská 939/2, Brno</v>
      </c>
      <c r="C3" s="809"/>
      <c r="D3" s="809"/>
      <c r="E3" s="809"/>
      <c r="F3" s="809"/>
      <c r="G3" s="809"/>
      <c r="H3" s="810"/>
      <c r="Q3" s="153"/>
    </row>
    <row r="4" spans="1:18" ht="30" customHeight="1" x14ac:dyDescent="0.25">
      <c r="A4" s="296" t="s">
        <v>589</v>
      </c>
      <c r="B4" s="296" t="s">
        <v>65</v>
      </c>
      <c r="C4" s="296" t="s">
        <v>590</v>
      </c>
      <c r="D4" s="296" t="s">
        <v>591</v>
      </c>
      <c r="E4" s="296" t="s">
        <v>572</v>
      </c>
      <c r="F4" s="297" t="s">
        <v>592</v>
      </c>
      <c r="G4" s="296" t="s">
        <v>593</v>
      </c>
      <c r="H4" s="298" t="s">
        <v>594</v>
      </c>
      <c r="I4" s="294"/>
    </row>
    <row r="5" spans="1:18" s="294" customFormat="1" ht="29.25" customHeight="1" x14ac:dyDescent="0.25">
      <c r="A5" s="299" t="s">
        <v>423</v>
      </c>
      <c r="B5" s="299" t="s">
        <v>553</v>
      </c>
      <c r="C5" s="299">
        <v>0</v>
      </c>
      <c r="D5" s="300" t="s">
        <v>577</v>
      </c>
      <c r="E5" s="299"/>
      <c r="F5" s="299">
        <v>377.63</v>
      </c>
      <c r="G5" s="299">
        <v>455.73200000000003</v>
      </c>
      <c r="H5" s="299"/>
      <c r="Q5" s="294" t="str">
        <f t="shared" ref="Q5:Q68" si="0">A5</f>
        <v>Byt č. 939/16</v>
      </c>
      <c r="R5" s="294">
        <f>IF(COUNTIF(A$5:A5,A5)=1,MAX(R$4:R4)+1,VLOOKUP(A5,Q$4:R4,2,0))</f>
        <v>1</v>
      </c>
    </row>
    <row r="6" spans="1:18" s="294" customFormat="1" ht="29.25" customHeight="1" x14ac:dyDescent="0.25">
      <c r="A6" s="299" t="s">
        <v>429</v>
      </c>
      <c r="B6" s="299" t="s">
        <v>554</v>
      </c>
      <c r="C6" s="299">
        <v>0</v>
      </c>
      <c r="D6" s="300" t="s">
        <v>577</v>
      </c>
      <c r="E6" s="299" t="s">
        <v>578</v>
      </c>
      <c r="F6" s="299">
        <v>147.86600000000001</v>
      </c>
      <c r="G6" s="299">
        <v>173.548</v>
      </c>
      <c r="H6" s="299"/>
      <c r="Q6" s="294" t="str">
        <f t="shared" si="0"/>
        <v>Byt č. 939/17</v>
      </c>
      <c r="R6" s="294">
        <f>IF(COUNTIF(A$5:A6,A6)=1,MAX(R$4:R5)+1,VLOOKUP(A6,Q$4:R5,2,0))</f>
        <v>2</v>
      </c>
    </row>
    <row r="7" spans="1:18" s="294" customFormat="1" ht="29.25" customHeight="1" x14ac:dyDescent="0.25">
      <c r="A7" s="299" t="s">
        <v>435</v>
      </c>
      <c r="B7" s="299" t="s">
        <v>436</v>
      </c>
      <c r="C7" s="299">
        <v>0</v>
      </c>
      <c r="D7" s="300" t="s">
        <v>577</v>
      </c>
      <c r="E7" s="299"/>
      <c r="F7" s="299">
        <v>147.18600000000001</v>
      </c>
      <c r="G7" s="299">
        <v>147.86600000000001</v>
      </c>
      <c r="H7" s="299"/>
      <c r="Q7" s="294" t="str">
        <f t="shared" si="0"/>
        <v>Byt č. 939/17 P</v>
      </c>
      <c r="R7" s="294">
        <f>IF(COUNTIF(A$5:A7,A7)=1,MAX(R$4:R6)+1,VLOOKUP(A7,Q$4:R6,2,0))</f>
        <v>3</v>
      </c>
    </row>
    <row r="8" spans="1:18" s="294" customFormat="1" ht="29.25" customHeight="1" x14ac:dyDescent="0.25">
      <c r="A8" s="299" t="s">
        <v>443</v>
      </c>
      <c r="B8" s="299" t="s">
        <v>444</v>
      </c>
      <c r="C8" s="299">
        <v>0</v>
      </c>
      <c r="D8" s="300" t="s">
        <v>577</v>
      </c>
      <c r="E8" s="299"/>
      <c r="F8" s="299">
        <v>395.92</v>
      </c>
      <c r="G8" s="299">
        <v>430.87599999999998</v>
      </c>
      <c r="H8" s="299"/>
      <c r="Q8" s="294" t="str">
        <f t="shared" si="0"/>
        <v>Byt č. 939/18</v>
      </c>
      <c r="R8" s="294">
        <f>IF(COUNTIF(A$5:A8,A8)=1,MAX(R$4:R7)+1,VLOOKUP(A8,Q$4:R7,2,0))</f>
        <v>4</v>
      </c>
    </row>
    <row r="9" spans="1:18" s="294" customFormat="1" ht="29.25" customHeight="1" x14ac:dyDescent="0.25">
      <c r="A9" s="299" t="s">
        <v>449</v>
      </c>
      <c r="B9" s="299" t="s">
        <v>450</v>
      </c>
      <c r="C9" s="299">
        <v>0</v>
      </c>
      <c r="D9" s="300" t="s">
        <v>577</v>
      </c>
      <c r="E9" s="299" t="s">
        <v>578</v>
      </c>
      <c r="F9" s="299">
        <v>100.241</v>
      </c>
      <c r="G9" s="299">
        <v>107.5</v>
      </c>
      <c r="H9" s="299"/>
      <c r="I9" s="295"/>
      <c r="Q9" s="294" t="str">
        <f t="shared" si="0"/>
        <v>Byt č. 939/19</v>
      </c>
      <c r="R9" s="294">
        <f>IF(COUNTIF(A$5:A9,A9)=1,MAX(R$4:R8)+1,VLOOKUP(A9,Q$4:R8,2,0))</f>
        <v>5</v>
      </c>
    </row>
    <row r="10" spans="1:18" s="294" customFormat="1" ht="29.25" customHeight="1" x14ac:dyDescent="0.25">
      <c r="A10" s="299"/>
      <c r="B10" s="299"/>
      <c r="C10" s="299"/>
      <c r="D10" s="300"/>
      <c r="E10" s="299"/>
      <c r="F10" s="299"/>
      <c r="G10" s="299"/>
      <c r="H10" s="299"/>
      <c r="Q10" s="294">
        <f t="shared" si="0"/>
        <v>0</v>
      </c>
      <c r="R10" s="294" t="e">
        <f>IF(COUNTIF(A$5:A10,A10)=1,MAX(R$4:R9)+1,VLOOKUP(A10,Q$4:R9,2,0))</f>
        <v>#N/A</v>
      </c>
    </row>
    <row r="11" spans="1:18" s="294" customFormat="1" ht="29.25" customHeight="1" x14ac:dyDescent="0.25">
      <c r="A11" s="299"/>
      <c r="B11" s="299"/>
      <c r="C11" s="299"/>
      <c r="D11" s="300"/>
      <c r="E11" s="299"/>
      <c r="F11" s="299"/>
      <c r="G11" s="299"/>
      <c r="H11" s="299"/>
      <c r="Q11" s="294">
        <f t="shared" si="0"/>
        <v>0</v>
      </c>
      <c r="R11" s="294" t="e">
        <f>IF(COUNTIF(A$5:A11,A11)=1,MAX(R$4:R10)+1,VLOOKUP(A11,Q$4:R10,2,0))</f>
        <v>#N/A</v>
      </c>
    </row>
    <row r="12" spans="1:18" s="294" customFormat="1" ht="29.25" customHeight="1" x14ac:dyDescent="0.25">
      <c r="A12" s="299"/>
      <c r="B12" s="299"/>
      <c r="C12" s="299"/>
      <c r="D12" s="300"/>
      <c r="E12" s="299"/>
      <c r="F12" s="299"/>
      <c r="G12" s="299"/>
      <c r="H12" s="299"/>
      <c r="Q12" s="294">
        <f t="shared" si="0"/>
        <v>0</v>
      </c>
      <c r="R12" s="294" t="e">
        <f>IF(COUNTIF(A$5:A12,A12)=1,MAX(R$4:R11)+1,VLOOKUP(A12,Q$4:R11,2,0))</f>
        <v>#N/A</v>
      </c>
    </row>
    <row r="13" spans="1:18" s="294" customFormat="1" ht="29.25" customHeight="1" x14ac:dyDescent="0.25">
      <c r="A13" s="299"/>
      <c r="B13" s="299"/>
      <c r="C13" s="299"/>
      <c r="D13" s="300"/>
      <c r="E13" s="299"/>
      <c r="F13" s="299"/>
      <c r="G13" s="299"/>
      <c r="H13" s="299"/>
      <c r="Q13" s="294">
        <f t="shared" si="0"/>
        <v>0</v>
      </c>
      <c r="R13" s="294" t="e">
        <f>IF(COUNTIF(A$5:A13,A13)=1,MAX(R$4:R12)+1,VLOOKUP(A13,Q$4:R12,2,0))</f>
        <v>#N/A</v>
      </c>
    </row>
    <row r="14" spans="1:18" s="294" customFormat="1" ht="29.25" customHeight="1" x14ac:dyDescent="0.25">
      <c r="A14" s="299"/>
      <c r="B14" s="299"/>
      <c r="C14" s="299"/>
      <c r="D14" s="300"/>
      <c r="E14" s="299"/>
      <c r="F14" s="299"/>
      <c r="G14" s="299"/>
      <c r="H14" s="299"/>
      <c r="Q14" s="294">
        <f t="shared" si="0"/>
        <v>0</v>
      </c>
      <c r="R14" s="294" t="e">
        <f>IF(COUNTIF(A$5:A14,A14)=1,MAX(R$4:R13)+1,VLOOKUP(A14,Q$4:R13,2,0))</f>
        <v>#N/A</v>
      </c>
    </row>
    <row r="15" spans="1:18" s="294" customFormat="1" ht="29.25" customHeight="1" x14ac:dyDescent="0.25">
      <c r="A15" s="299"/>
      <c r="B15" s="299"/>
      <c r="C15" s="299"/>
      <c r="D15" s="300"/>
      <c r="E15" s="299"/>
      <c r="F15" s="299"/>
      <c r="G15" s="299"/>
      <c r="H15" s="299"/>
      <c r="Q15" s="294">
        <f t="shared" si="0"/>
        <v>0</v>
      </c>
      <c r="R15" s="294" t="e">
        <f>IF(COUNTIF(A$5:A15,A15)=1,MAX(R$4:R14)+1,VLOOKUP(A15,Q$4:R14,2,0))</f>
        <v>#N/A</v>
      </c>
    </row>
    <row r="16" spans="1:18" s="294" customFormat="1" ht="29.25" customHeight="1" x14ac:dyDescent="0.25">
      <c r="A16" s="299"/>
      <c r="B16" s="299"/>
      <c r="C16" s="299"/>
      <c r="D16" s="300"/>
      <c r="E16" s="299"/>
      <c r="F16" s="299"/>
      <c r="G16" s="299"/>
      <c r="H16" s="299"/>
      <c r="Q16" s="294">
        <f t="shared" si="0"/>
        <v>0</v>
      </c>
      <c r="R16" s="294" t="e">
        <f>IF(COUNTIF(A$5:A16,A16)=1,MAX(R$4:R15)+1,VLOOKUP(A16,Q$4:R15,2,0))</f>
        <v>#N/A</v>
      </c>
    </row>
    <row r="17" spans="1:18" s="294" customFormat="1" ht="29.25" customHeight="1" x14ac:dyDescent="0.25">
      <c r="A17" s="299"/>
      <c r="B17" s="299"/>
      <c r="C17" s="299"/>
      <c r="D17" s="300"/>
      <c r="E17" s="299"/>
      <c r="F17" s="299"/>
      <c r="G17" s="299"/>
      <c r="H17" s="299"/>
      <c r="Q17" s="294">
        <f t="shared" si="0"/>
        <v>0</v>
      </c>
      <c r="R17" s="294" t="e">
        <f>IF(COUNTIF(A$5:A17,A17)=1,MAX(R$4:R16)+1,VLOOKUP(A17,Q$4:R16,2,0))</f>
        <v>#N/A</v>
      </c>
    </row>
    <row r="18" spans="1:18" s="294" customFormat="1" ht="29.25" customHeight="1" x14ac:dyDescent="0.25">
      <c r="A18" s="299"/>
      <c r="B18" s="299"/>
      <c r="C18" s="299"/>
      <c r="D18" s="300"/>
      <c r="E18" s="299"/>
      <c r="F18" s="299"/>
      <c r="G18" s="299"/>
      <c r="H18" s="299"/>
      <c r="Q18" s="294">
        <f t="shared" si="0"/>
        <v>0</v>
      </c>
      <c r="R18" s="294" t="e">
        <f>IF(COUNTIF(A$5:A18,A18)=1,MAX(R$4:R17)+1,VLOOKUP(A18,Q$4:R17,2,0))</f>
        <v>#N/A</v>
      </c>
    </row>
    <row r="19" spans="1:18" s="294" customFormat="1" ht="29.25" customHeight="1" x14ac:dyDescent="0.25">
      <c r="A19" s="299"/>
      <c r="B19" s="299"/>
      <c r="C19" s="299"/>
      <c r="D19" s="300"/>
      <c r="E19" s="299"/>
      <c r="F19" s="299"/>
      <c r="G19" s="299"/>
      <c r="H19" s="299"/>
      <c r="Q19" s="294">
        <f t="shared" si="0"/>
        <v>0</v>
      </c>
      <c r="R19" s="294" t="e">
        <f>IF(COUNTIF(A$5:A19,A19)=1,MAX(R$4:R18)+1,VLOOKUP(A19,Q$4:R18,2,0))</f>
        <v>#N/A</v>
      </c>
    </row>
    <row r="20" spans="1:18" s="294" customFormat="1" ht="29.25" customHeight="1" x14ac:dyDescent="0.25">
      <c r="A20" s="299"/>
      <c r="B20" s="299"/>
      <c r="C20" s="299"/>
      <c r="D20" s="300"/>
      <c r="E20" s="299"/>
      <c r="F20" s="299"/>
      <c r="G20" s="299"/>
      <c r="H20" s="299"/>
      <c r="Q20" s="294">
        <f t="shared" si="0"/>
        <v>0</v>
      </c>
      <c r="R20" s="294" t="e">
        <f>IF(COUNTIF(A$5:A20,A20)=1,MAX(R$4:R19)+1,VLOOKUP(A20,Q$4:R19,2,0))</f>
        <v>#N/A</v>
      </c>
    </row>
    <row r="21" spans="1:18" s="294" customFormat="1" ht="29.25" customHeight="1" x14ac:dyDescent="0.25">
      <c r="A21" s="299"/>
      <c r="B21" s="299"/>
      <c r="C21" s="299"/>
      <c r="D21" s="300"/>
      <c r="E21" s="299"/>
      <c r="F21" s="299"/>
      <c r="G21" s="299"/>
      <c r="H21" s="299"/>
      <c r="Q21" s="294">
        <f t="shared" si="0"/>
        <v>0</v>
      </c>
      <c r="R21" s="294" t="e">
        <f>IF(COUNTIF(A$5:A21,A21)=1,MAX(R$4:R20)+1,VLOOKUP(A21,Q$4:R20,2,0))</f>
        <v>#N/A</v>
      </c>
    </row>
    <row r="22" spans="1:18" s="294" customFormat="1" ht="29.25" customHeight="1" x14ac:dyDescent="0.25">
      <c r="A22" s="299"/>
      <c r="B22" s="299"/>
      <c r="C22" s="299"/>
      <c r="D22" s="300"/>
      <c r="E22" s="299"/>
      <c r="F22" s="299"/>
      <c r="G22" s="299"/>
      <c r="H22" s="299"/>
      <c r="Q22" s="294">
        <f t="shared" si="0"/>
        <v>0</v>
      </c>
      <c r="R22" s="294" t="e">
        <f>IF(COUNTIF(A$5:A22,A22)=1,MAX(R$4:R21)+1,VLOOKUP(A22,Q$4:R21,2,0))</f>
        <v>#N/A</v>
      </c>
    </row>
    <row r="23" spans="1:18" s="294" customFormat="1" ht="29.25" customHeight="1" x14ac:dyDescent="0.25">
      <c r="A23" s="299"/>
      <c r="B23" s="299"/>
      <c r="C23" s="299"/>
      <c r="D23" s="300"/>
      <c r="E23" s="299"/>
      <c r="F23" s="299"/>
      <c r="G23" s="299"/>
      <c r="H23" s="299"/>
      <c r="Q23" s="294">
        <f t="shared" si="0"/>
        <v>0</v>
      </c>
      <c r="R23" s="294" t="e">
        <f>IF(COUNTIF(A$5:A23,A23)=1,MAX(R$4:R22)+1,VLOOKUP(A23,Q$4:R22,2,0))</f>
        <v>#N/A</v>
      </c>
    </row>
    <row r="24" spans="1:18" s="294" customFormat="1" ht="29.25" customHeight="1" x14ac:dyDescent="0.25">
      <c r="A24" s="299"/>
      <c r="B24" s="299"/>
      <c r="C24" s="299"/>
      <c r="D24" s="300"/>
      <c r="E24" s="299"/>
      <c r="F24" s="299"/>
      <c r="G24" s="299"/>
      <c r="H24" s="299"/>
      <c r="Q24" s="294">
        <f t="shared" si="0"/>
        <v>0</v>
      </c>
      <c r="R24" s="294" t="e">
        <f>IF(COUNTIF(A$5:A24,A24)=1,MAX(R$4:R23)+1,VLOOKUP(A24,Q$4:R23,2,0))</f>
        <v>#N/A</v>
      </c>
    </row>
    <row r="25" spans="1:18" s="294" customFormat="1" ht="29.25" customHeight="1" x14ac:dyDescent="0.25">
      <c r="A25" s="299"/>
      <c r="B25" s="299"/>
      <c r="C25" s="299"/>
      <c r="D25" s="300"/>
      <c r="E25" s="299"/>
      <c r="F25" s="299"/>
      <c r="G25" s="299"/>
      <c r="H25" s="299"/>
      <c r="Q25" s="294">
        <f t="shared" si="0"/>
        <v>0</v>
      </c>
      <c r="R25" s="294" t="e">
        <f>IF(COUNTIF(A$5:A25,A25)=1,MAX(R$4:R24)+1,VLOOKUP(A25,Q$4:R24,2,0))</f>
        <v>#N/A</v>
      </c>
    </row>
    <row r="26" spans="1:18" s="294" customFormat="1" ht="29.25" customHeight="1" x14ac:dyDescent="0.25">
      <c r="A26" s="299"/>
      <c r="B26" s="299"/>
      <c r="C26" s="299"/>
      <c r="D26" s="300"/>
      <c r="E26" s="299"/>
      <c r="F26" s="299"/>
      <c r="G26" s="299"/>
      <c r="H26" s="299"/>
      <c r="Q26" s="294">
        <f t="shared" si="0"/>
        <v>0</v>
      </c>
      <c r="R26" s="294" t="e">
        <f>IF(COUNTIF(A$5:A26,A26)=1,MAX(R$4:R25)+1,VLOOKUP(A26,Q$4:R25,2,0))</f>
        <v>#N/A</v>
      </c>
    </row>
    <row r="27" spans="1:18" s="294" customFormat="1" ht="29.25" customHeight="1" x14ac:dyDescent="0.25">
      <c r="A27" s="299"/>
      <c r="B27" s="299"/>
      <c r="C27" s="299"/>
      <c r="D27" s="300"/>
      <c r="E27" s="299"/>
      <c r="F27" s="299"/>
      <c r="G27" s="299"/>
      <c r="H27" s="299"/>
      <c r="Q27" s="294">
        <f t="shared" si="0"/>
        <v>0</v>
      </c>
      <c r="R27" s="294" t="e">
        <f>IF(COUNTIF(A$5:A27,A27)=1,MAX(R$4:R26)+1,VLOOKUP(A27,Q$4:R26,2,0))</f>
        <v>#N/A</v>
      </c>
    </row>
    <row r="28" spans="1:18" s="294" customFormat="1" ht="29.25" customHeight="1" x14ac:dyDescent="0.25">
      <c r="A28" s="299"/>
      <c r="B28" s="299"/>
      <c r="C28" s="299"/>
      <c r="D28" s="300"/>
      <c r="E28" s="299"/>
      <c r="F28" s="299"/>
      <c r="G28" s="299"/>
      <c r="H28" s="299"/>
      <c r="Q28" s="294">
        <f t="shared" si="0"/>
        <v>0</v>
      </c>
      <c r="R28" s="294" t="e">
        <f>IF(COUNTIF(A$5:A28,A28)=1,MAX(R$4:R27)+1,VLOOKUP(A28,Q$4:R27,2,0))</f>
        <v>#N/A</v>
      </c>
    </row>
    <row r="29" spans="1:18" s="294" customFormat="1" ht="29.25" customHeight="1" x14ac:dyDescent="0.25">
      <c r="A29" s="299"/>
      <c r="B29" s="299"/>
      <c r="C29" s="299"/>
      <c r="D29" s="300"/>
      <c r="E29" s="299"/>
      <c r="F29" s="299"/>
      <c r="G29" s="299"/>
      <c r="H29" s="299"/>
      <c r="Q29" s="294">
        <f t="shared" si="0"/>
        <v>0</v>
      </c>
      <c r="R29" s="294" t="e">
        <f>IF(COUNTIF(A$5:A29,A29)=1,MAX(R$4:R28)+1,VLOOKUP(A29,Q$4:R28,2,0))</f>
        <v>#N/A</v>
      </c>
    </row>
    <row r="30" spans="1:18" s="294" customFormat="1" ht="29.25" customHeight="1" x14ac:dyDescent="0.25">
      <c r="A30" s="299"/>
      <c r="B30" s="299"/>
      <c r="C30" s="299"/>
      <c r="D30" s="300"/>
      <c r="E30" s="299"/>
      <c r="F30" s="299"/>
      <c r="G30" s="299"/>
      <c r="H30" s="299"/>
      <c r="Q30" s="294">
        <f t="shared" si="0"/>
        <v>0</v>
      </c>
      <c r="R30" s="294" t="e">
        <f>IF(COUNTIF(A$5:A30,A30)=1,MAX(R$4:R29)+1,VLOOKUP(A30,Q$4:R29,2,0))</f>
        <v>#N/A</v>
      </c>
    </row>
    <row r="31" spans="1:18" s="294" customFormat="1" ht="29.25" customHeight="1" x14ac:dyDescent="0.25">
      <c r="A31" s="299"/>
      <c r="B31" s="299"/>
      <c r="C31" s="299"/>
      <c r="D31" s="300"/>
      <c r="E31" s="299"/>
      <c r="F31" s="299"/>
      <c r="G31" s="299"/>
      <c r="H31" s="299"/>
      <c r="Q31" s="294">
        <f t="shared" si="0"/>
        <v>0</v>
      </c>
      <c r="R31" s="294" t="e">
        <f>IF(COUNTIF(A$5:A31,A31)=1,MAX(R$4:R30)+1,VLOOKUP(A31,Q$4:R30,2,0))</f>
        <v>#N/A</v>
      </c>
    </row>
    <row r="32" spans="1:18" s="294" customFormat="1" ht="29.25" customHeight="1" x14ac:dyDescent="0.25">
      <c r="A32" s="299"/>
      <c r="B32" s="299"/>
      <c r="C32" s="299"/>
      <c r="D32" s="300"/>
      <c r="E32" s="299"/>
      <c r="F32" s="299"/>
      <c r="G32" s="299"/>
      <c r="H32" s="299"/>
      <c r="Q32" s="294">
        <f t="shared" si="0"/>
        <v>0</v>
      </c>
      <c r="R32" s="294" t="e">
        <f>IF(COUNTIF(A$5:A32,A32)=1,MAX(R$4:R31)+1,VLOOKUP(A32,Q$4:R31,2,0))</f>
        <v>#N/A</v>
      </c>
    </row>
    <row r="33" spans="1:18" s="294" customFormat="1" ht="29.25" customHeight="1" x14ac:dyDescent="0.25">
      <c r="A33" s="299"/>
      <c r="B33" s="299"/>
      <c r="C33" s="299"/>
      <c r="D33" s="300"/>
      <c r="E33" s="299"/>
      <c r="F33" s="299"/>
      <c r="G33" s="299"/>
      <c r="H33" s="299"/>
      <c r="Q33" s="294">
        <f t="shared" si="0"/>
        <v>0</v>
      </c>
      <c r="R33" s="294" t="e">
        <f>IF(COUNTIF(A$5:A33,A33)=1,MAX(R$4:R32)+1,VLOOKUP(A33,Q$4:R32,2,0))</f>
        <v>#N/A</v>
      </c>
    </row>
    <row r="34" spans="1:18" s="294" customFormat="1" ht="29.25" customHeight="1" x14ac:dyDescent="0.25">
      <c r="A34" s="299"/>
      <c r="B34" s="299"/>
      <c r="C34" s="299"/>
      <c r="D34" s="300"/>
      <c r="E34" s="299"/>
      <c r="F34" s="299"/>
      <c r="G34" s="299"/>
      <c r="H34" s="299"/>
      <c r="Q34" s="294">
        <f t="shared" si="0"/>
        <v>0</v>
      </c>
      <c r="R34" s="294" t="e">
        <f>IF(COUNTIF(A$5:A34,A34)=1,MAX(R$4:R33)+1,VLOOKUP(A34,Q$4:R33,2,0))</f>
        <v>#N/A</v>
      </c>
    </row>
    <row r="35" spans="1:18" s="294" customFormat="1" ht="29.25" customHeight="1" x14ac:dyDescent="0.25">
      <c r="A35" s="299"/>
      <c r="B35" s="299"/>
      <c r="C35" s="299"/>
      <c r="D35" s="300"/>
      <c r="E35" s="299"/>
      <c r="F35" s="299"/>
      <c r="G35" s="299"/>
      <c r="H35" s="299"/>
      <c r="Q35" s="294">
        <f t="shared" si="0"/>
        <v>0</v>
      </c>
      <c r="R35" s="294" t="e">
        <f>IF(COUNTIF(A$5:A35,A35)=1,MAX(R$4:R34)+1,VLOOKUP(A35,Q$4:R34,2,0))</f>
        <v>#N/A</v>
      </c>
    </row>
    <row r="36" spans="1:18" s="294" customFormat="1" ht="29.25" customHeight="1" x14ac:dyDescent="0.25">
      <c r="A36" s="299"/>
      <c r="B36" s="299"/>
      <c r="C36" s="299"/>
      <c r="D36" s="300"/>
      <c r="E36" s="299"/>
      <c r="F36" s="299"/>
      <c r="G36" s="299"/>
      <c r="H36" s="299"/>
      <c r="Q36" s="294">
        <f t="shared" si="0"/>
        <v>0</v>
      </c>
      <c r="R36" s="294" t="e">
        <f>IF(COUNTIF(A$5:A36,A36)=1,MAX(R$4:R35)+1,VLOOKUP(A36,Q$4:R35,2,0))</f>
        <v>#N/A</v>
      </c>
    </row>
    <row r="37" spans="1:18" s="294" customFormat="1" ht="29.25" customHeight="1" x14ac:dyDescent="0.25">
      <c r="A37" s="299"/>
      <c r="B37" s="299"/>
      <c r="C37" s="299"/>
      <c r="D37" s="300"/>
      <c r="E37" s="299"/>
      <c r="F37" s="299"/>
      <c r="G37" s="299"/>
      <c r="H37" s="299"/>
      <c r="Q37" s="294">
        <f t="shared" si="0"/>
        <v>0</v>
      </c>
      <c r="R37" s="294" t="e">
        <f>IF(COUNTIF(A$5:A37,A37)=1,MAX(R$4:R36)+1,VLOOKUP(A37,Q$4:R36,2,0))</f>
        <v>#N/A</v>
      </c>
    </row>
    <row r="38" spans="1:18" s="294" customFormat="1" ht="29.25" customHeight="1" x14ac:dyDescent="0.25">
      <c r="A38" s="299"/>
      <c r="B38" s="299"/>
      <c r="C38" s="299"/>
      <c r="D38" s="300"/>
      <c r="E38" s="299"/>
      <c r="F38" s="299"/>
      <c r="G38" s="299"/>
      <c r="H38" s="299"/>
      <c r="Q38" s="294">
        <f t="shared" si="0"/>
        <v>0</v>
      </c>
      <c r="R38" s="294" t="e">
        <f>IF(COUNTIF(A$5:A38,A38)=1,MAX(R$4:R37)+1,VLOOKUP(A38,Q$4:R37,2,0))</f>
        <v>#N/A</v>
      </c>
    </row>
    <row r="39" spans="1:18" s="294" customFormat="1" ht="29.25" customHeight="1" x14ac:dyDescent="0.25">
      <c r="A39" s="299"/>
      <c r="B39" s="299"/>
      <c r="C39" s="299"/>
      <c r="D39" s="300"/>
      <c r="E39" s="299"/>
      <c r="F39" s="299"/>
      <c r="G39" s="299"/>
      <c r="H39" s="299"/>
      <c r="Q39" s="294">
        <f t="shared" si="0"/>
        <v>0</v>
      </c>
      <c r="R39" s="294" t="e">
        <f>IF(COUNTIF(A$5:A39,A39)=1,MAX(R$4:R38)+1,VLOOKUP(A39,Q$4:R38,2,0))</f>
        <v>#N/A</v>
      </c>
    </row>
    <row r="40" spans="1:18" s="294" customFormat="1" ht="29.25" customHeight="1" x14ac:dyDescent="0.25">
      <c r="A40" s="299"/>
      <c r="B40" s="299"/>
      <c r="C40" s="299"/>
      <c r="D40" s="300"/>
      <c r="E40" s="299"/>
      <c r="F40" s="299"/>
      <c r="G40" s="299"/>
      <c r="H40" s="299"/>
      <c r="Q40" s="294">
        <f t="shared" si="0"/>
        <v>0</v>
      </c>
      <c r="R40" s="294" t="e">
        <f>IF(COUNTIF(A$5:A40,A40)=1,MAX(R$4:R39)+1,VLOOKUP(A40,Q$4:R39,2,0))</f>
        <v>#N/A</v>
      </c>
    </row>
    <row r="41" spans="1:18" s="294" customFormat="1" ht="29.25" customHeight="1" x14ac:dyDescent="0.25">
      <c r="A41" s="299"/>
      <c r="B41" s="299"/>
      <c r="C41" s="299"/>
      <c r="D41" s="300"/>
      <c r="E41" s="299"/>
      <c r="F41" s="299"/>
      <c r="G41" s="299"/>
      <c r="H41" s="299"/>
      <c r="Q41" s="294">
        <f t="shared" si="0"/>
        <v>0</v>
      </c>
      <c r="R41" s="294" t="e">
        <f>IF(COUNTIF(A$5:A41,A41)=1,MAX(R$4:R40)+1,VLOOKUP(A41,Q$4:R40,2,0))</f>
        <v>#N/A</v>
      </c>
    </row>
    <row r="42" spans="1:18" s="294" customFormat="1" ht="29.25" customHeight="1" x14ac:dyDescent="0.25">
      <c r="A42" s="299"/>
      <c r="B42" s="299"/>
      <c r="C42" s="299"/>
      <c r="D42" s="300"/>
      <c r="E42" s="299"/>
      <c r="F42" s="299"/>
      <c r="G42" s="299"/>
      <c r="H42" s="299"/>
      <c r="Q42" s="294">
        <f t="shared" si="0"/>
        <v>0</v>
      </c>
      <c r="R42" s="294" t="e">
        <f>IF(COUNTIF(A$5:A42,A42)=1,MAX(R$4:R41)+1,VLOOKUP(A42,Q$4:R41,2,0))</f>
        <v>#N/A</v>
      </c>
    </row>
    <row r="43" spans="1:18" s="294" customFormat="1" ht="29.25" customHeight="1" x14ac:dyDescent="0.25">
      <c r="A43" s="299"/>
      <c r="B43" s="299"/>
      <c r="C43" s="299"/>
      <c r="D43" s="300"/>
      <c r="E43" s="299"/>
      <c r="F43" s="299"/>
      <c r="G43" s="299"/>
      <c r="H43" s="299"/>
      <c r="Q43" s="294">
        <f t="shared" si="0"/>
        <v>0</v>
      </c>
      <c r="R43" s="294" t="e">
        <f>IF(COUNTIF(A$5:A43,A43)=1,MAX(R$4:R42)+1,VLOOKUP(A43,Q$4:R42,2,0))</f>
        <v>#N/A</v>
      </c>
    </row>
    <row r="44" spans="1:18" s="294" customFormat="1" ht="29.25" customHeight="1" x14ac:dyDescent="0.25">
      <c r="A44" s="299"/>
      <c r="B44" s="299"/>
      <c r="C44" s="299"/>
      <c r="D44" s="300"/>
      <c r="E44" s="299"/>
      <c r="F44" s="299"/>
      <c r="G44" s="299"/>
      <c r="H44" s="299"/>
      <c r="Q44" s="294">
        <f t="shared" si="0"/>
        <v>0</v>
      </c>
      <c r="R44" s="294" t="e">
        <f>IF(COUNTIF(A$5:A44,A44)=1,MAX(R$4:R43)+1,VLOOKUP(A44,Q$4:R43,2,0))</f>
        <v>#N/A</v>
      </c>
    </row>
    <row r="45" spans="1:18" s="294" customFormat="1" ht="29.25" customHeight="1" x14ac:dyDescent="0.25">
      <c r="A45" s="299"/>
      <c r="B45" s="299"/>
      <c r="C45" s="299"/>
      <c r="D45" s="300"/>
      <c r="E45" s="299"/>
      <c r="F45" s="299"/>
      <c r="G45" s="299"/>
      <c r="H45" s="299"/>
      <c r="Q45" s="294">
        <f t="shared" si="0"/>
        <v>0</v>
      </c>
      <c r="R45" s="294" t="e">
        <f>IF(COUNTIF(A$5:A45,A45)=1,MAX(R$4:R44)+1,VLOOKUP(A45,Q$4:R44,2,0))</f>
        <v>#N/A</v>
      </c>
    </row>
    <row r="46" spans="1:18" s="294" customFormat="1" ht="29.25" customHeight="1" x14ac:dyDescent="0.25">
      <c r="A46" s="299"/>
      <c r="B46" s="299"/>
      <c r="C46" s="299"/>
      <c r="D46" s="300"/>
      <c r="E46" s="299"/>
      <c r="F46" s="299"/>
      <c r="G46" s="299"/>
      <c r="H46" s="299"/>
      <c r="Q46" s="294">
        <f t="shared" si="0"/>
        <v>0</v>
      </c>
      <c r="R46" s="294" t="e">
        <f>IF(COUNTIF(A$5:A46,A46)=1,MAX(R$4:R45)+1,VLOOKUP(A46,Q$4:R45,2,0))</f>
        <v>#N/A</v>
      </c>
    </row>
    <row r="47" spans="1:18" s="294" customFormat="1" ht="29.25" customHeight="1" x14ac:dyDescent="0.25">
      <c r="A47" s="299"/>
      <c r="B47" s="299"/>
      <c r="C47" s="299"/>
      <c r="D47" s="300"/>
      <c r="E47" s="299"/>
      <c r="F47" s="299"/>
      <c r="G47" s="299"/>
      <c r="H47" s="299"/>
      <c r="Q47" s="294">
        <f t="shared" si="0"/>
        <v>0</v>
      </c>
      <c r="R47" s="294" t="e">
        <f>IF(COUNTIF(A$5:A47,A47)=1,MAX(R$4:R46)+1,VLOOKUP(A47,Q$4:R46,2,0))</f>
        <v>#N/A</v>
      </c>
    </row>
    <row r="48" spans="1:18" s="294" customFormat="1" ht="29.25" customHeight="1" x14ac:dyDescent="0.25">
      <c r="A48" s="299"/>
      <c r="B48" s="299"/>
      <c r="C48" s="299"/>
      <c r="D48" s="300"/>
      <c r="E48" s="299"/>
      <c r="F48" s="299"/>
      <c r="G48" s="299"/>
      <c r="H48" s="299"/>
      <c r="Q48" s="294">
        <f t="shared" si="0"/>
        <v>0</v>
      </c>
      <c r="R48" s="294" t="e">
        <f>IF(COUNTIF(A$5:A48,A48)=1,MAX(R$4:R47)+1,VLOOKUP(A48,Q$4:R47,2,0))</f>
        <v>#N/A</v>
      </c>
    </row>
    <row r="49" spans="1:18" s="294" customFormat="1" ht="29.25" customHeight="1" x14ac:dyDescent="0.25">
      <c r="A49" s="299"/>
      <c r="B49" s="299"/>
      <c r="C49" s="299"/>
      <c r="D49" s="300"/>
      <c r="E49" s="299"/>
      <c r="F49" s="299"/>
      <c r="G49" s="299"/>
      <c r="H49" s="299"/>
      <c r="Q49" s="294">
        <f t="shared" si="0"/>
        <v>0</v>
      </c>
      <c r="R49" s="294" t="e">
        <f>IF(COUNTIF(A$5:A49,A49)=1,MAX(R$4:R48)+1,VLOOKUP(A49,Q$4:R48,2,0))</f>
        <v>#N/A</v>
      </c>
    </row>
    <row r="50" spans="1:18" s="294" customFormat="1" ht="29.25" customHeight="1" x14ac:dyDescent="0.25">
      <c r="A50" s="299"/>
      <c r="B50" s="299"/>
      <c r="C50" s="299"/>
      <c r="D50" s="300"/>
      <c r="E50" s="299"/>
      <c r="F50" s="299"/>
      <c r="G50" s="299"/>
      <c r="H50" s="299"/>
      <c r="Q50" s="294">
        <f t="shared" si="0"/>
        <v>0</v>
      </c>
      <c r="R50" s="294" t="e">
        <f>IF(COUNTIF(A$5:A50,A50)=1,MAX(R$4:R49)+1,VLOOKUP(A50,Q$4:R49,2,0))</f>
        <v>#N/A</v>
      </c>
    </row>
    <row r="51" spans="1:18" s="294" customFormat="1" ht="29.25" customHeight="1" x14ac:dyDescent="0.25">
      <c r="A51" s="299"/>
      <c r="B51" s="299"/>
      <c r="C51" s="299"/>
      <c r="D51" s="300"/>
      <c r="E51" s="299"/>
      <c r="F51" s="299"/>
      <c r="G51" s="299"/>
      <c r="H51" s="299"/>
      <c r="Q51" s="294">
        <f t="shared" si="0"/>
        <v>0</v>
      </c>
      <c r="R51" s="294" t="e">
        <f>IF(COUNTIF(A$5:A51,A51)=1,MAX(R$4:R50)+1,VLOOKUP(A51,Q$4:R50,2,0))</f>
        <v>#N/A</v>
      </c>
    </row>
    <row r="52" spans="1:18" s="294" customFormat="1" ht="29.25" customHeight="1" x14ac:dyDescent="0.25">
      <c r="A52" s="299"/>
      <c r="B52" s="299"/>
      <c r="C52" s="299"/>
      <c r="D52" s="300"/>
      <c r="E52" s="299"/>
      <c r="F52" s="299"/>
      <c r="G52" s="299"/>
      <c r="H52" s="299"/>
      <c r="Q52" s="294">
        <f t="shared" si="0"/>
        <v>0</v>
      </c>
      <c r="R52" s="294" t="e">
        <f>IF(COUNTIF(A$5:A52,A52)=1,MAX(R$4:R51)+1,VLOOKUP(A52,Q$4:R51,2,0))</f>
        <v>#N/A</v>
      </c>
    </row>
    <row r="53" spans="1:18" s="294" customFormat="1" ht="29.25" customHeight="1" x14ac:dyDescent="0.25">
      <c r="A53" s="299"/>
      <c r="B53" s="299"/>
      <c r="C53" s="299"/>
      <c r="D53" s="300"/>
      <c r="E53" s="299"/>
      <c r="F53" s="299"/>
      <c r="G53" s="299"/>
      <c r="H53" s="299"/>
      <c r="Q53" s="294">
        <f t="shared" si="0"/>
        <v>0</v>
      </c>
      <c r="R53" s="294" t="e">
        <f>IF(COUNTIF(A$5:A53,A53)=1,MAX(R$4:R52)+1,VLOOKUP(A53,Q$4:R52,2,0))</f>
        <v>#N/A</v>
      </c>
    </row>
    <row r="54" spans="1:18" s="294" customFormat="1" ht="29.25" customHeight="1" x14ac:dyDescent="0.25">
      <c r="A54" s="299"/>
      <c r="B54" s="299"/>
      <c r="C54" s="299"/>
      <c r="D54" s="300"/>
      <c r="E54" s="299"/>
      <c r="F54" s="299"/>
      <c r="G54" s="299"/>
      <c r="H54" s="299"/>
      <c r="Q54" s="294">
        <f t="shared" si="0"/>
        <v>0</v>
      </c>
      <c r="R54" s="294" t="e">
        <f>IF(COUNTIF(A$5:A54,A54)=1,MAX(R$4:R53)+1,VLOOKUP(A54,Q$4:R53,2,0))</f>
        <v>#N/A</v>
      </c>
    </row>
    <row r="55" spans="1:18" s="294" customFormat="1" ht="29.25" customHeight="1" x14ac:dyDescent="0.25">
      <c r="A55" s="299"/>
      <c r="B55" s="299"/>
      <c r="C55" s="299"/>
      <c r="D55" s="300"/>
      <c r="E55" s="299"/>
      <c r="F55" s="299"/>
      <c r="G55" s="299"/>
      <c r="H55" s="299"/>
      <c r="Q55" s="294">
        <f t="shared" si="0"/>
        <v>0</v>
      </c>
      <c r="R55" s="294" t="e">
        <f>IF(COUNTIF(A$5:A55,A55)=1,MAX(R$4:R54)+1,VLOOKUP(A55,Q$4:R54,2,0))</f>
        <v>#N/A</v>
      </c>
    </row>
    <row r="56" spans="1:18" s="294" customFormat="1" ht="29.25" customHeight="1" x14ac:dyDescent="0.25">
      <c r="A56" s="299"/>
      <c r="B56" s="299"/>
      <c r="C56" s="299"/>
      <c r="D56" s="300"/>
      <c r="E56" s="299"/>
      <c r="F56" s="299"/>
      <c r="G56" s="299"/>
      <c r="H56" s="299"/>
      <c r="Q56" s="294">
        <f t="shared" si="0"/>
        <v>0</v>
      </c>
      <c r="R56" s="294" t="e">
        <f>IF(COUNTIF(A$5:A56,A56)=1,MAX(R$4:R55)+1,VLOOKUP(A56,Q$4:R55,2,0))</f>
        <v>#N/A</v>
      </c>
    </row>
    <row r="57" spans="1:18" s="294" customFormat="1" ht="30" customHeight="1" x14ac:dyDescent="0.25">
      <c r="A57" s="299"/>
      <c r="B57" s="299"/>
      <c r="C57" s="299"/>
      <c r="D57" s="300"/>
      <c r="E57" s="299"/>
      <c r="F57" s="299"/>
      <c r="G57" s="299"/>
      <c r="H57" s="299"/>
      <c r="Q57" s="294">
        <f t="shared" si="0"/>
        <v>0</v>
      </c>
      <c r="R57" s="294" t="e">
        <f>IF(COUNTIF(A$5:A57,A57)=1,MAX(R$4:R56)+1,VLOOKUP(A57,Q$4:R56,2,0))</f>
        <v>#N/A</v>
      </c>
    </row>
    <row r="58" spans="1:18" ht="30" customHeight="1" x14ac:dyDescent="0.25">
      <c r="A58" s="299"/>
      <c r="B58" s="299"/>
      <c r="C58" s="299"/>
      <c r="D58" s="300"/>
      <c r="E58" s="299"/>
      <c r="F58" s="299"/>
      <c r="G58" s="299"/>
      <c r="H58" s="299"/>
      <c r="Q58" s="294">
        <f t="shared" si="0"/>
        <v>0</v>
      </c>
      <c r="R58" s="294" t="e">
        <f>IF(COUNTIF(A$5:A58,A58)=1,MAX(R$4:R57)+1,VLOOKUP(A58,Q$4:R57,2,0))</f>
        <v>#N/A</v>
      </c>
    </row>
    <row r="59" spans="1:18" ht="30" customHeight="1" x14ac:dyDescent="0.25">
      <c r="A59" s="299"/>
      <c r="B59" s="299"/>
      <c r="C59" s="299"/>
      <c r="D59" s="300"/>
      <c r="E59" s="299"/>
      <c r="F59" s="299"/>
      <c r="G59" s="299"/>
      <c r="H59" s="299"/>
      <c r="Q59" s="294">
        <f t="shared" si="0"/>
        <v>0</v>
      </c>
      <c r="R59" s="294" t="e">
        <f>IF(COUNTIF(A$5:A59,A59)=1,MAX(R$4:R58)+1,VLOOKUP(A59,Q$4:R58,2,0))</f>
        <v>#N/A</v>
      </c>
    </row>
    <row r="60" spans="1:18" ht="30" customHeight="1" x14ac:dyDescent="0.25">
      <c r="A60" s="299"/>
      <c r="B60" s="299"/>
      <c r="C60" s="299"/>
      <c r="D60" s="300"/>
      <c r="E60" s="299"/>
      <c r="F60" s="299"/>
      <c r="G60" s="299"/>
      <c r="H60" s="299"/>
      <c r="Q60" s="294">
        <f t="shared" si="0"/>
        <v>0</v>
      </c>
      <c r="R60" s="294" t="e">
        <f>IF(COUNTIF(A$5:A60,A60)=1,MAX(R$4:R59)+1,VLOOKUP(A60,Q$4:R59,2,0))</f>
        <v>#N/A</v>
      </c>
    </row>
    <row r="61" spans="1:18" ht="30" customHeight="1" x14ac:dyDescent="0.25">
      <c r="A61" s="299"/>
      <c r="B61" s="299"/>
      <c r="C61" s="299"/>
      <c r="D61" s="300"/>
      <c r="E61" s="299"/>
      <c r="F61" s="299"/>
      <c r="G61" s="299"/>
      <c r="H61" s="299"/>
      <c r="Q61" s="294">
        <f t="shared" si="0"/>
        <v>0</v>
      </c>
      <c r="R61" s="294" t="e">
        <f>IF(COUNTIF(A$5:A61,A61)=1,MAX(R$4:R60)+1,VLOOKUP(A61,Q$4:R60,2,0))</f>
        <v>#N/A</v>
      </c>
    </row>
    <row r="62" spans="1:18" ht="30" customHeight="1" x14ac:dyDescent="0.25">
      <c r="A62" s="299"/>
      <c r="B62" s="299"/>
      <c r="C62" s="299"/>
      <c r="D62" s="300"/>
      <c r="E62" s="299"/>
      <c r="F62" s="299"/>
      <c r="G62" s="299"/>
      <c r="H62" s="299"/>
      <c r="Q62" s="294">
        <f t="shared" si="0"/>
        <v>0</v>
      </c>
      <c r="R62" s="294" t="e">
        <f>IF(COUNTIF(A$5:A62,A62)=1,MAX(R$4:R61)+1,VLOOKUP(A62,Q$4:R61,2,0))</f>
        <v>#N/A</v>
      </c>
    </row>
    <row r="63" spans="1:18" ht="30" customHeight="1" x14ac:dyDescent="0.25">
      <c r="A63" s="299"/>
      <c r="B63" s="299"/>
      <c r="C63" s="299"/>
      <c r="D63" s="300"/>
      <c r="E63" s="299"/>
      <c r="F63" s="299"/>
      <c r="G63" s="299"/>
      <c r="H63" s="299"/>
      <c r="Q63" s="294">
        <f t="shared" si="0"/>
        <v>0</v>
      </c>
      <c r="R63" s="294" t="e">
        <f>IF(COUNTIF(A$5:A63,A63)=1,MAX(R$4:R62)+1,VLOOKUP(A63,Q$4:R62,2,0))</f>
        <v>#N/A</v>
      </c>
    </row>
    <row r="64" spans="1:18" ht="30" customHeight="1" x14ac:dyDescent="0.25">
      <c r="A64" s="299"/>
      <c r="B64" s="299"/>
      <c r="C64" s="299"/>
      <c r="D64" s="300"/>
      <c r="E64" s="299"/>
      <c r="F64" s="299"/>
      <c r="G64" s="299"/>
      <c r="H64" s="299"/>
      <c r="Q64" s="294">
        <f t="shared" si="0"/>
        <v>0</v>
      </c>
      <c r="R64" s="294" t="e">
        <f>IF(COUNTIF(A$5:A64,A64)=1,MAX(R$4:R63)+1,VLOOKUP(A64,Q$4:R63,2,0))</f>
        <v>#N/A</v>
      </c>
    </row>
    <row r="65" spans="1:18" ht="30" customHeight="1" x14ac:dyDescent="0.25">
      <c r="A65" s="299"/>
      <c r="B65" s="299"/>
      <c r="C65" s="299"/>
      <c r="D65" s="300"/>
      <c r="E65" s="299"/>
      <c r="F65" s="299"/>
      <c r="G65" s="299"/>
      <c r="H65" s="299"/>
      <c r="Q65" s="294">
        <f t="shared" si="0"/>
        <v>0</v>
      </c>
      <c r="R65" s="294" t="e">
        <f>IF(COUNTIF(A$5:A65,A65)=1,MAX(R$4:R64)+1,VLOOKUP(A65,Q$4:R64,2,0))</f>
        <v>#N/A</v>
      </c>
    </row>
    <row r="66" spans="1:18" ht="30" customHeight="1" x14ac:dyDescent="0.25">
      <c r="A66" s="299"/>
      <c r="B66" s="299"/>
      <c r="C66" s="299"/>
      <c r="D66" s="300"/>
      <c r="E66" s="299"/>
      <c r="F66" s="299"/>
      <c r="G66" s="299"/>
      <c r="H66" s="299"/>
      <c r="Q66" s="294">
        <f t="shared" si="0"/>
        <v>0</v>
      </c>
      <c r="R66" s="294" t="e">
        <f>IF(COUNTIF(A$5:A66,A66)=1,MAX(R$4:R65)+1,VLOOKUP(A66,Q$4:R65,2,0))</f>
        <v>#N/A</v>
      </c>
    </row>
    <row r="67" spans="1:18" ht="30" customHeight="1" x14ac:dyDescent="0.25">
      <c r="A67" s="299"/>
      <c r="B67" s="299"/>
      <c r="C67" s="299"/>
      <c r="D67" s="300"/>
      <c r="E67" s="299"/>
      <c r="F67" s="299"/>
      <c r="G67" s="299"/>
      <c r="H67" s="299"/>
      <c r="Q67" s="294">
        <f t="shared" si="0"/>
        <v>0</v>
      </c>
      <c r="R67" s="294" t="e">
        <f>IF(COUNTIF(A$5:A67,A67)=1,MAX(R$4:R66)+1,VLOOKUP(A67,Q$4:R66,2,0))</f>
        <v>#N/A</v>
      </c>
    </row>
    <row r="68" spans="1:18" ht="30" customHeight="1" x14ac:dyDescent="0.25">
      <c r="A68" s="299"/>
      <c r="B68" s="299"/>
      <c r="C68" s="299"/>
      <c r="D68" s="300"/>
      <c r="E68" s="299"/>
      <c r="F68" s="299"/>
      <c r="G68" s="299"/>
      <c r="H68" s="299"/>
      <c r="Q68" s="294">
        <f t="shared" si="0"/>
        <v>0</v>
      </c>
      <c r="R68" s="294" t="e">
        <f>IF(COUNTIF(A$5:A68,A68)=1,MAX(R$4:R67)+1,VLOOKUP(A68,Q$4:R67,2,0))</f>
        <v>#N/A</v>
      </c>
    </row>
    <row r="69" spans="1:18" ht="30" customHeight="1" x14ac:dyDescent="0.25">
      <c r="A69" s="299"/>
      <c r="B69" s="299"/>
      <c r="C69" s="299"/>
      <c r="D69" s="300"/>
      <c r="E69" s="299"/>
      <c r="F69" s="299"/>
      <c r="G69" s="299"/>
      <c r="H69" s="299"/>
      <c r="Q69" s="294">
        <f t="shared" ref="Q69:Q132" si="1">A69</f>
        <v>0</v>
      </c>
      <c r="R69" s="294" t="e">
        <f>IF(COUNTIF(A$5:A69,A69)=1,MAX(R$4:R68)+1,VLOOKUP(A69,Q$4:R68,2,0))</f>
        <v>#N/A</v>
      </c>
    </row>
    <row r="70" spans="1:18" ht="30" customHeight="1" x14ac:dyDescent="0.25">
      <c r="A70" s="299"/>
      <c r="B70" s="299"/>
      <c r="C70" s="299"/>
      <c r="D70" s="300"/>
      <c r="E70" s="299"/>
      <c r="F70" s="299"/>
      <c r="G70" s="299"/>
      <c r="H70" s="299"/>
      <c r="Q70" s="294">
        <f t="shared" si="1"/>
        <v>0</v>
      </c>
      <c r="R70" s="294" t="e">
        <f>IF(COUNTIF(A$5:A70,A70)=1,MAX(R$4:R69)+1,VLOOKUP(A70,Q$4:R69,2,0))</f>
        <v>#N/A</v>
      </c>
    </row>
    <row r="71" spans="1:18" ht="30" customHeight="1" x14ac:dyDescent="0.25">
      <c r="A71" s="299"/>
      <c r="B71" s="299"/>
      <c r="C71" s="299"/>
      <c r="D71" s="300"/>
      <c r="E71" s="299"/>
      <c r="F71" s="299"/>
      <c r="G71" s="299"/>
      <c r="H71" s="299"/>
      <c r="Q71" s="294">
        <f t="shared" si="1"/>
        <v>0</v>
      </c>
      <c r="R71" s="294" t="e">
        <f>IF(COUNTIF(A$5:A71,A71)=1,MAX(R$4:R70)+1,VLOOKUP(A71,Q$4:R70,2,0))</f>
        <v>#N/A</v>
      </c>
    </row>
    <row r="72" spans="1:18" ht="30" customHeight="1" x14ac:dyDescent="0.25">
      <c r="A72" s="299"/>
      <c r="B72" s="299"/>
      <c r="C72" s="299"/>
      <c r="D72" s="300"/>
      <c r="E72" s="299"/>
      <c r="F72" s="299"/>
      <c r="G72" s="299"/>
      <c r="H72" s="299"/>
      <c r="Q72" s="294">
        <f t="shared" si="1"/>
        <v>0</v>
      </c>
      <c r="R72" s="294" t="e">
        <f>IF(COUNTIF(A$5:A72,A72)=1,MAX(R$4:R71)+1,VLOOKUP(A72,Q$4:R71,2,0))</f>
        <v>#N/A</v>
      </c>
    </row>
    <row r="73" spans="1:18" ht="30" customHeight="1" x14ac:dyDescent="0.25">
      <c r="A73" s="299"/>
      <c r="B73" s="299"/>
      <c r="C73" s="299"/>
      <c r="D73" s="300"/>
      <c r="E73" s="299"/>
      <c r="F73" s="299"/>
      <c r="G73" s="299"/>
      <c r="H73" s="299"/>
      <c r="Q73" s="294">
        <f t="shared" si="1"/>
        <v>0</v>
      </c>
      <c r="R73" s="294" t="e">
        <f>IF(COUNTIF(A$5:A73,A73)=1,MAX(R$4:R72)+1,VLOOKUP(A73,Q$4:R72,2,0))</f>
        <v>#N/A</v>
      </c>
    </row>
    <row r="74" spans="1:18" ht="30" customHeight="1" x14ac:dyDescent="0.25">
      <c r="A74" s="299"/>
      <c r="B74" s="299"/>
      <c r="C74" s="299"/>
      <c r="D74" s="300"/>
      <c r="E74" s="299"/>
      <c r="F74" s="299"/>
      <c r="G74" s="299"/>
      <c r="H74" s="299"/>
      <c r="Q74" s="294">
        <f t="shared" si="1"/>
        <v>0</v>
      </c>
      <c r="R74" s="294" t="e">
        <f>IF(COUNTIF(A$5:A74,A74)=1,MAX(R$4:R73)+1,VLOOKUP(A74,Q$4:R73,2,0))</f>
        <v>#N/A</v>
      </c>
    </row>
    <row r="75" spans="1:18" ht="30" customHeight="1" x14ac:dyDescent="0.25">
      <c r="A75" s="299"/>
      <c r="B75" s="299"/>
      <c r="C75" s="299"/>
      <c r="D75" s="300"/>
      <c r="E75" s="299"/>
      <c r="F75" s="299"/>
      <c r="G75" s="299"/>
      <c r="H75" s="299"/>
      <c r="Q75" s="294">
        <f t="shared" si="1"/>
        <v>0</v>
      </c>
      <c r="R75" s="294" t="e">
        <f>IF(COUNTIF(A$5:A75,A75)=1,MAX(R$4:R74)+1,VLOOKUP(A75,Q$4:R74,2,0))</f>
        <v>#N/A</v>
      </c>
    </row>
    <row r="76" spans="1:18" ht="30" customHeight="1" x14ac:dyDescent="0.25">
      <c r="A76" s="299"/>
      <c r="B76" s="299"/>
      <c r="C76" s="299"/>
      <c r="D76" s="300"/>
      <c r="E76" s="299"/>
      <c r="F76" s="299"/>
      <c r="G76" s="299"/>
      <c r="H76" s="299"/>
      <c r="Q76" s="294">
        <f t="shared" si="1"/>
        <v>0</v>
      </c>
      <c r="R76" s="294" t="e">
        <f>IF(COUNTIF(A$5:A76,A76)=1,MAX(R$4:R75)+1,VLOOKUP(A76,Q$4:R75,2,0))</f>
        <v>#N/A</v>
      </c>
    </row>
    <row r="77" spans="1:18" ht="30" customHeight="1" x14ac:dyDescent="0.25">
      <c r="A77" s="299"/>
      <c r="B77" s="299"/>
      <c r="C77" s="299"/>
      <c r="D77" s="300"/>
      <c r="E77" s="299"/>
      <c r="F77" s="299"/>
      <c r="G77" s="299"/>
      <c r="H77" s="299"/>
      <c r="Q77" s="294">
        <f t="shared" si="1"/>
        <v>0</v>
      </c>
      <c r="R77" s="294" t="e">
        <f>IF(COUNTIF(A$5:A77,A77)=1,MAX(R$4:R76)+1,VLOOKUP(A77,Q$4:R76,2,0))</f>
        <v>#N/A</v>
      </c>
    </row>
    <row r="78" spans="1:18" ht="30" customHeight="1" x14ac:dyDescent="0.25">
      <c r="A78" s="299"/>
      <c r="B78" s="299"/>
      <c r="C78" s="299"/>
      <c r="D78" s="300"/>
      <c r="E78" s="299"/>
      <c r="F78" s="299"/>
      <c r="G78" s="299"/>
      <c r="H78" s="299"/>
      <c r="Q78" s="294">
        <f t="shared" si="1"/>
        <v>0</v>
      </c>
      <c r="R78" s="294" t="e">
        <f>IF(COUNTIF(A$5:A78,A78)=1,MAX(R$4:R77)+1,VLOOKUP(A78,Q$4:R77,2,0))</f>
        <v>#N/A</v>
      </c>
    </row>
    <row r="79" spans="1:18" ht="30" customHeight="1" x14ac:dyDescent="0.25">
      <c r="A79" s="299"/>
      <c r="B79" s="299"/>
      <c r="C79" s="299"/>
      <c r="D79" s="300"/>
      <c r="E79" s="299"/>
      <c r="F79" s="299"/>
      <c r="G79" s="299"/>
      <c r="H79" s="299"/>
      <c r="Q79" s="294">
        <f t="shared" si="1"/>
        <v>0</v>
      </c>
      <c r="R79" s="294" t="e">
        <f>IF(COUNTIF(A$5:A79,A79)=1,MAX(R$4:R78)+1,VLOOKUP(A79,Q$4:R78,2,0))</f>
        <v>#N/A</v>
      </c>
    </row>
    <row r="80" spans="1:18" ht="30" customHeight="1" x14ac:dyDescent="0.25">
      <c r="A80" s="299"/>
      <c r="B80" s="299"/>
      <c r="C80" s="299"/>
      <c r="D80" s="300"/>
      <c r="E80" s="299"/>
      <c r="F80" s="299"/>
      <c r="G80" s="299"/>
      <c r="H80" s="299"/>
      <c r="Q80" s="294">
        <f t="shared" si="1"/>
        <v>0</v>
      </c>
      <c r="R80" s="294" t="e">
        <f>IF(COUNTIF(A$5:A80,A80)=1,MAX(R$4:R79)+1,VLOOKUP(A80,Q$4:R79,2,0))</f>
        <v>#N/A</v>
      </c>
    </row>
    <row r="81" spans="1:18" ht="30" customHeight="1" x14ac:dyDescent="0.25">
      <c r="A81" s="299"/>
      <c r="B81" s="299"/>
      <c r="C81" s="299"/>
      <c r="D81" s="300"/>
      <c r="E81" s="299"/>
      <c r="F81" s="299"/>
      <c r="G81" s="299"/>
      <c r="H81" s="299"/>
      <c r="Q81" s="294">
        <f t="shared" si="1"/>
        <v>0</v>
      </c>
      <c r="R81" s="294" t="e">
        <f>IF(COUNTIF(A$5:A81,A81)=1,MAX(R$4:R80)+1,VLOOKUP(A81,Q$4:R80,2,0))</f>
        <v>#N/A</v>
      </c>
    </row>
    <row r="82" spans="1:18" ht="30" customHeight="1" x14ac:dyDescent="0.25">
      <c r="A82" s="299"/>
      <c r="B82" s="299"/>
      <c r="C82" s="299"/>
      <c r="D82" s="300"/>
      <c r="E82" s="299"/>
      <c r="F82" s="299"/>
      <c r="G82" s="299"/>
      <c r="H82" s="299"/>
      <c r="Q82" s="294">
        <f t="shared" si="1"/>
        <v>0</v>
      </c>
      <c r="R82" s="294" t="e">
        <f>IF(COUNTIF(A$5:A82,A82)=1,MAX(R$4:R81)+1,VLOOKUP(A82,Q$4:R81,2,0))</f>
        <v>#N/A</v>
      </c>
    </row>
    <row r="83" spans="1:18" ht="30" customHeight="1" x14ac:dyDescent="0.25">
      <c r="A83" s="299"/>
      <c r="B83" s="299"/>
      <c r="C83" s="299"/>
      <c r="D83" s="300"/>
      <c r="E83" s="299"/>
      <c r="F83" s="299"/>
      <c r="G83" s="299"/>
      <c r="H83" s="299"/>
      <c r="Q83" s="294">
        <f t="shared" si="1"/>
        <v>0</v>
      </c>
      <c r="R83" s="294" t="e">
        <f>IF(COUNTIF(A$5:A83,A83)=1,MAX(R$4:R82)+1,VLOOKUP(A83,Q$4:R82,2,0))</f>
        <v>#N/A</v>
      </c>
    </row>
    <row r="84" spans="1:18" ht="30" customHeight="1" x14ac:dyDescent="0.25">
      <c r="A84" s="299"/>
      <c r="B84" s="299"/>
      <c r="C84" s="299"/>
      <c r="D84" s="300"/>
      <c r="E84" s="299"/>
      <c r="F84" s="299"/>
      <c r="G84" s="299"/>
      <c r="H84" s="299"/>
      <c r="Q84" s="294">
        <f t="shared" si="1"/>
        <v>0</v>
      </c>
      <c r="R84" s="294" t="e">
        <f>IF(COUNTIF(A$5:A84,A84)=1,MAX(R$4:R83)+1,VLOOKUP(A84,Q$4:R83,2,0))</f>
        <v>#N/A</v>
      </c>
    </row>
    <row r="85" spans="1:18" ht="30" customHeight="1" x14ac:dyDescent="0.25">
      <c r="A85" s="299"/>
      <c r="B85" s="299"/>
      <c r="C85" s="299"/>
      <c r="D85" s="300"/>
      <c r="E85" s="299"/>
      <c r="F85" s="299"/>
      <c r="G85" s="299"/>
      <c r="H85" s="299"/>
      <c r="Q85" s="294">
        <f t="shared" si="1"/>
        <v>0</v>
      </c>
      <c r="R85" s="294" t="e">
        <f>IF(COUNTIF(A$5:A85,A85)=1,MAX(R$4:R84)+1,VLOOKUP(A85,Q$4:R84,2,0))</f>
        <v>#N/A</v>
      </c>
    </row>
    <row r="86" spans="1:18" ht="30" customHeight="1" x14ac:dyDescent="0.25">
      <c r="A86" s="299"/>
      <c r="B86" s="299"/>
      <c r="C86" s="299"/>
      <c r="D86" s="300"/>
      <c r="E86" s="299"/>
      <c r="F86" s="299"/>
      <c r="G86" s="299"/>
      <c r="H86" s="299"/>
      <c r="Q86" s="294">
        <f t="shared" si="1"/>
        <v>0</v>
      </c>
      <c r="R86" s="294" t="e">
        <f>IF(COUNTIF(A$5:A86,A86)=1,MAX(R$4:R85)+1,VLOOKUP(A86,Q$4:R85,2,0))</f>
        <v>#N/A</v>
      </c>
    </row>
    <row r="87" spans="1:18" ht="30" customHeight="1" x14ac:dyDescent="0.25">
      <c r="A87" s="299"/>
      <c r="B87" s="299"/>
      <c r="C87" s="299"/>
      <c r="D87" s="300"/>
      <c r="E87" s="299"/>
      <c r="F87" s="299"/>
      <c r="G87" s="299"/>
      <c r="H87" s="299"/>
      <c r="Q87" s="294">
        <f t="shared" si="1"/>
        <v>0</v>
      </c>
      <c r="R87" s="294" t="e">
        <f>IF(COUNTIF(A$5:A87,A87)=1,MAX(R$4:R86)+1,VLOOKUP(A87,Q$4:R86,2,0))</f>
        <v>#N/A</v>
      </c>
    </row>
    <row r="88" spans="1:18" ht="30" customHeight="1" x14ac:dyDescent="0.25">
      <c r="A88" s="299"/>
      <c r="B88" s="299"/>
      <c r="C88" s="299"/>
      <c r="D88" s="300"/>
      <c r="E88" s="299"/>
      <c r="F88" s="299"/>
      <c r="G88" s="299"/>
      <c r="H88" s="299"/>
      <c r="Q88" s="294">
        <f t="shared" si="1"/>
        <v>0</v>
      </c>
      <c r="R88" s="294" t="e">
        <f>IF(COUNTIF(A$5:A88,A88)=1,MAX(R$4:R87)+1,VLOOKUP(A88,Q$4:R87,2,0))</f>
        <v>#N/A</v>
      </c>
    </row>
    <row r="89" spans="1:18" ht="30" customHeight="1" x14ac:dyDescent="0.25">
      <c r="A89" s="299"/>
      <c r="B89" s="299"/>
      <c r="C89" s="299"/>
      <c r="D89" s="300"/>
      <c r="E89" s="299"/>
      <c r="F89" s="299"/>
      <c r="G89" s="299"/>
      <c r="H89" s="299"/>
      <c r="Q89" s="294">
        <f t="shared" si="1"/>
        <v>0</v>
      </c>
      <c r="R89" s="294" t="e">
        <f>IF(COUNTIF(A$5:A89,A89)=1,MAX(R$4:R88)+1,VLOOKUP(A89,Q$4:R88,2,0))</f>
        <v>#N/A</v>
      </c>
    </row>
    <row r="90" spans="1:18" ht="30" customHeight="1" x14ac:dyDescent="0.25">
      <c r="A90" s="299"/>
      <c r="B90" s="299"/>
      <c r="C90" s="299"/>
      <c r="D90" s="300"/>
      <c r="E90" s="299"/>
      <c r="F90" s="299"/>
      <c r="G90" s="299"/>
      <c r="H90" s="299"/>
      <c r="Q90" s="294">
        <f t="shared" si="1"/>
        <v>0</v>
      </c>
      <c r="R90" s="294" t="e">
        <f>IF(COUNTIF(A$5:A90,A90)=1,MAX(R$4:R89)+1,VLOOKUP(A90,Q$4:R89,2,0))</f>
        <v>#N/A</v>
      </c>
    </row>
    <row r="91" spans="1:18" ht="30" customHeight="1" x14ac:dyDescent="0.25">
      <c r="A91" s="299"/>
      <c r="B91" s="299"/>
      <c r="C91" s="299"/>
      <c r="D91" s="300"/>
      <c r="E91" s="299"/>
      <c r="F91" s="299"/>
      <c r="G91" s="299"/>
      <c r="H91" s="299"/>
      <c r="Q91" s="294">
        <f t="shared" si="1"/>
        <v>0</v>
      </c>
      <c r="R91" s="294" t="e">
        <f>IF(COUNTIF(A$5:A91,A91)=1,MAX(R$4:R90)+1,VLOOKUP(A91,Q$4:R90,2,0))</f>
        <v>#N/A</v>
      </c>
    </row>
    <row r="92" spans="1:18" ht="30" customHeight="1" x14ac:dyDescent="0.25">
      <c r="A92" s="299"/>
      <c r="B92" s="299"/>
      <c r="C92" s="299"/>
      <c r="D92" s="300"/>
      <c r="E92" s="299"/>
      <c r="F92" s="299"/>
      <c r="G92" s="299"/>
      <c r="H92" s="299"/>
      <c r="Q92" s="294">
        <f t="shared" si="1"/>
        <v>0</v>
      </c>
      <c r="R92" s="294" t="e">
        <f>IF(COUNTIF(A$5:A92,A92)=1,MAX(R$4:R91)+1,VLOOKUP(A92,Q$4:R91,2,0))</f>
        <v>#N/A</v>
      </c>
    </row>
    <row r="93" spans="1:18" ht="30" customHeight="1" x14ac:dyDescent="0.25">
      <c r="A93" s="299"/>
      <c r="B93" s="299"/>
      <c r="C93" s="299"/>
      <c r="D93" s="300"/>
      <c r="E93" s="299"/>
      <c r="F93" s="299"/>
      <c r="G93" s="299"/>
      <c r="H93" s="299"/>
      <c r="Q93" s="294">
        <f t="shared" si="1"/>
        <v>0</v>
      </c>
      <c r="R93" s="294" t="e">
        <f>IF(COUNTIF(A$5:A93,A93)=1,MAX(R$4:R92)+1,VLOOKUP(A93,Q$4:R92,2,0))</f>
        <v>#N/A</v>
      </c>
    </row>
    <row r="94" spans="1:18" ht="30" customHeight="1" x14ac:dyDescent="0.25">
      <c r="A94" s="299"/>
      <c r="B94" s="299"/>
      <c r="C94" s="299"/>
      <c r="D94" s="300"/>
      <c r="E94" s="299"/>
      <c r="F94" s="299"/>
      <c r="G94" s="299"/>
      <c r="H94" s="299"/>
      <c r="Q94" s="294">
        <f t="shared" si="1"/>
        <v>0</v>
      </c>
      <c r="R94" s="294" t="e">
        <f>IF(COUNTIF(A$5:A94,A94)=1,MAX(R$4:R93)+1,VLOOKUP(A94,Q$4:R93,2,0))</f>
        <v>#N/A</v>
      </c>
    </row>
    <row r="95" spans="1:18" ht="30" customHeight="1" x14ac:dyDescent="0.25">
      <c r="A95" s="299"/>
      <c r="B95" s="299"/>
      <c r="C95" s="299"/>
      <c r="D95" s="300"/>
      <c r="E95" s="299"/>
      <c r="F95" s="299"/>
      <c r="G95" s="299"/>
      <c r="H95" s="299"/>
      <c r="Q95" s="294">
        <f t="shared" si="1"/>
        <v>0</v>
      </c>
      <c r="R95" s="294" t="e">
        <f>IF(COUNTIF(A$5:A95,A95)=1,MAX(R$4:R94)+1,VLOOKUP(A95,Q$4:R94,2,0))</f>
        <v>#N/A</v>
      </c>
    </row>
    <row r="96" spans="1:18" ht="30" customHeight="1" x14ac:dyDescent="0.25">
      <c r="A96" s="299"/>
      <c r="B96" s="299"/>
      <c r="C96" s="299"/>
      <c r="D96" s="300"/>
      <c r="E96" s="299"/>
      <c r="F96" s="299"/>
      <c r="G96" s="299"/>
      <c r="H96" s="299"/>
      <c r="Q96" s="294">
        <f t="shared" si="1"/>
        <v>0</v>
      </c>
      <c r="R96" s="294" t="e">
        <f>IF(COUNTIF(A$5:A96,A96)=1,MAX(R$4:R95)+1,VLOOKUP(A96,Q$4:R95,2,0))</f>
        <v>#N/A</v>
      </c>
    </row>
    <row r="97" spans="1:18" ht="30" customHeight="1" x14ac:dyDescent="0.25">
      <c r="A97" s="299"/>
      <c r="B97" s="299"/>
      <c r="C97" s="299"/>
      <c r="D97" s="300"/>
      <c r="E97" s="299"/>
      <c r="F97" s="299"/>
      <c r="G97" s="299"/>
      <c r="H97" s="299"/>
      <c r="Q97" s="294">
        <f t="shared" si="1"/>
        <v>0</v>
      </c>
      <c r="R97" s="294" t="e">
        <f>IF(COUNTIF(A$5:A97,A97)=1,MAX(R$4:R96)+1,VLOOKUP(A97,Q$4:R96,2,0))</f>
        <v>#N/A</v>
      </c>
    </row>
    <row r="98" spans="1:18" ht="30" customHeight="1" x14ac:dyDescent="0.25">
      <c r="A98" s="299"/>
      <c r="B98" s="299"/>
      <c r="C98" s="299"/>
      <c r="D98" s="300"/>
      <c r="E98" s="299"/>
      <c r="F98" s="299"/>
      <c r="G98" s="299"/>
      <c r="H98" s="299"/>
      <c r="Q98" s="294">
        <f t="shared" si="1"/>
        <v>0</v>
      </c>
      <c r="R98" s="294" t="e">
        <f>IF(COUNTIF(A$5:A98,A98)=1,MAX(R$4:R97)+1,VLOOKUP(A98,Q$4:R97,2,0))</f>
        <v>#N/A</v>
      </c>
    </row>
    <row r="99" spans="1:18" ht="30" customHeight="1" x14ac:dyDescent="0.25">
      <c r="A99" s="299"/>
      <c r="B99" s="299"/>
      <c r="C99" s="299"/>
      <c r="D99" s="300"/>
      <c r="E99" s="299"/>
      <c r="F99" s="299"/>
      <c r="G99" s="299"/>
      <c r="H99" s="299"/>
      <c r="Q99" s="294">
        <f t="shared" si="1"/>
        <v>0</v>
      </c>
      <c r="R99" s="294" t="e">
        <f>IF(COUNTIF(A$5:A99,A99)=1,MAX(R$4:R98)+1,VLOOKUP(A99,Q$4:R98,2,0))</f>
        <v>#N/A</v>
      </c>
    </row>
    <row r="100" spans="1:18" ht="30" customHeight="1" x14ac:dyDescent="0.25">
      <c r="A100" s="299"/>
      <c r="B100" s="299"/>
      <c r="C100" s="299"/>
      <c r="D100" s="300"/>
      <c r="E100" s="299"/>
      <c r="F100" s="299"/>
      <c r="G100" s="299"/>
      <c r="H100" s="299"/>
      <c r="Q100" s="294">
        <f t="shared" si="1"/>
        <v>0</v>
      </c>
      <c r="R100" s="294" t="e">
        <f>IF(COUNTIF(A$5:A100,A100)=1,MAX(R$4:R99)+1,VLOOKUP(A100,Q$4:R99,2,0))</f>
        <v>#N/A</v>
      </c>
    </row>
    <row r="101" spans="1:18" ht="30" customHeight="1" x14ac:dyDescent="0.25">
      <c r="A101" s="299"/>
      <c r="B101" s="299"/>
      <c r="C101" s="299"/>
      <c r="D101" s="300"/>
      <c r="E101" s="299"/>
      <c r="F101" s="299"/>
      <c r="G101" s="299"/>
      <c r="H101" s="299"/>
      <c r="Q101" s="294">
        <f t="shared" si="1"/>
        <v>0</v>
      </c>
      <c r="R101" s="294" t="e">
        <f>IF(COUNTIF(A$5:A101,A101)=1,MAX(R$4:R100)+1,VLOOKUP(A101,Q$4:R100,2,0))</f>
        <v>#N/A</v>
      </c>
    </row>
    <row r="102" spans="1:18" ht="30" customHeight="1" x14ac:dyDescent="0.25">
      <c r="A102" s="299"/>
      <c r="B102" s="299"/>
      <c r="C102" s="299"/>
      <c r="D102" s="300"/>
      <c r="E102" s="299"/>
      <c r="F102" s="299"/>
      <c r="G102" s="299"/>
      <c r="H102" s="299"/>
      <c r="Q102" s="294">
        <f t="shared" si="1"/>
        <v>0</v>
      </c>
      <c r="R102" s="294" t="e">
        <f>IF(COUNTIF(A$5:A102,A102)=1,MAX(R$4:R101)+1,VLOOKUP(A102,Q$4:R101,2,0))</f>
        <v>#N/A</v>
      </c>
    </row>
    <row r="103" spans="1:18" ht="30" customHeight="1" x14ac:dyDescent="0.25">
      <c r="A103" s="299"/>
      <c r="B103" s="299"/>
      <c r="C103" s="299"/>
      <c r="D103" s="300"/>
      <c r="E103" s="299"/>
      <c r="F103" s="299"/>
      <c r="G103" s="299"/>
      <c r="H103" s="299"/>
      <c r="Q103" s="294">
        <f t="shared" si="1"/>
        <v>0</v>
      </c>
      <c r="R103" s="294" t="e">
        <f>IF(COUNTIF(A$5:A103,A103)=1,MAX(R$4:R102)+1,VLOOKUP(A103,Q$4:R102,2,0))</f>
        <v>#N/A</v>
      </c>
    </row>
    <row r="104" spans="1:18" ht="30" customHeight="1" x14ac:dyDescent="0.25">
      <c r="A104" s="299"/>
      <c r="B104" s="299"/>
      <c r="C104" s="299"/>
      <c r="D104" s="300"/>
      <c r="E104" s="299"/>
      <c r="F104" s="299"/>
      <c r="G104" s="299"/>
      <c r="H104" s="299"/>
      <c r="Q104" s="294">
        <f t="shared" si="1"/>
        <v>0</v>
      </c>
      <c r="R104" s="294" t="e">
        <f>IF(COUNTIF(A$5:A104,A104)=1,MAX(R$4:R103)+1,VLOOKUP(A104,Q$4:R103,2,0))</f>
        <v>#N/A</v>
      </c>
    </row>
    <row r="105" spans="1:18" ht="30" customHeight="1" x14ac:dyDescent="0.25">
      <c r="A105" s="299"/>
      <c r="B105" s="299"/>
      <c r="C105" s="299"/>
      <c r="D105" s="300"/>
      <c r="E105" s="299"/>
      <c r="F105" s="299"/>
      <c r="G105" s="299"/>
      <c r="H105" s="299"/>
      <c r="Q105" s="294">
        <f t="shared" si="1"/>
        <v>0</v>
      </c>
      <c r="R105" s="294" t="e">
        <f>IF(COUNTIF(A$5:A105,A105)=1,MAX(R$4:R104)+1,VLOOKUP(A105,Q$4:R104,2,0))</f>
        <v>#N/A</v>
      </c>
    </row>
    <row r="106" spans="1:18" ht="30" customHeight="1" x14ac:dyDescent="0.25">
      <c r="A106" s="299"/>
      <c r="B106" s="299"/>
      <c r="C106" s="299"/>
      <c r="D106" s="300"/>
      <c r="E106" s="299"/>
      <c r="F106" s="299"/>
      <c r="G106" s="299"/>
      <c r="H106" s="299"/>
      <c r="Q106" s="294">
        <f t="shared" si="1"/>
        <v>0</v>
      </c>
      <c r="R106" s="294" t="e">
        <f>IF(COUNTIF(A$5:A106,A106)=1,MAX(R$4:R105)+1,VLOOKUP(A106,Q$4:R105,2,0))</f>
        <v>#N/A</v>
      </c>
    </row>
    <row r="107" spans="1:18" ht="30" customHeight="1" x14ac:dyDescent="0.25">
      <c r="A107" s="299"/>
      <c r="B107" s="299"/>
      <c r="C107" s="299"/>
      <c r="D107" s="300"/>
      <c r="E107" s="299"/>
      <c r="F107" s="299"/>
      <c r="G107" s="299"/>
      <c r="H107" s="299"/>
      <c r="Q107" s="294">
        <f t="shared" si="1"/>
        <v>0</v>
      </c>
      <c r="R107" s="294" t="e">
        <f>IF(COUNTIF(A$5:A107,A107)=1,MAX(R$4:R106)+1,VLOOKUP(A107,Q$4:R106,2,0))</f>
        <v>#N/A</v>
      </c>
    </row>
    <row r="108" spans="1:18" ht="30" customHeight="1" x14ac:dyDescent="0.25">
      <c r="A108" s="299"/>
      <c r="B108" s="299"/>
      <c r="C108" s="299"/>
      <c r="D108" s="300"/>
      <c r="E108" s="299"/>
      <c r="F108" s="299"/>
      <c r="G108" s="299"/>
      <c r="H108" s="299"/>
      <c r="Q108" s="294">
        <f t="shared" si="1"/>
        <v>0</v>
      </c>
      <c r="R108" s="294" t="e">
        <f>IF(COUNTIF(A$5:A108,A108)=1,MAX(R$4:R107)+1,VLOOKUP(A108,Q$4:R107,2,0))</f>
        <v>#N/A</v>
      </c>
    </row>
    <row r="109" spans="1:18" ht="30" customHeight="1" x14ac:dyDescent="0.25">
      <c r="A109" s="299"/>
      <c r="B109" s="299"/>
      <c r="C109" s="299"/>
      <c r="D109" s="300"/>
      <c r="E109" s="299"/>
      <c r="F109" s="299"/>
      <c r="G109" s="299"/>
      <c r="H109" s="299"/>
      <c r="Q109" s="294">
        <f t="shared" si="1"/>
        <v>0</v>
      </c>
      <c r="R109" s="294" t="e">
        <f>IF(COUNTIF(A$5:A109,A109)=1,MAX(R$4:R108)+1,VLOOKUP(A109,Q$4:R108,2,0))</f>
        <v>#N/A</v>
      </c>
    </row>
    <row r="110" spans="1:18" ht="30" customHeight="1" x14ac:dyDescent="0.25">
      <c r="A110" s="299"/>
      <c r="B110" s="299"/>
      <c r="C110" s="299"/>
      <c r="D110" s="300"/>
      <c r="E110" s="299"/>
      <c r="F110" s="299"/>
      <c r="G110" s="299"/>
      <c r="H110" s="299"/>
      <c r="Q110" s="294">
        <f t="shared" si="1"/>
        <v>0</v>
      </c>
      <c r="R110" s="294" t="e">
        <f>IF(COUNTIF(A$5:A110,A110)=1,MAX(R$4:R109)+1,VLOOKUP(A110,Q$4:R109,2,0))</f>
        <v>#N/A</v>
      </c>
    </row>
    <row r="111" spans="1:18" ht="30" customHeight="1" x14ac:dyDescent="0.25">
      <c r="A111" s="299"/>
      <c r="B111" s="299"/>
      <c r="C111" s="299"/>
      <c r="D111" s="300"/>
      <c r="E111" s="299"/>
      <c r="F111" s="299"/>
      <c r="G111" s="299"/>
      <c r="H111" s="299"/>
      <c r="Q111" s="294">
        <f t="shared" si="1"/>
        <v>0</v>
      </c>
      <c r="R111" s="294" t="e">
        <f>IF(COUNTIF(A$5:A111,A111)=1,MAX(R$4:R110)+1,VLOOKUP(A111,Q$4:R110,2,0))</f>
        <v>#N/A</v>
      </c>
    </row>
    <row r="112" spans="1:18" ht="30" customHeight="1" x14ac:dyDescent="0.25">
      <c r="A112" s="299"/>
      <c r="B112" s="299"/>
      <c r="C112" s="299"/>
      <c r="D112" s="300"/>
      <c r="E112" s="299"/>
      <c r="F112" s="299"/>
      <c r="G112" s="299"/>
      <c r="H112" s="299"/>
      <c r="Q112" s="294">
        <f t="shared" si="1"/>
        <v>0</v>
      </c>
      <c r="R112" s="294" t="e">
        <f>IF(COUNTIF(A$5:A112,A112)=1,MAX(R$4:R111)+1,VLOOKUP(A112,Q$4:R111,2,0))</f>
        <v>#N/A</v>
      </c>
    </row>
    <row r="113" spans="1:18" ht="30" customHeight="1" x14ac:dyDescent="0.25">
      <c r="A113" s="299"/>
      <c r="B113" s="299"/>
      <c r="C113" s="299"/>
      <c r="D113" s="300"/>
      <c r="E113" s="299"/>
      <c r="F113" s="299"/>
      <c r="G113" s="299"/>
      <c r="H113" s="299"/>
      <c r="Q113" s="294">
        <f t="shared" si="1"/>
        <v>0</v>
      </c>
      <c r="R113" s="294" t="e">
        <f>IF(COUNTIF(A$5:A113,A113)=1,MAX(R$4:R112)+1,VLOOKUP(A113,Q$4:R112,2,0))</f>
        <v>#N/A</v>
      </c>
    </row>
    <row r="114" spans="1:18" ht="30" customHeight="1" x14ac:dyDescent="0.25">
      <c r="A114" s="299"/>
      <c r="B114" s="299"/>
      <c r="C114" s="299"/>
      <c r="D114" s="300"/>
      <c r="E114" s="299"/>
      <c r="F114" s="299"/>
      <c r="G114" s="299"/>
      <c r="H114" s="299"/>
      <c r="Q114" s="294">
        <f t="shared" si="1"/>
        <v>0</v>
      </c>
      <c r="R114" s="294" t="e">
        <f>IF(COUNTIF(A$5:A114,A114)=1,MAX(R$4:R113)+1,VLOOKUP(A114,Q$4:R113,2,0))</f>
        <v>#N/A</v>
      </c>
    </row>
    <row r="115" spans="1:18" ht="30" customHeight="1" x14ac:dyDescent="0.25">
      <c r="A115" s="299"/>
      <c r="B115" s="299"/>
      <c r="C115" s="299"/>
      <c r="D115" s="300"/>
      <c r="E115" s="299"/>
      <c r="F115" s="299"/>
      <c r="G115" s="299"/>
      <c r="H115" s="299"/>
      <c r="Q115" s="294">
        <f t="shared" si="1"/>
        <v>0</v>
      </c>
      <c r="R115" s="294" t="e">
        <f>IF(COUNTIF(A$5:A115,A115)=1,MAX(R$4:R114)+1,VLOOKUP(A115,Q$4:R114,2,0))</f>
        <v>#N/A</v>
      </c>
    </row>
    <row r="116" spans="1:18" ht="30" customHeight="1" x14ac:dyDescent="0.25">
      <c r="A116" s="299"/>
      <c r="B116" s="299"/>
      <c r="C116" s="299"/>
      <c r="D116" s="300"/>
      <c r="E116" s="299"/>
      <c r="F116" s="299"/>
      <c r="G116" s="299"/>
      <c r="H116" s="299"/>
      <c r="Q116" s="294">
        <f t="shared" si="1"/>
        <v>0</v>
      </c>
      <c r="R116" s="294" t="e">
        <f>IF(COUNTIF(A$5:A116,A116)=1,MAX(R$4:R115)+1,VLOOKUP(A116,Q$4:R115,2,0))</f>
        <v>#N/A</v>
      </c>
    </row>
    <row r="117" spans="1:18" ht="30" customHeight="1" x14ac:dyDescent="0.25">
      <c r="A117" s="299"/>
      <c r="B117" s="299"/>
      <c r="C117" s="299"/>
      <c r="D117" s="300"/>
      <c r="E117" s="299"/>
      <c r="F117" s="299"/>
      <c r="G117" s="299"/>
      <c r="H117" s="299"/>
      <c r="Q117" s="294">
        <f t="shared" si="1"/>
        <v>0</v>
      </c>
      <c r="R117" s="294" t="e">
        <f>IF(COUNTIF(A$5:A117,A117)=1,MAX(R$4:R116)+1,VLOOKUP(A117,Q$4:R116,2,0))</f>
        <v>#N/A</v>
      </c>
    </row>
    <row r="118" spans="1:18" ht="30" customHeight="1" x14ac:dyDescent="0.25">
      <c r="A118" s="299"/>
      <c r="B118" s="299"/>
      <c r="C118" s="299"/>
      <c r="D118" s="300"/>
      <c r="E118" s="299"/>
      <c r="F118" s="299"/>
      <c r="G118" s="299"/>
      <c r="H118" s="299"/>
      <c r="Q118" s="294">
        <f t="shared" si="1"/>
        <v>0</v>
      </c>
      <c r="R118" s="294" t="e">
        <f>IF(COUNTIF(A$5:A118,A118)=1,MAX(R$4:R117)+1,VLOOKUP(A118,Q$4:R117,2,0))</f>
        <v>#N/A</v>
      </c>
    </row>
    <row r="119" spans="1:18" ht="30" customHeight="1" x14ac:dyDescent="0.25">
      <c r="A119" s="299"/>
      <c r="B119" s="299"/>
      <c r="C119" s="299"/>
      <c r="D119" s="300"/>
      <c r="E119" s="299"/>
      <c r="F119" s="299"/>
      <c r="G119" s="299"/>
      <c r="H119" s="299"/>
      <c r="Q119" s="294">
        <f t="shared" si="1"/>
        <v>0</v>
      </c>
      <c r="R119" s="294" t="e">
        <f>IF(COUNTIF(A$5:A119,A119)=1,MAX(R$4:R118)+1,VLOOKUP(A119,Q$4:R118,2,0))</f>
        <v>#N/A</v>
      </c>
    </row>
    <row r="120" spans="1:18" ht="30" customHeight="1" x14ac:dyDescent="0.25">
      <c r="A120" s="299"/>
      <c r="B120" s="299"/>
      <c r="C120" s="299"/>
      <c r="D120" s="300"/>
      <c r="E120" s="299"/>
      <c r="F120" s="299"/>
      <c r="G120" s="299"/>
      <c r="H120" s="299"/>
      <c r="Q120" s="294">
        <f t="shared" si="1"/>
        <v>0</v>
      </c>
      <c r="R120" s="294" t="e">
        <f>IF(COUNTIF(A$5:A120,A120)=1,MAX(R$4:R119)+1,VLOOKUP(A120,Q$4:R119,2,0))</f>
        <v>#N/A</v>
      </c>
    </row>
    <row r="121" spans="1:18" ht="30" customHeight="1" x14ac:dyDescent="0.25">
      <c r="A121" s="299"/>
      <c r="B121" s="299"/>
      <c r="C121" s="299"/>
      <c r="D121" s="300"/>
      <c r="E121" s="299"/>
      <c r="F121" s="299"/>
      <c r="G121" s="299"/>
      <c r="H121" s="299"/>
      <c r="Q121" s="294">
        <f t="shared" si="1"/>
        <v>0</v>
      </c>
      <c r="R121" s="294" t="e">
        <f>IF(COUNTIF(A$5:A121,A121)=1,MAX(R$4:R120)+1,VLOOKUP(A121,Q$4:R120,2,0))</f>
        <v>#N/A</v>
      </c>
    </row>
    <row r="122" spans="1:18" ht="30" customHeight="1" x14ac:dyDescent="0.25">
      <c r="A122" s="299"/>
      <c r="B122" s="299"/>
      <c r="C122" s="299"/>
      <c r="D122" s="300"/>
      <c r="E122" s="299"/>
      <c r="F122" s="299"/>
      <c r="G122" s="299"/>
      <c r="H122" s="299"/>
      <c r="Q122" s="294">
        <f t="shared" si="1"/>
        <v>0</v>
      </c>
      <c r="R122" s="294" t="e">
        <f>IF(COUNTIF(A$5:A122,A122)=1,MAX(R$4:R121)+1,VLOOKUP(A122,Q$4:R121,2,0))</f>
        <v>#N/A</v>
      </c>
    </row>
    <row r="123" spans="1:18" ht="30" customHeight="1" x14ac:dyDescent="0.25">
      <c r="A123" s="299"/>
      <c r="B123" s="299"/>
      <c r="C123" s="299"/>
      <c r="D123" s="300"/>
      <c r="E123" s="299"/>
      <c r="F123" s="299"/>
      <c r="G123" s="299"/>
      <c r="H123" s="299"/>
      <c r="Q123" s="294">
        <f t="shared" si="1"/>
        <v>0</v>
      </c>
      <c r="R123" s="294" t="e">
        <f>IF(COUNTIF(A$5:A123,A123)=1,MAX(R$4:R122)+1,VLOOKUP(A123,Q$4:R122,2,0))</f>
        <v>#N/A</v>
      </c>
    </row>
    <row r="124" spans="1:18" ht="30" customHeight="1" x14ac:dyDescent="0.25">
      <c r="A124" s="299"/>
      <c r="B124" s="299"/>
      <c r="C124" s="299"/>
      <c r="D124" s="300"/>
      <c r="E124" s="299"/>
      <c r="F124" s="299"/>
      <c r="G124" s="299"/>
      <c r="H124" s="299"/>
      <c r="Q124" s="294">
        <f t="shared" si="1"/>
        <v>0</v>
      </c>
      <c r="R124" s="294" t="e">
        <f>IF(COUNTIF(A$5:A124,A124)=1,MAX(R$4:R123)+1,VLOOKUP(A124,Q$4:R123,2,0))</f>
        <v>#N/A</v>
      </c>
    </row>
    <row r="125" spans="1:18" ht="30" customHeight="1" x14ac:dyDescent="0.25">
      <c r="A125" s="299"/>
      <c r="B125" s="299"/>
      <c r="C125" s="299"/>
      <c r="D125" s="300"/>
      <c r="E125" s="299"/>
      <c r="F125" s="299"/>
      <c r="G125" s="299"/>
      <c r="H125" s="299"/>
      <c r="Q125" s="294">
        <f t="shared" si="1"/>
        <v>0</v>
      </c>
      <c r="R125" s="294" t="e">
        <f>IF(COUNTIF(A$5:A125,A125)=1,MAX(R$4:R124)+1,VLOOKUP(A125,Q$4:R124,2,0))</f>
        <v>#N/A</v>
      </c>
    </row>
    <row r="126" spans="1:18" ht="30" customHeight="1" x14ac:dyDescent="0.25">
      <c r="A126" s="299"/>
      <c r="B126" s="299"/>
      <c r="C126" s="299"/>
      <c r="D126" s="300"/>
      <c r="E126" s="299"/>
      <c r="F126" s="299"/>
      <c r="G126" s="299"/>
      <c r="H126" s="299"/>
      <c r="Q126" s="294">
        <f t="shared" si="1"/>
        <v>0</v>
      </c>
      <c r="R126" s="294" t="e">
        <f>IF(COUNTIF(A$5:A126,A126)=1,MAX(R$4:R125)+1,VLOOKUP(A126,Q$4:R125,2,0))</f>
        <v>#N/A</v>
      </c>
    </row>
    <row r="127" spans="1:18" ht="30" customHeight="1" x14ac:dyDescent="0.25">
      <c r="A127" s="299"/>
      <c r="B127" s="299"/>
      <c r="C127" s="299"/>
      <c r="D127" s="300"/>
      <c r="E127" s="299"/>
      <c r="F127" s="299"/>
      <c r="G127" s="299"/>
      <c r="H127" s="299"/>
      <c r="Q127" s="294">
        <f t="shared" si="1"/>
        <v>0</v>
      </c>
      <c r="R127" s="294" t="e">
        <f>IF(COUNTIF(A$5:A127,A127)=1,MAX(R$4:R126)+1,VLOOKUP(A127,Q$4:R126,2,0))</f>
        <v>#N/A</v>
      </c>
    </row>
    <row r="128" spans="1:18" ht="30" customHeight="1" x14ac:dyDescent="0.25">
      <c r="A128" s="299"/>
      <c r="B128" s="299"/>
      <c r="C128" s="299"/>
      <c r="D128" s="300"/>
      <c r="E128" s="299"/>
      <c r="F128" s="299"/>
      <c r="G128" s="299"/>
      <c r="H128" s="299"/>
      <c r="Q128" s="294">
        <f t="shared" si="1"/>
        <v>0</v>
      </c>
      <c r="R128" s="294" t="e">
        <f>IF(COUNTIF(A$5:A128,A128)=1,MAX(R$4:R127)+1,VLOOKUP(A128,Q$4:R127,2,0))</f>
        <v>#N/A</v>
      </c>
    </row>
    <row r="129" spans="1:18" ht="30" customHeight="1" x14ac:dyDescent="0.25">
      <c r="A129" s="299"/>
      <c r="B129" s="299"/>
      <c r="C129" s="299"/>
      <c r="D129" s="300"/>
      <c r="E129" s="299"/>
      <c r="F129" s="299"/>
      <c r="G129" s="299"/>
      <c r="H129" s="299"/>
      <c r="Q129" s="294">
        <f t="shared" si="1"/>
        <v>0</v>
      </c>
      <c r="R129" s="294" t="e">
        <f>IF(COUNTIF(A$5:A129,A129)=1,MAX(R$4:R128)+1,VLOOKUP(A129,Q$4:R128,2,0))</f>
        <v>#N/A</v>
      </c>
    </row>
    <row r="130" spans="1:18" ht="30" customHeight="1" x14ac:dyDescent="0.25">
      <c r="A130" s="299"/>
      <c r="B130" s="299"/>
      <c r="C130" s="299"/>
      <c r="D130" s="300"/>
      <c r="E130" s="299"/>
      <c r="F130" s="299"/>
      <c r="G130" s="299"/>
      <c r="H130" s="299"/>
      <c r="Q130" s="294">
        <f t="shared" si="1"/>
        <v>0</v>
      </c>
      <c r="R130" s="294" t="e">
        <f>IF(COUNTIF(A$5:A130,A130)=1,MAX(R$4:R129)+1,VLOOKUP(A130,Q$4:R129,2,0))</f>
        <v>#N/A</v>
      </c>
    </row>
    <row r="131" spans="1:18" ht="30" customHeight="1" x14ac:dyDescent="0.25">
      <c r="A131" s="299"/>
      <c r="B131" s="299"/>
      <c r="C131" s="299"/>
      <c r="D131" s="300"/>
      <c r="E131" s="299"/>
      <c r="F131" s="299"/>
      <c r="G131" s="299"/>
      <c r="H131" s="299"/>
      <c r="Q131" s="294">
        <f t="shared" si="1"/>
        <v>0</v>
      </c>
      <c r="R131" s="294" t="e">
        <f>IF(COUNTIF(A$5:A131,A131)=1,MAX(R$4:R130)+1,VLOOKUP(A131,Q$4:R130,2,0))</f>
        <v>#N/A</v>
      </c>
    </row>
    <row r="132" spans="1:18" ht="30" customHeight="1" x14ac:dyDescent="0.25">
      <c r="A132" s="299"/>
      <c r="B132" s="299"/>
      <c r="C132" s="299"/>
      <c r="D132" s="300"/>
      <c r="E132" s="299"/>
      <c r="F132" s="299"/>
      <c r="G132" s="299"/>
      <c r="H132" s="299"/>
      <c r="Q132" s="294">
        <f t="shared" si="1"/>
        <v>0</v>
      </c>
      <c r="R132" s="294" t="e">
        <f>IF(COUNTIF(A$5:A132,A132)=1,MAX(R$4:R131)+1,VLOOKUP(A132,Q$4:R131,2,0))</f>
        <v>#N/A</v>
      </c>
    </row>
    <row r="133" spans="1:18" ht="30" customHeight="1" x14ac:dyDescent="0.25">
      <c r="A133" s="299"/>
      <c r="B133" s="299"/>
      <c r="C133" s="299"/>
      <c r="D133" s="300"/>
      <c r="E133" s="299"/>
      <c r="F133" s="299"/>
      <c r="G133" s="299"/>
      <c r="H133" s="299"/>
      <c r="Q133" s="294">
        <f t="shared" ref="Q133:Q196" si="2">A133</f>
        <v>0</v>
      </c>
      <c r="R133" s="294" t="e">
        <f>IF(COUNTIF(A$5:A133,A133)=1,MAX(R$4:R132)+1,VLOOKUP(A133,Q$4:R132,2,0))</f>
        <v>#N/A</v>
      </c>
    </row>
    <row r="134" spans="1:18" ht="30" customHeight="1" x14ac:dyDescent="0.25">
      <c r="A134" s="299"/>
      <c r="B134" s="299"/>
      <c r="C134" s="299"/>
      <c r="D134" s="300"/>
      <c r="E134" s="299"/>
      <c r="F134" s="299"/>
      <c r="G134" s="299"/>
      <c r="H134" s="299"/>
      <c r="Q134" s="294">
        <f t="shared" si="2"/>
        <v>0</v>
      </c>
      <c r="R134" s="294" t="e">
        <f>IF(COUNTIF(A$5:A134,A134)=1,MAX(R$4:R133)+1,VLOOKUP(A134,Q$4:R133,2,0))</f>
        <v>#N/A</v>
      </c>
    </row>
    <row r="135" spans="1:18" ht="30" customHeight="1" x14ac:dyDescent="0.25">
      <c r="A135" s="299"/>
      <c r="B135" s="299"/>
      <c r="C135" s="299"/>
      <c r="D135" s="300"/>
      <c r="E135" s="299"/>
      <c r="F135" s="299"/>
      <c r="G135" s="299"/>
      <c r="H135" s="299"/>
      <c r="Q135" s="294">
        <f t="shared" si="2"/>
        <v>0</v>
      </c>
      <c r="R135" s="294" t="e">
        <f>IF(COUNTIF(A$5:A135,A135)=1,MAX(R$4:R134)+1,VLOOKUP(A135,Q$4:R134,2,0))</f>
        <v>#N/A</v>
      </c>
    </row>
    <row r="136" spans="1:18" ht="30" customHeight="1" x14ac:dyDescent="0.25">
      <c r="A136" s="299"/>
      <c r="B136" s="299"/>
      <c r="C136" s="299"/>
      <c r="D136" s="300"/>
      <c r="E136" s="299"/>
      <c r="F136" s="299"/>
      <c r="G136" s="299"/>
      <c r="H136" s="299"/>
      <c r="Q136" s="294">
        <f t="shared" si="2"/>
        <v>0</v>
      </c>
      <c r="R136" s="294" t="e">
        <f>IF(COUNTIF(A$5:A136,A136)=1,MAX(R$4:R135)+1,VLOOKUP(A136,Q$4:R135,2,0))</f>
        <v>#N/A</v>
      </c>
    </row>
    <row r="137" spans="1:18" ht="30" customHeight="1" x14ac:dyDescent="0.25">
      <c r="A137" s="299"/>
      <c r="B137" s="299"/>
      <c r="C137" s="299"/>
      <c r="D137" s="300"/>
      <c r="E137" s="299"/>
      <c r="F137" s="299"/>
      <c r="G137" s="299"/>
      <c r="H137" s="299"/>
      <c r="Q137" s="294">
        <f t="shared" si="2"/>
        <v>0</v>
      </c>
      <c r="R137" s="294" t="e">
        <f>IF(COUNTIF(A$5:A137,A137)=1,MAX(R$4:R136)+1,VLOOKUP(A137,Q$4:R136,2,0))</f>
        <v>#N/A</v>
      </c>
    </row>
    <row r="138" spans="1:18" ht="30" customHeight="1" x14ac:dyDescent="0.25">
      <c r="A138" s="299"/>
      <c r="B138" s="299"/>
      <c r="C138" s="299"/>
      <c r="D138" s="300"/>
      <c r="E138" s="299"/>
      <c r="F138" s="299"/>
      <c r="G138" s="299"/>
      <c r="H138" s="299"/>
      <c r="Q138" s="294">
        <f t="shared" si="2"/>
        <v>0</v>
      </c>
      <c r="R138" s="294" t="e">
        <f>IF(COUNTIF(A$5:A138,A138)=1,MAX(R$4:R137)+1,VLOOKUP(A138,Q$4:R137,2,0))</f>
        <v>#N/A</v>
      </c>
    </row>
    <row r="139" spans="1:18" ht="30" customHeight="1" x14ac:dyDescent="0.25">
      <c r="A139" s="299"/>
      <c r="B139" s="299"/>
      <c r="C139" s="299"/>
      <c r="D139" s="300"/>
      <c r="E139" s="299"/>
      <c r="F139" s="299"/>
      <c r="G139" s="299"/>
      <c r="H139" s="299"/>
      <c r="Q139" s="294">
        <f t="shared" si="2"/>
        <v>0</v>
      </c>
      <c r="R139" s="294" t="e">
        <f>IF(COUNTIF(A$5:A139,A139)=1,MAX(R$4:R138)+1,VLOOKUP(A139,Q$4:R138,2,0))</f>
        <v>#N/A</v>
      </c>
    </row>
    <row r="140" spans="1:18" ht="30" customHeight="1" x14ac:dyDescent="0.25">
      <c r="A140" s="299"/>
      <c r="B140" s="299"/>
      <c r="C140" s="299"/>
      <c r="D140" s="300"/>
      <c r="E140" s="299"/>
      <c r="F140" s="299"/>
      <c r="G140" s="299"/>
      <c r="H140" s="299"/>
      <c r="Q140" s="294">
        <f t="shared" si="2"/>
        <v>0</v>
      </c>
      <c r="R140" s="294" t="e">
        <f>IF(COUNTIF(A$5:A140,A140)=1,MAX(R$4:R139)+1,VLOOKUP(A140,Q$4:R139,2,0))</f>
        <v>#N/A</v>
      </c>
    </row>
    <row r="141" spans="1:18" ht="30" customHeight="1" x14ac:dyDescent="0.25">
      <c r="A141" s="299"/>
      <c r="B141" s="299"/>
      <c r="C141" s="299"/>
      <c r="D141" s="300"/>
      <c r="E141" s="299"/>
      <c r="F141" s="299"/>
      <c r="G141" s="299"/>
      <c r="H141" s="299"/>
      <c r="Q141" s="294">
        <f t="shared" si="2"/>
        <v>0</v>
      </c>
      <c r="R141" s="294" t="e">
        <f>IF(COUNTIF(A$5:A141,A141)=1,MAX(R$4:R140)+1,VLOOKUP(A141,Q$4:R140,2,0))</f>
        <v>#N/A</v>
      </c>
    </row>
    <row r="142" spans="1:18" ht="30" customHeight="1" x14ac:dyDescent="0.25">
      <c r="A142" s="299"/>
      <c r="B142" s="299"/>
      <c r="C142" s="299"/>
      <c r="D142" s="300"/>
      <c r="E142" s="299"/>
      <c r="F142" s="299"/>
      <c r="G142" s="299"/>
      <c r="H142" s="299"/>
      <c r="Q142" s="294">
        <f t="shared" si="2"/>
        <v>0</v>
      </c>
      <c r="R142" s="294" t="e">
        <f>IF(COUNTIF(A$5:A142,A142)=1,MAX(R$4:R141)+1,VLOOKUP(A142,Q$4:R141,2,0))</f>
        <v>#N/A</v>
      </c>
    </row>
    <row r="143" spans="1:18" ht="30" customHeight="1" x14ac:dyDescent="0.25">
      <c r="A143" s="299"/>
      <c r="B143" s="299"/>
      <c r="C143" s="299"/>
      <c r="D143" s="300"/>
      <c r="E143" s="299"/>
      <c r="F143" s="299"/>
      <c r="G143" s="299"/>
      <c r="H143" s="299"/>
      <c r="Q143" s="294">
        <f t="shared" si="2"/>
        <v>0</v>
      </c>
      <c r="R143" s="294" t="e">
        <f>IF(COUNTIF(A$5:A143,A143)=1,MAX(R$4:R142)+1,VLOOKUP(A143,Q$4:R142,2,0))</f>
        <v>#N/A</v>
      </c>
    </row>
    <row r="144" spans="1:18" ht="30" customHeight="1" x14ac:dyDescent="0.25">
      <c r="A144" s="299"/>
      <c r="B144" s="299"/>
      <c r="C144" s="299"/>
      <c r="D144" s="300"/>
      <c r="E144" s="299"/>
      <c r="F144" s="299"/>
      <c r="G144" s="299"/>
      <c r="H144" s="299"/>
      <c r="Q144" s="294">
        <f t="shared" si="2"/>
        <v>0</v>
      </c>
      <c r="R144" s="294" t="e">
        <f>IF(COUNTIF(A$5:A144,A144)=1,MAX(R$4:R143)+1,VLOOKUP(A144,Q$4:R143,2,0))</f>
        <v>#N/A</v>
      </c>
    </row>
    <row r="145" spans="1:18" ht="30" customHeight="1" x14ac:dyDescent="0.25">
      <c r="A145" s="299"/>
      <c r="B145" s="299"/>
      <c r="C145" s="299"/>
      <c r="D145" s="300"/>
      <c r="E145" s="299"/>
      <c r="F145" s="299"/>
      <c r="G145" s="299"/>
      <c r="H145" s="299"/>
      <c r="Q145" s="294">
        <f t="shared" si="2"/>
        <v>0</v>
      </c>
      <c r="R145" s="294" t="e">
        <f>IF(COUNTIF(A$5:A145,A145)=1,MAX(R$4:R144)+1,VLOOKUP(A145,Q$4:R144,2,0))</f>
        <v>#N/A</v>
      </c>
    </row>
    <row r="146" spans="1:18" ht="30" customHeight="1" x14ac:dyDescent="0.25">
      <c r="A146" s="299"/>
      <c r="B146" s="299"/>
      <c r="C146" s="299"/>
      <c r="D146" s="300"/>
      <c r="E146" s="299"/>
      <c r="F146" s="299"/>
      <c r="G146" s="299"/>
      <c r="H146" s="299"/>
      <c r="Q146" s="294">
        <f t="shared" si="2"/>
        <v>0</v>
      </c>
      <c r="R146" s="294" t="e">
        <f>IF(COUNTIF(A$5:A146,A146)=1,MAX(R$4:R145)+1,VLOOKUP(A146,Q$4:R145,2,0))</f>
        <v>#N/A</v>
      </c>
    </row>
    <row r="147" spans="1:18" ht="30" customHeight="1" x14ac:dyDescent="0.25">
      <c r="A147" s="299"/>
      <c r="B147" s="299"/>
      <c r="C147" s="299"/>
      <c r="D147" s="300"/>
      <c r="E147" s="299"/>
      <c r="F147" s="299"/>
      <c r="G147" s="299"/>
      <c r="H147" s="299"/>
      <c r="Q147" s="294">
        <f t="shared" si="2"/>
        <v>0</v>
      </c>
      <c r="R147" s="294" t="e">
        <f>IF(COUNTIF(A$5:A147,A147)=1,MAX(R$4:R146)+1,VLOOKUP(A147,Q$4:R146,2,0))</f>
        <v>#N/A</v>
      </c>
    </row>
    <row r="148" spans="1:18" ht="30" customHeight="1" x14ac:dyDescent="0.25">
      <c r="A148" s="299"/>
      <c r="B148" s="299"/>
      <c r="C148" s="299"/>
      <c r="D148" s="300"/>
      <c r="E148" s="299"/>
      <c r="F148" s="299"/>
      <c r="G148" s="299"/>
      <c r="H148" s="299"/>
      <c r="Q148" s="294">
        <f t="shared" si="2"/>
        <v>0</v>
      </c>
      <c r="R148" s="294" t="e">
        <f>IF(COUNTIF(A$5:A148,A148)=1,MAX(R$4:R147)+1,VLOOKUP(A148,Q$4:R147,2,0))</f>
        <v>#N/A</v>
      </c>
    </row>
    <row r="149" spans="1:18" ht="30" customHeight="1" x14ac:dyDescent="0.25">
      <c r="A149" s="299"/>
      <c r="B149" s="299"/>
      <c r="C149" s="299"/>
      <c r="D149" s="300"/>
      <c r="E149" s="299"/>
      <c r="F149" s="299"/>
      <c r="G149" s="299"/>
      <c r="H149" s="299"/>
      <c r="Q149" s="294">
        <f t="shared" si="2"/>
        <v>0</v>
      </c>
      <c r="R149" s="294" t="e">
        <f>IF(COUNTIF(A$5:A149,A149)=1,MAX(R$4:R148)+1,VLOOKUP(A149,Q$4:R148,2,0))</f>
        <v>#N/A</v>
      </c>
    </row>
    <row r="150" spans="1:18" ht="30" customHeight="1" x14ac:dyDescent="0.25">
      <c r="A150" s="299"/>
      <c r="B150" s="299"/>
      <c r="C150" s="299"/>
      <c r="D150" s="300"/>
      <c r="E150" s="299"/>
      <c r="F150" s="299"/>
      <c r="G150" s="299"/>
      <c r="H150" s="299"/>
      <c r="Q150" s="294">
        <f t="shared" si="2"/>
        <v>0</v>
      </c>
      <c r="R150" s="294" t="e">
        <f>IF(COUNTIF(A$5:A150,A150)=1,MAX(R$4:R149)+1,VLOOKUP(A150,Q$4:R149,2,0))</f>
        <v>#N/A</v>
      </c>
    </row>
    <row r="151" spans="1:18" ht="30" customHeight="1" x14ac:dyDescent="0.25">
      <c r="A151" s="299"/>
      <c r="B151" s="299"/>
      <c r="C151" s="299"/>
      <c r="D151" s="300"/>
      <c r="E151" s="299"/>
      <c r="F151" s="299"/>
      <c r="G151" s="299"/>
      <c r="H151" s="299"/>
      <c r="Q151" s="294">
        <f t="shared" si="2"/>
        <v>0</v>
      </c>
      <c r="R151" s="294" t="e">
        <f>IF(COUNTIF(A$5:A151,A151)=1,MAX(R$4:R150)+1,VLOOKUP(A151,Q$4:R150,2,0))</f>
        <v>#N/A</v>
      </c>
    </row>
    <row r="152" spans="1:18" ht="30" customHeight="1" x14ac:dyDescent="0.25">
      <c r="A152" s="299"/>
      <c r="B152" s="299"/>
      <c r="C152" s="299"/>
      <c r="D152" s="300"/>
      <c r="E152" s="299"/>
      <c r="F152" s="299"/>
      <c r="G152" s="299"/>
      <c r="H152" s="299"/>
      <c r="Q152" s="294">
        <f t="shared" si="2"/>
        <v>0</v>
      </c>
      <c r="R152" s="294" t="e">
        <f>IF(COUNTIF(A$5:A152,A152)=1,MAX(R$4:R151)+1,VLOOKUP(A152,Q$4:R151,2,0))</f>
        <v>#N/A</v>
      </c>
    </row>
    <row r="153" spans="1:18" ht="30" customHeight="1" x14ac:dyDescent="0.25">
      <c r="A153" s="299"/>
      <c r="B153" s="299"/>
      <c r="C153" s="299"/>
      <c r="D153" s="300"/>
      <c r="E153" s="299"/>
      <c r="F153" s="299"/>
      <c r="G153" s="299"/>
      <c r="H153" s="299"/>
      <c r="Q153" s="294">
        <f t="shared" si="2"/>
        <v>0</v>
      </c>
      <c r="R153" s="294" t="e">
        <f>IF(COUNTIF(A$5:A153,A153)=1,MAX(R$4:R152)+1,VLOOKUP(A153,Q$4:R152,2,0))</f>
        <v>#N/A</v>
      </c>
    </row>
    <row r="154" spans="1:18" ht="30" customHeight="1" x14ac:dyDescent="0.25">
      <c r="A154" s="299"/>
      <c r="B154" s="299"/>
      <c r="C154" s="299"/>
      <c r="D154" s="300"/>
      <c r="E154" s="299"/>
      <c r="F154" s="299"/>
      <c r="G154" s="299"/>
      <c r="H154" s="299"/>
      <c r="Q154" s="294">
        <f t="shared" si="2"/>
        <v>0</v>
      </c>
      <c r="R154" s="294" t="e">
        <f>IF(COUNTIF(A$5:A154,A154)=1,MAX(R$4:R153)+1,VLOOKUP(A154,Q$4:R153,2,0))</f>
        <v>#N/A</v>
      </c>
    </row>
    <row r="155" spans="1:18" ht="30" customHeight="1" x14ac:dyDescent="0.25">
      <c r="A155" s="299"/>
      <c r="B155" s="299"/>
      <c r="C155" s="299"/>
      <c r="D155" s="300"/>
      <c r="E155" s="299"/>
      <c r="F155" s="299"/>
      <c r="G155" s="299"/>
      <c r="H155" s="299"/>
      <c r="Q155" s="294">
        <f t="shared" si="2"/>
        <v>0</v>
      </c>
      <c r="R155" s="294" t="e">
        <f>IF(COUNTIF(A$5:A155,A155)=1,MAX(R$4:R154)+1,VLOOKUP(A155,Q$4:R154,2,0))</f>
        <v>#N/A</v>
      </c>
    </row>
    <row r="156" spans="1:18" ht="30" customHeight="1" x14ac:dyDescent="0.25">
      <c r="A156" s="299"/>
      <c r="B156" s="299"/>
      <c r="C156" s="299"/>
      <c r="D156" s="300"/>
      <c r="E156" s="299"/>
      <c r="F156" s="299"/>
      <c r="G156" s="299"/>
      <c r="H156" s="299"/>
      <c r="Q156" s="294">
        <f t="shared" si="2"/>
        <v>0</v>
      </c>
      <c r="R156" s="294" t="e">
        <f>IF(COUNTIF(A$5:A156,A156)=1,MAX(R$4:R155)+1,VLOOKUP(A156,Q$4:R155,2,0))</f>
        <v>#N/A</v>
      </c>
    </row>
    <row r="157" spans="1:18" ht="30" customHeight="1" x14ac:dyDescent="0.25">
      <c r="A157" s="299"/>
      <c r="B157" s="299"/>
      <c r="C157" s="299"/>
      <c r="D157" s="300"/>
      <c r="E157" s="299"/>
      <c r="F157" s="299"/>
      <c r="G157" s="299"/>
      <c r="H157" s="299"/>
      <c r="Q157" s="294">
        <f t="shared" si="2"/>
        <v>0</v>
      </c>
      <c r="R157" s="294" t="e">
        <f>IF(COUNTIF(A$5:A157,A157)=1,MAX(R$4:R156)+1,VLOOKUP(A157,Q$4:R156,2,0))</f>
        <v>#N/A</v>
      </c>
    </row>
    <row r="158" spans="1:18" ht="30" customHeight="1" x14ac:dyDescent="0.25">
      <c r="A158" s="299"/>
      <c r="B158" s="299"/>
      <c r="C158" s="299"/>
      <c r="D158" s="300"/>
      <c r="E158" s="299"/>
      <c r="F158" s="299"/>
      <c r="G158" s="299"/>
      <c r="H158" s="299"/>
      <c r="Q158" s="294">
        <f t="shared" si="2"/>
        <v>0</v>
      </c>
      <c r="R158" s="294" t="e">
        <f>IF(COUNTIF(A$5:A158,A158)=1,MAX(R$4:R157)+1,VLOOKUP(A158,Q$4:R157,2,0))</f>
        <v>#N/A</v>
      </c>
    </row>
    <row r="159" spans="1:18" ht="30" customHeight="1" x14ac:dyDescent="0.25">
      <c r="A159" s="299"/>
      <c r="B159" s="299"/>
      <c r="C159" s="299"/>
      <c r="D159" s="300"/>
      <c r="E159" s="299"/>
      <c r="F159" s="299"/>
      <c r="G159" s="299"/>
      <c r="H159" s="299"/>
      <c r="Q159" s="294">
        <f t="shared" si="2"/>
        <v>0</v>
      </c>
      <c r="R159" s="294" t="e">
        <f>IF(COUNTIF(A$5:A159,A159)=1,MAX(R$4:R158)+1,VLOOKUP(A159,Q$4:R158,2,0))</f>
        <v>#N/A</v>
      </c>
    </row>
    <row r="160" spans="1:18" ht="30" customHeight="1" x14ac:dyDescent="0.25">
      <c r="A160" s="219"/>
      <c r="B160" s="219"/>
      <c r="C160" s="219"/>
      <c r="D160" s="65"/>
      <c r="E160" s="299"/>
      <c r="F160" s="299"/>
      <c r="G160" s="299"/>
      <c r="H160" s="219"/>
      <c r="Q160" s="294">
        <f t="shared" si="2"/>
        <v>0</v>
      </c>
      <c r="R160" s="294" t="e">
        <f>IF(COUNTIF(A$5:A160,A160)=1,MAX(R$4:R159)+1,VLOOKUP(A160,Q$4:R159,2,0))</f>
        <v>#N/A</v>
      </c>
    </row>
    <row r="161" spans="17:18" ht="30" customHeight="1" x14ac:dyDescent="0.25">
      <c r="Q161" s="294">
        <f t="shared" si="2"/>
        <v>0</v>
      </c>
      <c r="R161" s="294" t="e">
        <f>IF(COUNTIF(A$5:A161,A161)=1,MAX(R$4:R160)+1,VLOOKUP(A161,Q$4:R160,2,0))</f>
        <v>#N/A</v>
      </c>
    </row>
    <row r="162" spans="17:18" ht="30" customHeight="1" x14ac:dyDescent="0.25">
      <c r="Q162" s="294">
        <f t="shared" si="2"/>
        <v>0</v>
      </c>
      <c r="R162" s="294" t="e">
        <f>IF(COUNTIF(A$5:A162,A162)=1,MAX(R$4:R161)+1,VLOOKUP(A162,Q$4:R161,2,0))</f>
        <v>#N/A</v>
      </c>
    </row>
    <row r="163" spans="17:18" ht="30" customHeight="1" x14ac:dyDescent="0.25">
      <c r="Q163" s="294">
        <f t="shared" si="2"/>
        <v>0</v>
      </c>
      <c r="R163" s="294" t="e">
        <f>IF(COUNTIF(A$5:A163,A163)=1,MAX(R$4:R162)+1,VLOOKUP(A163,Q$4:R162,2,0))</f>
        <v>#N/A</v>
      </c>
    </row>
    <row r="164" spans="17:18" ht="30" customHeight="1" x14ac:dyDescent="0.25">
      <c r="Q164" s="294">
        <f t="shared" si="2"/>
        <v>0</v>
      </c>
      <c r="R164" s="294" t="e">
        <f>IF(COUNTIF(A$5:A164,A164)=1,MAX(R$4:R163)+1,VLOOKUP(A164,Q$4:R163,2,0))</f>
        <v>#N/A</v>
      </c>
    </row>
    <row r="165" spans="17:18" ht="30" customHeight="1" x14ac:dyDescent="0.25">
      <c r="Q165" s="294">
        <f t="shared" si="2"/>
        <v>0</v>
      </c>
      <c r="R165" s="294" t="e">
        <f>IF(COUNTIF(A$5:A165,A165)=1,MAX(R$4:R164)+1,VLOOKUP(A165,Q$4:R164,2,0))</f>
        <v>#N/A</v>
      </c>
    </row>
    <row r="166" spans="17:18" ht="30" customHeight="1" x14ac:dyDescent="0.25">
      <c r="Q166" s="294">
        <f t="shared" si="2"/>
        <v>0</v>
      </c>
      <c r="R166" s="294" t="e">
        <f>IF(COUNTIF(A$5:A166,A166)=1,MAX(R$4:R165)+1,VLOOKUP(A166,Q$4:R165,2,0))</f>
        <v>#N/A</v>
      </c>
    </row>
    <row r="167" spans="17:18" ht="30" customHeight="1" x14ac:dyDescent="0.25">
      <c r="Q167" s="294">
        <f t="shared" si="2"/>
        <v>0</v>
      </c>
      <c r="R167" s="294" t="e">
        <f>IF(COUNTIF(A$5:A167,A167)=1,MAX(R$4:R166)+1,VLOOKUP(A167,Q$4:R166,2,0))</f>
        <v>#N/A</v>
      </c>
    </row>
    <row r="168" spans="17:18" ht="30" customHeight="1" x14ac:dyDescent="0.25">
      <c r="Q168" s="294">
        <f t="shared" si="2"/>
        <v>0</v>
      </c>
      <c r="R168" s="294" t="e">
        <f>IF(COUNTIF(A$5:A168,A168)=1,MAX(R$4:R167)+1,VLOOKUP(A168,Q$4:R167,2,0))</f>
        <v>#N/A</v>
      </c>
    </row>
    <row r="169" spans="17:18" ht="30" customHeight="1" x14ac:dyDescent="0.25">
      <c r="Q169" s="294">
        <f t="shared" si="2"/>
        <v>0</v>
      </c>
      <c r="R169" s="294" t="e">
        <f>IF(COUNTIF(A$5:A169,A169)=1,MAX(R$4:R168)+1,VLOOKUP(A169,Q$4:R168,2,0))</f>
        <v>#N/A</v>
      </c>
    </row>
    <row r="170" spans="17:18" ht="30" customHeight="1" x14ac:dyDescent="0.25">
      <c r="Q170" s="294">
        <f t="shared" si="2"/>
        <v>0</v>
      </c>
      <c r="R170" s="294" t="e">
        <f>IF(COUNTIF(A$5:A170,A170)=1,MAX(R$4:R169)+1,VLOOKUP(A170,Q$4:R169,2,0))</f>
        <v>#N/A</v>
      </c>
    </row>
    <row r="171" spans="17:18" ht="30" customHeight="1" x14ac:dyDescent="0.25">
      <c r="Q171" s="294">
        <f t="shared" si="2"/>
        <v>0</v>
      </c>
      <c r="R171" s="294" t="e">
        <f>IF(COUNTIF(A$5:A171,A171)=1,MAX(R$4:R170)+1,VLOOKUP(A171,Q$4:R170,2,0))</f>
        <v>#N/A</v>
      </c>
    </row>
    <row r="172" spans="17:18" ht="30" customHeight="1" x14ac:dyDescent="0.25">
      <c r="Q172" s="294">
        <f t="shared" si="2"/>
        <v>0</v>
      </c>
      <c r="R172" s="294" t="e">
        <f>IF(COUNTIF(A$5:A172,A172)=1,MAX(R$4:R171)+1,VLOOKUP(A172,Q$4:R171,2,0))</f>
        <v>#N/A</v>
      </c>
    </row>
    <row r="173" spans="17:18" ht="30" customHeight="1" x14ac:dyDescent="0.25">
      <c r="Q173" s="294">
        <f t="shared" si="2"/>
        <v>0</v>
      </c>
      <c r="R173" s="294" t="e">
        <f>IF(COUNTIF(A$5:A173,A173)=1,MAX(R$4:R172)+1,VLOOKUP(A173,Q$4:R172,2,0))</f>
        <v>#N/A</v>
      </c>
    </row>
    <row r="174" spans="17:18" ht="30" customHeight="1" x14ac:dyDescent="0.25">
      <c r="Q174" s="294">
        <f t="shared" si="2"/>
        <v>0</v>
      </c>
      <c r="R174" s="294" t="e">
        <f>IF(COUNTIF(A$5:A174,A174)=1,MAX(R$4:R173)+1,VLOOKUP(A174,Q$4:R173,2,0))</f>
        <v>#N/A</v>
      </c>
    </row>
    <row r="175" spans="17:18" ht="30" customHeight="1" x14ac:dyDescent="0.25">
      <c r="Q175" s="294">
        <f t="shared" si="2"/>
        <v>0</v>
      </c>
      <c r="R175" s="294" t="e">
        <f>IF(COUNTIF(A$5:A175,A175)=1,MAX(R$4:R174)+1,VLOOKUP(A175,Q$4:R174,2,0))</f>
        <v>#N/A</v>
      </c>
    </row>
    <row r="176" spans="17:18" ht="30" customHeight="1" x14ac:dyDescent="0.25">
      <c r="Q176" s="294">
        <f t="shared" si="2"/>
        <v>0</v>
      </c>
      <c r="R176" s="294" t="e">
        <f>IF(COUNTIF(A$5:A176,A176)=1,MAX(R$4:R175)+1,VLOOKUP(A176,Q$4:R175,2,0))</f>
        <v>#N/A</v>
      </c>
    </row>
    <row r="177" spans="17:18" ht="30" customHeight="1" x14ac:dyDescent="0.25">
      <c r="Q177" s="294">
        <f t="shared" si="2"/>
        <v>0</v>
      </c>
      <c r="R177" s="294" t="e">
        <f>IF(COUNTIF(A$5:A177,A177)=1,MAX(R$4:R176)+1,VLOOKUP(A177,Q$4:R176,2,0))</f>
        <v>#N/A</v>
      </c>
    </row>
    <row r="178" spans="17:18" ht="30" customHeight="1" x14ac:dyDescent="0.25">
      <c r="Q178" s="294">
        <f t="shared" si="2"/>
        <v>0</v>
      </c>
      <c r="R178" s="294" t="e">
        <f>IF(COUNTIF(A$5:A178,A178)=1,MAX(R$4:R177)+1,VLOOKUP(A178,Q$4:R177,2,0))</f>
        <v>#N/A</v>
      </c>
    </row>
    <row r="179" spans="17:18" ht="30" customHeight="1" x14ac:dyDescent="0.25">
      <c r="Q179" s="294">
        <f t="shared" si="2"/>
        <v>0</v>
      </c>
      <c r="R179" s="294" t="e">
        <f>IF(COUNTIF(A$5:A179,A179)=1,MAX(R$4:R178)+1,VLOOKUP(A179,Q$4:R178,2,0))</f>
        <v>#N/A</v>
      </c>
    </row>
    <row r="180" spans="17:18" ht="30" customHeight="1" x14ac:dyDescent="0.25">
      <c r="Q180" s="294">
        <f t="shared" si="2"/>
        <v>0</v>
      </c>
      <c r="R180" s="294" t="e">
        <f>IF(COUNTIF(A$5:A180,A180)=1,MAX(R$4:R179)+1,VLOOKUP(A180,Q$4:R179,2,0))</f>
        <v>#N/A</v>
      </c>
    </row>
    <row r="181" spans="17:18" ht="30" customHeight="1" x14ac:dyDescent="0.25">
      <c r="Q181" s="294">
        <f t="shared" si="2"/>
        <v>0</v>
      </c>
      <c r="R181" s="294" t="e">
        <f>IF(COUNTIF(A$5:A181,A181)=1,MAX(R$4:R180)+1,VLOOKUP(A181,Q$4:R180,2,0))</f>
        <v>#N/A</v>
      </c>
    </row>
    <row r="182" spans="17:18" ht="30" customHeight="1" x14ac:dyDescent="0.25">
      <c r="Q182" s="294">
        <f t="shared" si="2"/>
        <v>0</v>
      </c>
      <c r="R182" s="294" t="e">
        <f>IF(COUNTIF(A$5:A182,A182)=1,MAX(R$4:R181)+1,VLOOKUP(A182,Q$4:R181,2,0))</f>
        <v>#N/A</v>
      </c>
    </row>
    <row r="183" spans="17:18" ht="30" customHeight="1" x14ac:dyDescent="0.25">
      <c r="Q183" s="294">
        <f t="shared" si="2"/>
        <v>0</v>
      </c>
      <c r="R183" s="294" t="e">
        <f>IF(COUNTIF(A$5:A183,A183)=1,MAX(R$4:R182)+1,VLOOKUP(A183,Q$4:R182,2,0))</f>
        <v>#N/A</v>
      </c>
    </row>
    <row r="184" spans="17:18" ht="30" customHeight="1" x14ac:dyDescent="0.25">
      <c r="Q184" s="294">
        <f t="shared" si="2"/>
        <v>0</v>
      </c>
      <c r="R184" s="294" t="e">
        <f>IF(COUNTIF(A$5:A184,A184)=1,MAX(R$4:R183)+1,VLOOKUP(A184,Q$4:R183,2,0))</f>
        <v>#N/A</v>
      </c>
    </row>
    <row r="185" spans="17:18" ht="30" customHeight="1" x14ac:dyDescent="0.25">
      <c r="Q185" s="294">
        <f t="shared" si="2"/>
        <v>0</v>
      </c>
      <c r="R185" s="294" t="e">
        <f>IF(COUNTIF(A$5:A185,A185)=1,MAX(R$4:R184)+1,VLOOKUP(A185,Q$4:R184,2,0))</f>
        <v>#N/A</v>
      </c>
    </row>
    <row r="186" spans="17:18" ht="30" customHeight="1" x14ac:dyDescent="0.25">
      <c r="Q186" s="294">
        <f t="shared" si="2"/>
        <v>0</v>
      </c>
      <c r="R186" s="294" t="e">
        <f>IF(COUNTIF(A$5:A186,A186)=1,MAX(R$4:R185)+1,VLOOKUP(A186,Q$4:R185,2,0))</f>
        <v>#N/A</v>
      </c>
    </row>
    <row r="187" spans="17:18" ht="30" customHeight="1" x14ac:dyDescent="0.25">
      <c r="Q187" s="294">
        <f t="shared" si="2"/>
        <v>0</v>
      </c>
      <c r="R187" s="294" t="e">
        <f>IF(COUNTIF(A$5:A187,A187)=1,MAX(R$4:R186)+1,VLOOKUP(A187,Q$4:R186,2,0))</f>
        <v>#N/A</v>
      </c>
    </row>
    <row r="188" spans="17:18" ht="30" customHeight="1" x14ac:dyDescent="0.25">
      <c r="Q188" s="294">
        <f t="shared" si="2"/>
        <v>0</v>
      </c>
      <c r="R188" s="294" t="e">
        <f>IF(COUNTIF(A$5:A188,A188)=1,MAX(R$4:R187)+1,VLOOKUP(A188,Q$4:R187,2,0))</f>
        <v>#N/A</v>
      </c>
    </row>
    <row r="189" spans="17:18" ht="30" customHeight="1" x14ac:dyDescent="0.25">
      <c r="Q189" s="294">
        <f t="shared" si="2"/>
        <v>0</v>
      </c>
      <c r="R189" s="294" t="e">
        <f>IF(COUNTIF(A$5:A189,A189)=1,MAX(R$4:R188)+1,VLOOKUP(A189,Q$4:R188,2,0))</f>
        <v>#N/A</v>
      </c>
    </row>
    <row r="190" spans="17:18" ht="30" customHeight="1" x14ac:dyDescent="0.25">
      <c r="Q190" s="294">
        <f t="shared" si="2"/>
        <v>0</v>
      </c>
      <c r="R190" s="294" t="e">
        <f>IF(COUNTIF(A$5:A190,A190)=1,MAX(R$4:R189)+1,VLOOKUP(A190,Q$4:R189,2,0))</f>
        <v>#N/A</v>
      </c>
    </row>
    <row r="191" spans="17:18" ht="30" customHeight="1" x14ac:dyDescent="0.25">
      <c r="Q191" s="294">
        <f t="shared" si="2"/>
        <v>0</v>
      </c>
      <c r="R191" s="294" t="e">
        <f>IF(COUNTIF(A$5:A191,A191)=1,MAX(R$4:R190)+1,VLOOKUP(A191,Q$4:R190,2,0))</f>
        <v>#N/A</v>
      </c>
    </row>
    <row r="192" spans="17:18" ht="30" customHeight="1" x14ac:dyDescent="0.25">
      <c r="Q192" s="294">
        <f t="shared" si="2"/>
        <v>0</v>
      </c>
      <c r="R192" s="294" t="e">
        <f>IF(COUNTIF(A$5:A192,A192)=1,MAX(R$4:R191)+1,VLOOKUP(A192,Q$4:R191,2,0))</f>
        <v>#N/A</v>
      </c>
    </row>
    <row r="193" spans="17:18" ht="30" customHeight="1" x14ac:dyDescent="0.25">
      <c r="Q193" s="294">
        <f t="shared" si="2"/>
        <v>0</v>
      </c>
      <c r="R193" s="294" t="e">
        <f>IF(COUNTIF(A$5:A193,A193)=1,MAX(R$4:R192)+1,VLOOKUP(A193,Q$4:R192,2,0))</f>
        <v>#N/A</v>
      </c>
    </row>
    <row r="194" spans="17:18" ht="30" customHeight="1" x14ac:dyDescent="0.25">
      <c r="Q194" s="294">
        <f t="shared" si="2"/>
        <v>0</v>
      </c>
      <c r="R194" s="294" t="e">
        <f>IF(COUNTIF(A$5:A194,A194)=1,MAX(R$4:R193)+1,VLOOKUP(A194,Q$4:R193,2,0))</f>
        <v>#N/A</v>
      </c>
    </row>
    <row r="195" spans="17:18" ht="30" customHeight="1" x14ac:dyDescent="0.25">
      <c r="Q195" s="294">
        <f t="shared" si="2"/>
        <v>0</v>
      </c>
      <c r="R195" s="294" t="e">
        <f>IF(COUNTIF(A$5:A195,A195)=1,MAX(R$4:R194)+1,VLOOKUP(A195,Q$4:R194,2,0))</f>
        <v>#N/A</v>
      </c>
    </row>
    <row r="196" spans="17:18" ht="30" customHeight="1" x14ac:dyDescent="0.25">
      <c r="Q196" s="294">
        <f t="shared" si="2"/>
        <v>0</v>
      </c>
      <c r="R196" s="294" t="e">
        <f>IF(COUNTIF(A$5:A196,A196)=1,MAX(R$4:R195)+1,VLOOKUP(A196,Q$4:R195,2,0))</f>
        <v>#N/A</v>
      </c>
    </row>
    <row r="197" spans="17:18" ht="30" customHeight="1" x14ac:dyDescent="0.25">
      <c r="Q197" s="294">
        <f t="shared" ref="Q197:Q237" si="3">A197</f>
        <v>0</v>
      </c>
      <c r="R197" s="294" t="e">
        <f>IF(COUNTIF(A$5:A197,A197)=1,MAX(R$4:R196)+1,VLOOKUP(A197,Q$4:R196,2,0))</f>
        <v>#N/A</v>
      </c>
    </row>
    <row r="198" spans="17:18" ht="30" customHeight="1" x14ac:dyDescent="0.25">
      <c r="Q198" s="294">
        <f t="shared" si="3"/>
        <v>0</v>
      </c>
      <c r="R198" s="294" t="e">
        <f>IF(COUNTIF(A$5:A198,A198)=1,MAX(R$4:R197)+1,VLOOKUP(A198,Q$4:R197,2,0))</f>
        <v>#N/A</v>
      </c>
    </row>
    <row r="199" spans="17:18" ht="30" customHeight="1" x14ac:dyDescent="0.25">
      <c r="Q199" s="294">
        <f t="shared" si="3"/>
        <v>0</v>
      </c>
      <c r="R199" s="294" t="e">
        <f>IF(COUNTIF(A$5:A199,A199)=1,MAX(R$4:R198)+1,VLOOKUP(A199,Q$4:R198,2,0))</f>
        <v>#N/A</v>
      </c>
    </row>
    <row r="200" spans="17:18" ht="30" customHeight="1" x14ac:dyDescent="0.25">
      <c r="Q200" s="294">
        <f t="shared" si="3"/>
        <v>0</v>
      </c>
      <c r="R200" s="294" t="e">
        <f>IF(COUNTIF(A$5:A200,A200)=1,MAX(R$4:R199)+1,VLOOKUP(A200,Q$4:R199,2,0))</f>
        <v>#N/A</v>
      </c>
    </row>
    <row r="201" spans="17:18" ht="30" customHeight="1" x14ac:dyDescent="0.25">
      <c r="Q201" s="294">
        <f t="shared" si="3"/>
        <v>0</v>
      </c>
      <c r="R201" s="294" t="e">
        <f>IF(COUNTIF(A$5:A201,A201)=1,MAX(R$4:R200)+1,VLOOKUP(A201,Q$4:R200,2,0))</f>
        <v>#N/A</v>
      </c>
    </row>
    <row r="202" spans="17:18" ht="30" customHeight="1" x14ac:dyDescent="0.25">
      <c r="Q202" s="294">
        <f t="shared" si="3"/>
        <v>0</v>
      </c>
      <c r="R202" s="294" t="e">
        <f>IF(COUNTIF(A$5:A202,A202)=1,MAX(R$4:R201)+1,VLOOKUP(A202,Q$4:R201,2,0))</f>
        <v>#N/A</v>
      </c>
    </row>
    <row r="203" spans="17:18" ht="30" customHeight="1" x14ac:dyDescent="0.25">
      <c r="Q203" s="294">
        <f t="shared" si="3"/>
        <v>0</v>
      </c>
      <c r="R203" s="294" t="e">
        <f>IF(COUNTIF(A$5:A203,A203)=1,MAX(R$4:R202)+1,VLOOKUP(A203,Q$4:R202,2,0))</f>
        <v>#N/A</v>
      </c>
    </row>
    <row r="204" spans="17:18" ht="30" customHeight="1" x14ac:dyDescent="0.25">
      <c r="Q204" s="294">
        <f t="shared" si="3"/>
        <v>0</v>
      </c>
      <c r="R204" s="294" t="e">
        <f>IF(COUNTIF(A$5:A204,A204)=1,MAX(R$4:R203)+1,VLOOKUP(A204,Q$4:R203,2,0))</f>
        <v>#N/A</v>
      </c>
    </row>
    <row r="205" spans="17:18" ht="30" customHeight="1" x14ac:dyDescent="0.25">
      <c r="Q205" s="294">
        <f t="shared" si="3"/>
        <v>0</v>
      </c>
      <c r="R205" s="294" t="e">
        <f>IF(COUNTIF(A$5:A205,A205)=1,MAX(R$4:R204)+1,VLOOKUP(A205,Q$4:R204,2,0))</f>
        <v>#N/A</v>
      </c>
    </row>
    <row r="206" spans="17:18" ht="30" customHeight="1" x14ac:dyDescent="0.25">
      <c r="Q206" s="294">
        <f t="shared" si="3"/>
        <v>0</v>
      </c>
      <c r="R206" s="294" t="e">
        <f>IF(COUNTIF(A$5:A206,A206)=1,MAX(R$4:R205)+1,VLOOKUP(A206,Q$4:R205,2,0))</f>
        <v>#N/A</v>
      </c>
    </row>
    <row r="207" spans="17:18" ht="30" customHeight="1" x14ac:dyDescent="0.25">
      <c r="Q207" s="294">
        <f t="shared" si="3"/>
        <v>0</v>
      </c>
      <c r="R207" s="294" t="e">
        <f>IF(COUNTIF(A$5:A207,A207)=1,MAX(R$4:R206)+1,VLOOKUP(A207,Q$4:R206,2,0))</f>
        <v>#N/A</v>
      </c>
    </row>
    <row r="208" spans="17:18" ht="30" customHeight="1" x14ac:dyDescent="0.25">
      <c r="Q208" s="294">
        <f t="shared" si="3"/>
        <v>0</v>
      </c>
      <c r="R208" s="294" t="e">
        <f>IF(COUNTIF(A$5:A208,A208)=1,MAX(R$4:R207)+1,VLOOKUP(A208,Q$4:R207,2,0))</f>
        <v>#N/A</v>
      </c>
    </row>
    <row r="209" spans="17:18" ht="30" customHeight="1" x14ac:dyDescent="0.25">
      <c r="Q209" s="294">
        <f t="shared" si="3"/>
        <v>0</v>
      </c>
      <c r="R209" s="294" t="e">
        <f>IF(COUNTIF(A$5:A209,A209)=1,MAX(R$4:R208)+1,VLOOKUP(A209,Q$4:R208,2,0))</f>
        <v>#N/A</v>
      </c>
    </row>
    <row r="210" spans="17:18" ht="30" customHeight="1" x14ac:dyDescent="0.25">
      <c r="Q210" s="294">
        <f t="shared" si="3"/>
        <v>0</v>
      </c>
      <c r="R210" s="294" t="e">
        <f>IF(COUNTIF(A$5:A210,A210)=1,MAX(R$4:R209)+1,VLOOKUP(A210,Q$4:R209,2,0))</f>
        <v>#N/A</v>
      </c>
    </row>
    <row r="211" spans="17:18" ht="30" customHeight="1" x14ac:dyDescent="0.25">
      <c r="Q211" s="294">
        <f t="shared" si="3"/>
        <v>0</v>
      </c>
      <c r="R211" s="294" t="e">
        <f>IF(COUNTIF(A$5:A211,A211)=1,MAX(R$4:R210)+1,VLOOKUP(A211,Q$4:R210,2,0))</f>
        <v>#N/A</v>
      </c>
    </row>
    <row r="212" spans="17:18" ht="30" customHeight="1" x14ac:dyDescent="0.25">
      <c r="Q212" s="294">
        <f t="shared" si="3"/>
        <v>0</v>
      </c>
      <c r="R212" s="294" t="e">
        <f>IF(COUNTIF(A$5:A212,A212)=1,MAX(R$4:R211)+1,VLOOKUP(A212,Q$4:R211,2,0))</f>
        <v>#N/A</v>
      </c>
    </row>
    <row r="213" spans="17:18" ht="30" customHeight="1" x14ac:dyDescent="0.25">
      <c r="Q213" s="294">
        <f t="shared" si="3"/>
        <v>0</v>
      </c>
      <c r="R213" s="294" t="e">
        <f>IF(COUNTIF(A$5:A213,A213)=1,MAX(R$4:R212)+1,VLOOKUP(A213,Q$4:R212,2,0))</f>
        <v>#N/A</v>
      </c>
    </row>
    <row r="214" spans="17:18" ht="30" customHeight="1" x14ac:dyDescent="0.25">
      <c r="Q214" s="294">
        <f t="shared" si="3"/>
        <v>0</v>
      </c>
      <c r="R214" s="294" t="e">
        <f>IF(COUNTIF(A$5:A214,A214)=1,MAX(R$4:R213)+1,VLOOKUP(A214,Q$4:R213,2,0))</f>
        <v>#N/A</v>
      </c>
    </row>
    <row r="215" spans="17:18" ht="30" customHeight="1" x14ac:dyDescent="0.25">
      <c r="Q215" s="294">
        <f t="shared" si="3"/>
        <v>0</v>
      </c>
      <c r="R215" s="294" t="e">
        <f>IF(COUNTIF(A$5:A215,A215)=1,MAX(R$4:R214)+1,VLOOKUP(A215,Q$4:R214,2,0))</f>
        <v>#N/A</v>
      </c>
    </row>
    <row r="216" spans="17:18" ht="30" customHeight="1" x14ac:dyDescent="0.25">
      <c r="Q216" s="294">
        <f t="shared" si="3"/>
        <v>0</v>
      </c>
      <c r="R216" s="294" t="e">
        <f>IF(COUNTIF(A$5:A216,A216)=1,MAX(R$4:R215)+1,VLOOKUP(A216,Q$4:R215,2,0))</f>
        <v>#N/A</v>
      </c>
    </row>
    <row r="217" spans="17:18" ht="30" customHeight="1" x14ac:dyDescent="0.25">
      <c r="Q217" s="294">
        <f t="shared" si="3"/>
        <v>0</v>
      </c>
      <c r="R217" s="294" t="e">
        <f>IF(COUNTIF(A$5:A217,A217)=1,MAX(R$4:R216)+1,VLOOKUP(A217,Q$4:R216,2,0))</f>
        <v>#N/A</v>
      </c>
    </row>
    <row r="218" spans="17:18" ht="30" customHeight="1" x14ac:dyDescent="0.25">
      <c r="Q218" s="294">
        <f t="shared" si="3"/>
        <v>0</v>
      </c>
      <c r="R218" s="294" t="e">
        <f>IF(COUNTIF(A$5:A218,A218)=1,MAX(R$4:R217)+1,VLOOKUP(A218,Q$4:R217,2,0))</f>
        <v>#N/A</v>
      </c>
    </row>
    <row r="219" spans="17:18" ht="30" customHeight="1" x14ac:dyDescent="0.25">
      <c r="Q219" s="294">
        <f t="shared" si="3"/>
        <v>0</v>
      </c>
      <c r="R219" s="294" t="e">
        <f>IF(COUNTIF(A$5:A219,A219)=1,MAX(R$4:R218)+1,VLOOKUP(A219,Q$4:R218,2,0))</f>
        <v>#N/A</v>
      </c>
    </row>
    <row r="220" spans="17:18" ht="30" customHeight="1" x14ac:dyDescent="0.25">
      <c r="Q220" s="294">
        <f t="shared" si="3"/>
        <v>0</v>
      </c>
      <c r="R220" s="294" t="e">
        <f>IF(COUNTIF(A$5:A220,A220)=1,MAX(R$4:R219)+1,VLOOKUP(A220,Q$4:R219,2,0))</f>
        <v>#N/A</v>
      </c>
    </row>
    <row r="221" spans="17:18" ht="30" customHeight="1" x14ac:dyDescent="0.25">
      <c r="Q221" s="294">
        <f t="shared" si="3"/>
        <v>0</v>
      </c>
      <c r="R221" s="294" t="e">
        <f>IF(COUNTIF(A$5:A221,A221)=1,MAX(R$4:R220)+1,VLOOKUP(A221,Q$4:R220,2,0))</f>
        <v>#N/A</v>
      </c>
    </row>
    <row r="222" spans="17:18" ht="30" customHeight="1" x14ac:dyDescent="0.25">
      <c r="Q222" s="294">
        <f t="shared" si="3"/>
        <v>0</v>
      </c>
      <c r="R222" s="294" t="e">
        <f>IF(COUNTIF(A$5:A222,A222)=1,MAX(R$4:R221)+1,VLOOKUP(A222,Q$4:R221,2,0))</f>
        <v>#N/A</v>
      </c>
    </row>
    <row r="223" spans="17:18" ht="30" customHeight="1" x14ac:dyDescent="0.25">
      <c r="Q223" s="294">
        <f t="shared" si="3"/>
        <v>0</v>
      </c>
      <c r="R223" s="294" t="e">
        <f>IF(COUNTIF(A$5:A223,A223)=1,MAX(R$4:R222)+1,VLOOKUP(A223,Q$4:R222,2,0))</f>
        <v>#N/A</v>
      </c>
    </row>
    <row r="224" spans="17:18" ht="30" customHeight="1" x14ac:dyDescent="0.25">
      <c r="Q224" s="294">
        <f t="shared" si="3"/>
        <v>0</v>
      </c>
      <c r="R224" s="294" t="e">
        <f>IF(COUNTIF(A$5:A224,A224)=1,MAX(R$4:R223)+1,VLOOKUP(A224,Q$4:R223,2,0))</f>
        <v>#N/A</v>
      </c>
    </row>
    <row r="225" spans="17:18" ht="30" customHeight="1" x14ac:dyDescent="0.25">
      <c r="Q225" s="294">
        <f t="shared" si="3"/>
        <v>0</v>
      </c>
      <c r="R225" s="294" t="e">
        <f>IF(COUNTIF(A$5:A225,A225)=1,MAX(R$4:R224)+1,VLOOKUP(A225,Q$4:R224,2,0))</f>
        <v>#N/A</v>
      </c>
    </row>
    <row r="226" spans="17:18" ht="30" customHeight="1" x14ac:dyDescent="0.25">
      <c r="Q226" s="294">
        <f t="shared" si="3"/>
        <v>0</v>
      </c>
      <c r="R226" s="294" t="e">
        <f>IF(COUNTIF(A$5:A226,A226)=1,MAX(R$4:R225)+1,VLOOKUP(A226,Q$4:R225,2,0))</f>
        <v>#N/A</v>
      </c>
    </row>
    <row r="227" spans="17:18" ht="30" customHeight="1" x14ac:dyDescent="0.25">
      <c r="Q227" s="294">
        <f t="shared" si="3"/>
        <v>0</v>
      </c>
      <c r="R227" s="294" t="e">
        <f>IF(COUNTIF(A$5:A227,A227)=1,MAX(R$4:R226)+1,VLOOKUP(A227,Q$4:R226,2,0))</f>
        <v>#N/A</v>
      </c>
    </row>
    <row r="228" spans="17:18" ht="30" customHeight="1" x14ac:dyDescent="0.25">
      <c r="Q228" s="294">
        <f t="shared" si="3"/>
        <v>0</v>
      </c>
      <c r="R228" s="294" t="e">
        <f>IF(COUNTIF(A$5:A228,A228)=1,MAX(R$4:R227)+1,VLOOKUP(A228,Q$4:R227,2,0))</f>
        <v>#N/A</v>
      </c>
    </row>
    <row r="229" spans="17:18" ht="30" customHeight="1" x14ac:dyDescent="0.25">
      <c r="Q229" s="294">
        <f t="shared" si="3"/>
        <v>0</v>
      </c>
      <c r="R229" s="294" t="e">
        <f>IF(COUNTIF(A$5:A229,A229)=1,MAX(R$4:R228)+1,VLOOKUP(A229,Q$4:R228,2,0))</f>
        <v>#N/A</v>
      </c>
    </row>
    <row r="230" spans="17:18" ht="30" customHeight="1" x14ac:dyDescent="0.25">
      <c r="Q230" s="294">
        <f t="shared" si="3"/>
        <v>0</v>
      </c>
      <c r="R230" s="294" t="e">
        <f>IF(COUNTIF(A$5:A230,A230)=1,MAX(R$4:R229)+1,VLOOKUP(A230,Q$4:R229,2,0))</f>
        <v>#N/A</v>
      </c>
    </row>
    <row r="231" spans="17:18" ht="30" customHeight="1" x14ac:dyDescent="0.25">
      <c r="Q231" s="294">
        <f t="shared" si="3"/>
        <v>0</v>
      </c>
      <c r="R231" s="294" t="e">
        <f>IF(COUNTIF(A$5:A231,A231)=1,MAX(R$4:R230)+1,VLOOKUP(A231,Q$4:R230,2,0))</f>
        <v>#N/A</v>
      </c>
    </row>
    <row r="232" spans="17:18" ht="30" customHeight="1" x14ac:dyDescent="0.25">
      <c r="Q232" s="294">
        <f t="shared" si="3"/>
        <v>0</v>
      </c>
      <c r="R232" s="294" t="e">
        <f>IF(COUNTIF(A$5:A232,A232)=1,MAX(R$4:R231)+1,VLOOKUP(A232,Q$4:R231,2,0))</f>
        <v>#N/A</v>
      </c>
    </row>
    <row r="233" spans="17:18" ht="30" customHeight="1" x14ac:dyDescent="0.25">
      <c r="Q233" s="294">
        <f t="shared" si="3"/>
        <v>0</v>
      </c>
      <c r="R233" s="294" t="e">
        <f>IF(COUNTIF(A$5:A233,A233)=1,MAX(R$4:R232)+1,VLOOKUP(A233,Q$4:R232,2,0))</f>
        <v>#N/A</v>
      </c>
    </row>
    <row r="234" spans="17:18" ht="30" customHeight="1" x14ac:dyDescent="0.25">
      <c r="Q234" s="294">
        <f t="shared" si="3"/>
        <v>0</v>
      </c>
      <c r="R234" s="294" t="e">
        <f>IF(COUNTIF(A$5:A234,A234)=1,MAX(R$4:R233)+1,VLOOKUP(A234,Q$4:R233,2,0))</f>
        <v>#N/A</v>
      </c>
    </row>
    <row r="235" spans="17:18" ht="30" customHeight="1" x14ac:dyDescent="0.25">
      <c r="Q235" s="294">
        <f t="shared" si="3"/>
        <v>0</v>
      </c>
      <c r="R235" s="294" t="e">
        <f>IF(COUNTIF(A$5:A235,A235)=1,MAX(R$4:R234)+1,VLOOKUP(A235,Q$4:R234,2,0))</f>
        <v>#N/A</v>
      </c>
    </row>
    <row r="236" spans="17:18" ht="30" customHeight="1" x14ac:dyDescent="0.25">
      <c r="Q236" s="294">
        <f t="shared" si="3"/>
        <v>0</v>
      </c>
      <c r="R236" s="294" t="e">
        <f>IF(COUNTIF(A$5:A236,A236)=1,MAX(R$4:R235)+1,VLOOKUP(A236,Q$4:R235,2,0))</f>
        <v>#N/A</v>
      </c>
    </row>
    <row r="237" spans="17:18" ht="30" customHeight="1" x14ac:dyDescent="0.25">
      <c r="Q237" s="294">
        <f t="shared" si="3"/>
        <v>0</v>
      </c>
      <c r="R237" s="294" t="e">
        <f>IF(COUNTIF(A$5:A237,A237)=1,MAX(R$4:R236)+1,VLOOKUP(A237,Q$4:R236,2,0))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3:H3"/>
    <mergeCell ref="A1:H1"/>
    <mergeCell ref="C2:D2"/>
    <mergeCell ref="E2:F2"/>
  </mergeCells>
  <conditionalFormatting sqref="A5:H237">
    <cfRule type="expression" dxfId="2" priority="1">
      <formula>ISEVEN($R5)</formula>
    </cfRule>
  </conditionalFormatting>
  <hyperlinks>
    <hyperlink ref="I2" location="Seznam!A1" display="MENU" xr:uid="{00000000-0004-0000-1900-000000000000}"/>
  </hyperlinks>
  <printOptions horizontalCentered="1" verticalCentered="1"/>
  <pageMargins left="0.23622047244093999" right="0.23622047244093999" top="0.74803149606299002" bottom="0.74803149606299002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2"/>
  <sheetViews>
    <sheetView workbookViewId="0"/>
  </sheetViews>
  <sheetFormatPr defaultColWidth="9.140625" defaultRowHeight="15" x14ac:dyDescent="0.25"/>
  <cols>
    <col min="1" max="1" width="70.42578125" style="271" customWidth="1"/>
    <col min="2" max="2" width="19.85546875" style="271" customWidth="1"/>
    <col min="3" max="3" width="22.140625" style="271" customWidth="1"/>
    <col min="4" max="4" width="27.42578125" style="271" customWidth="1"/>
    <col min="5" max="5" width="33.42578125" style="271" customWidth="1"/>
    <col min="6" max="6" width="18" style="271" customWidth="1"/>
    <col min="7" max="7" width="73.28515625" style="271" customWidth="1"/>
    <col min="8" max="8" width="8.5703125" style="271" customWidth="1"/>
    <col min="9" max="9" width="11" style="271" customWidth="1"/>
    <col min="10" max="10" width="10.140625" style="271" customWidth="1"/>
    <col min="11" max="11" width="9.140625" style="271"/>
  </cols>
  <sheetData>
    <row r="1" spans="1:10" ht="18.75" customHeight="1" x14ac:dyDescent="0.3">
      <c r="A1" s="597" t="s">
        <v>113</v>
      </c>
      <c r="B1" s="280" t="s">
        <v>595</v>
      </c>
      <c r="C1" s="280" t="s">
        <v>596</v>
      </c>
      <c r="D1" s="280" t="s">
        <v>597</v>
      </c>
      <c r="E1" s="281" t="s">
        <v>7</v>
      </c>
      <c r="F1" s="281" t="s">
        <v>598</v>
      </c>
      <c r="G1" s="281" t="s">
        <v>599</v>
      </c>
      <c r="H1" s="459" t="s">
        <v>600</v>
      </c>
      <c r="I1" s="459" t="s">
        <v>601</v>
      </c>
      <c r="J1" s="459" t="s">
        <v>234</v>
      </c>
    </row>
    <row r="2" spans="1:10" x14ac:dyDescent="0.25">
      <c r="A2" s="279" t="s">
        <v>602</v>
      </c>
      <c r="B2" s="279" t="s">
        <v>603</v>
      </c>
      <c r="C2" s="279"/>
      <c r="D2" s="279"/>
      <c r="E2" s="279" t="s">
        <v>604</v>
      </c>
      <c r="F2" s="279"/>
      <c r="G2" s="279"/>
      <c r="H2" s="460"/>
      <c r="I2" s="460">
        <v>2559968329</v>
      </c>
      <c r="J2" s="461" t="s">
        <v>605</v>
      </c>
    </row>
    <row r="3" spans="1:10" x14ac:dyDescent="0.25">
      <c r="A3" s="275" t="s">
        <v>142</v>
      </c>
      <c r="B3" s="276" t="s">
        <v>230</v>
      </c>
      <c r="C3" s="274">
        <f>Evidence!$G$104</f>
        <v>1494.9099999999999</v>
      </c>
      <c r="D3" s="274">
        <f>Evidence!$H$104</f>
        <v>1036.3599999999999</v>
      </c>
      <c r="E3" s="275" t="s">
        <v>201</v>
      </c>
      <c r="F3" s="274" t="s">
        <v>606</v>
      </c>
      <c r="G3" s="274" t="s">
        <v>607</v>
      </c>
      <c r="H3" s="462"/>
      <c r="I3" s="274">
        <v>2100704207</v>
      </c>
      <c r="J3" s="461">
        <v>2010</v>
      </c>
    </row>
    <row r="4" spans="1:10" ht="45" customHeight="1" x14ac:dyDescent="0.25">
      <c r="A4" s="333" t="s">
        <v>608</v>
      </c>
      <c r="B4" s="332" t="s">
        <v>609</v>
      </c>
      <c r="C4" s="332">
        <v>0</v>
      </c>
      <c r="D4" s="332">
        <v>0</v>
      </c>
      <c r="E4" s="333" t="s">
        <v>610</v>
      </c>
      <c r="F4" s="274" t="s">
        <v>606</v>
      </c>
      <c r="G4" s="331" t="s">
        <v>611</v>
      </c>
      <c r="H4" s="460"/>
      <c r="I4" s="332">
        <v>2101564752</v>
      </c>
      <c r="J4" s="461">
        <v>2010</v>
      </c>
    </row>
    <row r="5" spans="1:10" x14ac:dyDescent="0.25">
      <c r="A5" s="279" t="s">
        <v>612</v>
      </c>
      <c r="B5" s="375" t="s">
        <v>613</v>
      </c>
      <c r="C5" s="375">
        <v>0</v>
      </c>
      <c r="D5" s="375">
        <v>0</v>
      </c>
      <c r="E5" s="384" t="s">
        <v>614</v>
      </c>
      <c r="F5" s="375"/>
      <c r="G5" s="375"/>
      <c r="H5" s="460"/>
      <c r="I5" s="375">
        <v>2401735074</v>
      </c>
      <c r="J5" s="461">
        <v>2010</v>
      </c>
    </row>
    <row r="6" spans="1:10" x14ac:dyDescent="0.25">
      <c r="A6" s="279" t="s">
        <v>615</v>
      </c>
      <c r="B6" s="279"/>
      <c r="C6" s="279"/>
      <c r="D6" s="279"/>
      <c r="E6" s="279" t="s">
        <v>616</v>
      </c>
      <c r="F6" s="279"/>
      <c r="G6" s="279"/>
      <c r="H6" s="460"/>
      <c r="I6" s="375"/>
      <c r="J6" s="461"/>
    </row>
    <row r="7" spans="1:10" x14ac:dyDescent="0.25">
      <c r="A7" s="273" t="s">
        <v>617</v>
      </c>
      <c r="B7" s="276" t="s">
        <v>618</v>
      </c>
      <c r="C7" s="277">
        <v>1023.2</v>
      </c>
      <c r="D7" s="277">
        <v>1023.2</v>
      </c>
      <c r="E7" s="385" t="s">
        <v>619</v>
      </c>
      <c r="F7" s="274" t="s">
        <v>606</v>
      </c>
      <c r="G7" s="274" t="s">
        <v>607</v>
      </c>
      <c r="H7" s="460"/>
      <c r="I7" s="274">
        <v>2400891032</v>
      </c>
      <c r="J7" s="461">
        <v>2010</v>
      </c>
    </row>
    <row r="8" spans="1:10" x14ac:dyDescent="0.25">
      <c r="A8" s="279" t="s">
        <v>620</v>
      </c>
      <c r="B8" s="279" t="s">
        <v>621</v>
      </c>
      <c r="C8" s="279"/>
      <c r="D8" s="279"/>
      <c r="E8" s="279" t="s">
        <v>622</v>
      </c>
      <c r="F8" s="279"/>
      <c r="G8" s="279"/>
      <c r="H8" s="460"/>
      <c r="I8" s="375">
        <v>212701327</v>
      </c>
      <c r="J8" s="461" t="s">
        <v>623</v>
      </c>
    </row>
    <row r="9" spans="1:10" x14ac:dyDescent="0.25">
      <c r="A9" s="272" t="s">
        <v>624</v>
      </c>
      <c r="B9" s="273" t="s">
        <v>625</v>
      </c>
      <c r="C9" s="274">
        <v>943.6</v>
      </c>
      <c r="D9" s="274">
        <v>943.6</v>
      </c>
      <c r="E9" s="272" t="s">
        <v>626</v>
      </c>
      <c r="F9" s="274" t="s">
        <v>606</v>
      </c>
      <c r="G9" s="274" t="s">
        <v>627</v>
      </c>
      <c r="H9" s="460"/>
      <c r="I9" s="274">
        <v>2601412333</v>
      </c>
      <c r="J9" s="461">
        <v>2010</v>
      </c>
    </row>
    <row r="10" spans="1:10" x14ac:dyDescent="0.25">
      <c r="A10" s="273" t="s">
        <v>628</v>
      </c>
      <c r="B10" s="273" t="s">
        <v>629</v>
      </c>
      <c r="C10" s="274">
        <f>Evidence!$G$104</f>
        <v>1494.9099999999999</v>
      </c>
      <c r="D10" s="274">
        <f>Evidence!$H$104</f>
        <v>1036.3599999999999</v>
      </c>
      <c r="E10" s="278" t="s">
        <v>630</v>
      </c>
      <c r="F10" s="274" t="s">
        <v>606</v>
      </c>
      <c r="G10" s="274" t="s">
        <v>631</v>
      </c>
      <c r="H10" s="463"/>
      <c r="I10" s="274">
        <v>3443843369</v>
      </c>
      <c r="J10" s="464" t="s">
        <v>605</v>
      </c>
    </row>
    <row r="11" spans="1:10" x14ac:dyDescent="0.25">
      <c r="A11" s="279" t="s">
        <v>632</v>
      </c>
      <c r="B11" s="279" t="s">
        <v>633</v>
      </c>
      <c r="C11" s="279"/>
      <c r="D11" s="279"/>
      <c r="E11" s="279" t="s">
        <v>634</v>
      </c>
      <c r="F11" s="279"/>
      <c r="G11" s="279"/>
      <c r="H11" s="463"/>
      <c r="I11" s="375">
        <v>2801810483</v>
      </c>
      <c r="J11" s="464" t="s">
        <v>635</v>
      </c>
    </row>
    <row r="12" spans="1:10" x14ac:dyDescent="0.25">
      <c r="A12" s="273" t="s">
        <v>636</v>
      </c>
      <c r="B12" s="273" t="s">
        <v>637</v>
      </c>
      <c r="C12" s="274">
        <f>Evidence!$G$104</f>
        <v>1494.9099999999999</v>
      </c>
      <c r="D12" s="274">
        <f>Evidence!$H$104</f>
        <v>1036.3599999999999</v>
      </c>
      <c r="E12" s="278" t="s">
        <v>638</v>
      </c>
      <c r="F12" s="274" t="s">
        <v>606</v>
      </c>
      <c r="G12" s="274" t="s">
        <v>631</v>
      </c>
      <c r="H12" s="463"/>
      <c r="I12" s="274">
        <v>2001002103</v>
      </c>
      <c r="J12" s="464">
        <v>2010</v>
      </c>
    </row>
    <row r="13" spans="1:10" x14ac:dyDescent="0.25">
      <c r="A13" s="279" t="s">
        <v>639</v>
      </c>
      <c r="B13" s="279" t="s">
        <v>640</v>
      </c>
      <c r="C13" s="279"/>
      <c r="D13" s="279"/>
      <c r="E13" s="279" t="s">
        <v>641</v>
      </c>
      <c r="F13" s="274" t="s">
        <v>606</v>
      </c>
      <c r="G13" s="274" t="s">
        <v>642</v>
      </c>
      <c r="H13" s="463"/>
      <c r="I13" s="375">
        <v>2701656546</v>
      </c>
      <c r="J13" s="464">
        <v>2010</v>
      </c>
    </row>
    <row r="14" spans="1:10" x14ac:dyDescent="0.25">
      <c r="A14" s="273" t="s">
        <v>643</v>
      </c>
      <c r="B14" s="273" t="s">
        <v>644</v>
      </c>
      <c r="C14" s="274">
        <f>Evidence!$G$104</f>
        <v>1494.9099999999999</v>
      </c>
      <c r="D14" s="274">
        <f>Evidence!$H$104</f>
        <v>1036.3599999999999</v>
      </c>
      <c r="E14" s="278" t="s">
        <v>645</v>
      </c>
      <c r="F14" s="274" t="s">
        <v>606</v>
      </c>
      <c r="G14" s="274" t="s">
        <v>631</v>
      </c>
      <c r="H14" s="463"/>
      <c r="I14" s="274">
        <v>2201735109</v>
      </c>
      <c r="J14" s="464">
        <v>2010</v>
      </c>
    </row>
    <row r="15" spans="1:10" x14ac:dyDescent="0.25">
      <c r="A15" s="275" t="s">
        <v>646</v>
      </c>
      <c r="B15" s="276" t="s">
        <v>647</v>
      </c>
      <c r="C15" s="274">
        <f>Evidence!$G$104</f>
        <v>1494.9099999999999</v>
      </c>
      <c r="D15" s="274">
        <f>Evidence!$H$104</f>
        <v>1036.3599999999999</v>
      </c>
      <c r="E15" s="275" t="s">
        <v>648</v>
      </c>
      <c r="F15" s="274" t="s">
        <v>606</v>
      </c>
      <c r="G15" s="274" t="s">
        <v>607</v>
      </c>
      <c r="H15" s="463">
        <v>43</v>
      </c>
      <c r="I15" s="274">
        <v>9898380257</v>
      </c>
      <c r="J15" s="464" t="s">
        <v>649</v>
      </c>
    </row>
    <row r="16" spans="1:10" x14ac:dyDescent="0.25">
      <c r="A16" s="279" t="s">
        <v>650</v>
      </c>
      <c r="B16" s="279" t="s">
        <v>651</v>
      </c>
      <c r="C16" s="279"/>
      <c r="D16" s="279"/>
      <c r="E16" s="279" t="s">
        <v>652</v>
      </c>
      <c r="F16" s="279"/>
      <c r="G16" s="279"/>
      <c r="H16" s="463"/>
      <c r="I16" s="375">
        <v>2601061748</v>
      </c>
      <c r="J16" s="464" t="s">
        <v>635</v>
      </c>
    </row>
    <row r="17" spans="1:10" x14ac:dyDescent="0.25">
      <c r="A17" s="531" t="s">
        <v>653</v>
      </c>
      <c r="B17" s="531" t="s">
        <v>654</v>
      </c>
      <c r="C17" s="532">
        <f>Evidence!$G$104</f>
        <v>1494.9099999999999</v>
      </c>
      <c r="D17" s="532">
        <f>Evidence!$H$104</f>
        <v>1036.3599999999999</v>
      </c>
      <c r="E17" s="533" t="s">
        <v>655</v>
      </c>
      <c r="F17" s="532" t="s">
        <v>606</v>
      </c>
      <c r="G17" s="532" t="s">
        <v>631</v>
      </c>
      <c r="H17" s="534"/>
      <c r="I17" s="532">
        <v>2401473895</v>
      </c>
      <c r="J17" s="535">
        <v>2010</v>
      </c>
    </row>
    <row r="18" spans="1:10" x14ac:dyDescent="0.25">
      <c r="A18" s="536" t="s">
        <v>656</v>
      </c>
      <c r="B18" s="536" t="s">
        <v>657</v>
      </c>
      <c r="C18" s="536"/>
      <c r="D18" s="536"/>
      <c r="E18" s="536" t="s">
        <v>658</v>
      </c>
      <c r="F18" s="536"/>
      <c r="G18" s="536"/>
      <c r="H18" s="463"/>
      <c r="I18" s="463">
        <v>272581531</v>
      </c>
      <c r="J18" s="464" t="s">
        <v>623</v>
      </c>
    </row>
    <row r="19" spans="1:10" x14ac:dyDescent="0.25">
      <c r="A19" s="536" t="s">
        <v>659</v>
      </c>
      <c r="B19" s="536" t="s">
        <v>660</v>
      </c>
      <c r="C19" s="536"/>
      <c r="D19" s="536"/>
      <c r="E19" s="536" t="s">
        <v>661</v>
      </c>
      <c r="F19" s="536"/>
      <c r="G19" s="536"/>
      <c r="H19" s="536">
        <v>123</v>
      </c>
      <c r="I19" s="536">
        <v>6309820207</v>
      </c>
      <c r="J19" s="463">
        <v>100</v>
      </c>
    </row>
    <row r="20" spans="1:10" x14ac:dyDescent="0.25">
      <c r="A20" s="536" t="s">
        <v>662</v>
      </c>
      <c r="B20" s="536" t="s">
        <v>663</v>
      </c>
      <c r="C20" s="536"/>
      <c r="D20" s="536"/>
      <c r="E20" s="536" t="s">
        <v>664</v>
      </c>
      <c r="F20" s="536"/>
      <c r="G20" s="536"/>
      <c r="H20" s="536"/>
      <c r="I20" s="536">
        <v>6097414329</v>
      </c>
      <c r="J20" s="463">
        <v>800</v>
      </c>
    </row>
    <row r="21" spans="1:10" x14ac:dyDescent="0.25">
      <c r="A21" s="536" t="s">
        <v>665</v>
      </c>
      <c r="B21" s="536" t="s">
        <v>666</v>
      </c>
      <c r="C21" s="536"/>
      <c r="D21" s="536"/>
      <c r="E21" s="536" t="s">
        <v>667</v>
      </c>
      <c r="F21" s="536"/>
      <c r="G21" s="536"/>
      <c r="H21" s="536"/>
      <c r="I21" s="536">
        <v>184181706</v>
      </c>
      <c r="J21" s="463">
        <v>300</v>
      </c>
    </row>
    <row r="22" spans="1:10" x14ac:dyDescent="0.25">
      <c r="A22" s="536" t="s">
        <v>668</v>
      </c>
      <c r="B22" s="536" t="s">
        <v>669</v>
      </c>
      <c r="C22" s="536"/>
      <c r="D22" s="536"/>
      <c r="E22" s="536"/>
      <c r="F22" s="536"/>
      <c r="G22" s="536"/>
      <c r="H22" s="554">
        <v>43</v>
      </c>
      <c r="I22" s="536">
        <v>6885390217</v>
      </c>
      <c r="J22" s="463">
        <v>100</v>
      </c>
    </row>
  </sheetData>
  <sheetProtection formatCells="0" formatColumns="0" formatRows="0" insertColumns="0" insertRows="0" insertHyperlinks="0" deleteColumns="0" deleteRows="0" sort="0" autoFilter="0" pivotTables="0"/>
  <autoFilter ref="A1:G13" xr:uid="{00000000-0009-0000-0000-00001A000000}"/>
  <hyperlinks>
    <hyperlink ref="A1" location="Seznam!A1" display="Bytové domy" xr:uid="{00000000-0004-0000-1A00-000000000000}"/>
  </hyperlinks>
  <pageMargins left="0.7" right="0.7" top="0.78740157499999996" bottom="0.78740157499999996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MK31"/>
  <sheetViews>
    <sheetView workbookViewId="0">
      <selection activeCell="AD51" sqref="AD51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16.5703125" style="2" customWidth="1"/>
    <col min="6" max="6" width="20.7109375" style="26" customWidth="1"/>
    <col min="7" max="7" width="25.42578125" style="2" customWidth="1"/>
    <col min="8" max="8" width="20.5703125" style="2" customWidth="1"/>
    <col min="9" max="11" width="9.140625" style="2"/>
    <col min="12" max="12" width="17.5703125" style="2" customWidth="1"/>
    <col min="13" max="1024" width="9.140625" style="2"/>
    <col min="1025" max="1025" width="9.140625" style="27"/>
  </cols>
  <sheetData>
    <row r="1" spans="1:12" s="2" customFormat="1" ht="50.25" customHeight="1" x14ac:dyDescent="0.25">
      <c r="A1" s="687" t="s">
        <v>670</v>
      </c>
      <c r="B1" s="687"/>
      <c r="C1" s="687"/>
      <c r="F1" s="1"/>
      <c r="H1" s="1"/>
    </row>
    <row r="2" spans="1:12" x14ac:dyDescent="0.25">
      <c r="A2" s="43"/>
      <c r="B2" s="43"/>
      <c r="C2" s="43"/>
      <c r="D2" s="27"/>
      <c r="E2" s="27"/>
      <c r="F2" s="1"/>
      <c r="G2" s="27"/>
      <c r="H2" s="1"/>
      <c r="I2" s="27"/>
      <c r="L2" s="27"/>
    </row>
    <row r="3" spans="1:12" ht="21.75" customHeight="1" x14ac:dyDescent="0.25">
      <c r="A3" s="816" t="str">
        <f>("Rozpočet na rok "&amp;'vstupní data'!B12+1&amp;"")</f>
        <v>Rozpočet na rok 2025</v>
      </c>
      <c r="B3" s="816"/>
      <c r="C3" s="816"/>
      <c r="D3" s="816"/>
      <c r="E3" s="816"/>
      <c r="F3" s="816"/>
      <c r="G3" s="816"/>
      <c r="H3" s="44"/>
      <c r="I3" s="44"/>
      <c r="J3" s="44"/>
      <c r="K3" s="44"/>
      <c r="L3" s="27"/>
    </row>
    <row r="4" spans="1:12" ht="18.75" customHeight="1" x14ac:dyDescent="0.3">
      <c r="A4" s="43"/>
      <c r="B4" s="43"/>
      <c r="C4" s="43"/>
      <c r="D4" s="27"/>
      <c r="E4" s="27"/>
      <c r="F4" s="1"/>
      <c r="G4" s="27"/>
      <c r="H4" s="1"/>
      <c r="I4" s="27"/>
      <c r="L4" s="595" t="s">
        <v>54</v>
      </c>
    </row>
    <row r="5" spans="1:12" x14ac:dyDescent="0.25">
      <c r="A5" s="45" t="s">
        <v>671</v>
      </c>
      <c r="B5" s="817" t="str">
        <f>'vstupní data'!B3</f>
        <v>Společenství pro dům Zborovská 939/2, Brno</v>
      </c>
      <c r="C5" s="817"/>
      <c r="D5" s="817"/>
      <c r="E5" s="817"/>
      <c r="F5" s="817"/>
      <c r="G5" s="817"/>
      <c r="H5" s="27"/>
      <c r="I5" s="27"/>
      <c r="J5" s="27"/>
      <c r="K5" s="27"/>
      <c r="L5" s="27"/>
    </row>
    <row r="6" spans="1:12" s="5" customFormat="1" ht="30.75" customHeight="1" x14ac:dyDescent="0.25">
      <c r="A6" s="489" t="s">
        <v>672</v>
      </c>
      <c r="B6" s="489" t="s">
        <v>673</v>
      </c>
      <c r="C6" s="489" t="s">
        <v>674</v>
      </c>
      <c r="D6" s="490" t="s">
        <v>675</v>
      </c>
      <c r="E6" s="491" t="s">
        <v>676</v>
      </c>
      <c r="F6" s="492" t="s">
        <v>677</v>
      </c>
      <c r="G6" s="491" t="s">
        <v>678</v>
      </c>
      <c r="H6" s="491" t="s">
        <v>679</v>
      </c>
    </row>
    <row r="7" spans="1:12" ht="15.75" customHeight="1" x14ac:dyDescent="0.25">
      <c r="A7" s="16">
        <v>1</v>
      </c>
      <c r="B7" s="49" t="str">
        <f>'Vyúčtování byt - 1.část'!A10</f>
        <v>Elektrická energie (společné prostory)</v>
      </c>
      <c r="C7" s="19" t="str">
        <f>'Vyúčtování byt - 1.část'!VB_Jednotka_Osvětlení</f>
        <v>počet osob</v>
      </c>
      <c r="D7" s="50">
        <f>'Vyúčtování byt - 1.část'!E10</f>
        <v>8663.77</v>
      </c>
      <c r="E7" s="51">
        <f t="shared" ref="E7:E26" si="0">D7/12</f>
        <v>721.98083333333341</v>
      </c>
      <c r="F7" s="51">
        <f>'Vyúčtování byt - 1.část'!F10</f>
        <v>439</v>
      </c>
      <c r="G7" s="289">
        <f t="shared" ref="G7:G26" si="1">IF(D7=0,0,D7/F7)</f>
        <v>19.735239179954444</v>
      </c>
      <c r="H7" s="289">
        <f>ROUND(G7*'Vyúčtování byt - 1.část'!H10/12,0)</f>
        <v>79</v>
      </c>
    </row>
    <row r="8" spans="1:12" x14ac:dyDescent="0.25">
      <c r="A8" s="20">
        <v>2</v>
      </c>
      <c r="B8" s="29" t="str">
        <f>'Vyúčtování byt - 1.část'!A11</f>
        <v>Úklid bytového domu</v>
      </c>
      <c r="C8" s="23" t="str">
        <f>'Vyúčtování byt - 1.část'!C11</f>
        <v>počet osob</v>
      </c>
      <c r="D8" s="52">
        <f>'Vyúčtování byt - 1.část'!E11</f>
        <v>25800</v>
      </c>
      <c r="E8" s="53">
        <f t="shared" si="0"/>
        <v>2150</v>
      </c>
      <c r="F8" s="53">
        <f>'Vyúčtování byt - 1.část'!F11</f>
        <v>439</v>
      </c>
      <c r="G8" s="290">
        <f t="shared" si="1"/>
        <v>58.769931662870157</v>
      </c>
      <c r="H8" s="290">
        <f>ROUND(G8*'Vyúčtování byt - 1.část'!H11/12,0)</f>
        <v>235</v>
      </c>
    </row>
    <row r="9" spans="1:12" x14ac:dyDescent="0.25">
      <c r="A9" s="20">
        <v>3</v>
      </c>
      <c r="B9" s="29" t="str">
        <f>'Vyúčtování byt - 1.část'!A12</f>
        <v>Komíny</v>
      </c>
      <c r="C9" s="23" t="str">
        <f>'Vyúčtování byt - 1.část'!C12</f>
        <v>komín</v>
      </c>
      <c r="D9" s="52">
        <f>'Vyúčtování byt - 1.část'!E12</f>
        <v>7502</v>
      </c>
      <c r="E9" s="53">
        <f t="shared" si="0"/>
        <v>625.16666666666663</v>
      </c>
      <c r="F9" s="53">
        <f>'Vyúčtování byt - 1.část'!F12</f>
        <v>12</v>
      </c>
      <c r="G9" s="290">
        <f t="shared" si="1"/>
        <v>625.16666666666663</v>
      </c>
      <c r="H9" s="290">
        <f>ROUND(G9*'Vyúčtování byt - 1.část'!H12/12,0)</f>
        <v>52</v>
      </c>
    </row>
    <row r="10" spans="1:12" x14ac:dyDescent="0.25">
      <c r="A10" s="20">
        <v>4</v>
      </c>
      <c r="B10" s="29" t="str">
        <f>'Vyúčtování byt - 1.část'!A13</f>
        <v>Pravidelná údržba výtah</v>
      </c>
      <c r="C10" s="23" t="str">
        <f>'Vyúčtování byt - 1.část'!C13</f>
        <v>počet osob</v>
      </c>
      <c r="D10" s="52">
        <f>'Vyúčtování byt - 1.část'!E13</f>
        <v>43616.12</v>
      </c>
      <c r="E10" s="53">
        <f t="shared" si="0"/>
        <v>3634.6766666666667</v>
      </c>
      <c r="F10" s="53">
        <f>'Vyúčtování byt - 1.část'!F13</f>
        <v>307</v>
      </c>
      <c r="G10" s="290">
        <f t="shared" si="1"/>
        <v>142.07205211726387</v>
      </c>
      <c r="H10" s="290">
        <f>ROUND(G10*'Vyúčtování byt - 1.část'!H13/12,0)</f>
        <v>0</v>
      </c>
    </row>
    <row r="11" spans="1:12" x14ac:dyDescent="0.25">
      <c r="A11" s="20">
        <v>5</v>
      </c>
      <c r="B11" s="29" t="str">
        <f>'Vyúčtování byt - 1.část'!A14</f>
        <v>Fond oprav nebytových prostor</v>
      </c>
      <c r="C11" s="23">
        <f>'Vyúčtování byt - 1.část'!C14</f>
        <v>0</v>
      </c>
      <c r="D11" s="52">
        <f>'Vyúčtování byt - 1.část'!E14</f>
        <v>0</v>
      </c>
      <c r="E11" s="53">
        <f t="shared" si="0"/>
        <v>0</v>
      </c>
      <c r="F11" s="53">
        <f>'Vyúčtování byt - 1.část'!F14</f>
        <v>0</v>
      </c>
      <c r="G11" s="290">
        <f t="shared" si="1"/>
        <v>0</v>
      </c>
      <c r="H11" s="290">
        <f>ROUND(G11*'Vyúčtování byt - 1.část'!H14/12,0)</f>
        <v>0</v>
      </c>
    </row>
    <row r="12" spans="1:12" x14ac:dyDescent="0.25">
      <c r="A12" s="20">
        <v>6</v>
      </c>
      <c r="B12" s="29" t="str">
        <f>'Vyúčtování byt - 1.část'!A15</f>
        <v>Pojištění domu</v>
      </c>
      <c r="C12" s="23">
        <f>'Vyúčtování byt - 1.část'!C15</f>
        <v>0</v>
      </c>
      <c r="D12" s="52">
        <f>'Vyúčtování byt - 1.část'!E15</f>
        <v>0</v>
      </c>
      <c r="E12" s="53">
        <f t="shared" si="0"/>
        <v>0</v>
      </c>
      <c r="F12" s="53">
        <f>'Vyúčtování byt - 1.část'!F15</f>
        <v>0</v>
      </c>
      <c r="G12" s="290">
        <f t="shared" si="1"/>
        <v>0</v>
      </c>
      <c r="H12" s="290">
        <f>ROUND(G12*'Vyúčtování byt - 1.část'!H15/12,0)</f>
        <v>0</v>
      </c>
    </row>
    <row r="13" spans="1:12" x14ac:dyDescent="0.25">
      <c r="A13" s="20">
        <v>7</v>
      </c>
      <c r="B13" s="29" t="str">
        <f>'Vyúčtování byt - 1.část'!A16</f>
        <v>Ohřev teplé vody (TUV)</v>
      </c>
      <c r="C13" s="23">
        <f>'Vyúčtování byt - 1.část'!C16</f>
        <v>0</v>
      </c>
      <c r="D13" s="52">
        <f>'Vyúčtování byt - 1.část'!E16</f>
        <v>0</v>
      </c>
      <c r="E13" s="53">
        <f t="shared" si="0"/>
        <v>0</v>
      </c>
      <c r="F13" s="53">
        <f>'Vyúčtování byt - 1.část'!F16</f>
        <v>0</v>
      </c>
      <c r="G13" s="290">
        <f t="shared" si="1"/>
        <v>0</v>
      </c>
      <c r="H13" s="290">
        <f>ROUND(G13*'Vyúčtování byt - 1.část'!H16/12,0)</f>
        <v>0</v>
      </c>
    </row>
    <row r="14" spans="1:12" x14ac:dyDescent="0.25">
      <c r="A14" s="20">
        <v>8</v>
      </c>
      <c r="B14" s="29" t="str">
        <f>'Vyúčtování byt - 1.část'!A17</f>
        <v>Fond oprav</v>
      </c>
      <c r="C14" s="23" t="str">
        <f>'Vyúčtování byt - 1.část'!C17</f>
        <v>nevyúčtovává se</v>
      </c>
      <c r="D14" s="52">
        <f>'Vyúčtování byt - 1.část'!E17</f>
        <v>0</v>
      </c>
      <c r="E14" s="53">
        <f t="shared" si="0"/>
        <v>0</v>
      </c>
      <c r="F14" s="53">
        <f>'Vyúčtování byt - 1.část'!F17</f>
        <v>0</v>
      </c>
      <c r="G14" s="290">
        <f t="shared" si="1"/>
        <v>0</v>
      </c>
      <c r="H14" s="290">
        <f>ROUND(G14*'Vyúčtování byt - 1.část'!H17/12,0)</f>
        <v>0</v>
      </c>
    </row>
    <row r="15" spans="1:12" x14ac:dyDescent="0.25">
      <c r="A15" s="20">
        <v>9</v>
      </c>
      <c r="B15" s="29" t="str">
        <f>'Vyúčtování byt - 1.část'!A18</f>
        <v>Studená voda</v>
      </c>
      <c r="C15" s="23" t="str">
        <f>'Vyúčtování byt - 1.část'!C18</f>
        <v>počet osob</v>
      </c>
      <c r="D15" s="52">
        <f>'Vyúčtování byt - 1.část'!E18</f>
        <v>75347.329999999987</v>
      </c>
      <c r="E15" s="53">
        <f t="shared" si="0"/>
        <v>6278.9441666666653</v>
      </c>
      <c r="F15" s="53">
        <f>'Vyúčtování byt - 1.část'!F18</f>
        <v>868</v>
      </c>
      <c r="G15" s="290">
        <f t="shared" si="1"/>
        <v>86.805679723502294</v>
      </c>
      <c r="H15" s="290">
        <f>ROUND(G15*'Vyúčtování byt - 1.část'!H18/12,0)</f>
        <v>253</v>
      </c>
    </row>
    <row r="16" spans="1:12" x14ac:dyDescent="0.25">
      <c r="A16" s="20">
        <v>10</v>
      </c>
      <c r="B16" s="29" t="str">
        <f>'Vyúčtování byt - 1.část'!A19</f>
        <v>Ostatní náklady - UPC</v>
      </c>
      <c r="C16" s="23" t="str">
        <f>'Vyúčtování byt - 1.část'!C19</f>
        <v>na byt</v>
      </c>
      <c r="D16" s="52">
        <f>'Vyúčtování byt - 1.část'!E19</f>
        <v>57999</v>
      </c>
      <c r="E16" s="53">
        <f t="shared" si="0"/>
        <v>4833.25</v>
      </c>
      <c r="F16" s="53">
        <f>'Vyúčtování byt - 1.část'!F19</f>
        <v>9</v>
      </c>
      <c r="G16" s="290">
        <f t="shared" si="1"/>
        <v>6444.333333333333</v>
      </c>
      <c r="H16" s="290">
        <f>ROUND(G16*'Vyúčtování byt - 1.část'!H19/12,0)</f>
        <v>0</v>
      </c>
    </row>
    <row r="17" spans="1:8" x14ac:dyDescent="0.25">
      <c r="A17" s="20">
        <v>11</v>
      </c>
      <c r="B17" s="29" t="str">
        <f>'Vyúčtování byt - 1.část'!A20</f>
        <v>Ostatní náklady (garáž a sklepy)</v>
      </c>
      <c r="C17" s="23">
        <f>'Vyúčtování byt - 1.část'!C20</f>
        <v>0</v>
      </c>
      <c r="D17" s="52">
        <f>'Vyúčtování byt - 1.část'!E20</f>
        <v>0</v>
      </c>
      <c r="E17" s="53">
        <f t="shared" si="0"/>
        <v>0</v>
      </c>
      <c r="F17" s="53">
        <f>'Vyúčtování byt - 1.část'!F20</f>
        <v>0</v>
      </c>
      <c r="G17" s="290">
        <f t="shared" si="1"/>
        <v>0</v>
      </c>
      <c r="H17" s="290">
        <f>ROUND(G17*'Vyúčtování byt - 1.část'!H20/12,0)</f>
        <v>0</v>
      </c>
    </row>
    <row r="18" spans="1:8" x14ac:dyDescent="0.25">
      <c r="A18" s="20">
        <v>12</v>
      </c>
      <c r="B18" s="29">
        <f>'Vyúčtování byt - 1.část'!A21</f>
        <v>0</v>
      </c>
      <c r="C18" s="23">
        <f>'Vyúčtování byt - 1.část'!C21</f>
        <v>0</v>
      </c>
      <c r="D18" s="52">
        <f>'Vyúčtování byt - 1.část'!E21</f>
        <v>0</v>
      </c>
      <c r="E18" s="53">
        <f t="shared" si="0"/>
        <v>0</v>
      </c>
      <c r="F18" s="53">
        <f>'Vyúčtování byt - 1.část'!F21</f>
        <v>0</v>
      </c>
      <c r="G18" s="290">
        <f t="shared" si="1"/>
        <v>0</v>
      </c>
      <c r="H18" s="290">
        <f>ROUND(G18*'Vyúčtování byt - 1.část'!H21/12,0)</f>
        <v>0</v>
      </c>
    </row>
    <row r="19" spans="1:8" x14ac:dyDescent="0.25">
      <c r="A19" s="20">
        <v>13</v>
      </c>
      <c r="B19" s="29" t="str">
        <f>'Vyúčtování byt - 1.část'!A22</f>
        <v>Záloha na teplo</v>
      </c>
      <c r="C19" s="23">
        <f>'Vyúčtování byt - 1.část'!C22</f>
        <v>0</v>
      </c>
      <c r="D19" s="52">
        <f>'Vyúčtování byt - 1.část'!E22</f>
        <v>0</v>
      </c>
      <c r="E19" s="53">
        <f t="shared" si="0"/>
        <v>0</v>
      </c>
      <c r="F19" s="53">
        <f>'Vyúčtování byt - 1.část'!F22</f>
        <v>0</v>
      </c>
      <c r="G19" s="290">
        <f t="shared" si="1"/>
        <v>0</v>
      </c>
      <c r="H19" s="290">
        <f>ROUND(G19*'Vyúčtování byt - 1.část'!H22/12,0)</f>
        <v>0</v>
      </c>
    </row>
    <row r="20" spans="1:8" x14ac:dyDescent="0.25">
      <c r="A20" s="20">
        <v>14</v>
      </c>
      <c r="B20" s="29" t="str">
        <f>'Vyúčtování byt - 1.část'!A23</f>
        <v>Poplatek za psa</v>
      </c>
      <c r="C20" s="23">
        <f>'Vyúčtování byt - 1.část'!C23</f>
        <v>0</v>
      </c>
      <c r="D20" s="52">
        <f>'Vyúčtování byt - 1.část'!E23</f>
        <v>0</v>
      </c>
      <c r="E20" s="53">
        <f t="shared" si="0"/>
        <v>0</v>
      </c>
      <c r="F20" s="53">
        <f>'Vyúčtování byt - 1.část'!F23</f>
        <v>0</v>
      </c>
      <c r="G20" s="290">
        <f t="shared" si="1"/>
        <v>0</v>
      </c>
      <c r="H20" s="290">
        <f>ROUND(G20*'Vyúčtování byt - 1.část'!H23/12,0)</f>
        <v>0</v>
      </c>
    </row>
    <row r="21" spans="1:8" x14ac:dyDescent="0.25">
      <c r="A21" s="20">
        <v>15</v>
      </c>
      <c r="B21" s="29" t="str">
        <f>'Vyúčtování byt - 1.část'!A24</f>
        <v>Spořící účet</v>
      </c>
      <c r="C21" s="23" t="str">
        <f>'Vyúčtování byt - 1.část'!C24</f>
        <v>nevyúčtovává se</v>
      </c>
      <c r="D21" s="52">
        <f>'Vyúčtování byt - 1.část'!E24</f>
        <v>0</v>
      </c>
      <c r="E21" s="53">
        <f t="shared" si="0"/>
        <v>0</v>
      </c>
      <c r="F21" s="53">
        <f>'Vyúčtování byt - 1.část'!F24</f>
        <v>0</v>
      </c>
      <c r="G21" s="290">
        <f t="shared" si="1"/>
        <v>0</v>
      </c>
      <c r="H21" s="290">
        <f>ROUND(G21*'Vyúčtování byt - 1.část'!H24/12,0)</f>
        <v>0</v>
      </c>
    </row>
    <row r="22" spans="1:8" x14ac:dyDescent="0.25">
      <c r="A22" s="20">
        <v>16</v>
      </c>
      <c r="B22" s="29">
        <f>'Vyúčtování byt - 1.část'!A25</f>
        <v>0</v>
      </c>
      <c r="C22" s="23">
        <f>'Vyúčtování byt - 1.část'!C25</f>
        <v>0</v>
      </c>
      <c r="D22" s="52">
        <f>'Vyúčtování byt - 1.část'!E25</f>
        <v>0</v>
      </c>
      <c r="E22" s="53">
        <f t="shared" si="0"/>
        <v>0</v>
      </c>
      <c r="F22" s="53">
        <f>'Vyúčtování byt - 1.část'!F25</f>
        <v>0</v>
      </c>
      <c r="G22" s="290">
        <f t="shared" si="1"/>
        <v>0</v>
      </c>
      <c r="H22" s="290">
        <f>ROUND(G22*'Vyúčtování byt - 1.část'!H25/12,0)</f>
        <v>0</v>
      </c>
    </row>
    <row r="23" spans="1:8" x14ac:dyDescent="0.25">
      <c r="A23" s="20">
        <v>17</v>
      </c>
      <c r="B23" s="29" t="str">
        <f>'Vyúčtování byt - 1.část'!A26</f>
        <v>Mzdové náklady</v>
      </c>
      <c r="C23" s="23">
        <f>'Vyúčtování byt - 1.část'!C26</f>
        <v>0</v>
      </c>
      <c r="D23" s="52">
        <f>'Vyúčtování byt - 1.část'!E26</f>
        <v>0</v>
      </c>
      <c r="E23" s="53">
        <f t="shared" si="0"/>
        <v>0</v>
      </c>
      <c r="F23" s="53">
        <f>'Vyúčtování byt - 1.část'!F26</f>
        <v>0</v>
      </c>
      <c r="G23" s="290">
        <f t="shared" si="1"/>
        <v>0</v>
      </c>
      <c r="H23" s="290">
        <f>ROUND(G23*'Vyúčtování byt - 1.část'!H26/12,0)</f>
        <v>0</v>
      </c>
    </row>
    <row r="24" spans="1:8" x14ac:dyDescent="0.25">
      <c r="A24" s="20">
        <v>18</v>
      </c>
      <c r="B24" s="29" t="str">
        <f>'Vyúčtování byt - 1.část'!A27</f>
        <v>Ostatní nájemné</v>
      </c>
      <c r="C24" s="23">
        <f>'Vyúčtování byt - 1.část'!C27</f>
        <v>0</v>
      </c>
      <c r="D24" s="52">
        <f>'Vyúčtování byt - 1.část'!E27</f>
        <v>0</v>
      </c>
      <c r="E24" s="53">
        <f t="shared" si="0"/>
        <v>0</v>
      </c>
      <c r="F24" s="53">
        <f>'Vyúčtování byt - 1.část'!F27</f>
        <v>0</v>
      </c>
      <c r="G24" s="290">
        <f t="shared" si="1"/>
        <v>0</v>
      </c>
      <c r="H24" s="290">
        <f>ROUND(G24*'Vyúčtování byt - 1.část'!H27/12,0)</f>
        <v>0</v>
      </c>
    </row>
    <row r="25" spans="1:8" x14ac:dyDescent="0.25">
      <c r="A25" s="20">
        <v>19</v>
      </c>
      <c r="B25" s="29" t="str">
        <f>'Vyúčtování byt - 1.část'!A28</f>
        <v>Ostatní služby</v>
      </c>
      <c r="C25" s="23">
        <f>'Vyúčtování byt - 1.část'!C28</f>
        <v>0</v>
      </c>
      <c r="D25" s="52">
        <f>'Vyúčtování byt - 1.část'!E28</f>
        <v>0</v>
      </c>
      <c r="E25" s="53">
        <f t="shared" si="0"/>
        <v>0</v>
      </c>
      <c r="F25" s="53">
        <f>'Vyúčtování byt - 1.část'!F28</f>
        <v>0</v>
      </c>
      <c r="G25" s="290">
        <f t="shared" si="1"/>
        <v>0</v>
      </c>
      <c r="H25" s="290">
        <f>ROUND(G25*'Vyúčtování byt - 1.část'!H28/12,0)</f>
        <v>0</v>
      </c>
    </row>
    <row r="26" spans="1:8" ht="15.75" customHeight="1" x14ac:dyDescent="0.25">
      <c r="A26" s="54">
        <v>20</v>
      </c>
      <c r="B26" s="55" t="str">
        <f>'Vyúčtování byt - 1.část'!A29</f>
        <v>Správa domu</v>
      </c>
      <c r="C26" s="76" t="str">
        <f>'Vyúčtování byt - 1.část'!C29</f>
        <v>na byt</v>
      </c>
      <c r="D26" s="56">
        <f>'Vyúčtování byt - 1.část'!E29</f>
        <v>42566</v>
      </c>
      <c r="E26" s="58">
        <f t="shared" si="0"/>
        <v>3547.1666666666665</v>
      </c>
      <c r="F26" s="58">
        <f>'Vyúčtování byt - 1.část'!F29</f>
        <v>19</v>
      </c>
      <c r="G26" s="291">
        <f t="shared" si="1"/>
        <v>2240.3157894736842</v>
      </c>
      <c r="H26" s="291">
        <f>ROUND(G26*'Vyúčtování byt - 1.část'!H29/12,0)</f>
        <v>187</v>
      </c>
    </row>
    <row r="27" spans="1:8" ht="15.75" customHeight="1" x14ac:dyDescent="0.25">
      <c r="A27" s="818" t="s">
        <v>487</v>
      </c>
      <c r="B27" s="818"/>
      <c r="C27" s="818"/>
      <c r="D27" s="59">
        <f>SUM(D7:D26)</f>
        <v>261494.22</v>
      </c>
      <c r="E27" s="60">
        <f>SUM(E7:E26)</f>
        <v>21791.185000000001</v>
      </c>
      <c r="F27" s="60">
        <f>SUM(F7:F26)</f>
        <v>2093</v>
      </c>
      <c r="G27" s="292">
        <f>SUM(G7:G26)</f>
        <v>9617.1986921572752</v>
      </c>
      <c r="H27" s="292">
        <f>SUM(H7:H26)</f>
        <v>806</v>
      </c>
    </row>
    <row r="29" spans="1:8" ht="26.25" customHeight="1" x14ac:dyDescent="0.25">
      <c r="A29" s="190" t="s">
        <v>680</v>
      </c>
      <c r="C29" s="493"/>
      <c r="D29" s="494"/>
    </row>
    <row r="31" spans="1:8" x14ac:dyDescent="0.25">
      <c r="A31" s="2" t="s">
        <v>681</v>
      </c>
    </row>
  </sheetData>
  <sheetProtection formatCells="0" formatColumns="0" formatRows="0" insertColumns="0" insertRows="0" insertHyperlinks="0" deleteColumns="0" deleteRows="0" sort="0" autoFilter="0" pivotTables="0"/>
  <autoFilter ref="A6:G6" xr:uid="{00000000-0009-0000-0000-00001B000000}"/>
  <mergeCells count="4">
    <mergeCell ref="A1:C1"/>
    <mergeCell ref="A3:G3"/>
    <mergeCell ref="B5:G5"/>
    <mergeCell ref="A27:C27"/>
  </mergeCells>
  <hyperlinks>
    <hyperlink ref="L4" location="Seznam!A1" display="MENU" xr:uid="{00000000-0004-0000-1B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1" width="11.28515625" style="429" customWidth="1"/>
    <col min="2" max="2" width="9.140625" style="429"/>
    <col min="3" max="3" width="14.14062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54</v>
      </c>
    </row>
    <row r="3" spans="1:11" x14ac:dyDescent="0.25">
      <c r="D3" s="430"/>
      <c r="F3" s="819" t="str">
        <f>LOOKUP('vstupní data'!B4,Evidence!A2:A103,Evidence!B2:B103)</f>
        <v>Martin Klíma</v>
      </c>
      <c r="G3" s="819"/>
      <c r="H3" s="819"/>
      <c r="J3" s="431"/>
      <c r="K3" s="432"/>
    </row>
    <row r="4" spans="1:11" ht="15.95" customHeight="1" x14ac:dyDescent="0.25">
      <c r="D4" s="433"/>
      <c r="F4" s="820" t="str">
        <f>LOOKUP('vstupní data'!B4,Evidence!A2:A103,Evidence!C2:C103)</f>
        <v>Zborovská 939/2, 616 00 Brno</v>
      </c>
      <c r="G4" s="820"/>
      <c r="H4" s="820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63.75" customHeight="1" x14ac:dyDescent="0.25">
      <c r="J8" s="432"/>
      <c r="K8" s="432"/>
    </row>
    <row r="9" spans="1:11" ht="27" customHeight="1" x14ac:dyDescent="0.25">
      <c r="A9" s="822" t="str">
        <f>VLOOKUP(BYT,'export send mail'!K:O,4,0)</f>
        <v>Vážený pane Klímo,</v>
      </c>
      <c r="B9" s="822"/>
      <c r="C9" s="822"/>
      <c r="D9" s="822"/>
      <c r="E9" s="822"/>
      <c r="F9" s="822"/>
      <c r="G9" s="822"/>
      <c r="J9" s="432"/>
      <c r="K9" s="432"/>
    </row>
    <row r="10" spans="1:11" ht="27" customHeight="1" x14ac:dyDescent="0.25">
      <c r="A10" s="821" t="s">
        <v>682</v>
      </c>
      <c r="B10" s="821"/>
      <c r="C10" s="821"/>
      <c r="D10" s="821"/>
      <c r="E10" s="821"/>
      <c r="F10" s="821"/>
      <c r="G10" s="821"/>
      <c r="J10" s="432"/>
      <c r="K10" s="432"/>
    </row>
    <row r="11" spans="1:11" ht="26.25" customHeight="1" x14ac:dyDescent="0.25">
      <c r="A11" s="823" t="str">
        <f>("1.1."&amp;'vstupní data'!B12&amp;" - 31.12."&amp;'vstupní data'!B12&amp;" činí "&amp;'vstupní data'!B39&amp;" Kč")</f>
        <v>1.1.2024 - 31.12.2024 činí 0 Kč</v>
      </c>
      <c r="B11" s="823"/>
      <c r="C11" s="823"/>
      <c r="D11" s="823"/>
      <c r="E11" s="823"/>
      <c r="F11" s="823"/>
      <c r="G11" s="823"/>
      <c r="H11" s="823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22" t="s">
        <v>683</v>
      </c>
      <c r="B13" s="822"/>
      <c r="C13" s="822"/>
      <c r="D13" s="822"/>
      <c r="E13" s="822"/>
      <c r="F13" s="822"/>
      <c r="G13" s="822"/>
      <c r="H13" s="822"/>
      <c r="J13" s="432"/>
      <c r="K13" s="432"/>
    </row>
    <row r="14" spans="1:11" x14ac:dyDescent="0.25">
      <c r="J14" s="432"/>
      <c r="K14" s="432"/>
    </row>
    <row r="15" spans="1:11" ht="25.5" customHeight="1" x14ac:dyDescent="0.25">
      <c r="A15" s="821" t="s">
        <v>684</v>
      </c>
      <c r="B15" s="821"/>
      <c r="C15" s="821"/>
      <c r="D15" s="821"/>
      <c r="E15" s="821"/>
      <c r="F15" s="821"/>
      <c r="H15" s="436" t="str">
        <f>LOOKUP('vstupní data'!B4,Evidence!A2:A103,Evidence!I2:I103)</f>
        <v>10653/131476</v>
      </c>
      <c r="J15" s="432"/>
      <c r="K15" s="432"/>
    </row>
    <row r="16" spans="1:11" ht="25.5" customHeight="1" x14ac:dyDescent="0.25">
      <c r="A16" s="819" t="str">
        <f>("je Váš příjem určený ke zdanění za rok "&amp;'vstupní data'!B12&amp;"")</f>
        <v>je Váš příjem určený ke zdanění za rok 2024</v>
      </c>
      <c r="B16" s="819"/>
      <c r="C16" s="819"/>
      <c r="D16" s="819"/>
      <c r="E16" s="819"/>
      <c r="F16" s="819"/>
      <c r="H16" s="435">
        <f>ODD(VLOOKUP(BYT,Evidence!A1:N77,13,0)/VLOOKUP(BYT,Evidence!A1:N77,12,0)*D24)/12*VD_počet_měsíců_úžívání</f>
        <v>1</v>
      </c>
    </row>
    <row r="17" spans="1:8" ht="25.5" customHeight="1" x14ac:dyDescent="0.25">
      <c r="A17" s="819" t="str">
        <f>("za jednotku - "&amp;'vstupní data'!B4&amp;"")</f>
        <v>za jednotku - Byt č. 939/01</v>
      </c>
      <c r="B17" s="819"/>
      <c r="C17" s="819"/>
      <c r="D17" s="819"/>
      <c r="E17" s="819"/>
      <c r="F17" s="819"/>
      <c r="G17" s="819"/>
    </row>
    <row r="18" spans="1:8" x14ac:dyDescent="0.25">
      <c r="A18" s="430"/>
      <c r="B18" s="430"/>
    </row>
    <row r="19" spans="1:8" ht="24.75" customHeight="1" x14ac:dyDescent="0.25">
      <c r="A19" s="821" t="str">
        <f>"Výdaje na společné prostory domu "&amp;'vstupní data'!D3&amp;" činí za rok "&amp;'vstupní data'!B12&amp;""</f>
        <v>Výdaje na společné prostory domu Zborovská 939/2, Žabovřesky, 616 00 Brno činí za rok 2024</v>
      </c>
      <c r="B19" s="821"/>
      <c r="C19" s="821"/>
      <c r="D19" s="821"/>
      <c r="E19" s="821"/>
      <c r="F19" s="821"/>
      <c r="H19" s="435">
        <f>'faktury za služby'!T11</f>
        <v>22039</v>
      </c>
    </row>
    <row r="20" spans="1:8" ht="24.75" customHeight="1" x14ac:dyDescent="0.25">
      <c r="A20" s="821" t="str">
        <f>"Podle spoluvlastnického podílu činí podíl Vašich výdajů za rok "&amp;'vstupní data'!B12&amp;""</f>
        <v>Podle spoluvlastnického podílu činí podíl Vašich výdajů za rok 2024</v>
      </c>
      <c r="B20" s="821"/>
      <c r="C20" s="821"/>
      <c r="D20" s="821"/>
      <c r="E20" s="821"/>
      <c r="F20" s="821"/>
      <c r="G20" s="821"/>
      <c r="H20" s="437">
        <f>VLOOKUP(BYT,Evidence!A1:N77,13,0)/VLOOKUP(BYT,Evidence!A1:N77,12,0)*H19</f>
        <v>1785.7363092883872</v>
      </c>
    </row>
    <row r="22" spans="1:8" x14ac:dyDescent="0.25">
      <c r="A22" s="821" t="s">
        <v>685</v>
      </c>
      <c r="B22" s="821"/>
      <c r="C22" s="821"/>
      <c r="D22" s="821"/>
      <c r="E22" s="821"/>
      <c r="F22" s="821"/>
      <c r="G22" s="821"/>
    </row>
    <row r="24" spans="1:8" x14ac:dyDescent="0.25">
      <c r="A24" s="821" t="str">
        <f>("Celkový příjem z nájmu za rok "&amp;'vstupní data'!B12&amp;"")</f>
        <v>Celkový příjem z nájmu za rok 2024</v>
      </c>
      <c r="B24" s="821"/>
      <c r="C24" s="821"/>
      <c r="D24" s="441">
        <f>'vstupní data'!B39</f>
        <v>0</v>
      </c>
      <c r="E24" s="821" t="s">
        <v>686</v>
      </c>
      <c r="F24" s="821"/>
      <c r="G24" s="821"/>
    </row>
    <row r="31" spans="1:8" x14ac:dyDescent="0.25">
      <c r="A31" s="429" t="s">
        <v>687</v>
      </c>
    </row>
    <row r="32" spans="1:8" x14ac:dyDescent="0.25">
      <c r="A32" s="438"/>
      <c r="F32" s="429" t="str">
        <f>'vstupní data'!B34</f>
        <v>AdminReal, s.r.o.</v>
      </c>
    </row>
    <row r="33" spans="1:6" x14ac:dyDescent="0.25">
      <c r="A33" s="438"/>
      <c r="F33" s="429" t="s">
        <v>688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15:F15"/>
    <mergeCell ref="A16:F16"/>
    <mergeCell ref="A17:G17"/>
    <mergeCell ref="A19:F19"/>
    <mergeCell ref="A22:G22"/>
    <mergeCell ref="A9:G9"/>
    <mergeCell ref="A10:G10"/>
    <mergeCell ref="A13:H13"/>
    <mergeCell ref="A11:H11"/>
    <mergeCell ref="A20:G20"/>
  </mergeCells>
  <conditionalFormatting sqref="D4">
    <cfRule type="expression" dxfId="1" priority="1">
      <formula>IF(PL_Clen_Zadan,TRUE,FALSE)</formula>
    </cfRule>
  </conditionalFormatting>
  <hyperlinks>
    <hyperlink ref="K2" location="Seznam!A1" display="MENU" xr:uid="{00000000-0004-0000-1C00-000000000000}"/>
  </hyperlinks>
  <pageMargins left="0.7" right="0.7" top="0.78740157499999996" bottom="0.78740157499999996" header="0.3" footer="0.3"/>
  <pageSetup scale="80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2" width="9.140625" style="429"/>
    <col min="3" max="3" width="15.710937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54</v>
      </c>
    </row>
    <row r="3" spans="1:11" x14ac:dyDescent="0.25">
      <c r="D3" s="430"/>
      <c r="F3" s="819" t="str">
        <f>LOOKUP('vstupní data'!B4,Evidence!A2:A103,Evidence!B2:B103)</f>
        <v>Martin Klíma</v>
      </c>
      <c r="G3" s="819"/>
      <c r="H3" s="819"/>
      <c r="J3" s="431"/>
      <c r="K3" s="432"/>
    </row>
    <row r="4" spans="1:11" ht="15.95" customHeight="1" x14ac:dyDescent="0.25">
      <c r="D4" s="433"/>
      <c r="F4" s="820" t="str">
        <f>LOOKUP('vstupní data'!B4,Evidence!A2:A103,Evidence!C2:C103)</f>
        <v>Zborovská 939/2, 616 00 Brno</v>
      </c>
      <c r="G4" s="820"/>
      <c r="H4" s="820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51" customHeight="1" x14ac:dyDescent="0.25">
      <c r="J8" s="432"/>
      <c r="K8" s="432"/>
    </row>
    <row r="9" spans="1:11" ht="27" customHeight="1" x14ac:dyDescent="0.25">
      <c r="A9" s="822" t="str">
        <f>VLOOKUP(BYT,'export send mail'!K:O,4,0)</f>
        <v>Vážený pane Klímo,</v>
      </c>
      <c r="B9" s="822"/>
      <c r="C9" s="822"/>
      <c r="D9" s="822"/>
      <c r="E9" s="822"/>
      <c r="F9" s="822"/>
      <c r="G9" s="822"/>
      <c r="J9" s="432"/>
      <c r="K9" s="432"/>
    </row>
    <row r="10" spans="1:11" ht="33" customHeight="1" x14ac:dyDescent="0.25">
      <c r="A10" s="824" t="s">
        <v>689</v>
      </c>
      <c r="B10" s="824"/>
      <c r="C10" s="824"/>
      <c r="D10" s="824"/>
      <c r="E10" s="824"/>
      <c r="F10" s="824"/>
      <c r="G10" s="824"/>
      <c r="H10" s="824"/>
      <c r="J10" s="432"/>
      <c r="K10" s="432"/>
    </row>
    <row r="11" spans="1:11" x14ac:dyDescent="0.25">
      <c r="A11" s="823" t="str">
        <f>("1.1."&amp;'vstupní data'!B12&amp;" - 31.12."&amp;'vstupní data'!B12&amp;" činí "&amp;'vstupní data'!B39&amp;" Kč")</f>
        <v>1.1.2024 - 31.12.2024 činí 0 Kč</v>
      </c>
      <c r="B11" s="823"/>
      <c r="C11" s="823"/>
      <c r="D11" s="823"/>
      <c r="E11" s="823"/>
      <c r="F11" s="823"/>
      <c r="G11" s="823"/>
      <c r="H11" s="823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22" t="s">
        <v>683</v>
      </c>
      <c r="B13" s="822"/>
      <c r="C13" s="822"/>
      <c r="D13" s="822"/>
      <c r="E13" s="822"/>
      <c r="F13" s="822"/>
      <c r="G13" s="822"/>
      <c r="H13" s="822"/>
      <c r="J13" s="432"/>
      <c r="K13" s="432"/>
    </row>
    <row r="14" spans="1:11" x14ac:dyDescent="0.25">
      <c r="J14" s="432"/>
      <c r="K14" s="432"/>
    </row>
    <row r="15" spans="1:11" ht="26.25" customHeight="1" x14ac:dyDescent="0.25">
      <c r="A15" s="821" t="s">
        <v>684</v>
      </c>
      <c r="B15" s="821"/>
      <c r="C15" s="821"/>
      <c r="D15" s="821"/>
      <c r="E15" s="821"/>
      <c r="F15" s="821"/>
      <c r="H15" s="439" t="str">
        <f>LOOKUP('vstupní data'!B4,Evidence!A2:A103,Evidence!I2:I103)</f>
        <v>10653/131476</v>
      </c>
      <c r="J15" s="432"/>
      <c r="K15" s="432"/>
    </row>
    <row r="16" spans="1:11" ht="26.25" customHeight="1" x14ac:dyDescent="0.25">
      <c r="A16" s="819" t="str">
        <f>("je Váš příjem určený ke zdanění za rok "&amp;'vstupní data'!B12&amp;"")</f>
        <v>je Váš příjem určený ke zdanění za rok 2024</v>
      </c>
      <c r="B16" s="819"/>
      <c r="C16" s="819"/>
      <c r="D16" s="819"/>
      <c r="E16" s="819"/>
      <c r="F16" s="819"/>
      <c r="H16" s="435">
        <f>ODD(VLOOKUP(BYT,Evidence!A1:N77,13,0)/VLOOKUP(BYT,Evidence!A1:N77,12,0)*D24)/12*VD_počet_měsíců_úžívání</f>
        <v>1</v>
      </c>
    </row>
    <row r="17" spans="1:8" ht="26.25" customHeight="1" x14ac:dyDescent="0.25">
      <c r="A17" s="819" t="str">
        <f>("za jednotku - "&amp;'vstupní data'!B4&amp;"")</f>
        <v>za jednotku - Byt č. 939/01</v>
      </c>
      <c r="B17" s="819"/>
      <c r="C17" s="819"/>
      <c r="D17" s="819"/>
      <c r="E17" s="819"/>
      <c r="F17" s="819"/>
      <c r="G17" s="819"/>
    </row>
    <row r="18" spans="1:8" x14ac:dyDescent="0.25">
      <c r="A18" s="430"/>
      <c r="B18" s="430"/>
    </row>
    <row r="19" spans="1:8" x14ac:dyDescent="0.25">
      <c r="A19" s="821"/>
      <c r="B19" s="821"/>
      <c r="C19" s="821"/>
      <c r="D19" s="821"/>
      <c r="E19" s="821"/>
      <c r="F19" s="821"/>
      <c r="H19" s="440"/>
    </row>
    <row r="20" spans="1:8" x14ac:dyDescent="0.25">
      <c r="A20" s="821"/>
      <c r="B20" s="821"/>
      <c r="C20" s="821"/>
      <c r="D20" s="821"/>
      <c r="E20" s="821"/>
      <c r="F20" s="821"/>
      <c r="H20" s="440"/>
    </row>
    <row r="22" spans="1:8" x14ac:dyDescent="0.25">
      <c r="A22" s="821"/>
      <c r="B22" s="821"/>
      <c r="C22" s="821"/>
      <c r="D22" s="821"/>
      <c r="E22" s="821"/>
      <c r="F22" s="821"/>
      <c r="G22" s="821"/>
    </row>
    <row r="24" spans="1:8" x14ac:dyDescent="0.25">
      <c r="A24" s="821" t="str">
        <f>("Celkový příjem z nájmu za rok "&amp;'vstupní data'!B12&amp;"")</f>
        <v>Celkový příjem z nájmu za rok 2024</v>
      </c>
      <c r="B24" s="821"/>
      <c r="C24" s="821"/>
      <c r="D24" s="441">
        <f>'vstupní data'!B39</f>
        <v>0</v>
      </c>
      <c r="E24" s="821" t="s">
        <v>686</v>
      </c>
      <c r="F24" s="821"/>
      <c r="G24" s="821"/>
    </row>
    <row r="31" spans="1:8" x14ac:dyDescent="0.25">
      <c r="A31" s="429" t="s">
        <v>687</v>
      </c>
    </row>
    <row r="32" spans="1:8" x14ac:dyDescent="0.25">
      <c r="F32" s="429" t="str">
        <f>'vstupní data'!B34</f>
        <v>AdminReal, s.r.o.</v>
      </c>
    </row>
    <row r="33" spans="6:6" x14ac:dyDescent="0.25">
      <c r="F33" s="429" t="s">
        <v>688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9:G9"/>
    <mergeCell ref="A15:F15"/>
    <mergeCell ref="A16:F16"/>
    <mergeCell ref="A17:G17"/>
    <mergeCell ref="A19:F19"/>
    <mergeCell ref="A20:F20"/>
    <mergeCell ref="A22:G22"/>
    <mergeCell ref="A13:H13"/>
    <mergeCell ref="A10:H10"/>
    <mergeCell ref="A11:H11"/>
  </mergeCells>
  <conditionalFormatting sqref="D4">
    <cfRule type="expression" dxfId="0" priority="1">
      <formula>IF(PL_Clen_Zadan,TRUE,FALSE)</formula>
    </cfRule>
  </conditionalFormatting>
  <hyperlinks>
    <hyperlink ref="K2" location="Seznam!A1" display="MENU" xr:uid="{00000000-0004-0000-1D00-000000000000}"/>
  </hyperlinks>
  <pageMargins left="0.7" right="0.7" top="0.78740157499999996" bottom="0.78740157499999996" header="0.3" footer="0.3"/>
  <pageSetup scale="80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C21"/>
  <sheetViews>
    <sheetView workbookViewId="0">
      <selection activeCell="C16" sqref="C16"/>
    </sheetView>
  </sheetViews>
  <sheetFormatPr defaultRowHeight="15" x14ac:dyDescent="0.25"/>
  <cols>
    <col min="2" max="2" width="40.85546875" customWidth="1"/>
    <col min="3" max="3" width="179.28515625" customWidth="1"/>
  </cols>
  <sheetData>
    <row r="2" spans="2:3" x14ac:dyDescent="0.25">
      <c r="B2" s="483" t="s">
        <v>690</v>
      </c>
      <c r="C2" s="173"/>
    </row>
    <row r="3" spans="2:3" x14ac:dyDescent="0.25">
      <c r="B3" s="544" t="s">
        <v>691</v>
      </c>
      <c r="C3" s="545" t="s">
        <v>692</v>
      </c>
    </row>
    <row r="4" spans="2:3" x14ac:dyDescent="0.25">
      <c r="B4" s="546" t="s">
        <v>229</v>
      </c>
      <c r="C4" s="173" t="str">
        <f>'vstupní data'!B22</f>
        <v>2100704207/2010</v>
      </c>
    </row>
    <row r="5" spans="2:3" x14ac:dyDescent="0.25">
      <c r="B5" s="547" t="s">
        <v>600</v>
      </c>
      <c r="C5" s="173" t="str">
        <f>'vstupní data'!B36</f>
        <v>000000</v>
      </c>
    </row>
    <row r="6" spans="2:3" x14ac:dyDescent="0.25">
      <c r="B6" s="547" t="s">
        <v>601</v>
      </c>
      <c r="C6" s="173">
        <f>'vstupní data'!B37</f>
        <v>2100704207</v>
      </c>
    </row>
    <row r="7" spans="2:3" x14ac:dyDescent="0.25">
      <c r="B7" s="547" t="s">
        <v>234</v>
      </c>
      <c r="C7" s="173">
        <f>'vstupní data'!B38</f>
        <v>2010</v>
      </c>
    </row>
    <row r="8" spans="2:3" x14ac:dyDescent="0.25">
      <c r="B8" s="548" t="s">
        <v>512</v>
      </c>
      <c r="C8" s="173">
        <f>'Vyúčtování byt - 1.část'!VB_preplatky_celkem</f>
        <v>-2453</v>
      </c>
    </row>
    <row r="9" spans="2:3" x14ac:dyDescent="0.25">
      <c r="B9" s="547" t="s">
        <v>693</v>
      </c>
      <c r="C9" s="173" t="str">
        <f>REPLACE(C8,1,1,"")</f>
        <v>2453</v>
      </c>
    </row>
    <row r="10" spans="2:3" x14ac:dyDescent="0.25">
      <c r="B10" s="546" t="s">
        <v>694</v>
      </c>
      <c r="C10" s="173" t="s">
        <v>695</v>
      </c>
    </row>
    <row r="11" spans="2:3" x14ac:dyDescent="0.25">
      <c r="B11" s="547" t="s">
        <v>696</v>
      </c>
      <c r="C11" s="173">
        <f>'vstupní data'!B6</f>
        <v>1093900019</v>
      </c>
    </row>
    <row r="12" spans="2:3" x14ac:dyDescent="0.25">
      <c r="B12" s="546" t="s">
        <v>697</v>
      </c>
      <c r="C12" s="173"/>
    </row>
    <row r="13" spans="2:3" x14ac:dyDescent="0.25">
      <c r="B13" s="546" t="s">
        <v>698</v>
      </c>
      <c r="C13" s="173"/>
    </row>
    <row r="14" spans="2:3" x14ac:dyDescent="0.25">
      <c r="B14" s="546" t="s">
        <v>699</v>
      </c>
      <c r="C14" s="173" t="str">
        <f>IF(C15=TRUE,"NEDOPLATEK ZA JEDNOTKU C."&amp;BYT,"")</f>
        <v>NEDOPLATEK ZA JEDNOTKU C.Byt č. 939/01</v>
      </c>
    </row>
    <row r="15" spans="2:3" x14ac:dyDescent="0.25">
      <c r="B15" s="548" t="s">
        <v>700</v>
      </c>
      <c r="C15" s="173" t="b">
        <f>IF(C8&lt;0,TRUE)</f>
        <v>1</v>
      </c>
    </row>
    <row r="16" spans="2:3" x14ac:dyDescent="0.25">
      <c r="B16" s="547" t="s">
        <v>701</v>
      </c>
      <c r="C16" s="173" t="str">
        <f>"https://api.paylibo.com/paylibo/generator/czech/image?compress=true&amp;branding=false&amp;size=440"&amp;IF(C5="","","&amp;accountPrefix="&amp;C5)&amp;"&amp;accountNumber="&amp;C6&amp;"&amp;bankCode="&amp;C7&amp;"&amp;amount="&amp;C9&amp;"&amp;currency=CZK"&amp;IF(C11="","","&amp;vs="&amp;TEXT(C11,"0000000000"))&amp;IF(C12="","","&amp;ss="&amp;C12)&amp;IF(C13="","","&amp;ks="&amp;C13)</f>
        <v>https://api.paylibo.com/paylibo/generator/czech/image?compress=true&amp;branding=false&amp;size=440&amp;accountPrefix=000000&amp;accountNumber=2100704207&amp;bankCode=2010&amp;amount=2453&amp;currency=CZK&amp;vs=1093900019</v>
      </c>
    </row>
    <row r="17" spans="2:3" x14ac:dyDescent="0.25">
      <c r="B17" s="546" t="s">
        <v>702</v>
      </c>
      <c r="C17" s="173"/>
    </row>
    <row r="18" spans="2:3" x14ac:dyDescent="0.25">
      <c r="B18" s="543"/>
      <c r="C18" s="173"/>
    </row>
    <row r="19" spans="2:3" x14ac:dyDescent="0.25">
      <c r="B19" s="543"/>
      <c r="C19" s="173"/>
    </row>
    <row r="20" spans="2:3" x14ac:dyDescent="0.25">
      <c r="B20" s="483" t="s">
        <v>703</v>
      </c>
      <c r="C20" s="173"/>
    </row>
    <row r="21" spans="2:3" x14ac:dyDescent="0.25">
      <c r="B21" s="544" t="s">
        <v>704</v>
      </c>
      <c r="C21" s="173">
        <f>SUM('Vyúčtování byt - 1.část'!E47:E58)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L24"/>
  <sheetViews>
    <sheetView workbookViewId="0">
      <selection activeCell="M4" sqref="M4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9.28515625" style="5" customWidth="1"/>
    <col min="6" max="6" width="16.5703125" style="2" customWidth="1"/>
    <col min="7" max="7" width="20.7109375" style="26" customWidth="1"/>
    <col min="8" max="8" width="25.42578125" style="2" customWidth="1"/>
    <col min="9" max="12" width="9.140625" style="2"/>
    <col min="13" max="13" width="17.5703125" style="2" customWidth="1"/>
    <col min="14" max="1025" width="9.140625" style="2"/>
    <col min="1026" max="1026" width="9.140625" style="27"/>
  </cols>
  <sheetData>
    <row r="1" spans="1:13" s="2" customFormat="1" ht="50.25" customHeight="1" x14ac:dyDescent="0.25">
      <c r="A1" s="687" t="s">
        <v>670</v>
      </c>
      <c r="B1" s="687"/>
      <c r="C1" s="687"/>
      <c r="G1" s="1"/>
      <c r="I1" s="1"/>
    </row>
    <row r="2" spans="1:13" x14ac:dyDescent="0.25">
      <c r="A2" s="43"/>
      <c r="B2" s="43"/>
      <c r="C2" s="43"/>
      <c r="D2" s="27"/>
      <c r="E2" s="27"/>
      <c r="F2" s="27"/>
      <c r="G2" s="1"/>
      <c r="H2" s="27"/>
      <c r="I2" s="1"/>
      <c r="J2" s="27"/>
      <c r="M2" s="27"/>
    </row>
    <row r="3" spans="1:13" ht="21.75" customHeight="1" x14ac:dyDescent="0.25">
      <c r="A3" s="816" t="str">
        <f>("Náklady na dům "&amp;'vstupní data'!B12&amp;"")</f>
        <v>Náklady na dům 2024</v>
      </c>
      <c r="B3" s="816"/>
      <c r="C3" s="816"/>
      <c r="D3" s="816"/>
      <c r="E3" s="816"/>
      <c r="F3" s="816"/>
      <c r="G3" s="816"/>
      <c r="H3" s="816"/>
      <c r="I3" s="44"/>
      <c r="J3" s="44"/>
      <c r="K3" s="44"/>
      <c r="L3" s="44"/>
      <c r="M3" s="27"/>
    </row>
    <row r="4" spans="1:13" x14ac:dyDescent="0.25">
      <c r="A4" s="43"/>
      <c r="B4" s="43"/>
      <c r="C4" s="43"/>
      <c r="D4" s="27"/>
      <c r="E4" s="27"/>
      <c r="F4" s="27"/>
      <c r="G4" s="1"/>
      <c r="H4" s="27"/>
      <c r="I4" s="1"/>
      <c r="J4" s="27"/>
      <c r="M4" s="266" t="s">
        <v>54</v>
      </c>
    </row>
    <row r="5" spans="1:13" x14ac:dyDescent="0.25">
      <c r="A5" s="45" t="s">
        <v>671</v>
      </c>
      <c r="B5" s="817" t="str">
        <f>'vstupní data'!B3</f>
        <v>Společenství pro dům Zborovská 939/2, Brno</v>
      </c>
      <c r="C5" s="817"/>
      <c r="D5" s="817"/>
      <c r="E5" s="817"/>
      <c r="F5" s="817"/>
      <c r="G5" s="817"/>
      <c r="H5" s="817"/>
      <c r="I5" s="27"/>
      <c r="J5" s="27"/>
      <c r="K5" s="27"/>
      <c r="L5" s="27"/>
      <c r="M5" s="27"/>
    </row>
    <row r="6" spans="1:13" s="5" customFormat="1" ht="30.75" customHeight="1" x14ac:dyDescent="0.25">
      <c r="A6" s="210" t="s">
        <v>672</v>
      </c>
      <c r="B6" s="210" t="s">
        <v>673</v>
      </c>
      <c r="C6" s="210" t="s">
        <v>674</v>
      </c>
      <c r="D6" s="47" t="s">
        <v>705</v>
      </c>
      <c r="E6" s="46" t="s">
        <v>477</v>
      </c>
      <c r="F6" s="48" t="s">
        <v>706</v>
      </c>
      <c r="G6" s="47" t="s">
        <v>707</v>
      </c>
      <c r="H6" s="46" t="s">
        <v>708</v>
      </c>
    </row>
    <row r="7" spans="1:13" ht="15.75" customHeight="1" x14ac:dyDescent="0.25">
      <c r="A7" s="16">
        <v>1</v>
      </c>
      <c r="B7" s="49" t="e">
        <f>'vstupní data'!#REF!</f>
        <v>#REF!</v>
      </c>
      <c r="C7" s="19" t="e">
        <f>'vstupní data'!#REF!</f>
        <v>#REF!</v>
      </c>
      <c r="D7" s="50" t="e">
        <f>VD_částka_Osvětlení</f>
        <v>#NAME?</v>
      </c>
      <c r="E7" s="50">
        <v>0</v>
      </c>
      <c r="F7" s="51" t="e">
        <f t="shared" ref="F7:F23" si="0">D7+D7*E7/100</f>
        <v>#NAME?</v>
      </c>
      <c r="G7" s="51">
        <f>'Předpis po mesici'!N104</f>
        <v>6687</v>
      </c>
      <c r="H7" s="289" t="e">
        <f t="shared" ref="H7:H23" si="1">G7-F7</f>
        <v>#NAME?</v>
      </c>
    </row>
    <row r="8" spans="1:13" x14ac:dyDescent="0.25">
      <c r="A8" s="20">
        <v>2</v>
      </c>
      <c r="B8" s="29" t="e">
        <f>'vstupní data'!#REF!</f>
        <v>#REF!</v>
      </c>
      <c r="C8" s="23" t="e">
        <f>'vstupní data'!#REF!</f>
        <v>#REF!</v>
      </c>
      <c r="D8" s="52" t="e">
        <f>VD_částka_Úklid_hodnota</f>
        <v>#NAME?</v>
      </c>
      <c r="E8" s="52">
        <v>0</v>
      </c>
      <c r="F8" s="53" t="e">
        <f t="shared" si="0"/>
        <v>#NAME?</v>
      </c>
      <c r="G8" s="53">
        <f>'Předpis po mesici'!AA104</f>
        <v>30120</v>
      </c>
      <c r="H8" s="290" t="e">
        <f t="shared" si="1"/>
        <v>#NAME?</v>
      </c>
    </row>
    <row r="9" spans="1:13" x14ac:dyDescent="0.25">
      <c r="A9" s="20">
        <v>3</v>
      </c>
      <c r="B9" s="29" t="e">
        <f>'vstupní data'!#REF!</f>
        <v>#REF!</v>
      </c>
      <c r="C9" s="23" t="e">
        <f>'vstupní data'!#REF!</f>
        <v>#REF!</v>
      </c>
      <c r="D9" s="52" t="e">
        <f>VD_částka_Komíny</f>
        <v>#NAME?</v>
      </c>
      <c r="E9" s="52">
        <v>0</v>
      </c>
      <c r="F9" s="53" t="e">
        <f t="shared" si="0"/>
        <v>#NAME?</v>
      </c>
      <c r="G9" s="53">
        <f>'Předpis po mesici'!AN104</f>
        <v>7545</v>
      </c>
      <c r="H9" s="290" t="e">
        <f t="shared" si="1"/>
        <v>#NAME?</v>
      </c>
    </row>
    <row r="10" spans="1:13" x14ac:dyDescent="0.25">
      <c r="A10" s="20">
        <v>4</v>
      </c>
      <c r="B10" s="29" t="e">
        <f>'vstupní data'!#REF!</f>
        <v>#REF!</v>
      </c>
      <c r="C10" s="23" t="e">
        <f>'vstupní data'!#REF!</f>
        <v>#REF!</v>
      </c>
      <c r="D10" s="52" t="e">
        <f>VD_částka_Výtah</f>
        <v>#NAME?</v>
      </c>
      <c r="E10" s="52">
        <v>0</v>
      </c>
      <c r="F10" s="53" t="e">
        <f t="shared" si="0"/>
        <v>#NAME?</v>
      </c>
      <c r="G10" s="53">
        <f>'Předpis po mesici'!BA104</f>
        <v>23570</v>
      </c>
      <c r="H10" s="290" t="e">
        <f t="shared" si="1"/>
        <v>#NAME?</v>
      </c>
    </row>
    <row r="11" spans="1:13" x14ac:dyDescent="0.25">
      <c r="A11" s="20">
        <v>5</v>
      </c>
      <c r="B11" s="29" t="e">
        <f>'vstupní data'!#REF!</f>
        <v>#REF!</v>
      </c>
      <c r="C11" s="23" t="e">
        <f>'vstupní data'!#REF!</f>
        <v>#REF!</v>
      </c>
      <c r="D11" s="52" t="e">
        <f>VD_částka_Poštovné</f>
        <v>#NAME?</v>
      </c>
      <c r="E11" s="52">
        <v>0</v>
      </c>
      <c r="F11" s="53" t="e">
        <f t="shared" si="0"/>
        <v>#NAME?</v>
      </c>
      <c r="G11" s="53">
        <v>0</v>
      </c>
      <c r="H11" s="290" t="e">
        <f t="shared" si="1"/>
        <v>#NAME?</v>
      </c>
    </row>
    <row r="12" spans="1:13" x14ac:dyDescent="0.25">
      <c r="A12" s="20">
        <v>6</v>
      </c>
      <c r="B12" s="29" t="e">
        <f>'vstupní data'!#REF!</f>
        <v>#REF!</v>
      </c>
      <c r="C12" s="23" t="e">
        <f>'vstupní data'!#REF!</f>
        <v>#REF!</v>
      </c>
      <c r="D12" s="52" t="e">
        <f>VD_částka_Pojištění</f>
        <v>#NAME?</v>
      </c>
      <c r="E12" s="52">
        <v>0</v>
      </c>
      <c r="F12" s="53" t="e">
        <f t="shared" si="0"/>
        <v>#NAME?</v>
      </c>
      <c r="G12" s="53">
        <f>'Předpis po mesici'!EA104</f>
        <v>0</v>
      </c>
      <c r="H12" s="290" t="e">
        <f t="shared" si="1"/>
        <v>#NAME?</v>
      </c>
    </row>
    <row r="13" spans="1:13" x14ac:dyDescent="0.25">
      <c r="A13" s="20">
        <v>7</v>
      </c>
      <c r="B13" s="29" t="e">
        <f>'vstupní data'!#REF!</f>
        <v>#REF!</v>
      </c>
      <c r="C13" s="23" t="e">
        <f>'vstupní data'!#REF!</f>
        <v>#REF!</v>
      </c>
      <c r="D13" s="52" t="e">
        <f>VD_částka_Vodné_teplá_voda</f>
        <v>#NAME?</v>
      </c>
      <c r="E13" s="52">
        <v>0</v>
      </c>
      <c r="F13" s="53" t="e">
        <f t="shared" si="0"/>
        <v>#NAME?</v>
      </c>
      <c r="G13" s="53">
        <f>'Předpis po mesici'!DN104</f>
        <v>0</v>
      </c>
      <c r="H13" s="290" t="e">
        <f t="shared" si="1"/>
        <v>#NAME?</v>
      </c>
    </row>
    <row r="14" spans="1:13" x14ac:dyDescent="0.25">
      <c r="A14" s="20">
        <v>8</v>
      </c>
      <c r="B14" s="29" t="e">
        <f>'vstupní data'!#REF!</f>
        <v>#REF!</v>
      </c>
      <c r="C14" s="23" t="e">
        <f>'vstupní data'!#REF!</f>
        <v>#REF!</v>
      </c>
      <c r="D14" s="52" t="e">
        <f>VD_částka_Vodné__studená_voda</f>
        <v>#NAME?</v>
      </c>
      <c r="E14" s="52">
        <v>0</v>
      </c>
      <c r="F14" s="53" t="e">
        <f t="shared" si="0"/>
        <v>#NAME?</v>
      </c>
      <c r="G14" s="53">
        <f>'Předpis po mesici'!BN104</f>
        <v>98698</v>
      </c>
      <c r="H14" s="290" t="e">
        <f t="shared" si="1"/>
        <v>#NAME?</v>
      </c>
    </row>
    <row r="15" spans="1:13" x14ac:dyDescent="0.25">
      <c r="A15" s="20">
        <v>9</v>
      </c>
      <c r="B15" s="29" t="e">
        <f>'vstupní data'!#REF!</f>
        <v>#REF!</v>
      </c>
      <c r="C15" s="23" t="e">
        <f>'vstupní data'!#REF!</f>
        <v>#REF!</v>
      </c>
      <c r="D15" s="52" t="e">
        <f>VD_částka_Ohřev_teplé_vody_30</f>
        <v>#NAME?</v>
      </c>
      <c r="E15" s="52">
        <v>0</v>
      </c>
      <c r="F15" s="53" t="e">
        <f t="shared" si="0"/>
        <v>#NAME?</v>
      </c>
      <c r="G15" s="53"/>
      <c r="H15" s="290" t="e">
        <f t="shared" si="1"/>
        <v>#NAME?</v>
      </c>
    </row>
    <row r="16" spans="1:13" x14ac:dyDescent="0.25">
      <c r="A16" s="20">
        <v>10</v>
      </c>
      <c r="B16" s="29" t="e">
        <f>'vstupní data'!#REF!</f>
        <v>#REF!</v>
      </c>
      <c r="C16" s="23" t="e">
        <f>'vstupní data'!#REF!</f>
        <v>#REF!</v>
      </c>
      <c r="D16" s="52" t="e">
        <f>VD_částka_Ohřev_teplé_vody_70</f>
        <v>#NAME?</v>
      </c>
      <c r="E16" s="52">
        <v>0</v>
      </c>
      <c r="F16" s="53" t="e">
        <f t="shared" si="0"/>
        <v>#NAME?</v>
      </c>
      <c r="G16" s="53"/>
      <c r="H16" s="290" t="e">
        <f t="shared" si="1"/>
        <v>#NAME?</v>
      </c>
    </row>
    <row r="17" spans="1:8" x14ac:dyDescent="0.25">
      <c r="A17" s="20">
        <v>11</v>
      </c>
      <c r="B17" s="29" t="e">
        <f>'vstupní data'!#REF!</f>
        <v>#REF!</v>
      </c>
      <c r="C17" s="23" t="e">
        <f>'vstupní data'!#REF!</f>
        <v>#REF!</v>
      </c>
      <c r="D17" s="52" t="e">
        <f>VD_částka_Ostatní_platby_UPC</f>
        <v>#NAME?</v>
      </c>
      <c r="E17" s="52">
        <v>0</v>
      </c>
      <c r="F17" s="53" t="e">
        <f t="shared" si="0"/>
        <v>#NAME?</v>
      </c>
      <c r="G17" s="53"/>
      <c r="H17" s="290" t="e">
        <f t="shared" si="1"/>
        <v>#NAME?</v>
      </c>
    </row>
    <row r="18" spans="1:8" x14ac:dyDescent="0.25">
      <c r="A18" s="20">
        <v>12</v>
      </c>
      <c r="B18" s="29" t="e">
        <f>'vstupní data'!#REF!</f>
        <v>#REF!</v>
      </c>
      <c r="C18" s="23" t="e">
        <f>'vstupní data'!#REF!</f>
        <v>#REF!</v>
      </c>
      <c r="D18" s="52" t="e">
        <f>VD_částka_Teplo</f>
        <v>#NAME?</v>
      </c>
      <c r="E18" s="52">
        <v>0</v>
      </c>
      <c r="F18" s="53" t="e">
        <f t="shared" si="0"/>
        <v>#NAME?</v>
      </c>
      <c r="G18" s="53">
        <f>'Předpis po mesici'!DA104</f>
        <v>0</v>
      </c>
      <c r="H18" s="290" t="e">
        <f t="shared" si="1"/>
        <v>#NAME?</v>
      </c>
    </row>
    <row r="19" spans="1:8" x14ac:dyDescent="0.25">
      <c r="A19" s="20">
        <v>13</v>
      </c>
      <c r="B19" s="29" t="e">
        <f>'vstupní data'!#REF!</f>
        <v>#REF!</v>
      </c>
      <c r="C19" s="23" t="e">
        <f>'vstupní data'!#REF!</f>
        <v>#REF!</v>
      </c>
      <c r="D19" s="52" t="e">
        <f>'vstupní data'!#REF!</f>
        <v>#REF!</v>
      </c>
      <c r="E19" s="52">
        <v>0</v>
      </c>
      <c r="F19" s="53" t="e">
        <f t="shared" si="0"/>
        <v>#REF!</v>
      </c>
      <c r="G19" s="53">
        <f>'Předpis po mesici'!FA104</f>
        <v>0</v>
      </c>
      <c r="H19" s="290" t="e">
        <f t="shared" si="1"/>
        <v>#REF!</v>
      </c>
    </row>
    <row r="20" spans="1:8" x14ac:dyDescent="0.25">
      <c r="A20" s="20">
        <v>14</v>
      </c>
      <c r="B20" s="29" t="e">
        <f>'vstupní data'!#REF!</f>
        <v>#REF!</v>
      </c>
      <c r="C20" s="23" t="e">
        <f>'vstupní data'!#REF!</f>
        <v>#REF!</v>
      </c>
      <c r="D20" s="52" t="e">
        <f>VD_částka_Společné_náklady_sklepy</f>
        <v>#NAME?</v>
      </c>
      <c r="E20" s="52">
        <v>0</v>
      </c>
      <c r="F20" s="53" t="e">
        <f t="shared" si="0"/>
        <v>#NAME?</v>
      </c>
      <c r="G20" s="53">
        <f>'Předpis po mesici'!EN104</f>
        <v>0</v>
      </c>
      <c r="H20" s="290" t="e">
        <f t="shared" si="1"/>
        <v>#NAME?</v>
      </c>
    </row>
    <row r="21" spans="1:8" x14ac:dyDescent="0.25">
      <c r="A21" s="20">
        <v>15</v>
      </c>
      <c r="B21" s="29" t="e">
        <f>'vstupní data'!#REF!</f>
        <v>#REF!</v>
      </c>
      <c r="C21" s="23" t="e">
        <f>'vstupní data'!#REF!</f>
        <v>#REF!</v>
      </c>
      <c r="D21" s="52" t="e">
        <f>VD_částka_Garáže</f>
        <v>#NAME?</v>
      </c>
      <c r="E21" s="52">
        <v>0</v>
      </c>
      <c r="F21" s="53" t="e">
        <f t="shared" si="0"/>
        <v>#NAME?</v>
      </c>
      <c r="G21" s="53">
        <v>0</v>
      </c>
      <c r="H21" s="290" t="e">
        <f t="shared" si="1"/>
        <v>#NAME?</v>
      </c>
    </row>
    <row r="22" spans="1:8" x14ac:dyDescent="0.25">
      <c r="A22" s="20">
        <v>16</v>
      </c>
      <c r="B22" s="29" t="e">
        <f>'vstupní data'!#REF!</f>
        <v>#REF!</v>
      </c>
      <c r="C22" s="23" t="e">
        <f>'vstupní data'!#REF!</f>
        <v>#REF!</v>
      </c>
      <c r="D22" s="52" t="e">
        <f>VD_částka_Správa</f>
        <v>#NAME?</v>
      </c>
      <c r="E22" s="52">
        <v>0</v>
      </c>
      <c r="F22" s="53" t="e">
        <f t="shared" si="0"/>
        <v>#NAME?</v>
      </c>
      <c r="G22" s="53">
        <f>'Předpis po mesici'!CA104</f>
        <v>29078</v>
      </c>
      <c r="H22" s="290" t="e">
        <f t="shared" si="1"/>
        <v>#NAME?</v>
      </c>
    </row>
    <row r="23" spans="1:8" ht="15.75" customHeight="1" x14ac:dyDescent="0.25">
      <c r="A23" s="54">
        <v>17</v>
      </c>
      <c r="B23" s="55" t="e">
        <f>'vstupní data'!#REF!</f>
        <v>#REF!</v>
      </c>
      <c r="C23" s="76" t="e">
        <f>'vstupní data'!#REF!</f>
        <v>#REF!</v>
      </c>
      <c r="D23" s="56" t="e">
        <f>'vstupní data'!#REF!</f>
        <v>#REF!</v>
      </c>
      <c r="E23" s="56">
        <v>0</v>
      </c>
      <c r="F23" s="57" t="e">
        <f t="shared" si="0"/>
        <v>#REF!</v>
      </c>
      <c r="G23" s="58">
        <f>'Předpis po mesici'!BN104</f>
        <v>98698</v>
      </c>
      <c r="H23" s="291" t="e">
        <f t="shared" si="1"/>
        <v>#REF!</v>
      </c>
    </row>
    <row r="24" spans="1:8" ht="15.75" customHeight="1" x14ac:dyDescent="0.25">
      <c r="A24" s="818" t="s">
        <v>487</v>
      </c>
      <c r="B24" s="818"/>
      <c r="C24" s="818"/>
      <c r="D24" s="59" t="e">
        <f>SUM(D7:D23)</f>
        <v>#NAME?</v>
      </c>
      <c r="E24" s="59"/>
      <c r="F24" s="60" t="e">
        <f>SUM(F7:F23)</f>
        <v>#NAME?</v>
      </c>
      <c r="G24" s="60">
        <f>SUM(G7:G23)</f>
        <v>294396</v>
      </c>
      <c r="H24" s="292" t="e">
        <f>SUM(H7:H23)</f>
        <v>#NAME?</v>
      </c>
    </row>
  </sheetData>
  <sheetProtection formatCells="0" formatColumns="0" formatRows="0" insertColumns="0" insertRows="0" insertHyperlinks="0" deleteColumns="0" deleteRows="0" sort="0" autoFilter="0" pivotTables="0"/>
  <autoFilter ref="A6:H6" xr:uid="{00000000-0009-0000-0000-00001F000000}"/>
  <mergeCells count="4">
    <mergeCell ref="A1:C1"/>
    <mergeCell ref="A3:H3"/>
    <mergeCell ref="B5:H5"/>
    <mergeCell ref="A24:C24"/>
  </mergeCells>
  <hyperlinks>
    <hyperlink ref="M4" location="Seznam!A1" display="MENU" xr:uid="{00000000-0004-0000-1F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102</vt:i4>
      </vt:variant>
    </vt:vector>
  </HeadingPairs>
  <TitlesOfParts>
    <vt:vector size="135" baseType="lpstr">
      <vt:lpstr>Zborovská 2 - s vodoměry</vt:lpstr>
      <vt:lpstr>Zborovská 2 - bez vodoměrů</vt:lpstr>
      <vt:lpstr>export send mail</vt:lpstr>
      <vt:lpstr>Zálohy byt - měsíčně</vt:lpstr>
      <vt:lpstr>Seznam</vt:lpstr>
      <vt:lpstr>Vyúčtování byt - 1.část</vt:lpstr>
      <vt:lpstr>vstupní data</vt:lpstr>
      <vt:lpstr>Výpočet</vt:lpstr>
      <vt:lpstr>Předpisy - navýšení o částku</vt:lpstr>
      <vt:lpstr>Předpisy - navýšení o procento</vt:lpstr>
      <vt:lpstr>Tisk</vt:lpstr>
      <vt:lpstr>Tisk příjmu SVJ</vt:lpstr>
      <vt:lpstr>Faktury</vt:lpstr>
      <vt:lpstr>Evidence</vt:lpstr>
      <vt:lpstr>faktury za služby</vt:lpstr>
      <vt:lpstr>Parametry</vt:lpstr>
      <vt:lpstr>Počet osob</vt:lpstr>
      <vt:lpstr>Předpis po mesici</vt:lpstr>
      <vt:lpstr>Výtahy</vt:lpstr>
      <vt:lpstr>Vodoměry TUV</vt:lpstr>
      <vt:lpstr>Vodoměry SV</vt:lpstr>
      <vt:lpstr>Teplo</vt:lpstr>
      <vt:lpstr>Elektroměry</vt:lpstr>
      <vt:lpstr>Přeplatky nedoplatky</vt:lpstr>
      <vt:lpstr>uhrady</vt:lpstr>
      <vt:lpstr>Odečty formular</vt:lpstr>
      <vt:lpstr>Bytové domy</vt:lpstr>
      <vt:lpstr>Rozpočet domu</vt:lpstr>
      <vt:lpstr>prijem SVJ</vt:lpstr>
      <vt:lpstr>prijem SVJ bez vydaju</vt:lpstr>
      <vt:lpstr>ExcelMacroData</vt:lpstr>
      <vt:lpstr>Náklady na dům</vt:lpstr>
      <vt:lpstr>Sheet1</vt:lpstr>
      <vt:lpstr>'export send mail'!BYT</vt:lpstr>
      <vt:lpstr>BYT</vt:lpstr>
      <vt:lpstr>BYTOVE_DOMY</vt:lpstr>
      <vt:lpstr>'export send mail'!DŮM</vt:lpstr>
      <vt:lpstr>DŮM</vt:lpstr>
      <vt:lpstr>dum_adresa</vt:lpstr>
      <vt:lpstr>EVIDENCE</vt:lpstr>
      <vt:lpstr>EXPORT_PRO_SEND_MAIL</vt:lpstr>
      <vt:lpstr>FAKTURY_ZA_SLUZBY</vt:lpstr>
      <vt:lpstr>'Rozpočet domu'!NAKLADY_BYTOVY_DUM_ZA_ROK</vt:lpstr>
      <vt:lpstr>NAKLADY_BYTOVY_DUM_ZA_ROK</vt:lpstr>
      <vt:lpstr>POCET_OSOB</vt:lpstr>
      <vt:lpstr>PREDPISI_PO_MESICI</vt:lpstr>
      <vt:lpstr>PREPLATKY_NEDOPLATKY</vt:lpstr>
      <vt:lpstr>PRIJEM_SVJ_BEZ_VYDAJU</vt:lpstr>
      <vt:lpstr>PRIJEM_SVJ_VCETNE_VYDAJU</vt:lpstr>
      <vt:lpstr>Elektroměry!Print_Area</vt:lpstr>
      <vt:lpstr>'Náklady na dům'!Print_Area</vt:lpstr>
      <vt:lpstr>'Odečty formular'!Print_Area</vt:lpstr>
      <vt:lpstr>'Počet osob'!Print_Area</vt:lpstr>
      <vt:lpstr>'prijem SVJ'!Print_Area</vt:lpstr>
      <vt:lpstr>'prijem SVJ bez vydaju'!Print_Area</vt:lpstr>
      <vt:lpstr>'Rozpočet domu'!Print_Area</vt:lpstr>
      <vt:lpstr>Teplo!Print_Area</vt:lpstr>
      <vt:lpstr>'Vodoměry SV'!Print_Area</vt:lpstr>
      <vt:lpstr>'Vodoměry TUV'!Print_Area</vt:lpstr>
      <vt:lpstr>Výpočet!Print_Area</vt:lpstr>
      <vt:lpstr>'Vyúčtování byt - 1.část'!Print_Area</vt:lpstr>
      <vt:lpstr>'Zálohy byt - měsíčně'!Print_Area</vt:lpstr>
      <vt:lpstr>'Zborovská 2 - bez vodoměrů'!Print_Area</vt:lpstr>
      <vt:lpstr>'Zborovská 2 - s vodoměry'!Print_Area</vt:lpstr>
      <vt:lpstr>'Vyúčtování byt - 1.část'!Print_Area_Ucto</vt:lpstr>
      <vt:lpstr>'Zálohy byt - měsíčně'!Print_Area_Ucto</vt:lpstr>
      <vt:lpstr>'Odečty formular'!Print_Titles</vt:lpstr>
      <vt:lpstr>'Počet osob'!Print_Titles</vt:lpstr>
      <vt:lpstr>TEPLO</vt:lpstr>
      <vt:lpstr>UHRADY</vt:lpstr>
      <vt:lpstr>'Vyúčtování byt - 1.část'!VB_Jednotka_Osvětlení</vt:lpstr>
      <vt:lpstr>'Zálohy byt - měsíčně'!VB_Jednotka_Osvětlení</vt:lpstr>
      <vt:lpstr>'Vyúčtování byt - 1.část'!VB_PDF_name</vt:lpstr>
      <vt:lpstr>'Vyúčtování byt - 1.část'!VB_preplatky_celkem</vt:lpstr>
      <vt:lpstr>'Zálohy byt - měsíčně'!VB_preplatky_celkem</vt:lpstr>
      <vt:lpstr>'export send mail'!VD_celková_plocha_jednotky</vt:lpstr>
      <vt:lpstr>VD_celková_plocha_jednotky</vt:lpstr>
      <vt:lpstr>'export send mail'!VD_Cena_BVak</vt:lpstr>
      <vt:lpstr>VD_Cena_BVak</vt:lpstr>
      <vt:lpstr>'export send mail'!VD_číslo_účtu_SVJ</vt:lpstr>
      <vt:lpstr>VD_číslo_účtu_SVJ</vt:lpstr>
      <vt:lpstr>'export send mail'!VD_externí_výpočet_nákladů_tepla</vt:lpstr>
      <vt:lpstr>VD_externí_výpočet_nákladů_tepla</vt:lpstr>
      <vt:lpstr>vd_faktury_za_sluzby</vt:lpstr>
      <vt:lpstr>'export send mail'!VD_jméno</vt:lpstr>
      <vt:lpstr>VD_jméno</vt:lpstr>
      <vt:lpstr>'export send mail'!VD_odečet_SV_vody_za_daný_rok</vt:lpstr>
      <vt:lpstr>VD_odečet_SV_vody_za_daný_rok</vt:lpstr>
      <vt:lpstr>'export send mail'!VD_odečet_TUV_za_daný_rok</vt:lpstr>
      <vt:lpstr>VD_odečet_TUV_za_daný_rok</vt:lpstr>
      <vt:lpstr>'export send mail'!VD_Počet_jednotek</vt:lpstr>
      <vt:lpstr>VD_Počet_jednotek</vt:lpstr>
      <vt:lpstr>VD_Počet_komínů</vt:lpstr>
      <vt:lpstr>'export send mail'!VD_počet_měsíců_úžívání</vt:lpstr>
      <vt:lpstr>VD_počet_měsíců_úžívání</vt:lpstr>
      <vt:lpstr>VD_Počet_osob</vt:lpstr>
      <vt:lpstr>VD_přeplatek_aktuální_rok</vt:lpstr>
      <vt:lpstr>VD_přeplatek_z_minula</vt:lpstr>
      <vt:lpstr>VD_reklamace_do</vt:lpstr>
      <vt:lpstr>VD_spoluvlastnictví_podíl</vt:lpstr>
      <vt:lpstr>'export send mail'!VD_účet_vlastníka</vt:lpstr>
      <vt:lpstr>VD_účet_vlastníka</vt:lpstr>
      <vt:lpstr>VD_účetní_období</vt:lpstr>
      <vt:lpstr>VD_Užitná_plocha_domu_celkem</vt:lpstr>
      <vt:lpstr>VD_Užitná_plocha_domu_započitatelná</vt:lpstr>
      <vt:lpstr>'export send mail'!VD_VS</vt:lpstr>
      <vt:lpstr>VD_VS</vt:lpstr>
      <vt:lpstr>VD_vyplaceno_do</vt:lpstr>
      <vt:lpstr>'export send mail'!VD_výpočet_vlastnického_podílu</vt:lpstr>
      <vt:lpstr>VD_výpočet_vlastnického_podílu</vt:lpstr>
      <vt:lpstr>VD_výsledek_vyúčtování</vt:lpstr>
      <vt:lpstr>'export send mail'!VD_za_rok</vt:lpstr>
      <vt:lpstr>VD_za_rok</vt:lpstr>
      <vt:lpstr>'export send mail'!VD_započitatelná_plocha_jednotky</vt:lpstr>
      <vt:lpstr>VD_započitatelná_plocha_jednotky</vt:lpstr>
      <vt:lpstr>vodomery_SV</vt:lpstr>
      <vt:lpstr>vodomery_TUV</vt:lpstr>
      <vt:lpstr>'export send mail'!vp_evidence</vt:lpstr>
      <vt:lpstr>vp_evidence</vt:lpstr>
      <vt:lpstr>'export send mail'!vp_faktury_za_sluzby</vt:lpstr>
      <vt:lpstr>vp_faktury_za_sluzby</vt:lpstr>
      <vt:lpstr>'export send mail'!vp_preplatky_nedoplatky</vt:lpstr>
      <vt:lpstr>vp_preplatky_nedoplatky</vt:lpstr>
      <vt:lpstr>'export send mail'!vp_Teplo</vt:lpstr>
      <vt:lpstr>vp_Teplo</vt:lpstr>
      <vt:lpstr>'export send mail'!vp_uhrady</vt:lpstr>
      <vt:lpstr>vp_uhrady</vt:lpstr>
      <vt:lpstr>'export send mail'!vp_Vodomery_SV</vt:lpstr>
      <vt:lpstr>vp_Vodomery_SV</vt:lpstr>
      <vt:lpstr>'export send mail'!vp_Vodomery_TUV</vt:lpstr>
      <vt:lpstr>vp_Vodomery_TUV</vt:lpstr>
      <vt:lpstr>vstupni_data</vt:lpstr>
      <vt:lpstr>VYTAHY</vt:lpstr>
      <vt:lpstr>'Vyúčtování byt - 1.část'!VYUCTOVANI</vt:lpstr>
      <vt:lpstr>'Zálohy byt - měsíčně'!VYUCTOVANI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Kosť</dc:creator>
  <cp:keywords/>
  <dc:description/>
  <cp:lastModifiedBy>Milan Kost</cp:lastModifiedBy>
  <dcterms:created xsi:type="dcterms:W3CDTF">2017-02-08T16:25:08Z</dcterms:created>
  <dcterms:modified xsi:type="dcterms:W3CDTF">2025-11-28T21:20:14Z</dcterms:modified>
  <cp:category/>
</cp:coreProperties>
</file>