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15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8.xml" ContentType="application/vnd.openxmlformats-officedocument.spreadsheetml.comments+xml"/>
  <Override PartName="/xl/comments32.xml" ContentType="application/vnd.openxmlformats-officedocument.spreadsheetml.comments+xml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6" autoFilterDateGrouping="1" firstSheet="0" minimized="0" showHorizontalScroll="1" showSheetTabs="1" showVerticalScroll="1" tabRatio="600" visibility="visible"/>
  </bookViews>
  <sheets>
    <sheet name="Zborovská 2 - s vodoměry" sheetId="1" state="hidden" r:id="rId4"/>
    <sheet name="Zborovská 2 - bez vodoměrů" sheetId="2" state="hidden" r:id="rId5"/>
    <sheet name="export send mail" sheetId="3" r:id="rId6"/>
    <sheet name="Zálohy byt - měsíčně" sheetId="4" r:id="rId7"/>
    <sheet name="Seznam" sheetId="5" r:id="rId8"/>
    <sheet name="Vyúčtování byt - 1.část" sheetId="6" r:id="rId9"/>
    <sheet name="vstupní data" sheetId="7" r:id="rId10"/>
    <sheet name="Výpočet" sheetId="8" r:id="rId11"/>
    <sheet name="Předpisy - navýšení o částku" sheetId="9" r:id="rId12"/>
    <sheet name="Předpisy - navýšení o procento" sheetId="10" r:id="rId13"/>
    <sheet name="Tisk" sheetId="11" r:id="rId14"/>
    <sheet name="Tisk příjmu SVJ" sheetId="12" r:id="rId15"/>
    <sheet name="Faktury" sheetId="13" r:id="rId16"/>
    <sheet name="Evidence" sheetId="14" r:id="rId17"/>
    <sheet name="faktury za služby" sheetId="15" r:id="rId18"/>
    <sheet name="Parametry" sheetId="16" r:id="rId19"/>
    <sheet name="Počet osob" sheetId="17" r:id="rId20"/>
    <sheet name="Předpis po mesici" sheetId="18" r:id="rId21"/>
    <sheet name="Výtahy" sheetId="19" r:id="rId22"/>
    <sheet name="Vodoměry TUV" sheetId="20" r:id="rId23"/>
    <sheet name="Vodoměry SV" sheetId="21" r:id="rId24"/>
    <sheet name="Teplo" sheetId="22" r:id="rId25"/>
    <sheet name="Elektroměry" sheetId="23" r:id="rId26"/>
    <sheet name="Přeplatky nedoplatky" sheetId="24" r:id="rId27"/>
    <sheet name="uhrady" sheetId="25" r:id="rId28"/>
    <sheet name="Odečty formular" sheetId="26" r:id="rId29"/>
    <sheet name="Bytové domy" sheetId="27" r:id="rId30"/>
    <sheet name="Rozpočet domu" sheetId="28" r:id="rId31"/>
    <sheet name="prijem SVJ" sheetId="29" r:id="rId32"/>
    <sheet name="prijem SVJ bez vydaju" sheetId="30" r:id="rId33"/>
    <sheet name="ExcelMacroData" sheetId="31" r:id="rId34"/>
    <sheet name="Náklady na dům" sheetId="32" r:id="rId35"/>
    <sheet name="Sheet1" sheetId="33" state="hidden" r:id="rId36"/>
  </sheets>
  <definedNames>
    <definedName name="BYT" localSheetId="2">'vstupní data'!$B$4</definedName>
    <definedName name="BYT">'vstupní data'!$B$4</definedName>
    <definedName name="BYTOVE_DOMY">'Bytové domy'!$A$1</definedName>
    <definedName name="DŮM" localSheetId="2">'vstupní data'!$B$3</definedName>
    <definedName name="DŮM">'vstupní data'!$B$3</definedName>
    <definedName name="dum_adresa">'vstupní data'!$D$3</definedName>
    <definedName name="EVIDENCE">'Evidence'!$A$1</definedName>
    <definedName name="FAKTURY_ZA_SLUZBY">'faktury za služby'!$A$1</definedName>
    <definedName name="NAKLADY_BYTOVY_DUM_ZA_ROK" localSheetId="27">'Rozpočet domu'!$A$1</definedName>
    <definedName name="NAKLADY_BYTOVY_DUM_ZA_ROK">'Náklady na dům'!$A$1</definedName>
    <definedName name="POCET_OSOB">'Počet osob'!$A$1</definedName>
    <definedName name="PREDPISI_PO_MESICI">'Předpis po mesici'!$B$1</definedName>
    <definedName name="PREPLATKY_NEDOPLATKY">'Přeplatky nedoplatky'!$A$1</definedName>
    <definedName name="PRIJEM_SVJ_BEZ_VYDAJU">'prijem SVJ bez vydaju'!$A$1</definedName>
    <definedName name="PRIJEM_SVJ_VCETNE_VYDAJU">'prijem SVJ'!$A$1</definedName>
    <definedName name="Print_Area_Ucto" localSheetId="5">'Vyúčtování byt - 1.část'!$A$1:$L$63</definedName>
    <definedName name="Print_Area_Ucto" localSheetId="3">'Zálohy byt - měsíčně'!$A$1:$Q$35</definedName>
    <definedName name="TEPLO">'Teplo'!$A$1</definedName>
    <definedName name="UHRADY">'uhrady'!$A$1</definedName>
    <definedName name="VB_Jednotka_Osvětlení" localSheetId="5">'Vyúčtování byt - 1.část'!$C$10</definedName>
    <definedName name="VB_Jednotka_Osvětlení" localSheetId="3">'Zálohy byt - měsíčně'!$C$10</definedName>
    <definedName name="VB_PDF_name" localSheetId="5">'Vyúčtování byt - 1.část'!$P$38</definedName>
    <definedName name="VB_preplatky_celkem" localSheetId="5">'Vyúčtování byt - 1.část'!$K$34</definedName>
    <definedName name="VB_preplatky_celkem" localSheetId="3">'Zálohy byt - měsíčně'!$P$33</definedName>
    <definedName name="VD_celková_plocha_jednotky" localSheetId="2">'vstupní data'!$B$25</definedName>
    <definedName name="VD_celková_plocha_jednotky">'vstupní data'!$B$25</definedName>
    <definedName name="VD_Cena_BVak" localSheetId="2">'vstupní data'!$B$13</definedName>
    <definedName name="VD_Cena_BVak">'vstupní data'!$B$13</definedName>
    <definedName name="VD_číslo_účtu_SVJ" localSheetId="2">'vstupní data'!$B$22</definedName>
    <definedName name="VD_číslo_účtu_SVJ">'vstupní data'!$B$22</definedName>
    <definedName name="VD_externí_výpočet_nákladů_tepla" localSheetId="2">'vstupní data'!$B$29</definedName>
    <definedName name="VD_externí_výpočet_nákladů_tepla">'vstupní data'!$B$29</definedName>
    <definedName name="vd_faktury_za_sluzby">'faktury za služby'!$1:$9</definedName>
    <definedName name="VD_jméno" localSheetId="2">'vstupní data'!$B$5</definedName>
    <definedName name="VD_jméno">'vstupní data'!$B$5</definedName>
    <definedName name="VD_odečet_SV_vody_za_daný_rok" localSheetId="2">'vstupní data'!$B$23</definedName>
    <definedName name="VD_odečet_SV_vody_za_daný_rok">'vstupní data'!$B$23</definedName>
    <definedName name="VD_odečet_TUV_za_daný_rok" localSheetId="2">'vstupní data'!$B$24</definedName>
    <definedName name="VD_odečet_TUV_za_daný_rok">'vstupní data'!$B$24</definedName>
    <definedName name="VD_Počet_jednotek" localSheetId="2">'vstupní data'!$B$17</definedName>
    <definedName name="VD_Počet_jednotek">'vstupní data'!$B$17</definedName>
    <definedName name="VD_Počet_komínů">'vstupní data'!$B$20</definedName>
    <definedName name="VD_počet_měsíců_úžívání" localSheetId="2">'vstupní data'!$B$15</definedName>
    <definedName name="VD_počet_měsíců_úžívání">'vstupní data'!$B$15</definedName>
    <definedName name="VD_Počet_osob">'vstupní data'!$B$21</definedName>
    <definedName name="VD_přeplatek_aktuální_rok">'vstupní data'!$B$11</definedName>
    <definedName name="VD_přeplatek_z_minula">'vstupní data'!$B$10</definedName>
    <definedName name="VD_reklamace_do">'vstupní data'!$B$14</definedName>
    <definedName name="VD_spoluvlastnictví_podíl">'vstupní data'!$B$27</definedName>
    <definedName name="VD_účet_vlastníka" localSheetId="2">'vstupní data'!$B$7</definedName>
    <definedName name="VD_účet_vlastníka">'vstupní data'!$B$7</definedName>
    <definedName name="VD_účetní_období">'vstupní data'!$B$8</definedName>
    <definedName name="VD_Užitná_plocha_domu_celkem">'vstupní data'!$B$18</definedName>
    <definedName name="VD_Užitná_plocha_domu_započitatelná">'vstupní data'!$B$19</definedName>
    <definedName name="VD_VS" localSheetId="2">'vstupní data'!$B$6</definedName>
    <definedName name="VD_VS">'vstupní data'!$B$6</definedName>
    <definedName name="VD_vyplaceno_do">'vstupní data'!$B$16</definedName>
    <definedName name="VD_výpočet_vlastnického_podílu" localSheetId="2">'vstupní data'!$B$28</definedName>
    <definedName name="VD_výpočet_vlastnického_podílu">'vstupní data'!$B$28</definedName>
    <definedName name="VD_výsledek_vyúčtování">'vstupní data'!$B$9</definedName>
    <definedName name="VD_za_rok" localSheetId="2">'vstupní data'!$B$12</definedName>
    <definedName name="VD_za_rok">'vstupní data'!$B$12</definedName>
    <definedName name="VD_započitatelná_plocha_jednotky" localSheetId="2">'vstupní data'!$B$26</definedName>
    <definedName name="VD_započitatelná_plocha_jednotky">'vstupní data'!$B$26</definedName>
    <definedName name="vodomery_SV">'Vodoměry SV'!$A$1</definedName>
    <definedName name="vodomery_TUV">'Vodoměry TUV'!$A$1</definedName>
    <definedName name="vp_evidence" localSheetId="2">'Evidence'!$A:$Z</definedName>
    <definedName name="vp_evidence">'Evidence'!$A:$Z</definedName>
    <definedName name="vp_faktury_za_sluzby" localSheetId="2">'faktury za služby'!$A$2:$W$9</definedName>
    <definedName name="vp_faktury_za_sluzby">'faktury za služby'!$A$2:$W$9</definedName>
    <definedName name="vp_preplatky_nedoplatky" localSheetId="2">'Přeplatky nedoplatky'!$A:$E</definedName>
    <definedName name="vp_preplatky_nedoplatky">'Přeplatky nedoplatky'!$A:$E</definedName>
    <definedName name="vp_Teplo" localSheetId="2">'Teplo'!$A:$J</definedName>
    <definedName name="vp_Teplo">'Teplo'!$A:$J</definedName>
    <definedName name="vp_uhrady" localSheetId="2">'uhrady'!$A:$Z</definedName>
    <definedName name="vp_uhrady">'uhrady'!$A:$Z</definedName>
    <definedName name="vp_Vodomery_SV" localSheetId="2">'Vodoměry SV'!$A:$J</definedName>
    <definedName name="vp_Vodomery_SV">'Vodoměry SV'!$A:$J</definedName>
    <definedName name="vp_Vodomery_TUV" localSheetId="2">'Vodoměry TUV'!$A:$J</definedName>
    <definedName name="vp_Vodomery_TUV">'Vodoměry TUV'!$A:$J</definedName>
    <definedName name="vstupni_data">'vstupní data'!$A$1</definedName>
    <definedName name="VYTAHY">'Výtahy'!$A$1</definedName>
    <definedName name="VYUCTOVANI" localSheetId="5">'Vyúčtování byt - 1.část'!$C$1</definedName>
    <definedName name="VYUCTOVANI" localSheetId="3">'Zálohy byt - měsíčně'!$A$1</definedName>
    <definedName name="_xlnm.Print_Area" localSheetId="0">'Zborovská 2 - s vodoměry'!$A$1:$L$44</definedName>
    <definedName name="_xlnm.Print_Area" localSheetId="1">'Zborovská 2 - bez vodoměrů'!$A$1:$L$44</definedName>
    <definedName name="_xlnm.Print_Area" localSheetId="3">'Zálohy byt - měsíčně'!$A$1:$Q$35</definedName>
    <definedName name="_xlnm.Print_Area" localSheetId="5">'Vyúčtování byt - 1.část'!$A$1:$L$63</definedName>
    <definedName name="_xlnm.Print_Area" localSheetId="7">'Výpočet'!$A$3:$X$105</definedName>
    <definedName name="_xlnm.Print_Titles" localSheetId="16">'Počet osob'!$1:$1</definedName>
    <definedName name="_xlnm.Print_Area" localSheetId="16">'Počet osob'!$A$1:$O$104</definedName>
    <definedName name="_xlnm.Print_Area" localSheetId="19">'Vodoměry TUV'!$B$1:$H$115</definedName>
    <definedName name="_xlnm.Print_Area" localSheetId="20">'Vodoměry SV'!$A$1:$I$104</definedName>
    <definedName name="_xlnm.Print_Area" localSheetId="21">'Teplo'!$A$1:$J$104</definedName>
    <definedName name="_xlnm.Print_Area" localSheetId="22">'Elektroměry'!$A$1:$J$116</definedName>
    <definedName name="_xlnm._FilterDatabase" localSheetId="23" hidden="1">'Přeplatky nedoplatky'!$A$1:$E$104</definedName>
    <definedName name="_xlnm._FilterDatabase" localSheetId="24" hidden="1">'uhrady'!$A$1:$N$102</definedName>
    <definedName name="_xlnm.Print_Titles" localSheetId="25">'Odečty formular'!$4:$4</definedName>
    <definedName name="_xlnm.Print_Area" localSheetId="25">'Odečty formular'!$A$1:$H$159</definedName>
    <definedName name="_xlnm._FilterDatabase" localSheetId="26" hidden="1">'Bytové domy'!$A$1:$G$13</definedName>
    <definedName name="_xlnm._FilterDatabase" localSheetId="27" hidden="1">'Rozpočet domu'!$A$6:$G$6</definedName>
    <definedName name="_xlnm.Print_Area" localSheetId="27">'Rozpočet domu'!$A$1:$G$31</definedName>
    <definedName name="_xlnm.Print_Area" localSheetId="28">'prijem SVJ'!$A$1:$H$34</definedName>
    <definedName name="_xlnm.Print_Area" localSheetId="29">'prijem SVJ bez vydaju'!$A$1:$H$33</definedName>
    <definedName name="_xlnm._FilterDatabase" localSheetId="31" hidden="1">'Náklady na dům'!$A$6:$H$6</definedName>
    <definedName name="_xlnm.Print_Area" localSheetId="31">'Náklady na dům'!$A$1:$H$24</definedName>
  </definedNames>
  <calcPr calcId="999999" calcMode="auto" calcCompleted="0" fullCalcOnLoad="1"/>
</workbook>
</file>

<file path=xl/comments1.xml><?xml version="1.0" encoding="utf-8"?>
<comments xmlns="http://schemas.openxmlformats.org/spreadsheetml/2006/main">
  <authors>
    <author>Author</author>
  </authors>
  <commentList>
    <comment ref="K10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součet posledního vyúčtování a úhrad na konci roku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K10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součet posledního vyúčtování a úhrad na konci roku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K9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součet posledního vyúčtování a úhrad na konci roku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3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export z Budova, přehled, název</t>
        </r>
      </text>
    </comment>
    <comment ref="B18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plochy bytových jednotek. Nejsou v tom nebytové jednotky.</t>
        </r>
      </text>
    </comment>
  </commentList>
</comments>
</file>

<file path=xl/comments15.xml><?xml version="1.0" encoding="utf-8"?>
<comments xmlns="http://schemas.openxmlformats.org/spreadsheetml/2006/main">
  <authors>
    <author>Author</author>
    <author>Milan Kosť</author>
  </authors>
  <commentList>
    <comment ref="J1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Milan Kosť: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Voda = celkové faktury za rok, spotřeba dle měřičů teplé a studené vody, udělat poměr mezi těmito čísly, dopočítat naklad za SV a SV pro TUV (pozor musí souhlasit součet těchto čísel s fakturací) na základě toho jednotková cena navýšena z důvodu zohlednění ztrát</t>
        </r>
      </text>
    </comment>
    <comment ref="N25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vypsat součet všechn úklidů dle skutecnosti v daném roce, fakturuje se zvlast garáž a sklepy</t>
        </r>
      </text>
    </comment>
  </commentList>
</comments>
</file>

<file path=xl/comments20.xml><?xml version="1.0" encoding="utf-8"?>
<comments xmlns="http://schemas.openxmlformats.org/spreadsheetml/2006/main">
  <authors>
    <author>Author</author>
  </authors>
  <commentList>
    <comment ref="F1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číslo měřidla</t>
        </r>
      </text>
    </comment>
  </commentList>
</comments>
</file>

<file path=xl/comments21.xml><?xml version="1.0" encoding="utf-8"?>
<comments xmlns="http://schemas.openxmlformats.org/spreadsheetml/2006/main">
  <authors>
    <author>Author</author>
  </authors>
  <commentList>
    <comment ref="F1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číslo měřidla</t>
        </r>
      </text>
    </comment>
  </commentList>
</comments>
</file>

<file path=xl/comments22.xml><?xml version="1.0" encoding="utf-8"?>
<comments xmlns="http://schemas.openxmlformats.org/spreadsheetml/2006/main">
  <authors>
    <author>Author</author>
  </authors>
  <commentList>
    <comment ref="F1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číslo měřidla</t>
        </r>
      </text>
    </comment>
  </commentList>
</comments>
</file>

<file path=xl/comments23.xml><?xml version="1.0" encoding="utf-8"?>
<comments xmlns="http://schemas.openxmlformats.org/spreadsheetml/2006/main">
  <authors>
    <author>Author</author>
  </authors>
  <commentList>
    <comment ref="F1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číslo měřidla</t>
        </r>
      </text>
    </comment>
  </commentList>
</comments>
</file>

<file path=xl/comments24.xml><?xml version="1.0" encoding="utf-8"?>
<comments xmlns="http://schemas.openxmlformats.org/spreadsheetml/2006/main">
  <authors>
    <author>Author</author>
  </authors>
  <commentList>
    <comment ref="A63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pokud v rozpisu v roce změna tak rozdělit takto</t>
        </r>
      </text>
    </comment>
    <comment ref="A99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pokud v rozpisu v roce změna tak rozdělit takto</t>
        </r>
      </text>
    </comment>
  </commentList>
</comments>
</file>

<file path=xl/comments28.xml><?xml version="1.0" encoding="utf-8"?>
<comments xmlns="http://schemas.openxmlformats.org/spreadsheetml/2006/main">
  <authors>
    <author>Author</author>
  </authors>
  <commentList>
    <comment ref="A5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export z Budova, přehled, název</t>
        </r>
      </text>
    </comment>
    <comment ref="B6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export z předpisů a opis jaké služby se účtují</t>
        </r>
      </text>
    </comment>
    <comment ref="C6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v databázi menu na výběr (m2 plocha, počet osob, na jednotku)</t>
        </r>
      </text>
    </comment>
    <comment ref="D6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zadáno ručně do databáze dle vyúčtování, částka, které vyfakturují jednotlivé služby. V databázi možnost napsat kolik bylo vyfakturováno</t>
        </r>
      </text>
    </comment>
  </commentList>
</comments>
</file>

<file path=xl/comments32.xml><?xml version="1.0" encoding="utf-8"?>
<comments xmlns="http://schemas.openxmlformats.org/spreadsheetml/2006/main">
  <authors>
    <author>Author</author>
  </authors>
  <commentList>
    <comment ref="A5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export z Budova, přehled, název</t>
        </r>
      </text>
    </comment>
    <comment ref="B6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export z předpisů a opis jaké služby se účtují</t>
        </r>
      </text>
    </comment>
    <comment ref="C6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v databázi menu na výběr (m2 plocha, počet osob, na jednotku)</t>
        </r>
      </text>
    </comment>
    <comment ref="D6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zadáno ručně do databáze dle vyúčtování, částka, které vyfakturují jednotlivé služby. V databázi možnost napsat kolik bylo vyfakturováno</t>
        </r>
      </text>
    </comment>
  </commentList>
</comments>
</file>

<file path=xl/sharedStrings.xml><?xml version="1.0" encoding="utf-8"?>
<sst xmlns="http://schemas.openxmlformats.org/spreadsheetml/2006/main" uniqueCount="759">
  <si>
    <t>SEZNAM</t>
  </si>
  <si>
    <t>Email</t>
  </si>
  <si>
    <t>Celé jméno</t>
  </si>
  <si>
    <t>Stav</t>
  </si>
  <si>
    <t>Mobil</t>
  </si>
  <si>
    <t>Jméno</t>
  </si>
  <si>
    <t>Příjmení</t>
  </si>
  <si>
    <t>ID</t>
  </si>
  <si>
    <t>Adresa</t>
  </si>
  <si>
    <t>Bytový dům</t>
  </si>
  <si>
    <t>Jednotka číslo</t>
  </si>
  <si>
    <t>Soubor na poslání</t>
  </si>
  <si>
    <t>Datum narození</t>
  </si>
  <si>
    <t>Oslovení</t>
  </si>
  <si>
    <t>Příloha 2</t>
  </si>
  <si>
    <t>Vážený pane inženýre,</t>
  </si>
  <si>
    <t>Vážená paní Pařízková,</t>
  </si>
  <si>
    <t>Vážená paní inženýrko,</t>
  </si>
  <si>
    <t>Vážený pane Pelko,</t>
  </si>
  <si>
    <t>Vážená paní Šťastná,</t>
  </si>
  <si>
    <t>Vážený pane magistře,</t>
  </si>
  <si>
    <t>Vážená paní doktorko,</t>
  </si>
  <si>
    <t>Vážený pane Urbančíku,</t>
  </si>
  <si>
    <t>Vážený pane Dobyšare,</t>
  </si>
  <si>
    <t>Vážený pane Staňku,</t>
  </si>
  <si>
    <t>Vážená paní Davydová,</t>
  </si>
  <si>
    <t>Vážená paní Prušová,</t>
  </si>
  <si>
    <t>Vážená paní Kučerová,</t>
  </si>
  <si>
    <t>Vážená paní Kolouchová,</t>
  </si>
  <si>
    <t>Vážený pane Vintr,</t>
  </si>
  <si>
    <t>Vážená paní Haberlová,</t>
  </si>
  <si>
    <t>Vážený pane Lysáku,</t>
  </si>
  <si>
    <t>Vážený pane doktore,</t>
  </si>
  <si>
    <t>Vážená paní Sedláčková,</t>
  </si>
  <si>
    <t>Vážený pane Raku,</t>
  </si>
  <si>
    <t>Vážený pane Růžičko,</t>
  </si>
  <si>
    <t>Vážený pane Křížku,</t>
  </si>
  <si>
    <t>Vážený pane Medku,</t>
  </si>
  <si>
    <t>Vážená paní Ujobágy,</t>
  </si>
  <si>
    <t>Vážená paní Eliyahu,</t>
  </si>
  <si>
    <t>Vážená paní Brodecká,</t>
  </si>
  <si>
    <t>Vážený pane profesore,</t>
  </si>
  <si>
    <t>Vážená paní Peťková,</t>
  </si>
  <si>
    <t>Vážený pane Bártku,</t>
  </si>
  <si>
    <t>Vážený pane Melichare,</t>
  </si>
  <si>
    <t>Vážená paní magistro,</t>
  </si>
  <si>
    <t>Vážený pane Nováku,</t>
  </si>
  <si>
    <t>Vážený pane Lukáši,</t>
  </si>
  <si>
    <t>Vážená paní Surá,</t>
  </si>
  <si>
    <t>Vážená paní Novotná,</t>
  </si>
  <si>
    <t>Vážený pane Smrži,</t>
  </si>
  <si>
    <t>Vážený pane Trefile,</t>
  </si>
  <si>
    <t>Vážený pane Lapeši,</t>
  </si>
  <si>
    <t>AdminReal s.r.o., Veveří 2581/102 , 616 00 Brno, IČO 02827476, Zapsáno KS v Brně, oddíl C, vložka   82606</t>
  </si>
  <si>
    <t>adresa společenství:</t>
  </si>
  <si>
    <r>
      <t xml:space="preserve">bankovní spojení člena:</t>
    </r>
    <r>
      <rPr>
        <rFont val="Calibri"/>
        <b val="false"/>
        <i val="false"/>
        <strike val="false"/>
        <color rgb="FF000000"/>
        <sz val="11"/>
        <u val="none"/>
      </rPr>
      <t xml:space="preserve"/>
    </r>
  </si>
  <si>
    <t>č. prostoru:</t>
  </si>
  <si>
    <r>
      <t xml:space="preserve">bankovní spojení společenství:</t>
    </r>
    <r>
      <rPr>
        <rFont val="Calibri"/>
        <b val="false"/>
        <i val="false"/>
        <strike val="false"/>
        <color rgb="FF000000"/>
        <sz val="11"/>
        <u val="none"/>
      </rPr>
      <t xml:space="preserve"/>
    </r>
  </si>
  <si>
    <t>variabilní symbol pro platbu nedoplatku:</t>
  </si>
  <si>
    <t>zůčtovací období:</t>
  </si>
  <si>
    <t>MENU</t>
  </si>
  <si>
    <t>POČET OSOB</t>
  </si>
  <si>
    <t>Navýšení předpis o částku (ručně)</t>
  </si>
  <si>
    <t>* pokud nula vypočítá si sám pokud se zadá vezme dané číslo</t>
  </si>
  <si>
    <t>Odběrné místo (dům)</t>
  </si>
  <si>
    <t>Uživatel</t>
  </si>
  <si>
    <t>Položka</t>
  </si>
  <si>
    <t>Sloupec1</t>
  </si>
  <si>
    <t>Jednotka</t>
  </si>
  <si>
    <t>Podíl</t>
  </si>
  <si>
    <t>Náklad</t>
  </si>
  <si>
    <t>Jednotek</t>
  </si>
  <si>
    <t>Kč/jedn</t>
  </si>
  <si>
    <t>Jednotek2</t>
  </si>
  <si>
    <t>Záloha (aktuální)</t>
  </si>
  <si>
    <t>Náklad za rok</t>
  </si>
  <si>
    <t>Nový náklad -+%</t>
  </si>
  <si>
    <t>Přeplatky | nedoplatky</t>
  </si>
  <si>
    <t>Záloha měsíčně                 (aktuální)</t>
  </si>
  <si>
    <t>Záloha měsíčně 
(nová do OS po navýšení o %)</t>
  </si>
  <si>
    <t>Záloha měsíčně                (dle počtu osob)</t>
  </si>
  <si>
    <t>Záloha měsíčně 
(nová do OS po navýšení o částku)</t>
  </si>
  <si>
    <t>Navýšení o kolik procent?</t>
  </si>
  <si>
    <t>Celkem náklady na odběrná místa</t>
  </si>
  <si>
    <t>Celkem vyúčtování:</t>
  </si>
  <si>
    <t>Měsíčně včetně fondu oprav</t>
  </si>
  <si>
    <t>Rozdíl měsíčně</t>
  </si>
  <si>
    <t>* mění se pouze položky této barvy zbytek systém počítá sám, navýšení % nastavujeme až do akceptovatelného preplatku</t>
  </si>
  <si>
    <t>Kontrola</t>
  </si>
  <si>
    <t>Pevné platby</t>
  </si>
  <si>
    <t>Celkem za rok</t>
  </si>
  <si>
    <t>KONTROLA</t>
  </si>
  <si>
    <t>Výsledek vyúčtování</t>
  </si>
  <si>
    <t>Zálohy před změnou</t>
  </si>
  <si>
    <t>*udělat kontrolu s OS zda sedí</t>
  </si>
  <si>
    <t>Záloha po změně</t>
  </si>
  <si>
    <t>*kontrola zda vychází stejněj jako budoucí přeplatek</t>
  </si>
  <si>
    <t>Náklad za poslední vyúčtování</t>
  </si>
  <si>
    <t>Teoretický náklad po změně</t>
  </si>
  <si>
    <t>Budoucí přeplatek/nedoplatek</t>
  </si>
  <si>
    <t>*ideálně aspon 3 tisíce přeplatek</t>
  </si>
  <si>
    <t>VÝSTUPY</t>
  </si>
  <si>
    <t>MĚŘIDLA A DATA</t>
  </si>
  <si>
    <t>EVIDENCE</t>
  </si>
  <si>
    <t>EXPORT</t>
  </si>
  <si>
    <t>Vstupní data</t>
  </si>
  <si>
    <t>Vodoměry TUV</t>
  </si>
  <si>
    <t>Evidence</t>
  </si>
  <si>
    <t>Export send mail</t>
  </si>
  <si>
    <t xml:space="preserve">Výpočet vyúčtování </t>
  </si>
  <si>
    <t>Vyúčtování</t>
  </si>
  <si>
    <t>Vodoměry SV</t>
  </si>
  <si>
    <t>Úhrady</t>
  </si>
  <si>
    <t>Bytové domy</t>
  </si>
  <si>
    <t>Příjem SVJ včetně výdajů</t>
  </si>
  <si>
    <t>Teplo</t>
  </si>
  <si>
    <t>Přeplatky a nedoplatky</t>
  </si>
  <si>
    <t>Odečty formulář</t>
  </si>
  <si>
    <t>Příjem SVJ bez výdajů</t>
  </si>
  <si>
    <t>Elektroměry</t>
  </si>
  <si>
    <t>Předpisy - výpočet</t>
  </si>
  <si>
    <t>Náklady za dům</t>
  </si>
  <si>
    <t>Výtahy</t>
  </si>
  <si>
    <t>Rozpočet domu</t>
  </si>
  <si>
    <t>Počet osob</t>
  </si>
  <si>
    <t>Parametry</t>
  </si>
  <si>
    <t>Předpisy po měsící</t>
  </si>
  <si>
    <t>Faktury</t>
  </si>
  <si>
    <t>Faktury za služby</t>
  </si>
  <si>
    <r>
      <t xml:space="preserve">Jednotek</t>
    </r>
    <r>
      <rPr>
        <rFont val="Calibri"/>
        <b val="false"/>
        <i val="false"/>
        <strike val="false"/>
        <color rgb="FFD8D8D8"/>
        <sz val="11"/>
        <u val="none"/>
      </rPr>
      <t xml:space="preserve">2</t>
    </r>
  </si>
  <si>
    <r>
      <t xml:space="preserve">Náklad</t>
    </r>
    <r>
      <rPr>
        <rFont val="Calibri"/>
        <b val="false"/>
        <i val="false"/>
        <strike val="false"/>
        <color rgb="FFD8D8D8"/>
        <sz val="11"/>
        <u val="none"/>
      </rPr>
      <t xml:space="preserve">2</t>
    </r>
  </si>
  <si>
    <t>Záloha</t>
  </si>
  <si>
    <t>Přeplatky|nedoplatky</t>
  </si>
  <si>
    <t>Měřené služby</t>
  </si>
  <si>
    <t>Služba</t>
  </si>
  <si>
    <t>Období</t>
  </si>
  <si>
    <t>Měřidlo</t>
  </si>
  <si>
    <t>Poč.stav</t>
  </si>
  <si>
    <t>Kon.stav</t>
  </si>
  <si>
    <t>Spotřeba</t>
  </si>
  <si>
    <t>Vysvětlivky polí(adres)</t>
  </si>
  <si>
    <t>Název - Bytový dům</t>
  </si>
  <si>
    <t>Společenství vlastníků pro dům Neptun</t>
  </si>
  <si>
    <t>Kníničky č.ev. 318, 635 00 Brno</t>
  </si>
  <si>
    <t>vp_ - vyhledávací pole - následuje jméno listu kde je</t>
  </si>
  <si>
    <t>VD_ vstupní dat, na začátku vždy zkratka listu</t>
  </si>
  <si>
    <t>Variabilní symbol</t>
  </si>
  <si>
    <t>*vs je s devitkami na konci kvuli platbe</t>
  </si>
  <si>
    <t>bankovní spojení (účet) vlastníka bytu</t>
  </si>
  <si>
    <t>Úhrada dle delky vlastnictví</t>
  </si>
  <si>
    <t>Předpisy</t>
  </si>
  <si>
    <t>FO</t>
  </si>
  <si>
    <t>vyúčtovací období</t>
  </si>
  <si>
    <t>Platby záloh</t>
  </si>
  <si>
    <t>Předpis záloh</t>
  </si>
  <si>
    <t>Rozdíl</t>
  </si>
  <si>
    <t>Datum pro vypočet</t>
  </si>
  <si>
    <t>OD</t>
  </si>
  <si>
    <t>DO zbytek roku</t>
  </si>
  <si>
    <t>DO</t>
  </si>
  <si>
    <t>Převod na číslo sloupce</t>
  </si>
  <si>
    <t>vzorec na změnu měsíců dle vlastnictví</t>
  </si>
  <si>
    <t>Přeplatek/nedoplatek z minulého období</t>
  </si>
  <si>
    <t>Převod na písmeno sloupce</t>
  </si>
  <si>
    <t>Přeplatky/nedoplatky v aktuálním roce</t>
  </si>
  <si>
    <t>Pořet měsíců-pro kontrolu</t>
  </si>
  <si>
    <t>Za rok</t>
  </si>
  <si>
    <t>Platba FO</t>
  </si>
  <si>
    <t>Řádek vybraneho bytu</t>
  </si>
  <si>
    <t>Cena BVak</t>
  </si>
  <si>
    <t>105,53</t>
  </si>
  <si>
    <t>Zbylé měsíce</t>
  </si>
  <si>
    <t>Čas</t>
  </si>
  <si>
    <t>Adresa bunek pro součet</t>
  </si>
  <si>
    <t>Počet měsíců (užíváno majitelem)</t>
  </si>
  <si>
    <t>první část roku</t>
  </si>
  <si>
    <t>Finální adresa pro součet</t>
  </si>
  <si>
    <t>První část roku</t>
  </si>
  <si>
    <t>Druhá část roku</t>
  </si>
  <si>
    <t>Počet jednotek</t>
  </si>
  <si>
    <t>Finání součet</t>
  </si>
  <si>
    <t>Užitná plocha domu - celková</t>
  </si>
  <si>
    <t>Měsíc</t>
  </si>
  <si>
    <t>Předpisy celkem</t>
  </si>
  <si>
    <t>Užitná plocha domu - započitatelná</t>
  </si>
  <si>
    <t>Platby jednotlivě</t>
  </si>
  <si>
    <t>Počet komínů</t>
  </si>
  <si>
    <t>Počet osob (celkem/výtah)</t>
  </si>
  <si>
    <t>číslo účtu společenství</t>
  </si>
  <si>
    <t>odečet SV vody za daný rok</t>
  </si>
  <si>
    <t>odečet TUV za daný rok</t>
  </si>
  <si>
    <t>celková plocha jednotky</t>
  </si>
  <si>
    <t>Leskava sklep</t>
  </si>
  <si>
    <t>započitatelná plocha jednotky</t>
  </si>
  <si>
    <t>Leskava garáž</t>
  </si>
  <si>
    <t>spoluvlastnictví podíl</t>
  </si>
  <si>
    <t>výpočet vlastnického podílu</t>
  </si>
  <si>
    <t>externí výpočet nákladů tepla</t>
  </si>
  <si>
    <t>Kontrola předpis/vyúčtování</t>
  </si>
  <si>
    <t>Fond oprav</t>
  </si>
  <si>
    <t>Adresa nemovitosti</t>
  </si>
  <si>
    <t>CELKEM</t>
  </si>
  <si>
    <t>Vyplacení vyúčtování do</t>
  </si>
  <si>
    <t>Přeplatky a nedoplatky z vyúčtování jsou splatné nejpozději do 7 (sedmi) měsíců od skončení zúčtovacího období.</t>
  </si>
  <si>
    <t>Reklamace nejpozději do</t>
  </si>
  <si>
    <t xml:space="preserve">Případné reklamace uplatněte výhradně písemnou (elektronickou) formou na adrese správce (viz. záhlaví) nejpozději do 30 dnů od doručení vyúčtování včetně případné změny Vašeho osobního účtu pro vyplacení přeplatku. </t>
  </si>
  <si>
    <t>Správce nemovitosti</t>
  </si>
  <si>
    <t>AdminReal, s.r.o.</t>
  </si>
  <si>
    <t>Číslo účtu společenství</t>
  </si>
  <si>
    <t>2701656546/2010</t>
  </si>
  <si>
    <t>Předčíslí čísla účtu</t>
  </si>
  <si>
    <t>000000</t>
  </si>
  <si>
    <t>číslo účtu</t>
  </si>
  <si>
    <t>Kód banky</t>
  </si>
  <si>
    <t>Příjem SVJ</t>
  </si>
  <si>
    <t>Náklady SVJ</t>
  </si>
  <si>
    <t>Správcovské firmy</t>
  </si>
  <si>
    <t>Logo</t>
  </si>
  <si>
    <t>AdminReal</t>
  </si>
  <si>
    <t>BrnoReal</t>
  </si>
  <si>
    <t>Služby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</si>
  <si>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</si>
  <si>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</si>
  <si>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</si>
  <si>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</si>
  <si>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</si>
  <si>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</si>
  <si>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</si>
  <si>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</si>
  <si>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</si>
  <si>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</si>
  <si>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</si>
  <si>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</si>
  <si>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</si>
  <si>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</si>
  <si>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</si>
  <si>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</si>
  <si>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</si>
  <si>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</si>
  <si>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</si>
  <si>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</si>
  <si>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</si>
  <si>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</si>
  <si>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</si>
  <si>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Sumy služeb z vyúčtování</t>
  </si>
  <si>
    <t>Součet u jednotek z vyúčtování</t>
  </si>
  <si>
    <t>Výsledek</t>
  </si>
  <si>
    <t>Elektřina</t>
  </si>
  <si>
    <t>Úklid bytového domu</t>
  </si>
  <si>
    <t>Komíny</t>
  </si>
  <si>
    <t>Výtah</t>
  </si>
  <si>
    <t>Poštovné</t>
  </si>
  <si>
    <t>Pojištění domu</t>
  </si>
  <si>
    <t>Vodné (teplá voda)</t>
  </si>
  <si>
    <t>Vodné (studená voda)</t>
  </si>
  <si>
    <t>Ohřev teplé vody (30)</t>
  </si>
  <si>
    <t>Ohřev teplé vody (70)</t>
  </si>
  <si>
    <t>Ostatní náklady - UPC</t>
  </si>
  <si>
    <t>Poplatek za psa</t>
  </si>
  <si>
    <t>Ostatní náklady (sklepy)</t>
  </si>
  <si>
    <t>Ostatní náklady (garáže)</t>
  </si>
  <si>
    <t>Správa domu</t>
  </si>
  <si>
    <t>Vodné (společné části a ztráty)</t>
  </si>
  <si>
    <t>Odměna statutárem</t>
  </si>
  <si>
    <t>Ostatní nájemné</t>
  </si>
  <si>
    <t>Ostatní služby</t>
  </si>
  <si>
    <t>Výtah Úvoz 59c</t>
  </si>
  <si>
    <t>Elektřina Úvoz 59c</t>
  </si>
  <si>
    <t>Výpočet elekřina pro dva vchody Úvoz</t>
  </si>
  <si>
    <t>Výpočet výtah pro dva vchody Úvoz</t>
  </si>
  <si>
    <t>Column24</t>
  </si>
  <si>
    <t>Column25</t>
  </si>
  <si>
    <t>Součet</t>
  </si>
  <si>
    <t>---</t>
  </si>
  <si>
    <t>Fond oprav nebytových prostor</t>
  </si>
  <si>
    <t>Ohřev teplé vody (TUV)</t>
  </si>
  <si>
    <t>Ostatní náklady (garáž a sklepy)</t>
  </si>
  <si>
    <t>0</t>
  </si>
  <si>
    <t>02</t>
  </si>
  <si>
    <t>Odměna statutárům</t>
  </si>
  <si>
    <t>Záloha měsíčně (nová do OS) Celkem</t>
  </si>
  <si>
    <t>Záloha měsíčně (aktuální)</t>
  </si>
  <si>
    <t>Fond oprav měsíčně</t>
  </si>
  <si>
    <t>Nová záloha + Fond oprav měsíčně</t>
  </si>
  <si>
    <t>Aktuální záloha + Fond oprav měsíčně</t>
  </si>
  <si>
    <t>Cesta &amp; jméno souboru</t>
  </si>
  <si>
    <t>Způsob rozúčtování</t>
  </si>
  <si>
    <r>
      <t xml:space="preserve">Jednotek </t>
    </r>
    <r>
      <rPr>
        <rFont val="Calibri"/>
        <b val="false"/>
        <i val="false"/>
        <strike val="false"/>
        <color rgb="FF000000"/>
        <sz val="11"/>
        <u val="none"/>
      </rPr>
      <t xml:space="preserve">(dům)</t>
    </r>
  </si>
  <si>
    <r>
      <t xml:space="preserve">Kč/jedn </t>
    </r>
    <r>
      <rPr>
        <rFont val="Calibri"/>
        <b val="false"/>
        <i val="false"/>
        <strike val="false"/>
        <color rgb="FF000000"/>
        <sz val="11"/>
        <u val="none"/>
      </rPr>
      <t xml:space="preserve">(dům)</t>
    </r>
  </si>
  <si>
    <r>
      <t xml:space="preserve">Jednotek </t>
    </r>
    <r>
      <rPr>
        <rFont val="Calibri"/>
        <b val="false"/>
        <i val="false"/>
        <strike val="false"/>
        <color rgb="FF000000"/>
        <sz val="11"/>
        <u val="none"/>
      </rPr>
      <t xml:space="preserve">(uživatel)</t>
    </r>
  </si>
  <si>
    <r>
      <t xml:space="preserve">Náklad </t>
    </r>
    <r>
      <rPr>
        <rFont val="Calibri"/>
        <b val="false"/>
        <i val="false"/>
        <strike val="false"/>
        <color rgb="FF000000"/>
        <sz val="11"/>
        <u val="none"/>
      </rPr>
      <t xml:space="preserve">(uživatel)</t>
    </r>
  </si>
  <si>
    <r>
      <t xml:space="preserve">Záloha </t>
    </r>
    <r>
      <rPr>
        <rFont val="Calibri"/>
        <b val="false"/>
        <i val="false"/>
        <strike val="false"/>
        <color rgb="FF000000"/>
        <sz val="11"/>
        <u val="none"/>
      </rPr>
      <t xml:space="preserve">(uživatel)</t>
    </r>
  </si>
  <si>
    <t>Přeplatky/nedoplatky</t>
  </si>
  <si>
    <t>Faktura součet bez zohlednění měsíců</t>
  </si>
  <si>
    <t>nevyúčtovává se</t>
  </si>
  <si>
    <t>Fond společenství</t>
  </si>
  <si>
    <t>na byt</t>
  </si>
  <si>
    <t>Správa</t>
  </si>
  <si>
    <t>Vodné a stočné</t>
  </si>
  <si>
    <t>odečet SV</t>
  </si>
  <si>
    <t>externí</t>
  </si>
  <si>
    <t>-</t>
  </si>
  <si>
    <t>vlastnický podíl</t>
  </si>
  <si>
    <t>Úklid vnitřní</t>
  </si>
  <si>
    <t>Úklid venkovní, sekání trávy a zimní údržba</t>
  </si>
  <si>
    <t>Bazén</t>
  </si>
  <si>
    <t>rovným dílem 1/22</t>
  </si>
  <si>
    <t>Úklid venkovní</t>
  </si>
  <si>
    <t>Odměna výboru</t>
  </si>
  <si>
    <t>Prázdné</t>
  </si>
  <si>
    <t>Účetnictví SVJ</t>
  </si>
  <si>
    <t>Elektřina - garáže</t>
  </si>
  <si>
    <t>Servisy</t>
  </si>
  <si>
    <t>odečty TUV</t>
  </si>
  <si>
    <t>m2 celkové plochy</t>
  </si>
  <si>
    <t>1315,6</t>
  </si>
  <si>
    <t>Jednotky</t>
  </si>
  <si>
    <t>Jméno a příjmení</t>
  </si>
  <si>
    <t>Telefon</t>
  </si>
  <si>
    <t>Celková výměra bytu</t>
  </si>
  <si>
    <t>Započítatelná výměra bytu</t>
  </si>
  <si>
    <t>Podíl v domě</t>
  </si>
  <si>
    <t>Bankovní spojení</t>
  </si>
  <si>
    <t>Podíl v domě (za závorkou)</t>
  </si>
  <si>
    <t>Podíl v domě (před závorokou bez podílu za závorkou)</t>
  </si>
  <si>
    <t>Pomocný výpočet</t>
  </si>
  <si>
    <t>V evidenci od</t>
  </si>
  <si>
    <t>V evidenci do</t>
  </si>
  <si>
    <t>Počet měsíců užívání</t>
  </si>
  <si>
    <t>V.S. pro platbu nedoplatku</t>
  </si>
  <si>
    <t>Provazníkova garáže</t>
  </si>
  <si>
    <t>Bazén č. 318/23</t>
  </si>
  <si>
    <t>Igor Bažant</t>
  </si>
  <si>
    <t>U Hřiště 299, 664 34 Moravské Knínice</t>
  </si>
  <si>
    <t>1.1.2024</t>
  </si>
  <si>
    <t>31.12.2024</t>
  </si>
  <si>
    <t>1.1.2024 - 31.12.2024</t>
  </si>
  <si>
    <t>Jednotka č. 318/01</t>
  </si>
  <si>
    <t>Ing. Miloš Dvořák</t>
  </si>
  <si>
    <t>Kratochvilka 157, 664 91 Kratochvilka</t>
  </si>
  <si>
    <t>milos.dvorak1@gmail.com</t>
  </si>
  <si>
    <t>607 869 183</t>
  </si>
  <si>
    <t>764/14238</t>
  </si>
  <si>
    <t>199573155/0300</t>
  </si>
  <si>
    <t>01.10.2024</t>
  </si>
  <si>
    <t>01.10.2024 - 31.12.2024</t>
  </si>
  <si>
    <t>Jednotka č. 318/01 P</t>
  </si>
  <si>
    <t>Radana Pařízková</t>
  </si>
  <si>
    <t>Svážná 382/2, 634 00 Brno</t>
  </si>
  <si>
    <t>rparizkova@centrum.cz</t>
  </si>
  <si>
    <t>1102999163/0800</t>
  </si>
  <si>
    <t>30.09.2024</t>
  </si>
  <si>
    <t>1.1.2024 - 30.09.2024</t>
  </si>
  <si>
    <t>Jednotka č. 318/02</t>
  </si>
  <si>
    <t>Ing. Ivana Tošovská</t>
  </si>
  <si>
    <t>Vackova 1064/39, 602 00 Brno</t>
  </si>
  <si>
    <t>tosovska@fiedlerreality.cz</t>
  </si>
  <si>
    <t>349/14238</t>
  </si>
  <si>
    <t>366666667/0300</t>
  </si>
  <si>
    <t>Jednotka č. 318/03</t>
  </si>
  <si>
    <t>Igor Pelka</t>
  </si>
  <si>
    <t>Zborovská 937/1, 616 00 Brno</t>
  </si>
  <si>
    <t>Pelkova.K@seznam.cz</t>
  </si>
  <si>
    <t>453/14238</t>
  </si>
  <si>
    <t>230226726/0300</t>
  </si>
  <si>
    <t>Jednotka č. 318/04</t>
  </si>
  <si>
    <t>Alena Šťastná</t>
  </si>
  <si>
    <t>Okružní 4551, 760 05 Zlín</t>
  </si>
  <si>
    <t>denisastastna@seznam.cz</t>
  </si>
  <si>
    <t>828/14238</t>
  </si>
  <si>
    <t>35-3652840287/0100</t>
  </si>
  <si>
    <t>Jednotka č. 318/05</t>
  </si>
  <si>
    <t>Mgr. David Liškutin</t>
  </si>
  <si>
    <t>Elišky Machové 1173/37, 616 00 Brno</t>
  </si>
  <si>
    <t>david.liskutin@gmail.com</t>
  </si>
  <si>
    <t>651/14238</t>
  </si>
  <si>
    <t>35-4832120257/0100</t>
  </si>
  <si>
    <t>Jednotka č. 318/06</t>
  </si>
  <si>
    <t>611/14238</t>
  </si>
  <si>
    <t>Jednotka č. 318/07</t>
  </si>
  <si>
    <t>Mgr. Nikolaj Zakreničnyj</t>
  </si>
  <si>
    <t>Denisovo náměstí 512/4, 746 01 Opava</t>
  </si>
  <si>
    <t>zakrenicnyj@gmail.com</t>
  </si>
  <si>
    <t>734/14238</t>
  </si>
  <si>
    <t>2656625053/0800</t>
  </si>
  <si>
    <t>Jednotka č. 318/08</t>
  </si>
  <si>
    <t>Ing. Marek Filistein</t>
  </si>
  <si>
    <t>Kníničky 318, 635 00 Brno</t>
  </si>
  <si>
    <t>filikamen@gmail.com</t>
  </si>
  <si>
    <t>705/14238</t>
  </si>
  <si>
    <t>199125766/0300</t>
  </si>
  <si>
    <t>Jednotka č. 318/09</t>
  </si>
  <si>
    <t>MUDr. Sylva Urbančíková</t>
  </si>
  <si>
    <t>Ondrova 62/62, 635 00 Brno</t>
  </si>
  <si>
    <t>sylva.u@centrum.cz</t>
  </si>
  <si>
    <t>628/14238</t>
  </si>
  <si>
    <t>1518756093/0800</t>
  </si>
  <si>
    <t>Jednotka č. 318/10</t>
  </si>
  <si>
    <t>Ing. Dušan Bohdálek</t>
  </si>
  <si>
    <t>xbohd@volny.cz</t>
  </si>
  <si>
    <t>522/14238</t>
  </si>
  <si>
    <t>27-8674610207/0100</t>
  </si>
  <si>
    <t>Jednotka č. 318/11</t>
  </si>
  <si>
    <t>Pharm.Dr. Petra Kučerová</t>
  </si>
  <si>
    <t>Cacovická 1622/67, 614 00 Brno</t>
  </si>
  <si>
    <t>petra.kuc@seznam.cz</t>
  </si>
  <si>
    <t>890/14238</t>
  </si>
  <si>
    <t>131-81070237/0100</t>
  </si>
  <si>
    <t>Jednotka č. 318/12</t>
  </si>
  <si>
    <t>Jan Urbančík</t>
  </si>
  <si>
    <t>Kounicova 13/69, 602 00 Brno</t>
  </si>
  <si>
    <t>urbancikh@seznam.cz</t>
  </si>
  <si>
    <t>848/14238</t>
  </si>
  <si>
    <t>1739490153/0800</t>
  </si>
  <si>
    <t>Jednotka č. 318/13</t>
  </si>
  <si>
    <t>Karel Dobyšar</t>
  </si>
  <si>
    <t>Nádražní 494,664 71 Veverská Bítýška</t>
  </si>
  <si>
    <t>karel.dobysar@gmail.com</t>
  </si>
  <si>
    <t>572/14238</t>
  </si>
  <si>
    <t>107-7126900217/0100</t>
  </si>
  <si>
    <t>Jednotka č. 318/14</t>
  </si>
  <si>
    <t>Ondřej Staněk</t>
  </si>
  <si>
    <t>ondra.st@gmail.com</t>
  </si>
  <si>
    <t>532/14238</t>
  </si>
  <si>
    <t>1011352903/6100</t>
  </si>
  <si>
    <t>Jednotka č. 318/15</t>
  </si>
  <si>
    <t>Daryna Davydová</t>
  </si>
  <si>
    <t>daryna.davydova@icloud.com</t>
  </si>
  <si>
    <t>982/14238</t>
  </si>
  <si>
    <t>115-8654940217/0100</t>
  </si>
  <si>
    <t>Jednotka č. 318/16 P</t>
  </si>
  <si>
    <t>Martina Prušová</t>
  </si>
  <si>
    <t>martina.prusova@yahoo.co.uk</t>
  </si>
  <si>
    <t>627/14238</t>
  </si>
  <si>
    <t>1273928036/3030</t>
  </si>
  <si>
    <t>Jednotka č. 318/17 P</t>
  </si>
  <si>
    <t>533/14238</t>
  </si>
  <si>
    <t>Jednotka č. 318/18</t>
  </si>
  <si>
    <t>Renáta Kučerová</t>
  </si>
  <si>
    <t>kuc.re@seznam.cz</t>
  </si>
  <si>
    <t>637/14238</t>
  </si>
  <si>
    <t>1518026015/3030</t>
  </si>
  <si>
    <t>Jednotka č. 318/19</t>
  </si>
  <si>
    <t>Lenka Kolouchová</t>
  </si>
  <si>
    <t>Hrázní 341/5c, 635 00 Brno</t>
  </si>
  <si>
    <t>lenakolouch@gmail.com</t>
  </si>
  <si>
    <t>606/14238</t>
  </si>
  <si>
    <t>2411196799/5500</t>
  </si>
  <si>
    <t>Jednotka č. 318/20</t>
  </si>
  <si>
    <t>Jiří Vintr</t>
  </si>
  <si>
    <t>Josefy Faimonové 2237/22, 628 00 Brno</t>
  </si>
  <si>
    <t>jirivintr@gmail.com</t>
  </si>
  <si>
    <t>619/14238</t>
  </si>
  <si>
    <t>35-4506860217/0100</t>
  </si>
  <si>
    <t>Jednotka č. 318/21</t>
  </si>
  <si>
    <t>Yvetta Haberlová</t>
  </si>
  <si>
    <t>yvetta.haberlova@gmail.com</t>
  </si>
  <si>
    <t>691/14238</t>
  </si>
  <si>
    <t>1307121143/0800</t>
  </si>
  <si>
    <t>Jednotka č. 318/22</t>
  </si>
  <si>
    <t>Ing. arch. Ludvík Křenek</t>
  </si>
  <si>
    <t>Klatovská 196/4, 602 00 Brno</t>
  </si>
  <si>
    <t>krenek@albatrosarch.cz</t>
  </si>
  <si>
    <t>456/14238</t>
  </si>
  <si>
    <t>7888181001/5500</t>
  </si>
  <si>
    <t>název</t>
  </si>
  <si>
    <t>Rok</t>
  </si>
  <si>
    <t>příjem SVJ</t>
  </si>
  <si>
    <t>výdaje SVJ</t>
  </si>
  <si>
    <t>161 906,32</t>
  </si>
  <si>
    <t>Vodoměry Vídeňská - ztráty k rozúčtování</t>
  </si>
  <si>
    <t>Voda celkem za rok - opsat z excel voda</t>
  </si>
  <si>
    <t>voda celkem</t>
  </si>
  <si>
    <t>SV</t>
  </si>
  <si>
    <t>TV</t>
  </si>
  <si>
    <t>celkem</t>
  </si>
  <si>
    <t>Místnost</t>
  </si>
  <si>
    <t>Počáteční stav</t>
  </si>
  <si>
    <t>Odečtená hodnota</t>
  </si>
  <si>
    <t>Spotřeba po odečtení</t>
  </si>
  <si>
    <t>kočárkárna</t>
  </si>
  <si>
    <t>částka k rozúčtování bez ztrát zadat do OS</t>
  </si>
  <si>
    <t>zadat celková cena za vodu za rok s DPH</t>
  </si>
  <si>
    <t>hl vodoměr</t>
  </si>
  <si>
    <t>x</t>
  </si>
  <si>
    <t>spotřeba, bere se tato je v tom i kočárkárna</t>
  </si>
  <si>
    <t>Výpočet základní a spotřební složky</t>
  </si>
  <si>
    <r>
      <t xml:space="preserve">Částka </t>
    </r>
    <r>
      <rPr>
        <rFont val="Calibri"/>
        <b val="true"/>
        <i val="false"/>
        <strike val="false"/>
        <color rgb="FFFF0000"/>
        <sz val="11"/>
        <u val="none"/>
      </rPr>
      <t xml:space="preserve">bez DPH</t>
    </r>
  </si>
  <si>
    <t>DPH</t>
  </si>
  <si>
    <t>S DPH 10%</t>
  </si>
  <si>
    <t>základní složka 30%</t>
  </si>
  <si>
    <t>U Leskavy - výpočet nákladů garáž a sklep</t>
  </si>
  <si>
    <t>spotřební složka 70%</t>
  </si>
  <si>
    <t>osvětlení</t>
  </si>
  <si>
    <t>správa</t>
  </si>
  <si>
    <t>podíl pro pojištění</t>
  </si>
  <si>
    <t>pojištění</t>
  </si>
  <si>
    <t>úklid  a další služby (revize)</t>
  </si>
  <si>
    <t>Celkem</t>
  </si>
  <si>
    <t>vyplnit z faktury od tepláren tam je pozor uvedena částka bez DPH</t>
  </si>
  <si>
    <t>sklepy</t>
  </si>
  <si>
    <t>garáž</t>
  </si>
  <si>
    <t>Kotlářská 38</t>
  </si>
  <si>
    <t>viz samotný excel voda</t>
  </si>
  <si>
    <t>* vyplň na konci roku dle faktur pozor DPH 15</t>
  </si>
  <si>
    <t>SV voda celkem bez ALFA</t>
  </si>
  <si>
    <t>Voda Zborovská 2</t>
  </si>
  <si>
    <t>spotřeba celkem</t>
  </si>
  <si>
    <t>Spotřeba byty s vodoměry se ztrátou 5%</t>
  </si>
  <si>
    <t>Spotřeba byty bez vodoměrů</t>
  </si>
  <si>
    <t>OK|23</t>
  </si>
  <si>
    <t>byty s vodoměry</t>
  </si>
  <si>
    <t>Faktura za rok</t>
  </si>
  <si>
    <t>zadat fakturaci za rok</t>
  </si>
  <si>
    <t>bez vodoměrů</t>
  </si>
  <si>
    <t>základní složka</t>
  </si>
  <si>
    <t>s vodoměry</t>
  </si>
  <si>
    <t>spotřební složka</t>
  </si>
  <si>
    <t>kontrola</t>
  </si>
  <si>
    <t>zadat hodnotu celkem</t>
  </si>
  <si>
    <t>AlfaCOM na TUV</t>
  </si>
  <si>
    <t xml:space="preserve">Úvoz 59 b,c </t>
  </si>
  <si>
    <t>Moravany</t>
  </si>
  <si>
    <t>Částka</t>
  </si>
  <si>
    <t>Pozn</t>
  </si>
  <si>
    <t>Celková spotřeba kWh objekt</t>
  </si>
  <si>
    <t>Celkem za elektřinu [Kč]</t>
  </si>
  <si>
    <t>Cena za [kWh]</t>
  </si>
  <si>
    <t>Spotřeba garáž [kWh]</t>
  </si>
  <si>
    <t>Spotřeba dům [kWh]</t>
  </si>
  <si>
    <t>Výtah 427/59b</t>
  </si>
  <si>
    <t>náklady na výtah bez oprav jen Schindler servis</t>
  </si>
  <si>
    <t>Výtah 428/59c</t>
  </si>
  <si>
    <t>Spotřeba garáží [Kč] - faktura za el vyhřívání od Višnová 6</t>
  </si>
  <si>
    <t>Elektřina 427/59b</t>
  </si>
  <si>
    <t xml:space="preserve">spotřeba elektřiny </t>
  </si>
  <si>
    <t>Spotřeba [Kč/rok]</t>
  </si>
  <si>
    <t>Elektřina 428/59c</t>
  </si>
  <si>
    <t>Kč/jednotek</t>
  </si>
  <si>
    <t>Jednotek spotrebovanych</t>
  </si>
  <si>
    <t>Název</t>
  </si>
  <si>
    <t>Cena za kalibraci</t>
  </si>
  <si>
    <t>Kalibrace měřidel</t>
  </si>
  <si>
    <t>Garáž</t>
  </si>
  <si>
    <t>odečty elektro</t>
  </si>
  <si>
    <t>Člen</t>
  </si>
  <si>
    <t>součet</t>
  </si>
  <si>
    <t>Výtah (počet osob)</t>
  </si>
  <si>
    <t>Voda (Zborovská 2)</t>
  </si>
  <si>
    <t>Vodoměr nebo ne</t>
  </si>
  <si>
    <t>Směrné číslo [m3/osoba]</t>
  </si>
  <si>
    <t>Spotřeba dle osob</t>
  </si>
  <si>
    <t xml:space="preserve">Přepočet </t>
  </si>
  <si>
    <t>Počet měsíců užívání v roce 2019 Provazníkova</t>
  </si>
  <si>
    <t>Podíl x počet měsíců</t>
  </si>
  <si>
    <t xml:space="preserve">castka k rozuctovani </t>
  </si>
  <si>
    <t>1.NP</t>
  </si>
  <si>
    <t>celková částka za rok bez zohlednění měsíců</t>
  </si>
  <si>
    <t xml:space="preserve"> Radana Pařízková</t>
  </si>
  <si>
    <t xml:space="preserve"> Igor Pelka</t>
  </si>
  <si>
    <t xml:space="preserve"> Alena Šťastná</t>
  </si>
  <si>
    <t xml:space="preserve"> Jan Urbančík</t>
  </si>
  <si>
    <t xml:space="preserve"> Karel Dobyšar</t>
  </si>
  <si>
    <t xml:space="preserve"> Ondřej Staněk</t>
  </si>
  <si>
    <t xml:space="preserve"> Daryna Davydová</t>
  </si>
  <si>
    <t xml:space="preserve"> Martina Prušová</t>
  </si>
  <si>
    <t xml:space="preserve"> Renáta Kučerová</t>
  </si>
  <si>
    <t xml:space="preserve"> Lenka Kolouchová</t>
  </si>
  <si>
    <t xml:space="preserve"> Jiří Vintr</t>
  </si>
  <si>
    <t xml:space="preserve"> Yvetta Haberlová</t>
  </si>
  <si>
    <t>Ostatní služby 2</t>
  </si>
  <si>
    <t>Předpisy po měsíci celkem</t>
  </si>
  <si>
    <t>CELKEM (kontrola)</t>
  </si>
  <si>
    <t>Ano/Ne</t>
  </si>
  <si>
    <t>Úvoz 59b (m2)</t>
  </si>
  <si>
    <t>Úvoz 59c (m2)</t>
  </si>
  <si>
    <t>Počet jízd Provazníkova</t>
  </si>
  <si>
    <t>Vlastník</t>
  </si>
  <si>
    <t>Název služby</t>
  </si>
  <si>
    <t>číslo</t>
  </si>
  <si>
    <t>počáteční</t>
  </si>
  <si>
    <t>Počet</t>
  </si>
  <si>
    <t>ano</t>
  </si>
  <si>
    <t>Parkovací místa</t>
  </si>
  <si>
    <t>Byt</t>
  </si>
  <si>
    <t>Použití</t>
  </si>
  <si>
    <t>Stoupačka</t>
  </si>
  <si>
    <t>Datum odečtu</t>
  </si>
  <si>
    <t>Počáteční hodnota</t>
  </si>
  <si>
    <t>Spotřeba za období</t>
  </si>
  <si>
    <t>Číslo radiového modulu</t>
  </si>
  <si>
    <t>TUV1</t>
  </si>
  <si>
    <t>04 01 2025</t>
  </si>
  <si>
    <t>Kn318-001</t>
  </si>
  <si>
    <t>30 09 2024</t>
  </si>
  <si>
    <t>Kn318-001P</t>
  </si>
  <si>
    <t>08 01 2025</t>
  </si>
  <si>
    <t>Kn318-002</t>
  </si>
  <si>
    <t>03 01 2025</t>
  </si>
  <si>
    <t>Kn318-003</t>
  </si>
  <si>
    <t>Kn318-004</t>
  </si>
  <si>
    <t>10 01 2025</t>
  </si>
  <si>
    <t>Kn318-005</t>
  </si>
  <si>
    <t>07 01 2025</t>
  </si>
  <si>
    <t>Kn318-006</t>
  </si>
  <si>
    <t>Kn318-007</t>
  </si>
  <si>
    <t>05 01 2025</t>
  </si>
  <si>
    <t>Kn318-008</t>
  </si>
  <si>
    <t>Kn318-010</t>
  </si>
  <si>
    <t>06 01 2025</t>
  </si>
  <si>
    <t>15 01 2025</t>
  </si>
  <si>
    <t>Kn318-011</t>
  </si>
  <si>
    <t>Kn318-012</t>
  </si>
  <si>
    <t>Kn318-013</t>
  </si>
  <si>
    <t>04 02 2025</t>
  </si>
  <si>
    <t>Kn318-014</t>
  </si>
  <si>
    <t>13 01 2025</t>
  </si>
  <si>
    <t>Kn318-015</t>
  </si>
  <si>
    <t>Kn318-016P</t>
  </si>
  <si>
    <t>Kn318-017P</t>
  </si>
  <si>
    <t>20 01 2025</t>
  </si>
  <si>
    <t>Kn318-018</t>
  </si>
  <si>
    <t>Kn318-019</t>
  </si>
  <si>
    <t>Kn318-020</t>
  </si>
  <si>
    <t>Kn318-021</t>
  </si>
  <si>
    <t>Kn318-022</t>
  </si>
  <si>
    <t>SV1</t>
  </si>
  <si>
    <t>31 12 2024</t>
  </si>
  <si>
    <t>Přeplatek/nedoplatek</t>
  </si>
  <si>
    <t>Uhrazeno/zasláno</t>
  </si>
  <si>
    <t>Uhrazeno/zasláno dne</t>
  </si>
  <si>
    <t>Nezadáno</t>
  </si>
  <si>
    <t>01. 01. 2024</t>
  </si>
  <si>
    <t>Předpis za rok</t>
  </si>
  <si>
    <t>Zaplaceno rok mínus předpis</t>
  </si>
  <si>
    <t>SV - hlavní vodoměr:</t>
  </si>
  <si>
    <t>Odečetl:</t>
  </si>
  <si>
    <t>Název společenství:</t>
  </si>
  <si>
    <t>Byt č.</t>
  </si>
  <si>
    <t>Číslo měřidla</t>
  </si>
  <si>
    <t>Druh měřidla</t>
  </si>
  <si>
    <t xml:space="preserve">Předch. odečet </t>
  </si>
  <si>
    <t>Provedený odečet</t>
  </si>
  <si>
    <t>Podpis</t>
  </si>
  <si>
    <t>číslo účtu domu</t>
  </si>
  <si>
    <t>celková plocha domu</t>
  </si>
  <si>
    <t>započitatelná plocha domu</t>
  </si>
  <si>
    <t>Reklamace do</t>
  </si>
  <si>
    <t>Vyplaceno do</t>
  </si>
  <si>
    <t>Předčíslí</t>
  </si>
  <si>
    <t>Číslo účtu</t>
  </si>
  <si>
    <t>Společenství pro dům č.p. 629, Lidická 39</t>
  </si>
  <si>
    <t>2559968329/0800</t>
  </si>
  <si>
    <t>Lidická 629/39,Brno</t>
  </si>
  <si>
    <t>0800</t>
  </si>
  <si>
    <t>Společenství pro dům Zborovská 939/2, Brno</t>
  </si>
  <si>
    <t>2100704207/2010</t>
  </si>
  <si>
    <t>Zborovská 939/2, Brno</t>
  </si>
  <si>
    <t>30 dní</t>
  </si>
  <si>
    <t>4 měsíců</t>
  </si>
  <si>
    <t>Společenství vlastníků domu Provazníkova č. p. 1655, obec Brno</t>
  </si>
  <si>
    <t>2101564752/2010</t>
  </si>
  <si>
    <t>Provazníkova 1655/82, Brno</t>
  </si>
  <si>
    <t>bude vlastníkoví uhrazen
do konce druhého kalendářního měsíce následujícího po měsíci, v němž mu bylo vyúčtování' doručeno.</t>
  </si>
  <si>
    <t>Společenství vlastníků domu Uzbecká 4, Brno</t>
  </si>
  <si>
    <t>2401735074/2010</t>
  </si>
  <si>
    <t>Uzbecká 555/4, 625 00 Brno</t>
  </si>
  <si>
    <t>Společenství vlastníků jednotek Brno, Stojanova 368/4</t>
  </si>
  <si>
    <t>Stojanova 368/4, Veveří, 602 00 Brno</t>
  </si>
  <si>
    <t>Společenství vlastníků jednotek domu Zborovská 32, 34, č. p. 2080, 2081, Brno</t>
  </si>
  <si>
    <t>2400891032/2010</t>
  </si>
  <si>
    <t>Zborovská 32 a 34, Brno</t>
  </si>
  <si>
    <t>Společenství vlastníků jednotek pro dům Kotlářská 23, Brno</t>
  </si>
  <si>
    <t>212701327/0300</t>
  </si>
  <si>
    <t>Kotlářská 913/23, Brno</t>
  </si>
  <si>
    <t>0300</t>
  </si>
  <si>
    <t>Společenství vlastníků jednotek Vídeňská 842/34, Brno</t>
  </si>
  <si>
    <t>2601412333/2010</t>
  </si>
  <si>
    <t>Vídeňská 842/34, Brno</t>
  </si>
  <si>
    <t>2 měsíců</t>
  </si>
  <si>
    <t>Společenství vlastníků Kotlářská 38, Brno</t>
  </si>
  <si>
    <t>3443843369/0800</t>
  </si>
  <si>
    <t>Kotlářská 670/38, Brno</t>
  </si>
  <si>
    <t>3 měsíců</t>
  </si>
  <si>
    <t>Společenství vlastníků Listnatá 4, Lišejníková 3, Brno</t>
  </si>
  <si>
    <t>2801810483/2010</t>
  </si>
  <si>
    <t>Listnatá 1059/4, Brno</t>
  </si>
  <si>
    <t>2010</t>
  </si>
  <si>
    <t>Společenství vlastníků Mikšíčkova 20, Brno - společenství vlastníků</t>
  </si>
  <si>
    <t>2001002103/2010</t>
  </si>
  <si>
    <t>Mikšíčkova 1513/20, Brno</t>
  </si>
  <si>
    <t>Kníničky č.ev. 318, Brno</t>
  </si>
  <si>
    <t>7 měsíců</t>
  </si>
  <si>
    <t>Společenství vlastníků pro dům Poříčí 615/13 v Brně</t>
  </si>
  <si>
    <t>2201735109/2010</t>
  </si>
  <si>
    <t>Poříčí 615/13, Brno</t>
  </si>
  <si>
    <t>Společenství vlastníků U Leskavy 26-E, Brno</t>
  </si>
  <si>
    <t>43-9898380257/0100</t>
  </si>
  <si>
    <t>U Leskavy 26-E, Brno</t>
  </si>
  <si>
    <t>0100</t>
  </si>
  <si>
    <t>Společenství vlastníků Višňová 4, Moravany</t>
  </si>
  <si>
    <t>2601061748/2010</t>
  </si>
  <si>
    <t>Višňová 828/4, Moravany</t>
  </si>
  <si>
    <t>Úvoz 59b,c, Brno - společenství vlastníků jednotek</t>
  </si>
  <si>
    <t>2401473895/2010</t>
  </si>
  <si>
    <t>Úvoz 428/59c, Brno</t>
  </si>
  <si>
    <t>Společenství vlastníků domu Voroněžská 1 Brno, Žabovřesky</t>
  </si>
  <si>
    <t>272581531/0300</t>
  </si>
  <si>
    <t>Voroněžská 2547/1, Brno</t>
  </si>
  <si>
    <t>Společenství vlastníků Pilcova 560, Modřice</t>
  </si>
  <si>
    <t>123-6309820207/0100</t>
  </si>
  <si>
    <t>Pilcova 560, Modřice</t>
  </si>
  <si>
    <t>Společenství vlastníků pro dům v Brně, Merhautova 1024/155</t>
  </si>
  <si>
    <t>6097414329/0800</t>
  </si>
  <si>
    <t>Merhautova 1024/155, Brno</t>
  </si>
  <si>
    <t>Společenství vlastníků Ulrychova 844/4, Brno</t>
  </si>
  <si>
    <t>184181706/0300</t>
  </si>
  <si>
    <t>Ulrychova 844/4, Brno</t>
  </si>
  <si>
    <t>Společenství vlastníků Tučkova 26</t>
  </si>
  <si>
    <t>43-6885390217/0100</t>
  </si>
  <si>
    <t>AdminReal s.r.o.                                                                                                                                                       Veveří 2581/102 , 616 00 Brno                                                                                                                              IČO 02827476                                                                                                                                                      Zapsáno KS v Brně, oddíl C, vložka   82606</t>
  </si>
  <si>
    <t>Název:</t>
  </si>
  <si>
    <t>č.</t>
  </si>
  <si>
    <t>položka</t>
  </si>
  <si>
    <t>jednotka</t>
  </si>
  <si>
    <t>Rozpočet na rok/dům</t>
  </si>
  <si>
    <t>Měsíční příspěvek/dům</t>
  </si>
  <si>
    <t>Počet jednotek/dům</t>
  </si>
  <si>
    <t>Koeficient přepočtu na byt/měsíc</t>
  </si>
  <si>
    <t>Měsíční záloha bytu</t>
  </si>
  <si>
    <t>Schváleno shromážděním dne:</t>
  </si>
  <si>
    <t>Vyhotovil: AdminReal s.r.o.</t>
  </si>
  <si>
    <t>příjem společenství z pronájmu společných částí domu za kalendářní období:</t>
  </si>
  <si>
    <t>Tento příjem u fyzické osoby podle §9 zákona o daních z příjmu (dále ZDP), anebo podle §7  ZDP (pokud máte jednotku zahrnutou v obchodním majetku), jste povinni uvést ve svém přiznání k dani z příjmu fyzických osob, neboť se jedná o příjem jednotlivého vlastníka, nikoliv společenství.</t>
  </si>
  <si>
    <t>Dle Vašeho spoluvlastnického podílu na domě, který činí</t>
  </si>
  <si>
    <t>Ovšem můžete uplatnit další, jiné výdaje podle §7 a §9 ZDP, dle Vaší situace.</t>
  </si>
  <si>
    <t>byl ponechán na fondu oprav.</t>
  </si>
  <si>
    <t>V Brně 20.01.2024</t>
  </si>
  <si>
    <t>Veveří 2581/102, 616 00 Brno</t>
  </si>
  <si>
    <t>příjem společenství z pronájmu výměníkové stanice a společných částí domu za kalendářní období:</t>
  </si>
  <si>
    <r>
      <t xml:space="preserve">Kontrola dat pro</t>
    </r>
    <r>
      <rPr>
        <rFont val="Calibri"/>
        <b val="true"/>
        <i val="false"/>
        <strike val="false"/>
        <color rgb="FF000000"/>
        <sz val="11"/>
        <u val="none"/>
      </rPr>
      <t xml:space="preserve"> vyúčtování byt - 1.část</t>
    </r>
  </si>
  <si>
    <t>QR kód</t>
  </si>
  <si>
    <t>Data</t>
  </si>
  <si>
    <t>Částka převod pro QR</t>
  </si>
  <si>
    <t>Currency</t>
  </si>
  <si>
    <t>CZK</t>
  </si>
  <si>
    <t>V.S.</t>
  </si>
  <si>
    <t>S.S.</t>
  </si>
  <si>
    <t>K.S.</t>
  </si>
  <si>
    <t>Zpráva</t>
  </si>
  <si>
    <t>Podmínka zobrazeni</t>
  </si>
  <si>
    <t>Final QR</t>
  </si>
  <si>
    <t>QR</t>
  </si>
  <si>
    <t>Kontrola zobrazení pro měřené služby</t>
  </si>
  <si>
    <t>Pomocny pro meřené služby - součet</t>
  </si>
  <si>
    <t>Kč</t>
  </si>
  <si>
    <t>Celkem k rozúčtování</t>
  </si>
  <si>
    <t>Zaplacená záloha</t>
  </si>
  <si>
    <r>
      <t xml:space="preserve">Preplatek/</t>
    </r>
    <r>
      <rPr>
        <rFont val="Calibri"/>
        <b val="false"/>
        <i val="false"/>
        <strike val="false"/>
        <color rgb="FFFF0000"/>
        <sz val="11"/>
        <u val="none"/>
      </rPr>
      <t xml:space="preserve">nedoplatek</t>
    </r>
  </si>
</sst>
</file>

<file path=xl/styles.xml><?xml version="1.0" encoding="utf-8"?>
<styleSheet xmlns="http://schemas.openxmlformats.org/spreadsheetml/2006/main" xml:space="preserve">
  <numFmts count="23">
    <numFmt numFmtId="164" formatCode="#,##0.00,&quot;Kč&quot;;[Red]\-#,##0.00,&quot;Kč&quot;"/>
    <numFmt numFmtId="165" formatCode="#,##0\ &quot;Kč&quot;"/>
    <numFmt numFmtId="166" formatCode="&quot;Kč&quot;#,##0.00_);[Red]\(&quot;Kč&quot;#,##0.00\)"/>
    <numFmt numFmtId="167" formatCode="&quot;Kč&quot;#,##0_);[Red]\(&quot;Kč&quot;#,##0\)"/>
    <numFmt numFmtId="168" formatCode="#,##0.00_ ;[Red]\-#,##0.00\ "/>
    <numFmt numFmtId="169" formatCode="#,##0.00\ &quot;Kč&quot;"/>
    <numFmt numFmtId="170" formatCode="0.000"/>
    <numFmt numFmtId="171" formatCode="#,##0_ ;\-#,##0\ "/>
    <numFmt numFmtId="172" formatCode="#,##0_ ;[Red]\-#,##0\ "/>
    <numFmt numFmtId="173" formatCode="#,##0\ _K_č"/>
    <numFmt numFmtId="174" formatCode="dd/mm/yy"/>
    <numFmt numFmtId="175" formatCode="_-* #,##0.00\ [$Kč-405]_-;\-* #,##0.00\ [$Kč-405]_-;_-* &quot;-&quot;??\ [$Kč-405]_-;_-@_-"/>
    <numFmt numFmtId="176" formatCode="#,##0\ &quot;Kč&quot;;[Red]\-#,##0\ &quot;Kč&quot;"/>
    <numFmt numFmtId="177" formatCode="#,##0.00\ &quot;Kč&quot;;[Red]#,##0.00\ &quot;Kč&quot;"/>
    <numFmt numFmtId="178" formatCode="#,##0.00\ _K_č"/>
    <numFmt numFmtId="179" formatCode="&quot;Kč&quot;#,##0_);\(&quot;Kč&quot;#,##0\)"/>
    <numFmt numFmtId="180" formatCode="0.0000"/>
    <numFmt numFmtId="181" formatCode="0.0000%"/>
    <numFmt numFmtId="182" formatCode="0000"/>
    <numFmt numFmtId="183" formatCode="0_ ;[Red]\-0\ "/>
    <numFmt numFmtId="184" formatCode="#,##0.000_ ;[Red]\-#,##0.000\ "/>
    <numFmt numFmtId="185" formatCode="_-* #,##0\ &quot;Kč&quot;_-;\-* #,##0\ &quot;Kč&quot;_-;_-* &quot;-&quot;??\ &quot;Kč&quot;_-;_-@_-"/>
    <numFmt numFmtId="186" formatCode="#,##0.00\ &quot;Kč&quot;;\-#,##0.00\ &quot;Kč&quot;"/>
  </numFmts>
  <fonts count="49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5"/>
      <color rgb="FF000000"/>
      <name val="Calibri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70C0"/>
      <name val="Calibri"/>
    </font>
    <font>
      <b val="0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002060"/>
      <name val="Calibri"/>
    </font>
    <font>
      <b val="0"/>
      <i val="0"/>
      <strike val="0"/>
      <u val="none"/>
      <sz val="10"/>
      <color rgb="FF000000"/>
      <name val="Arial"/>
    </font>
    <font>
      <b val="0"/>
      <i val="1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D8D8D8"/>
      <name val="Calibri"/>
    </font>
    <font>
      <b val="1"/>
      <i val="0"/>
      <strike val="0"/>
      <u val="none"/>
      <sz val="11"/>
      <color rgb="FFFF0000"/>
      <name val="Calibri"/>
    </font>
    <font>
      <b val="0"/>
      <i val="0"/>
      <strike val="0"/>
      <u val="single"/>
      <sz val="11"/>
      <color rgb="FF0000FF"/>
      <name val="Calibri"/>
    </font>
    <font>
      <b val="0"/>
      <i val="0"/>
      <strike val="0"/>
      <u val="none"/>
      <sz val="11"/>
      <color rgb="FF000000"/>
      <name val="Calibri Light"/>
    </font>
    <font>
      <b val="1"/>
      <i val="0"/>
      <strike val="0"/>
      <u val="none"/>
      <sz val="11"/>
      <color rgb="FFFFFFFF"/>
      <name val="Calibri Light"/>
    </font>
    <font>
      <b val="1"/>
      <i val="0"/>
      <strike val="0"/>
      <u val="none"/>
      <sz val="12"/>
      <color rgb="FFFFFFFF"/>
      <name val="Calibri Light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single"/>
      <sz val="11"/>
      <color rgb="FF0000FF"/>
      <name val="Calibri"/>
    </font>
    <font>
      <b val="1"/>
      <i val="0"/>
      <strike val="0"/>
      <u val="none"/>
      <sz val="16"/>
      <color rgb="FF000000"/>
      <name val="Calibri"/>
    </font>
    <font>
      <b val="0"/>
      <i val="0"/>
      <strike val="0"/>
      <u val="none"/>
      <sz val="18"/>
      <color rgb="FF000000"/>
      <name val="Calibri"/>
    </font>
    <font>
      <b val="1"/>
      <i val="0"/>
      <strike val="0"/>
      <u val="none"/>
      <sz val="11"/>
      <color rgb="FFC00000"/>
      <name val="Calibri"/>
    </font>
    <font>
      <b val="0"/>
      <i val="0"/>
      <strike val="0"/>
      <u val="none"/>
      <sz val="14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5"/>
      <color rgb="FFFF0000"/>
      <name val="Calibri"/>
    </font>
    <font>
      <b val="1"/>
      <i val="0"/>
      <strike val="0"/>
      <u val="single"/>
      <sz val="16"/>
      <color rgb="FF0000FF"/>
      <name val="Calibri"/>
    </font>
    <font>
      <b val="0"/>
      <i val="0"/>
      <strike val="0"/>
      <u val="single"/>
      <sz val="18"/>
      <color rgb="FF0000FF"/>
      <name val="Calibri"/>
    </font>
    <font>
      <b val="1"/>
      <i val="0"/>
      <strike val="0"/>
      <u val="none"/>
      <sz val="18"/>
      <color rgb="FF000000"/>
      <name val="Calibri"/>
    </font>
    <font>
      <b val="0"/>
      <i val="0"/>
      <strike val="0"/>
      <u val="single"/>
      <sz val="14"/>
      <color rgb="FF0000FF"/>
      <name val="Calibri"/>
    </font>
    <font>
      <b val="1"/>
      <i val="0"/>
      <strike val="0"/>
      <u val="single"/>
      <sz val="14"/>
      <color rgb="FF0000FF"/>
      <name val="Calibri"/>
    </font>
    <font>
      <b val="0"/>
      <i val="0"/>
      <strike val="0"/>
      <u val="none"/>
      <sz val="11"/>
      <color rgb="FF000000"/>
      <name val="Roboto"/>
    </font>
    <font>
      <b val="0"/>
      <i val="0"/>
      <strike val="0"/>
      <u val="none"/>
      <sz val="8"/>
      <color rgb="FF000000"/>
      <name val="Calibri"/>
    </font>
    <font>
      <b val="1"/>
      <i val="1"/>
      <strike val="0"/>
      <u val="none"/>
      <sz val="10"/>
      <color rgb="FF000000"/>
      <name val="Roboto"/>
    </font>
    <font>
      <b val="1"/>
      <i val="1"/>
      <strike val="0"/>
      <u val="none"/>
      <sz val="11"/>
      <color rgb="FF000000"/>
      <name val="Roboto"/>
    </font>
    <font>
      <b val="0"/>
      <i val="0"/>
      <strike val="0"/>
      <u val="none"/>
      <sz val="11"/>
      <color rgb="FF000000"/>
      <name val="Arial"/>
    </font>
    <font>
      <b val="0"/>
      <i val="1"/>
      <strike val="0"/>
      <u val="none"/>
      <sz val="10"/>
      <color rgb="FF000000"/>
      <name val="Roboto"/>
    </font>
    <font>
      <b val="0"/>
      <i val="0"/>
      <strike val="0"/>
      <u val="none"/>
      <sz val="10"/>
      <color rgb="FF000000"/>
      <name val="Roboto"/>
    </font>
    <font>
      <b val="1"/>
      <i val="0"/>
      <strike val="0"/>
      <u val="none"/>
      <sz val="11"/>
      <color rgb="FF000000"/>
      <name val="Roboto"/>
    </font>
    <font>
      <b val="0"/>
      <i val="1"/>
      <strike val="0"/>
      <u val="none"/>
      <sz val="11"/>
      <color rgb="FF000000"/>
      <name val="Arial"/>
    </font>
    <font>
      <b val="0"/>
      <i val="0"/>
      <strike val="0"/>
      <u val="none"/>
      <sz val="11"/>
      <color rgb="FFFF0000"/>
      <name val="Roboto"/>
    </font>
    <font>
      <b val="0"/>
      <i val="1"/>
      <strike val="0"/>
      <u val="none"/>
      <sz val="11"/>
      <color rgb="FFFF0000"/>
      <name val="Arial"/>
    </font>
    <font>
      <b val="0"/>
      <i val="1"/>
      <strike val="0"/>
      <u val="none"/>
      <sz val="11"/>
      <color rgb="FF000000"/>
      <name val="Roboto"/>
    </font>
    <font>
      <b val="0"/>
      <i val="0"/>
      <strike val="0"/>
      <u val="none"/>
      <sz val="11"/>
      <color rgb="FFFF0000"/>
      <name val="Arial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single"/>
      <sz val="16"/>
      <color rgb="FF0000FF"/>
      <name val="Calibri"/>
    </font>
  </fonts>
  <fills count="4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CC"/>
      </patternFill>
    </fill>
    <fill>
      <patternFill patternType="solid">
        <fgColor rgb="FFD9D9D9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C0C0C0"/>
      </patternFill>
    </fill>
    <fill>
      <patternFill patternType="solid">
        <fgColor rgb="FFD8D8D8"/>
        <bgColor rgb="FFFFFFFF"/>
      </patternFill>
    </fill>
    <fill>
      <patternFill patternType="mediumGray">
        <fgColor rgb="FF000000"/>
        <bgColor rgb="FFFFFFFF"/>
      </patternFill>
    </fill>
    <fill>
      <patternFill patternType="solid">
        <fgColor rgb="FFD8D8D8"/>
        <bgColor rgb="FFC0C0C0"/>
      </patternFill>
    </fill>
    <fill>
      <patternFill patternType="solid">
        <fgColor rgb="FFD8D8D8"/>
        <bgColor rgb="FFFFFFCC"/>
      </patternFill>
    </fill>
    <fill>
      <patternFill patternType="solid">
        <fgColor rgb="FFFABF8F"/>
        <bgColor rgb="FFFFFFCC"/>
      </patternFill>
    </fill>
    <fill>
      <patternFill patternType="solid">
        <fgColor rgb="FFFABF8F"/>
        <bgColor rgb="FFFFFFFF"/>
      </patternFill>
    </fill>
    <fill>
      <patternFill patternType="solid">
        <fgColor rgb="FFB6DDE8"/>
        <bgColor rgb="FFFFFFCC"/>
      </patternFill>
    </fill>
    <fill>
      <patternFill patternType="solid">
        <fgColor rgb="FFB6DDE8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BD4B4"/>
        <bgColor rgb="FFFFFFFF"/>
      </patternFill>
    </fill>
    <fill>
      <patternFill patternType="solid">
        <fgColor rgb="FFF2F2F2"/>
        <bgColor rgb="FFFFFFFF"/>
      </patternFill>
    </fill>
    <fill>
      <patternFill patternType="solid">
        <fgColor rgb="FFF2F2F2"/>
        <bgColor rgb="FFFFFFCC"/>
      </patternFill>
    </fill>
    <fill>
      <patternFill patternType="solid">
        <fgColor rgb="FF7F7F7F"/>
        <bgColor rgb="FFFFFFFF"/>
      </patternFill>
    </fill>
    <fill>
      <patternFill patternType="solid">
        <fgColor rgb="FF00B0F0"/>
        <bgColor rgb="FFFFFFCC"/>
      </patternFill>
    </fill>
    <fill>
      <patternFill patternType="solid">
        <fgColor rgb="FF00B0F0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rgb="FFFFFFCC"/>
      </patternFill>
    </fill>
    <fill>
      <patternFill patternType="solid">
        <fgColor rgb="FF92D050"/>
        <bgColor rgb="FFFFFFCC"/>
      </patternFill>
    </fill>
    <fill>
      <patternFill patternType="solid">
        <fgColor rgb="FFDAEEF3"/>
        <bgColor rgb="FFFFFFCC"/>
      </patternFill>
    </fill>
    <fill>
      <patternFill patternType="solid">
        <fgColor rgb="FF92D050"/>
        <bgColor rgb="FFFFFFFF"/>
      </patternFill>
    </fill>
    <fill>
      <patternFill patternType="solid">
        <fgColor rgb="FFE5DFEC"/>
        <bgColor rgb="FFFFFFFF"/>
      </patternFill>
    </fill>
    <fill>
      <patternFill patternType="solid">
        <fgColor rgb="FFE5DFEC"/>
        <bgColor rgb="FFFFFFCC"/>
      </patternFill>
    </fill>
    <fill>
      <patternFill patternType="solid">
        <fgColor rgb="FFEAF1DD"/>
        <bgColor rgb="FFFFFFFF"/>
      </patternFill>
    </fill>
    <fill>
      <patternFill patternType="solid">
        <fgColor rgb="FFEAF1DD"/>
        <bgColor rgb="FFFFFFCC"/>
      </patternFill>
    </fill>
    <fill>
      <patternFill patternType="solid">
        <fgColor rgb="FFDAEEF3"/>
        <bgColor rgb="FFFFFFFF"/>
      </patternFill>
    </fill>
    <fill>
      <patternFill patternType="solid">
        <fgColor rgb="FFB2A1C7"/>
        <bgColor rgb="FFFFFFFF"/>
      </patternFill>
    </fill>
    <fill>
      <patternFill patternType="solid">
        <fgColor rgb="FFB2A1C7"/>
        <bgColor rgb="FFFFFFCC"/>
      </patternFill>
    </fill>
    <fill>
      <patternFill patternType="solid">
        <fgColor rgb="FFD9D9D9"/>
        <bgColor rgb="FFFFFFFF"/>
      </patternFill>
    </fill>
    <fill>
      <patternFill patternType="solid">
        <fgColor rgb="FFEEECE1"/>
        <bgColor rgb="FFFFFFFF"/>
      </patternFill>
    </fill>
    <fill>
      <patternFill patternType="solid">
        <fgColor rgb="FFFFFF00"/>
        <bgColor rgb="FFFFFFCC"/>
      </patternFill>
    </fill>
    <fill>
      <patternFill patternType="solid">
        <fgColor rgb="FFEEECE1"/>
        <bgColor rgb="FFC0C0C0"/>
      </patternFill>
    </fill>
    <fill>
      <patternFill patternType="solid">
        <fgColor rgb="FF95B3D7"/>
        <bgColor rgb="FFFFFFFF"/>
      </patternFill>
    </fill>
    <fill>
      <patternFill patternType="solid">
        <fgColor rgb="FFFDE9D9"/>
        <bgColor rgb="FFFFFFFF"/>
      </patternFill>
    </fill>
    <fill>
      <patternFill patternType="solid">
        <fgColor rgb="FFF2DBDB"/>
        <bgColor rgb="FFFFFFFF"/>
      </patternFill>
    </fill>
    <fill>
      <patternFill patternType="solid">
        <fgColor rgb="FFCCECFF"/>
        <bgColor rgb="FFFFFFFF"/>
      </patternFill>
    </fill>
    <fill>
      <patternFill patternType="solid">
        <fgColor rgb="FF4D5D2C"/>
        <bgColor rgb="FFFFFFFF"/>
      </patternFill>
    </fill>
    <fill>
      <patternFill patternType="solid">
        <fgColor rgb="FFBFBFBF"/>
        <bgColor rgb="FFFFFFCC"/>
      </patternFill>
    </fill>
  </fills>
  <borders count="86">
    <border/>
    <border>
      <bottom style="double">
        <color rgb="FF000000"/>
      </bottom>
    </border>
    <border>
      <left style="hair">
        <color rgb="FF000000"/>
      </left>
      <top style="hair">
        <color rgb="FF000000"/>
      </top>
      <bottom style="double">
        <color rgb="FF000000"/>
      </bottom>
    </border>
    <border>
      <right style="hair">
        <color rgb="FF000000"/>
      </right>
      <top style="hair">
        <color rgb="FF000000"/>
      </top>
      <bottom style="double">
        <color rgb="FF000000"/>
      </bottom>
    </border>
    <border>
      <left style="hair">
        <color rgb="FF000000"/>
      </left>
      <right style="hair">
        <color rgb="FF000000"/>
      </right>
      <top style="double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double">
        <color rgb="FF000000"/>
      </bottom>
    </border>
    <border>
      <bottom style="hair">
        <color rgb="FF000000"/>
      </bottom>
    </border>
    <border>
      <top style="hair">
        <color rgb="FF000000"/>
      </top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bottom style="double">
        <color rgb="FF000000"/>
      </bottom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top style="hair">
        <color rgb="FF000000"/>
      </top>
      <bottom style="double">
        <color rgb="FF000000"/>
      </bottom>
    </border>
    <border>
      <left style="hair">
        <color rgb="FF000000"/>
      </left>
      <top style="double">
        <color rgb="FF000000"/>
      </top>
    </border>
    <border>
      <left style="hair">
        <color rgb="FF000000"/>
      </left>
      <bottom style="hair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uble">
        <color rgb="FF000000"/>
      </bottom>
    </border>
    <border>
      <left style="hair">
        <color rgb="FF000000"/>
      </left>
      <top style="thin">
        <color rgb="FF000000"/>
      </top>
      <bottom style="hair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double">
        <color rgb="FF000000"/>
      </top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right style="hair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top style="hair">
        <color rgb="FF000000"/>
      </top>
    </border>
    <border>
      <top style="double">
        <color rgb="FF000000"/>
      </top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double">
        <color rgb="FF000000"/>
      </bottom>
    </border>
    <border>
      <right style="medium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medium">
        <color rgb="FF000000"/>
      </bottom>
    </border>
    <border>
      <right style="medium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top style="double">
        <color rgb="FF000000"/>
      </top>
      <bottom style="hair">
        <color rgb="FF000000"/>
      </bottom>
    </border>
    <border>
      <left style="hair">
        <color rgb="FF000000"/>
      </left>
    </border>
    <border>
      <right style="hair">
        <color rgb="FF000000"/>
      </right>
      <bottom style="double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right style="mediumDashed">
        <color rgb="FFC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hair">
        <color rgb="FF000000"/>
      </left>
      <bottom style="double">
        <color rgb="FF000000"/>
      </bottom>
    </border>
    <border>
      <left style="hair">
        <color rgb="FF000000"/>
      </left>
      <right style="hair">
        <color rgb="FF000000"/>
      </right>
      <top style="double">
        <color rgb="FF000000"/>
      </top>
    </border>
    <border>
      <left style="double">
        <color rgb="FF000000"/>
      </left>
      <right style="hair">
        <color rgb="FF000000"/>
      </right>
      <top style="double">
        <color rgb="FF000000"/>
      </top>
      <bottom style="hair">
        <color rgb="FF000000"/>
      </bottom>
    </border>
    <border>
      <left style="hair">
        <color rgb="FF000000"/>
      </left>
      <right style="double">
        <color rgb="FF000000"/>
      </right>
      <top style="double">
        <color rgb="FF000000"/>
      </top>
      <bottom style="hair">
        <color rgb="FF000000"/>
      </bottom>
    </border>
    <border>
      <left style="double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double">
        <color rgb="FF000000"/>
      </right>
      <top style="hair">
        <color rgb="FF000000"/>
      </top>
      <bottom style="hair">
        <color rgb="FF000000"/>
      </bottom>
    </border>
    <border>
      <left style="double">
        <color rgb="FF000000"/>
      </left>
      <right style="hair">
        <color rgb="FF000000"/>
      </right>
      <top style="hair">
        <color rgb="FF000000"/>
      </top>
      <bottom style="double">
        <color rgb="FF000000"/>
      </bottom>
    </border>
    <border>
      <left style="hair">
        <color rgb="FF000000"/>
      </left>
      <right style="double">
        <color rgb="FF000000"/>
      </right>
      <top style="hair">
        <color rgb="FF000000"/>
      </top>
      <bottom style="double">
        <color rgb="FF000000"/>
      </bottom>
    </border>
    <border>
      <top style="double">
        <color rgb="FF000000"/>
      </top>
      <bottom style="hair">
        <color rgb="FF000000"/>
      </bottom>
    </border>
    <border>
      <right style="hair">
        <color rgb="FF000000"/>
      </right>
    </border>
    <border>
      <bottom style="thin">
        <color rgb="FF000000"/>
      </bottom>
    </border>
    <border>
      <left style="thin">
        <color rgb="FF000000"/>
      </lef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hair">
        <color rgb="FF000000"/>
      </bottom>
    </border>
    <border>
      <top style="medium">
        <color rgb="FF000000"/>
      </top>
      <bottom style="hair">
        <color rgb="FF000000"/>
      </bottom>
    </border>
    <border>
      <right style="medium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top style="hair">
        <color rgb="FF000000"/>
      </top>
      <bottom style="medium">
        <color rgb="FF000000"/>
      </bottom>
    </border>
    <border>
      <top style="hair">
        <color rgb="FF000000"/>
      </top>
      <bottom style="medium">
        <color rgb="FF000000"/>
      </bottom>
    </border>
  </borders>
  <cellStyleXfs count="1">
    <xf numFmtId="0" fontId="0" fillId="0" borderId="0"/>
  </cellStyleXfs>
  <cellXfs count="837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2" fillId="3" borderId="0" applyFont="0" applyNumberFormat="1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4" numFmtId="0" fillId="3" borderId="0" applyFont="1" applyNumberFormat="0" applyFill="1" applyBorder="0" applyAlignment="1">
      <alignment horizontal="left" vertical="bottom" textRotation="0" wrapText="false" shrinkToFit="false"/>
    </xf>
    <xf xfId="0" fontId="4" numFmtId="0" fillId="3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5" numFmtId="0" fillId="3" borderId="0" applyFont="1" applyNumberFormat="0" applyFill="1" applyBorder="0" applyAlignment="0">
      <alignment horizontal="general" vertical="bottom" textRotation="0" wrapText="false" shrinkToFit="false"/>
    </xf>
    <xf xfId="0" fontId="6" numFmtId="0" fillId="3" borderId="0" applyFont="1" applyNumberFormat="0" applyFill="1" applyBorder="0" applyAlignment="1">
      <alignment horizontal="center" vertical="bottom" textRotation="0" wrapText="false" shrinkToFit="false"/>
    </xf>
    <xf xfId="0" fontId="0" numFmtId="2" fillId="4" borderId="1" applyFont="0" applyNumberFormat="1" applyFill="1" applyBorder="1" applyAlignment="1">
      <alignment horizontal="center" vertical="bottom" textRotation="0" wrapText="false" shrinkToFit="false"/>
    </xf>
    <xf xfId="0" fontId="0" numFmtId="0" fillId="4" borderId="2" applyFont="0" applyNumberFormat="0" applyFill="1" applyBorder="1" applyAlignment="1">
      <alignment horizontal="center" vertical="bottom" textRotation="0" wrapText="false" shrinkToFit="false"/>
    </xf>
    <xf xfId="0" fontId="0" numFmtId="0" fillId="4" borderId="1" applyFont="0" applyNumberFormat="0" applyFill="1" applyBorder="1" applyAlignment="1">
      <alignment horizontal="center" vertical="bottom" textRotation="0" wrapText="false" shrinkToFit="false"/>
    </xf>
    <xf xfId="0" fontId="7" numFmtId="0" fillId="4" borderId="3" applyFont="1" applyNumberFormat="0" applyFill="1" applyBorder="1" applyAlignment="1">
      <alignment horizontal="center" vertical="center" textRotation="0" wrapText="true" shrinkToFit="false"/>
    </xf>
    <xf xfId="0" fontId="0" numFmtId="0" fillId="3" borderId="4" applyFont="0" applyNumberFormat="0" applyFill="1" applyBorder="1" applyAlignment="1">
      <alignment horizontal="center" vertical="bottom" textRotation="0" wrapText="false" shrinkToFit="false"/>
    </xf>
    <xf xfId="0" fontId="0" numFmtId="0" fillId="3" borderId="4" applyFont="0" applyNumberFormat="0" applyFill="1" applyBorder="1" applyAlignment="1">
      <alignment horizontal="left" vertical="bottom" textRotation="0" wrapText="false" shrinkToFit="false"/>
    </xf>
    <xf xfId="0" fontId="0" numFmtId="4" fillId="3" borderId="4" applyFont="0" applyNumberFormat="1" applyFill="1" applyBorder="1" applyAlignment="1">
      <alignment horizontal="center" vertical="bottom" textRotation="0" wrapText="false" shrinkToFit="false"/>
    </xf>
    <xf xfId="0" fontId="0" numFmtId="2" fillId="3" borderId="4" applyFont="0" applyNumberFormat="1" applyFill="1" applyBorder="1" applyAlignment="1">
      <alignment horizontal="center" vertical="bottom" textRotation="0" wrapText="false" shrinkToFit="false"/>
    </xf>
    <xf xfId="0" fontId="0" numFmtId="0" fillId="3" borderId="5" applyFont="0" applyNumberFormat="0" applyFill="1" applyBorder="1" applyAlignment="1">
      <alignment horizontal="center" vertical="bottom" textRotation="0" wrapText="false" shrinkToFit="false"/>
    </xf>
    <xf xfId="0" fontId="0" numFmtId="0" fillId="3" borderId="5" applyFont="0" applyNumberFormat="0" applyFill="1" applyBorder="1" applyAlignment="1">
      <alignment horizontal="left" vertical="bottom" textRotation="0" wrapText="false" shrinkToFit="false"/>
    </xf>
    <xf xfId="0" fontId="0" numFmtId="4" fillId="3" borderId="5" applyFont="0" applyNumberFormat="1" applyFill="1" applyBorder="1" applyAlignment="1">
      <alignment horizontal="center" vertical="bottom" textRotation="0" wrapText="false" shrinkToFit="false"/>
    </xf>
    <xf xfId="0" fontId="0" numFmtId="2" fillId="3" borderId="5" applyFont="0" applyNumberFormat="1" applyFill="1" applyBorder="1" applyAlignment="1">
      <alignment horizontal="center" vertical="bottom" textRotation="0" wrapText="false" shrinkToFit="false"/>
    </xf>
    <xf xfId="0" fontId="8" numFmtId="4" fillId="3" borderId="0" applyFont="1" applyNumberFormat="1" applyFill="1" applyBorder="0" applyAlignment="1">
      <alignment horizontal="center" vertical="bottom" textRotation="0" wrapText="false" shrinkToFit="false"/>
    </xf>
    <xf xfId="0" fontId="8" numFmtId="164" fillId="3" borderId="0" applyFont="1" applyNumberFormat="1" applyFill="1" applyBorder="0" applyAlignment="1">
      <alignment horizontal="center" vertical="bottom" textRotation="0" wrapText="false" shrinkToFit="false"/>
    </xf>
    <xf xfId="0" fontId="0" numFmtId="2" fillId="3" borderId="0" applyFont="0" applyNumberFormat="1" applyFill="1" applyBorder="0" applyAlignment="1">
      <alignment horizontal="center" vertical="bottom" textRotation="0" wrapText="false" shrinkToFit="false"/>
    </xf>
    <xf xfId="0" fontId="0" numFmtId="0" fillId="5" borderId="0" applyFont="0" applyNumberFormat="0" applyFill="1" applyBorder="0" applyAlignment="0">
      <alignment horizontal="general" vertical="bottom" textRotation="0" wrapText="false" shrinkToFit="false"/>
    </xf>
    <xf xfId="0" fontId="8" numFmtId="0" fillId="3" borderId="5" applyFont="1" applyNumberFormat="0" applyFill="1" applyBorder="1" applyAlignment="0">
      <alignment horizontal="general" vertical="bottom" textRotation="0" wrapText="false" shrinkToFit="false"/>
    </xf>
    <xf xfId="0" fontId="0" numFmtId="0" fillId="3" borderId="5" applyFont="0" applyNumberFormat="0" applyFill="1" applyBorder="1" applyAlignment="0">
      <alignment horizontal="general" vertical="bottom" textRotation="0" wrapText="false" shrinkToFit="false"/>
    </xf>
    <xf xfId="0" fontId="8" numFmtId="0" fillId="3" borderId="6" applyFont="1" applyNumberFormat="0" applyFill="1" applyBorder="1" applyAlignment="0">
      <alignment horizontal="general" vertical="bottom" textRotation="0" wrapText="false" shrinkToFit="false"/>
    </xf>
    <xf xfId="0" fontId="0" numFmtId="0" fillId="3" borderId="7" applyFont="0" applyNumberFormat="0" applyFill="1" applyBorder="1" applyAlignment="1">
      <alignment horizontal="left" vertical="bottom" textRotation="0" wrapText="false" shrinkToFit="false"/>
    </xf>
    <xf xfId="0" fontId="9" numFmtId="0" fillId="3" borderId="8" applyFont="1" applyNumberFormat="0" applyFill="1" applyBorder="1" applyAlignment="0">
      <alignment horizontal="general" vertical="bottom" textRotation="0" wrapText="false" shrinkToFit="false"/>
    </xf>
    <xf xfId="0" fontId="9" numFmtId="0" fillId="3" borderId="9" applyFont="1" applyNumberFormat="0" applyFill="1" applyBorder="1" applyAlignment="0">
      <alignment horizontal="general" vertical="bottom" textRotation="0" wrapText="false" shrinkToFit="false"/>
    </xf>
    <xf xfId="0" fontId="10" numFmtId="0" fillId="3" borderId="0" applyFont="1" applyNumberFormat="0" applyFill="1" applyBorder="0" applyAlignment="0">
      <alignment horizontal="general" vertical="bottom" textRotation="0" wrapText="false" shrinkToFit="false"/>
    </xf>
    <xf xfId="0" fontId="8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165" fillId="3" borderId="4" applyFont="0" applyNumberFormat="1" applyFill="1" applyBorder="1" applyAlignment="1">
      <alignment horizontal="center" vertical="bottom" textRotation="0" wrapText="false" shrinkToFit="false"/>
    </xf>
    <xf xfId="0" fontId="0" numFmtId="165" fillId="3" borderId="5" applyFont="0" applyNumberFormat="1" applyFill="1" applyBorder="1" applyAlignment="1">
      <alignment horizontal="center" vertical="bottom" textRotation="0" wrapText="false" shrinkToFit="false"/>
    </xf>
    <xf xfId="0" fontId="0" numFmtId="166" fillId="3" borderId="4" applyFont="0" applyNumberFormat="1" applyFill="1" applyBorder="1" applyAlignment="1">
      <alignment horizontal="center" vertical="bottom" textRotation="0" wrapText="false" shrinkToFit="false"/>
    </xf>
    <xf xfId="0" fontId="11" numFmtId="166" fillId="3" borderId="5" applyFont="1" applyNumberFormat="1" applyFill="1" applyBorder="1" applyAlignment="1">
      <alignment horizontal="center" vertical="bottom" textRotation="0" wrapText="false" shrinkToFit="false"/>
    </xf>
    <xf xfId="0" fontId="0" numFmtId="166" fillId="3" borderId="5" applyFont="0" applyNumberFormat="1" applyFill="1" applyBorder="1" applyAlignment="1">
      <alignment horizontal="center" vertical="bottom" textRotation="0" wrapText="false" shrinkToFit="false"/>
    </xf>
    <xf xfId="0" fontId="8" numFmtId="166" fillId="3" borderId="0" applyFont="1" applyNumberFormat="1" applyFill="1" applyBorder="0" applyAlignment="1">
      <alignment horizontal="center" vertical="bottom" textRotation="0" wrapText="false" shrinkToFit="false"/>
    </xf>
    <xf xfId="0" fontId="8" numFmtId="167" fillId="3" borderId="0" applyFont="1" applyNumberFormat="1" applyFill="1" applyBorder="0" applyAlignment="1">
      <alignment horizontal="center" vertical="bottom" textRotation="0" wrapText="false" shrinkToFit="false"/>
    </xf>
    <xf xfId="0" fontId="4" numFmtId="0" fillId="3" borderId="0" applyFont="1" applyNumberFormat="0" applyFill="1" applyBorder="0" applyAlignment="1">
      <alignment horizontal="left" vertical="top" textRotation="0" wrapText="true" shrinkToFit="false"/>
    </xf>
    <xf xfId="0" fontId="6" numFmtId="0" fillId="3" borderId="0" applyFont="1" applyNumberFormat="0" applyFill="1" applyBorder="0" applyAlignment="1">
      <alignment horizontal="general" vertical="top" textRotation="0" wrapText="true" shrinkToFit="false"/>
    </xf>
    <xf xfId="0" fontId="0" numFmtId="0" fillId="3" borderId="7" applyFont="0" applyNumberFormat="0" applyFill="1" applyBorder="1" applyAlignment="0">
      <alignment horizontal="general" vertical="bottom" textRotation="0" wrapText="false" shrinkToFit="false"/>
    </xf>
    <xf xfId="0" fontId="0" numFmtId="0" fillId="6" borderId="10" applyFont="0" applyNumberFormat="0" applyFill="1" applyBorder="1" applyAlignment="1">
      <alignment horizontal="center" vertical="center" textRotation="0" wrapText="false" shrinkToFit="false"/>
    </xf>
    <xf xfId="0" fontId="0" numFmtId="2" fillId="6" borderId="10" applyFont="0" applyNumberFormat="1" applyFill="1" applyBorder="1" applyAlignment="1">
      <alignment horizontal="center" vertical="center" textRotation="0" wrapText="false" shrinkToFit="false"/>
    </xf>
    <xf xfId="0" fontId="0" numFmtId="0" fillId="6" borderId="10" applyFont="0" applyNumberFormat="0" applyFill="1" applyBorder="1" applyAlignment="1">
      <alignment horizontal="center" vertical="center" textRotation="0" wrapText="true" shrinkToFit="false"/>
    </xf>
    <xf xfId="0" fontId="0" numFmtId="0" fillId="3" borderId="4" applyFont="0" applyNumberFormat="0" applyFill="1" applyBorder="1" applyAlignment="0">
      <alignment horizontal="general" vertical="bottom" textRotation="0" wrapText="false" shrinkToFit="false"/>
    </xf>
    <xf xfId="0" fontId="0" numFmtId="4" fillId="3" borderId="4" applyFont="0" applyNumberFormat="1" applyFill="1" applyBorder="1" applyAlignment="0">
      <alignment horizontal="general" vertical="bottom" textRotation="0" wrapText="false" shrinkToFit="false"/>
    </xf>
    <xf xfId="0" fontId="0" numFmtId="4" fillId="3" borderId="4" applyFont="0" applyNumberFormat="1" applyFill="1" applyBorder="1" applyAlignment="1">
      <alignment horizontal="right" vertical="bottom" textRotation="0" wrapText="false" shrinkToFit="false"/>
    </xf>
    <xf xfId="0" fontId="0" numFmtId="4" fillId="3" borderId="5" applyFont="0" applyNumberFormat="1" applyFill="1" applyBorder="1" applyAlignment="0">
      <alignment horizontal="general" vertical="bottom" textRotation="0" wrapText="false" shrinkToFit="false"/>
    </xf>
    <xf xfId="0" fontId="0" numFmtId="4" fillId="3" borderId="5" applyFont="0" applyNumberFormat="1" applyFill="1" applyBorder="1" applyAlignment="1">
      <alignment horizontal="right" vertical="bottom" textRotation="0" wrapText="false" shrinkToFit="false"/>
    </xf>
    <xf xfId="0" fontId="0" numFmtId="0" fillId="3" borderId="10" applyFont="0" applyNumberFormat="0" applyFill="1" applyBorder="1" applyAlignment="1">
      <alignment horizontal="center" vertical="bottom" textRotation="0" wrapText="false" shrinkToFit="false"/>
    </xf>
    <xf xfId="0" fontId="0" numFmtId="0" fillId="3" borderId="10" applyFont="0" applyNumberFormat="0" applyFill="1" applyBorder="1" applyAlignment="0">
      <alignment horizontal="general" vertical="bottom" textRotation="0" wrapText="false" shrinkToFit="false"/>
    </xf>
    <xf xfId="0" fontId="0" numFmtId="4" fillId="3" borderId="10" applyFont="0" applyNumberFormat="1" applyFill="1" applyBorder="1" applyAlignment="0">
      <alignment horizontal="general" vertical="bottom" textRotation="0" wrapText="false" shrinkToFit="false"/>
    </xf>
    <xf xfId="0" fontId="0" numFmtId="4" fillId="3" borderId="1" applyFont="0" applyNumberFormat="1" applyFill="1" applyBorder="1" applyAlignment="1">
      <alignment horizontal="right" vertical="bottom" textRotation="0" wrapText="false" shrinkToFit="false"/>
    </xf>
    <xf xfId="0" fontId="0" numFmtId="4" fillId="3" borderId="10" applyFont="0" applyNumberFormat="1" applyFill="1" applyBorder="1" applyAlignment="1">
      <alignment horizontal="right" vertical="bottom" textRotation="0" wrapText="false" shrinkToFit="false"/>
    </xf>
    <xf xfId="0" fontId="8" numFmtId="4" fillId="3" borderId="0" applyFont="1" applyNumberFormat="1" applyFill="1" applyBorder="0" applyAlignment="0">
      <alignment horizontal="general" vertical="bottom" textRotation="0" wrapText="false" shrinkToFit="false"/>
    </xf>
    <xf xfId="0" fontId="8" numFmtId="4" fillId="3" borderId="0" applyFont="1" applyNumberFormat="1" applyFill="1" applyBorder="0" applyAlignment="1">
      <alignment horizontal="right" vertical="bottom" textRotation="0" wrapText="false" shrinkToFit="false"/>
    </xf>
    <xf xfId="0" fontId="8" numFmtId="0" fillId="6" borderId="0" applyFont="1" applyNumberFormat="0" applyFill="1" applyBorder="0" applyAlignment="1">
      <alignment horizontal="center" vertical="bottom" textRotation="0" wrapText="false" shrinkToFit="false"/>
    </xf>
    <xf xfId="0" fontId="8" numFmtId="167" fillId="3" borderId="5" applyFont="1" applyNumberFormat="1" applyFill="1" applyBorder="1" applyAlignment="1">
      <alignment horizontal="center" vertical="bottom" textRotation="0" wrapText="false" shrinkToFit="false"/>
    </xf>
    <xf xfId="0" fontId="0" numFmtId="0" fillId="5" borderId="5" applyFont="0" applyNumberFormat="0" applyFill="1" applyBorder="1" applyAlignment="1">
      <alignment horizontal="center" vertical="bottom" textRotation="0" wrapText="false" shrinkToFit="false"/>
    </xf>
    <xf xfId="0" fontId="0" numFmtId="165" fillId="5" borderId="5" applyFont="0" applyNumberFormat="1" applyFill="1" applyBorder="1" applyAlignment="1">
      <alignment horizontal="center" vertical="center" textRotation="0" wrapText="false" shrinkToFit="false"/>
    </xf>
    <xf xfId="0" fontId="0" numFmtId="0" fillId="2" borderId="5" applyFont="0" applyNumberFormat="0" applyFill="0" applyBorder="1" applyAlignment="1">
      <alignment horizontal="center" vertical="bottom" textRotation="0" wrapText="false" shrinkToFit="false"/>
    </xf>
    <xf xfId="0" fontId="0" numFmtId="167" fillId="3" borderId="0" applyFont="0" applyNumberFormat="1" applyFill="1" applyBorder="0" applyAlignment="0">
      <alignment horizontal="general" vertical="bottom" textRotation="0" wrapText="false" shrinkToFit="false"/>
    </xf>
    <xf xfId="0" fontId="0" numFmtId="0" fillId="5" borderId="11" applyFont="0" applyNumberFormat="0" applyFill="1" applyBorder="1" applyAlignment="0">
      <alignment horizontal="general" vertical="bottom" textRotation="0" wrapText="false" shrinkToFit="false"/>
    </xf>
    <xf xfId="0" fontId="6" numFmtId="0" fillId="3" borderId="12" applyFont="1" applyNumberFormat="0" applyFill="1" applyBorder="1" applyAlignment="1">
      <alignment horizontal="center" vertical="bottom" textRotation="0" wrapText="false" shrinkToFit="false"/>
    </xf>
    <xf xfId="0" fontId="8" numFmtId="168" fillId="3" borderId="0" applyFont="1" applyNumberFormat="1" applyFill="1" applyBorder="0" applyAlignment="1">
      <alignment horizontal="center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bottom" textRotation="0" wrapText="false" shrinkToFit="false"/>
    </xf>
    <xf xfId="0" fontId="8" numFmtId="0" fillId="3" borderId="13" applyFont="1" applyNumberFormat="0" applyFill="1" applyBorder="1" applyAlignment="1">
      <alignment horizontal="left" vertical="center" textRotation="0" wrapText="false" shrinkToFit="false"/>
    </xf>
    <xf xfId="0" fontId="8" numFmtId="0" fillId="7" borderId="5" applyFont="1" applyNumberFormat="0" applyFill="1" applyBorder="1" applyAlignment="1">
      <alignment horizontal="center" vertical="bottom" textRotation="0" wrapText="false" shrinkToFit="false"/>
    </xf>
    <xf xfId="0" fontId="0" numFmtId="0" fillId="3" borderId="10" applyFont="0" applyNumberFormat="0" applyFill="1" applyBorder="1" applyAlignment="1">
      <alignment horizontal="left" vertical="bottom" textRotation="0" wrapText="false" shrinkToFit="false"/>
    </xf>
    <xf xfId="0" fontId="0" numFmtId="4" fillId="3" borderId="10" applyFont="0" applyNumberFormat="1" applyFill="1" applyBorder="1" applyAlignment="1">
      <alignment horizontal="center" vertical="bottom" textRotation="0" wrapText="false" shrinkToFit="false"/>
    </xf>
    <xf xfId="0" fontId="0" numFmtId="0" fillId="3" borderId="14" applyFont="0" applyNumberFormat="0" applyFill="1" applyBorder="1" applyAlignment="1">
      <alignment horizontal="center" vertical="bottom" textRotation="0" wrapText="false" shrinkToFit="false"/>
    </xf>
    <xf xfId="0" fontId="0" numFmtId="2" fillId="3" borderId="10" applyFont="0" applyNumberFormat="1" applyFill="1" applyBorder="1" applyAlignment="1">
      <alignment horizontal="center" vertical="bottom" textRotation="0" wrapText="false" shrinkToFit="false"/>
    </xf>
    <xf xfId="0" fontId="0" numFmtId="0" fillId="3" borderId="15" applyFont="0" applyNumberFormat="0" applyFill="1" applyBorder="1" applyAlignment="1">
      <alignment horizontal="center" vertical="bottom" textRotation="0" wrapText="false" shrinkToFit="false"/>
    </xf>
    <xf xfId="0" fontId="0" numFmtId="165" fillId="3" borderId="10" applyFont="0" applyNumberFormat="1" applyFill="1" applyBorder="1" applyAlignment="1">
      <alignment horizontal="center" vertical="bottom" textRotation="0" wrapText="false" shrinkToFit="false"/>
    </xf>
    <xf xfId="0" fontId="0" numFmtId="169" fillId="5" borderId="5" applyFont="0" applyNumberFormat="1" applyFill="1" applyBorder="1" applyAlignment="1">
      <alignment horizontal="center" vertical="bottom" textRotation="0" wrapText="false" shrinkToFit="false"/>
    </xf>
    <xf xfId="0" fontId="0" numFmtId="0" fillId="5" borderId="0" applyFont="0" applyNumberFormat="0" applyFill="1" applyBorder="0" applyAlignment="1">
      <alignment horizontal="center" vertical="bottom" textRotation="0" wrapText="false" shrinkToFit="false"/>
    </xf>
    <xf xfId="0" fontId="8" numFmtId="0" fillId="7" borderId="5" applyFont="1" applyNumberFormat="0" applyFill="1" applyBorder="1" applyAlignment="0">
      <alignment horizontal="general" vertical="bottom" textRotation="0" wrapText="false" shrinkToFit="false"/>
    </xf>
    <xf xfId="0" fontId="0" numFmtId="169" fillId="8" borderId="5" applyFont="0" applyNumberFormat="1" applyFill="1" applyBorder="1" applyAlignment="1">
      <alignment horizontal="center" vertical="bottom" textRotation="0" wrapText="false" shrinkToFit="false"/>
    </xf>
    <xf xfId="0" fontId="0" numFmtId="0" fillId="3" borderId="7" applyFont="0" applyNumberFormat="0" applyFill="1" applyBorder="1" applyAlignment="1">
      <alignment horizontal="center" vertical="bottom" textRotation="0" wrapText="false" shrinkToFit="false"/>
    </xf>
    <xf xfId="0" fontId="8" numFmtId="0" fillId="5" borderId="5" applyFont="1" applyNumberFormat="0" applyFill="1" applyBorder="1" applyAlignment="0">
      <alignment horizontal="general" vertical="bottom" textRotation="0" wrapText="false" shrinkToFit="false"/>
    </xf>
    <xf xfId="0" fontId="0" numFmtId="2" fillId="3" borderId="7" applyFont="0" applyNumberFormat="1" applyFill="1" applyBorder="1" applyAlignment="1">
      <alignment horizontal="center" vertical="bottom" textRotation="0" wrapText="false" shrinkToFit="false"/>
    </xf>
    <xf xfId="0" fontId="0" numFmtId="4" fillId="3" borderId="7" applyFont="0" applyNumberFormat="1" applyFill="1" applyBorder="1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right" vertical="bottom" textRotation="0" wrapText="false" shrinkToFit="false"/>
    </xf>
    <xf xfId="0" fontId="8" numFmtId="0" fillId="5" borderId="0" applyFont="1" applyNumberFormat="0" applyFill="1" applyBorder="0" applyAlignment="1">
      <alignment horizontal="center" vertical="bottom" textRotation="0" wrapText="false" shrinkToFit="false"/>
    </xf>
    <xf xfId="0" fontId="0" numFmtId="167" fillId="3" borderId="0" applyFont="0" applyNumberFormat="1" applyFill="1" applyBorder="0" applyAlignment="1">
      <alignment horizontal="center" vertical="bottom" textRotation="0" wrapText="false" shrinkToFit="false"/>
    </xf>
    <xf xfId="0" fontId="0" numFmtId="0" fillId="3" borderId="16" applyFont="0" applyNumberFormat="0" applyFill="1" applyBorder="1" applyAlignment="1">
      <alignment horizontal="left" vertical="bottom" textRotation="0" wrapText="false" shrinkToFit="false"/>
    </xf>
    <xf xfId="0" fontId="0" numFmtId="166" fillId="3" borderId="10" applyFont="0" applyNumberFormat="1" applyFill="1" applyBorder="1" applyAlignment="1">
      <alignment horizontal="center" vertical="bottom" textRotation="0" wrapText="false" shrinkToFit="false"/>
    </xf>
    <xf xfId="0" fontId="0" numFmtId="0" fillId="3" borderId="14" applyFont="0" applyNumberFormat="0" applyFill="1" applyBorder="1" applyAlignment="1">
      <alignment horizontal="left" vertical="bottom" textRotation="0" wrapText="false" shrinkToFit="false"/>
    </xf>
    <xf xfId="0" fontId="0" numFmtId="4" fillId="3" borderId="14" applyFont="0" applyNumberFormat="1" applyFill="1" applyBorder="1" applyAlignment="1">
      <alignment horizontal="center" vertical="bottom" textRotation="0" wrapText="false" shrinkToFit="false"/>
    </xf>
    <xf xfId="0" fontId="0" numFmtId="2" fillId="3" borderId="14" applyFont="0" applyNumberFormat="1" applyFill="1" applyBorder="1" applyAlignment="1">
      <alignment horizontal="center" vertical="bottom" textRotation="0" wrapText="false" shrinkToFit="false"/>
    </xf>
    <xf xfId="0" fontId="0" numFmtId="165" fillId="3" borderId="14" applyFont="0" applyNumberFormat="1" applyFill="1" applyBorder="1" applyAlignment="1">
      <alignment horizontal="center" vertical="bottom" textRotation="0" wrapText="false" shrinkToFit="false"/>
    </xf>
    <xf xfId="0" fontId="11" numFmtId="166" fillId="3" borderId="14" applyFont="1" applyNumberFormat="1" applyFill="1" applyBorder="1" applyAlignment="1">
      <alignment horizontal="center" vertical="bottom" textRotation="0" wrapText="false" shrinkToFit="false"/>
    </xf>
    <xf xfId="0" fontId="8" numFmtId="0" fillId="9" borderId="10" applyFont="1" applyNumberFormat="0" applyFill="1" applyBorder="1" applyAlignment="1">
      <alignment horizontal="center" vertical="bottom" textRotation="0" wrapText="false" shrinkToFit="false"/>
    </xf>
    <xf xfId="0" fontId="8" numFmtId="170" fillId="9" borderId="10" applyFont="1" applyNumberFormat="1" applyFill="1" applyBorder="1" applyAlignment="1">
      <alignment horizontal="center" vertical="bottom" textRotation="0" wrapText="false" shrinkToFit="false"/>
    </xf>
    <xf xfId="0" fontId="12" numFmtId="0" fillId="3" borderId="5" applyFont="1" applyNumberFormat="0" applyFill="1" applyBorder="1" applyAlignment="1">
      <alignment horizontal="general" vertical="top" textRotation="0" wrapText="true" shrinkToFit="false" indent="2"/>
    </xf>
    <xf xfId="0" fontId="0" numFmtId="14" fillId="3" borderId="4" applyFont="0" applyNumberFormat="1" applyFill="1" applyBorder="1" applyAlignment="1">
      <alignment horizontal="center" vertical="bottom" textRotation="0" wrapText="false" shrinkToFit="false"/>
    </xf>
    <xf xfId="0" fontId="0" numFmtId="49" fillId="3" borderId="4" applyFont="0" applyNumberFormat="1" applyFill="1" applyBorder="1" applyAlignment="1">
      <alignment horizontal="center" vertical="bottom" textRotation="0" wrapText="false" shrinkToFit="false"/>
    </xf>
    <xf xfId="0" fontId="0" numFmtId="170" fillId="3" borderId="4" applyFont="0" applyNumberFormat="1" applyFill="1" applyBorder="1" applyAlignment="1">
      <alignment horizontal="center" vertical="bottom" textRotation="0" wrapText="false" shrinkToFit="false"/>
    </xf>
    <xf xfId="0" fontId="0" numFmtId="170" fillId="3" borderId="4" applyFont="0" applyNumberFormat="1" applyFill="1" applyBorder="1" applyAlignment="0">
      <alignment horizontal="general" vertical="bottom" textRotation="0" wrapText="false" shrinkToFit="false"/>
    </xf>
    <xf xfId="0" fontId="0" numFmtId="14" fillId="3" borderId="5" applyFont="0" applyNumberFormat="1" applyFill="1" applyBorder="1" applyAlignment="1">
      <alignment horizontal="center" vertical="bottom" textRotation="0" wrapText="false" shrinkToFit="false"/>
    </xf>
    <xf xfId="0" fontId="0" numFmtId="49" fillId="3" borderId="5" applyFont="0" applyNumberFormat="1" applyFill="1" applyBorder="1" applyAlignment="1">
      <alignment horizontal="center" vertical="bottom" textRotation="0" wrapText="false" shrinkToFit="false"/>
    </xf>
    <xf xfId="0" fontId="0" numFmtId="170" fillId="3" borderId="5" applyFont="0" applyNumberFormat="1" applyFill="1" applyBorder="1" applyAlignment="1">
      <alignment horizontal="center" vertical="bottom" textRotation="0" wrapText="false" shrinkToFit="false"/>
    </xf>
    <xf xfId="0" fontId="0" numFmtId="170" fillId="3" borderId="5" applyFont="0" applyNumberFormat="1" applyFill="1" applyBorder="1" applyAlignment="0">
      <alignment horizontal="general" vertical="bottom" textRotation="0" wrapText="false" shrinkToFit="false"/>
    </xf>
    <xf xfId="0" fontId="12" numFmtId="0" fillId="3" borderId="10" applyFont="1" applyNumberFormat="0" applyFill="1" applyBorder="1" applyAlignment="1">
      <alignment horizontal="general" vertical="top" textRotation="0" wrapText="true" shrinkToFit="false" indent="2"/>
    </xf>
    <xf xfId="0" fontId="0" numFmtId="0" fillId="3" borderId="17" applyFont="0" applyNumberFormat="0" applyFill="1" applyBorder="1" applyAlignment="0">
      <alignment horizontal="general" vertical="bottom" textRotation="0" wrapText="false" shrinkToFit="false"/>
    </xf>
    <xf xfId="0" fontId="0" numFmtId="0" fillId="3" borderId="17" applyFont="0" applyNumberFormat="0" applyFill="1" applyBorder="1" applyAlignment="1">
      <alignment horizontal="center" vertical="bottom" textRotation="0" wrapText="false" shrinkToFit="false"/>
    </xf>
    <xf xfId="0" fontId="0" numFmtId="14" fillId="3" borderId="10" applyFont="0" applyNumberFormat="1" applyFill="1" applyBorder="1" applyAlignment="1">
      <alignment horizontal="center" vertical="bottom" textRotation="0" wrapText="false" shrinkToFit="false"/>
    </xf>
    <xf xfId="0" fontId="0" numFmtId="49" fillId="3" borderId="17" applyFont="0" applyNumberFormat="1" applyFill="1" applyBorder="1" applyAlignment="1">
      <alignment horizontal="center" vertical="bottom" textRotation="0" wrapText="false" shrinkToFit="false"/>
    </xf>
    <xf xfId="0" fontId="0" numFmtId="170" fillId="3" borderId="10" applyFont="0" applyNumberFormat="1" applyFill="1" applyBorder="1" applyAlignment="1">
      <alignment horizontal="center" vertical="bottom" textRotation="0" wrapText="false" shrinkToFit="false"/>
    </xf>
    <xf xfId="0" fontId="0" numFmtId="170" fillId="3" borderId="0" applyFont="0" applyNumberFormat="1" applyFill="1" applyBorder="0" applyAlignment="0">
      <alignment horizontal="general" vertical="bottom" textRotation="0" wrapText="false" shrinkToFit="false"/>
    </xf>
    <xf xfId="0" fontId="8" numFmtId="170" fillId="3" borderId="4" applyFont="1" applyNumberFormat="1" applyFill="1" applyBorder="1" applyAlignment="0">
      <alignment horizontal="general" vertical="bottom" textRotation="0" wrapText="false" shrinkToFit="false"/>
    </xf>
    <xf xfId="0" fontId="12" numFmtId="0" fillId="3" borderId="9" applyFont="1" applyNumberFormat="0" applyFill="1" applyBorder="1" applyAlignment="1">
      <alignment horizontal="general" vertical="top" textRotation="0" wrapText="true" shrinkToFit="false" indent="2"/>
    </xf>
    <xf xfId="0" fontId="0" numFmtId="170" fillId="3" borderId="18" applyFont="0" applyNumberFormat="1" applyFill="1" applyBorder="1" applyAlignment="0">
      <alignment horizontal="general" vertical="bottom" textRotation="0" wrapText="false" shrinkToFit="false"/>
    </xf>
    <xf xfId="0" fontId="12" numFmtId="0" fillId="3" borderId="3" applyFont="1" applyNumberFormat="0" applyFill="1" applyBorder="1" applyAlignment="1">
      <alignment horizontal="general" vertical="top" textRotation="0" wrapText="true" shrinkToFit="false" indent="2"/>
    </xf>
    <xf xfId="0" fontId="0" numFmtId="170" fillId="3" borderId="19" applyFont="0" applyNumberFormat="1" applyFill="1" applyBorder="1" applyAlignment="0">
      <alignment horizontal="general" vertical="bottom" textRotation="0" wrapText="false" shrinkToFit="false"/>
    </xf>
    <xf xfId="0" fontId="8" numFmtId="0" fillId="5" borderId="0" applyFont="1" applyNumberFormat="0" applyFill="1" applyBorder="0" applyAlignment="1">
      <alignment horizontal="center" vertical="center" textRotation="0" wrapText="false" shrinkToFit="false"/>
    </xf>
    <xf xfId="0" fontId="8" numFmtId="0" fillId="5" borderId="5" applyFont="1" applyNumberFormat="0" applyFill="1" applyBorder="1" applyAlignment="1">
      <alignment horizontal="center" vertical="center" textRotation="0" wrapText="false" shrinkToFit="false"/>
    </xf>
    <xf xfId="0" fontId="8" numFmtId="0" fillId="5" borderId="0" applyFont="1" applyNumberFormat="0" applyFill="1" applyBorder="0" applyAlignment="1">
      <alignment horizontal="center" vertical="top" textRotation="0" wrapText="false" shrinkToFit="false"/>
    </xf>
    <xf xfId="0" fontId="8" numFmtId="0" fillId="7" borderId="10" applyFont="1" applyNumberFormat="0" applyFill="1" applyBorder="1" applyAlignment="1">
      <alignment horizontal="center" vertical="top" textRotation="0" wrapText="false" shrinkToFit="false"/>
    </xf>
    <xf xfId="0" fontId="8" numFmtId="0" fillId="5" borderId="10" applyFont="1" applyNumberFormat="0" applyFill="1" applyBorder="1" applyAlignment="1">
      <alignment horizontal="center" vertical="top" textRotation="0" wrapText="false" shrinkToFit="false"/>
    </xf>
    <xf xfId="0" fontId="8" numFmtId="0" fillId="5" borderId="17" applyFont="1" applyNumberFormat="0" applyFill="1" applyBorder="1" applyAlignment="1">
      <alignment horizontal="center" vertical="top" textRotation="0" wrapText="false" shrinkToFit="false"/>
    </xf>
    <xf xfId="0" fontId="8" numFmtId="171" fillId="7" borderId="10" applyFont="1" applyNumberFormat="1" applyFill="1" applyBorder="1" applyAlignment="1">
      <alignment horizontal="center" vertical="top" textRotation="0" wrapText="false" shrinkToFit="false"/>
    </xf>
    <xf xfId="0" fontId="8" numFmtId="171" fillId="5" borderId="10" applyFont="1" applyNumberFormat="1" applyFill="1" applyBorder="1" applyAlignment="1">
      <alignment horizontal="center" vertical="top" textRotation="0" wrapText="false" shrinkToFit="false"/>
    </xf>
    <xf xfId="0" fontId="8" numFmtId="0" fillId="5" borderId="5" applyFont="1" applyNumberFormat="0" applyFill="1" applyBorder="1" applyAlignment="1">
      <alignment horizontal="center" vertical="top" textRotation="0" wrapText="false" shrinkToFit="false"/>
    </xf>
    <xf xfId="0" fontId="8" numFmtId="0" fillId="5" borderId="0" applyFont="1" applyNumberFormat="0" applyFill="1" applyBorder="0" applyAlignment="1">
      <alignment horizontal="general" vertical="top" textRotation="0" wrapText="false" shrinkToFit="false"/>
    </xf>
    <xf xfId="0" fontId="0" numFmtId="0" fillId="2" borderId="20" applyFont="0" applyNumberFormat="0" applyFill="0" applyBorder="1" applyAlignment="0">
      <alignment horizontal="general" vertical="bottom" textRotation="0" wrapText="false" shrinkToFit="false"/>
    </xf>
    <xf xfId="0" fontId="12" numFmtId="172" fillId="10" borderId="5" applyFont="1" applyNumberFormat="1" applyFill="1" applyBorder="1" applyAlignment="1">
      <alignment horizontal="right" vertical="top" textRotation="0" wrapText="true" shrinkToFit="false"/>
    </xf>
    <xf xfId="0" fontId="8" numFmtId="173" fillId="5" borderId="5" applyFont="1" applyNumberFormat="1" applyFill="1" applyBorder="1" applyAlignment="1">
      <alignment horizontal="center" vertical="center" textRotation="0" wrapText="false" shrinkToFit="false"/>
    </xf>
    <xf xfId="0" fontId="12" numFmtId="172" fillId="3" borderId="5" applyFont="1" applyNumberFormat="1" applyFill="1" applyBorder="1" applyAlignment="1">
      <alignment horizontal="right" vertical="top" textRotation="0" wrapText="true" shrinkToFit="false"/>
    </xf>
    <xf xfId="0" fontId="0" numFmtId="0" fillId="7" borderId="5" applyFont="0" applyNumberFormat="0" applyFill="1" applyBorder="1" applyAlignment="1">
      <alignment horizontal="center" vertical="center" textRotation="0" wrapText="false" shrinkToFit="false"/>
    </xf>
    <xf xfId="0" fontId="0" numFmtId="173" fillId="5" borderId="5" applyFont="0" applyNumberFormat="1" applyFill="1" applyBorder="1" applyAlignment="1">
      <alignment horizontal="center" vertical="center" textRotation="0" wrapText="true" shrinkToFit="false"/>
    </xf>
    <xf xfId="0" fontId="12" numFmtId="0" fillId="10" borderId="5" applyFont="1" applyNumberFormat="0" applyFill="1" applyBorder="1" applyAlignment="1">
      <alignment horizontal="right" vertical="top" textRotation="0" wrapText="true" shrinkToFit="false"/>
    </xf>
    <xf xfId="0" fontId="12" numFmtId="0" fillId="3" borderId="5" applyFont="1" applyNumberFormat="0" applyFill="1" applyBorder="1" applyAlignment="1">
      <alignment horizontal="right" vertical="top" textRotation="0" wrapText="true" shrinkToFit="false"/>
    </xf>
    <xf xfId="0" fontId="0" numFmtId="0" fillId="5" borderId="0" applyFont="0" applyNumberFormat="0" applyFill="1" applyBorder="0" applyAlignment="1">
      <alignment horizontal="center" vertical="center" textRotation="0" wrapText="false" shrinkToFit="false"/>
    </xf>
    <xf xfId="0" fontId="8" numFmtId="165" fillId="5" borderId="0" applyFont="1" applyNumberFormat="1" applyFill="1" applyBorder="0" applyAlignment="1">
      <alignment horizontal="center" vertical="center" textRotation="0" wrapText="false" shrinkToFit="false"/>
    </xf>
    <xf xfId="0" fontId="0" numFmtId="0" fillId="2" borderId="21" applyFont="0" applyNumberFormat="0" applyFill="0" applyBorder="1" applyAlignment="0">
      <alignment horizontal="general" vertical="bottom" textRotation="0" wrapText="false" shrinkToFit="false"/>
    </xf>
    <xf xfId="0" fontId="12" numFmtId="172" fillId="10" borderId="10" applyFont="1" applyNumberFormat="1" applyFill="1" applyBorder="1" applyAlignment="1">
      <alignment horizontal="right" vertical="top" textRotation="0" wrapText="true" shrinkToFit="false"/>
    </xf>
    <xf xfId="0" fontId="8" numFmtId="173" fillId="5" borderId="10" applyFont="1" applyNumberFormat="1" applyFill="1" applyBorder="1" applyAlignment="1">
      <alignment horizontal="center" vertical="center" textRotation="0" wrapText="false" shrinkToFit="false"/>
    </xf>
    <xf xfId="0" fontId="12" numFmtId="172" fillId="3" borderId="10" applyFont="1" applyNumberFormat="1" applyFill="1" applyBorder="1" applyAlignment="1">
      <alignment horizontal="right" vertical="top" textRotation="0" wrapText="true" shrinkToFit="false"/>
    </xf>
    <xf xfId="0" fontId="0" numFmtId="0" fillId="7" borderId="10" applyFont="0" applyNumberFormat="0" applyFill="1" applyBorder="1" applyAlignment="1">
      <alignment horizontal="center" vertical="center" textRotation="0" wrapText="false" shrinkToFit="false"/>
    </xf>
    <xf xfId="0" fontId="0" numFmtId="173" fillId="5" borderId="10" applyFont="0" applyNumberFormat="1" applyFill="1" applyBorder="1" applyAlignment="1">
      <alignment horizontal="center" vertical="center" textRotation="0" wrapText="true" shrinkToFit="false"/>
    </xf>
    <xf xfId="0" fontId="12" numFmtId="0" fillId="10" borderId="10" applyFont="1" applyNumberFormat="0" applyFill="1" applyBorder="1" applyAlignment="1">
      <alignment horizontal="right" vertical="top" textRotation="0" wrapText="true" shrinkToFit="false"/>
    </xf>
    <xf xfId="0" fontId="12" numFmtId="0" fillId="3" borderId="10" applyFont="1" applyNumberFormat="0" applyFill="1" applyBorder="1" applyAlignment="1">
      <alignment horizontal="right" vertical="top" textRotation="0" wrapText="true" shrinkToFit="false"/>
    </xf>
    <xf xfId="0" fontId="0" numFmtId="0" fillId="5" borderId="1" applyFont="0" applyNumberFormat="0" applyFill="1" applyBorder="1" applyAlignment="1">
      <alignment horizontal="center" vertical="center" textRotation="0" wrapText="false" shrinkToFit="false"/>
    </xf>
    <xf xfId="0" fontId="0" numFmtId="0" fillId="5" borderId="1" applyFont="0" applyNumberFormat="0" applyFill="1" applyBorder="1" applyAlignment="0">
      <alignment horizontal="general" vertical="bottom" textRotation="0" wrapText="false" shrinkToFit="false"/>
    </xf>
    <xf xfId="0" fontId="0" numFmtId="3" fillId="5" borderId="0" applyFont="0" applyNumberFormat="1" applyFill="1" applyBorder="0" applyAlignment="1">
      <alignment horizontal="center" vertical="center" textRotation="0" wrapText="false" shrinkToFit="false"/>
    </xf>
    <xf xfId="0" fontId="8" numFmtId="3" fillId="5" borderId="0" applyFont="1" applyNumberFormat="1" applyFill="1" applyBorder="0" applyAlignment="1">
      <alignment horizontal="center" vertical="center" textRotation="0" wrapText="false" shrinkToFit="false"/>
    </xf>
    <xf xfId="0" fontId="0" numFmtId="3" fillId="5" borderId="0" applyFont="0" applyNumberFormat="1" applyFill="1" applyBorder="0" applyAlignment="0">
      <alignment horizontal="general" vertical="bottom" textRotation="0" wrapText="false" shrinkToFit="false"/>
    </xf>
    <xf xfId="0" fontId="0" numFmtId="0" fillId="5" borderId="0" applyFont="0" applyNumberFormat="0" applyFill="1" applyBorder="0" applyAlignment="1">
      <alignment horizontal="general" vertical="center" textRotation="0" wrapText="false" shrinkToFit="false"/>
    </xf>
    <xf xfId="0" fontId="8" numFmtId="0" fillId="5" borderId="5" applyFont="1" applyNumberFormat="0" applyFill="1" applyBorder="1" applyAlignment="1">
      <alignment horizontal="center" vertical="bottom" textRotation="0" wrapText="false" shrinkToFit="false"/>
    </xf>
    <xf xfId="0" fontId="0" numFmtId="0" fillId="5" borderId="5" applyFont="0" applyNumberFormat="0" applyFill="1" applyBorder="1" applyAlignment="0">
      <alignment horizontal="general" vertical="bottom" textRotation="0" wrapText="false" shrinkToFit="false"/>
    </xf>
    <xf xfId="0" fontId="0" numFmtId="0" fillId="5" borderId="10" applyFont="0" applyNumberFormat="0" applyFill="1" applyBorder="1" applyAlignment="1">
      <alignment horizontal="center" vertical="bottom" textRotation="0" wrapText="false" shrinkToFit="false"/>
    </xf>
    <xf xfId="0" fontId="8" numFmtId="0" fillId="5" borderId="10" applyFont="1" applyNumberFormat="0" applyFill="1" applyBorder="1" applyAlignment="1">
      <alignment horizontal="center" vertical="bottom" textRotation="0" wrapText="false" shrinkToFit="false"/>
    </xf>
    <xf xfId="0" fontId="8" numFmtId="0" fillId="5" borderId="16" applyFont="1" applyNumberFormat="0" applyFill="1" applyBorder="1" applyAlignment="1">
      <alignment horizontal="right" vertical="bottom" textRotation="0" wrapText="false" shrinkToFit="false"/>
    </xf>
    <xf xfId="0" fontId="8" numFmtId="0" fillId="5" borderId="16" applyFont="1" applyNumberFormat="0" applyFill="1" applyBorder="1" applyAlignment="1">
      <alignment horizontal="center" vertical="bottom" textRotation="0" wrapText="false" shrinkToFit="false"/>
    </xf>
    <xf xfId="0" fontId="8" numFmtId="0" fillId="3" borderId="22" applyFont="1" applyNumberFormat="0" applyFill="1" applyBorder="1" applyAlignment="1">
      <alignment horizontal="left" vertical="bottom" textRotation="0" wrapText="false" shrinkToFit="false"/>
    </xf>
    <xf xfId="0" fontId="0" numFmtId="0" fillId="10" borderId="10" applyFont="0" applyNumberFormat="0" applyFill="1" applyBorder="1" applyAlignment="1">
      <alignment horizontal="center" vertical="bottom" textRotation="0" wrapText="false" shrinkToFit="false"/>
    </xf>
    <xf xfId="0" fontId="12" numFmtId="0" fillId="3" borderId="16" applyFont="1" applyNumberFormat="0" applyFill="1" applyBorder="1" applyAlignment="1">
      <alignment horizontal="general" vertical="top" textRotation="0" wrapText="true" shrinkToFit="false" indent="2"/>
    </xf>
    <xf xfId="0" fontId="0" numFmtId="167" fillId="3" borderId="16" applyFont="0" applyNumberFormat="1" applyFill="1" applyBorder="1" applyAlignment="0">
      <alignment horizontal="general" vertical="bottom" textRotation="0" wrapText="false" shrinkToFit="false"/>
    </xf>
    <xf xfId="0" fontId="0" numFmtId="167" fillId="3" borderId="5" applyFont="0" applyNumberFormat="1" applyFill="1" applyBorder="1" applyAlignment="0">
      <alignment horizontal="general" vertical="bottom" textRotation="0" wrapText="false" shrinkToFit="false"/>
    </xf>
    <xf xfId="0" fontId="0" numFmtId="167" fillId="3" borderId="10" applyFont="0" applyNumberFormat="1" applyFill="1" applyBorder="1" applyAlignment="0">
      <alignment horizontal="general" vertical="bottom" textRotation="0" wrapText="false" shrinkToFit="false"/>
    </xf>
    <xf xfId="0" fontId="8" numFmtId="0" fillId="5" borderId="0" applyFont="1" applyNumberFormat="0" applyFill="1" applyBorder="0" applyAlignment="0">
      <alignment horizontal="general" vertical="bottom" textRotation="0" wrapText="false" shrinkToFit="false"/>
    </xf>
    <xf xfId="0" fontId="8" numFmtId="165" fillId="2" borderId="5" applyFont="1" applyNumberFormat="1" applyFill="0" applyBorder="1" applyAlignment="1">
      <alignment horizontal="center" vertical="bottom" textRotation="0" wrapText="false" shrinkToFit="false"/>
    </xf>
    <xf xfId="0" fontId="0" numFmtId="0" fillId="2" borderId="5" applyFont="0" applyNumberFormat="0" applyFill="0" applyBorder="1" applyAlignment="1">
      <alignment horizontal="left" vertical="center" textRotation="0" wrapText="true" shrinkToFit="false"/>
    </xf>
    <xf xfId="0" fontId="8" numFmtId="165" fillId="2" borderId="5" applyFont="1" applyNumberFormat="1" applyFill="0" applyBorder="1" applyAlignment="1">
      <alignment horizontal="center" vertical="center" textRotation="0" wrapText="true" shrinkToFit="false"/>
    </xf>
    <xf xfId="0" fontId="0" numFmtId="0" fillId="7" borderId="5" applyFont="0" applyNumberFormat="0" applyFill="1" applyBorder="1" applyAlignment="1">
      <alignment horizontal="left" vertical="center" textRotation="0" wrapText="true" shrinkToFit="false"/>
    </xf>
    <xf xfId="0" fontId="0" numFmtId="0" fillId="7" borderId="5" applyFont="0" applyNumberFormat="0" applyFill="1" applyBorder="1" applyAlignment="1">
      <alignment horizontal="center" vertical="bottom" textRotation="0" wrapText="false" shrinkToFit="false"/>
    </xf>
    <xf xfId="0" fontId="0" numFmtId="0" fillId="5" borderId="0" applyFont="0" applyNumberFormat="0" applyFill="1" applyBorder="0" applyAlignment="1">
      <alignment horizontal="left" vertical="bottom" textRotation="0" wrapText="false" shrinkToFit="false"/>
    </xf>
    <xf xfId="0" fontId="0" numFmtId="0" fillId="2" borderId="0" applyFont="0" applyNumberFormat="0" applyFill="0" applyBorder="0" applyAlignment="1">
      <alignment horizontal="left" vertical="bottom" textRotation="0" wrapText="false" shrinkToFit="false"/>
    </xf>
    <xf xfId="0" fontId="0" numFmtId="4" fillId="3" borderId="0" applyFont="0" applyNumberFormat="1" applyFill="1" applyBorder="0" applyAlignment="1">
      <alignment horizontal="center" vertical="bottom" textRotation="0" wrapText="false" shrinkToFit="false"/>
    </xf>
    <xf xfId="0" fontId="8" numFmtId="0" fillId="9" borderId="7" applyFont="1" applyNumberFormat="0" applyFill="1" applyBorder="1" applyAlignment="1">
      <alignment horizontal="center" vertical="bottom" textRotation="0" wrapText="false" shrinkToFit="false"/>
    </xf>
    <xf xfId="0" fontId="8" numFmtId="170" fillId="3" borderId="16" applyFont="1" applyNumberFormat="1" applyFill="1" applyBorder="1" applyAlignment="0">
      <alignment horizontal="general" vertical="bottom" textRotation="0" wrapText="false" shrinkToFit="false"/>
    </xf>
    <xf xfId="0" fontId="0" numFmtId="170" fillId="3" borderId="10" applyFont="0" applyNumberFormat="1" applyFill="1" applyBorder="1" applyAlignment="0">
      <alignment horizontal="general" vertical="bottom" textRotation="0" wrapText="false" shrinkToFit="false"/>
    </xf>
    <xf xfId="0" fontId="0" numFmtId="3" fillId="3" borderId="0" applyFont="0" applyNumberFormat="1" applyFill="1" applyBorder="0" applyAlignment="0">
      <alignment horizontal="general" vertical="bottom" textRotation="0" wrapText="false" shrinkToFit="false"/>
    </xf>
    <xf xfId="0" fontId="0" numFmtId="174" fillId="3" borderId="5" applyFont="0" applyNumberFormat="1" applyFill="1" applyBorder="1" applyAlignment="1">
      <alignment horizontal="center" vertical="bottom" textRotation="0" wrapText="false" shrinkToFit="false"/>
    </xf>
    <xf xfId="0" fontId="0" numFmtId="170" fillId="3" borderId="6" applyFont="0" applyNumberFormat="1" applyFill="1" applyBorder="1" applyAlignment="0">
      <alignment horizontal="general" vertical="bottom" textRotation="0" wrapText="false" shrinkToFit="false"/>
    </xf>
    <xf xfId="0" fontId="8" numFmtId="173" fillId="7" borderId="5" applyFont="1" applyNumberFormat="1" applyFill="1" applyBorder="1" applyAlignment="1">
      <alignment horizontal="center" vertical="center" textRotation="0" wrapText="false" shrinkToFit="false"/>
    </xf>
    <xf xfId="0" fontId="8" numFmtId="173" fillId="7" borderId="10" applyFont="1" applyNumberFormat="1" applyFill="1" applyBorder="1" applyAlignment="1">
      <alignment horizontal="center" vertical="center" textRotation="0" wrapText="false" shrinkToFit="false"/>
    </xf>
    <xf xfId="0" fontId="8" numFmtId="3" fillId="7" borderId="0" applyFont="1" applyNumberFormat="1" applyFill="1" applyBorder="0" applyAlignment="1">
      <alignment horizontal="center" vertical="center" textRotation="0" wrapText="false" shrinkToFit="false"/>
    </xf>
    <xf xfId="0" fontId="0" numFmtId="0" fillId="7" borderId="0" applyFont="0" applyNumberFormat="0" applyFill="1" applyBorder="0" applyAlignment="1">
      <alignment horizontal="center" vertical="center" textRotation="0" wrapText="false" shrinkToFit="false"/>
    </xf>
    <xf xfId="0" fontId="8" numFmtId="0" fillId="7" borderId="0" applyFont="1" applyNumberFormat="0" applyFill="1" applyBorder="0" applyAlignment="1">
      <alignment horizontal="center" vertical="center" textRotation="0" wrapText="false" shrinkToFit="false"/>
    </xf>
    <xf xfId="0" fontId="0" numFmtId="3" fillId="11" borderId="5" applyFont="0" applyNumberFormat="1" applyFill="1" applyBorder="1" applyAlignment="1">
      <alignment horizontal="left" vertical="bottom" textRotation="0" wrapText="false" shrinkToFit="false"/>
    </xf>
    <xf xfId="0" fontId="0" numFmtId="0" fillId="10" borderId="5" applyFont="0" applyNumberFormat="0" applyFill="1" applyBorder="1" applyAlignment="1">
      <alignment horizontal="center" vertical="bottom" textRotation="0" wrapText="false" shrinkToFit="false"/>
    </xf>
    <xf xfId="0" fontId="8" numFmtId="0" fillId="3" borderId="0" applyFont="1" applyNumberFormat="0" applyFill="1" applyBorder="0" applyAlignment="1">
      <alignment horizontal="left" vertical="center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0" numFmtId="0" fillId="3" borderId="0" applyFont="0" applyNumberFormat="0" applyFill="1" applyBorder="0" applyAlignment="1">
      <alignment horizontal="general" vertical="center" textRotation="0" wrapText="false" shrinkToFit="false"/>
    </xf>
    <xf xfId="0" fontId="8" numFmtId="0" fillId="3" borderId="5" applyFont="1" applyNumberFormat="0" applyFill="1" applyBorder="1" applyAlignment="1">
      <alignment horizontal="center" vertical="bottom" textRotation="0" wrapText="false" shrinkToFit="false"/>
    </xf>
    <xf xfId="0" fontId="0" numFmtId="0" fillId="3" borderId="0" applyFont="0" applyNumberFormat="0" applyFill="1" applyBorder="0" applyAlignment="1">
      <alignment horizontal="general" vertical="top" textRotation="0" wrapText="true" shrinkToFit="false"/>
    </xf>
    <xf xfId="0" fontId="8" numFmtId="0" fillId="5" borderId="23" applyFont="1" applyNumberFormat="0" applyFill="1" applyBorder="1" applyAlignment="1">
      <alignment horizontal="center" vertical="bottom" textRotation="0" wrapText="false" shrinkToFit="false"/>
    </xf>
    <xf xfId="0" fontId="0" numFmtId="0" fillId="5" borderId="24" applyFont="0" applyNumberFormat="0" applyFill="1" applyBorder="1" applyAlignment="1">
      <alignment horizontal="center" vertical="bottom" textRotation="0" wrapText="false" shrinkToFit="false"/>
    </xf>
    <xf xfId="0" fontId="0" numFmtId="0" fillId="5" borderId="23" applyFont="0" applyNumberFormat="0" applyFill="1" applyBorder="1" applyAlignment="1">
      <alignment horizontal="center" vertical="bottom" textRotation="0" wrapText="false" shrinkToFit="false"/>
    </xf>
    <xf xfId="0" fontId="0" numFmtId="0" fillId="5" borderId="25" applyFont="0" applyNumberFormat="0" applyFill="1" applyBorder="1" applyAlignment="1">
      <alignment horizontal="center" vertical="bottom" textRotation="0" wrapText="false" shrinkToFit="false"/>
    </xf>
    <xf xfId="0" fontId="0" numFmtId="0" fillId="5" borderId="26" applyFont="0" applyNumberFormat="0" applyFill="1" applyBorder="1" applyAlignment="1">
      <alignment horizontal="center" vertical="bottom" textRotation="0" wrapText="false" shrinkToFit="false"/>
    </xf>
    <xf xfId="0" fontId="0" numFmtId="0" fillId="5" borderId="27" applyFont="0" applyNumberFormat="0" applyFill="1" applyBorder="1" applyAlignment="1">
      <alignment horizontal="center" vertical="bottom" textRotation="0" wrapText="false" shrinkToFit="false"/>
    </xf>
    <xf xfId="0" fontId="0" numFmtId="0" fillId="3" borderId="6" applyFont="0" applyNumberFormat="0" applyFill="1" applyBorder="1" applyAlignment="1">
      <alignment horizontal="left" vertical="bottom" textRotation="0" wrapText="false" shrinkToFit="false"/>
    </xf>
    <xf xfId="0" fontId="8" numFmtId="0" fillId="3" borderId="5" applyFont="1" applyNumberFormat="0" applyFill="1" applyBorder="1" applyAlignment="1">
      <alignment horizontal="left" vertical="bottom" textRotation="0" wrapText="false" shrinkToFit="false"/>
    </xf>
    <xf xfId="0" fontId="0" numFmtId="0" fillId="5" borderId="28" applyFont="0" applyNumberFormat="0" applyFill="1" applyBorder="1" applyAlignment="1">
      <alignment horizontal="center" vertical="bottom" textRotation="0" wrapText="false" shrinkToFit="false"/>
    </xf>
    <xf xfId="0" fontId="0" numFmtId="0" fillId="5" borderId="29" applyFont="0" applyNumberFormat="0" applyFill="1" applyBorder="1" applyAlignment="1">
      <alignment horizontal="center" vertical="bottom" textRotation="0" wrapText="false" shrinkToFit="false"/>
    </xf>
    <xf xfId="0" fontId="0" numFmtId="0" fillId="5" borderId="0" applyFont="0" applyNumberFormat="0" applyFill="1" applyBorder="0" applyAlignment="1">
      <alignment horizontal="right" vertical="bottom" textRotation="0" wrapText="false" shrinkToFit="false"/>
    </xf>
    <xf xfId="0" fontId="0" numFmtId="3" fillId="3" borderId="7" applyFont="0" applyNumberFormat="1" applyFill="1" applyBorder="1" applyAlignment="1">
      <alignment horizontal="center" vertical="bottom" textRotation="0" wrapText="false" shrinkToFit="false"/>
    </xf>
    <xf xfId="0" fontId="0" numFmtId="14" fillId="5" borderId="5" applyFont="0" applyNumberFormat="1" applyFill="1" applyBorder="1" applyAlignment="1">
      <alignment horizontal="center" vertical="bottom" textRotation="0" wrapText="false" shrinkToFit="false"/>
    </xf>
    <xf xfId="0" fontId="0" numFmtId="14" fillId="5" borderId="5" applyFont="0" applyNumberFormat="1" applyFill="1" applyBorder="1" applyAlignment="0">
      <alignment horizontal="general" vertical="bottom" textRotation="0" wrapText="false" shrinkToFit="false"/>
    </xf>
    <xf xfId="0" fontId="0" numFmtId="14" fillId="2" borderId="5" applyFont="0" applyNumberFormat="1" applyFill="0" applyBorder="1" applyAlignment="1">
      <alignment horizontal="center" vertical="bottom" textRotation="0" wrapText="false" shrinkToFit="false"/>
    </xf>
    <xf xfId="0" fontId="0" numFmtId="0" fillId="12" borderId="7" applyFont="0" applyNumberFormat="0" applyFill="1" applyBorder="1" applyAlignment="0">
      <alignment horizontal="general" vertical="bottom" textRotation="0" wrapText="false" shrinkToFit="false"/>
    </xf>
    <xf xfId="0" fontId="4" numFmtId="14" fillId="3" borderId="0" applyFont="1" applyNumberFormat="1" applyFill="1" applyBorder="0" applyAlignment="1">
      <alignment horizontal="left" vertical="bottom" textRotation="0" wrapText="false" shrinkToFit="false"/>
    </xf>
    <xf xfId="0" fontId="0" numFmtId="0" fillId="6" borderId="7" applyFont="0" applyNumberFormat="0" applyFill="1" applyBorder="1" applyAlignment="1">
      <alignment horizontal="center" vertical="center" textRotation="0" wrapText="false" shrinkToFit="false"/>
    </xf>
    <xf xfId="0" fontId="0" numFmtId="9" fillId="5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center" textRotation="0" wrapText="false" shrinkToFit="false"/>
    </xf>
    <xf xfId="0" fontId="8" numFmtId="0" fillId="2" borderId="0" applyFont="1" applyNumberFormat="0" applyFill="0" applyBorder="0" applyAlignment="1">
      <alignment horizontal="center" vertical="bottom" textRotation="0" wrapText="false" shrinkToFit="false"/>
    </xf>
    <xf xfId="0" fontId="8" numFmtId="175" fillId="2" borderId="0" applyFont="1" applyNumberFormat="1" applyFill="0" applyBorder="0" applyAlignment="1">
      <alignment horizontal="general" vertical="center" textRotation="0" wrapText="false" shrinkToFit="false"/>
    </xf>
    <xf xfId="0" fontId="12" numFmtId="0" fillId="10" borderId="5" applyFont="1" applyNumberFormat="0" applyFill="1" applyBorder="1" applyAlignment="1" applyProtection="true">
      <alignment horizontal="right" vertical="top" textRotation="0" wrapText="true" shrinkToFit="false"/>
      <protection locked="false"/>
    </xf>
    <xf xfId="0" fontId="12" numFmtId="0" fillId="10" borderId="10" applyFont="1" applyNumberFormat="0" applyFill="1" applyBorder="1" applyAlignment="1" applyProtection="true">
      <alignment horizontal="right" vertical="top" textRotation="0" wrapText="true" shrinkToFit="false"/>
      <protection locked="false"/>
    </xf>
    <xf xfId="0" fontId="8" numFmtId="0" fillId="5" borderId="24" applyFont="1" applyNumberFormat="0" applyFill="1" applyBorder="1" applyAlignment="1">
      <alignment horizontal="center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8" numFmtId="0" fillId="3" borderId="28" applyFont="1" applyNumberFormat="0" applyFill="1" applyBorder="1" applyAlignment="1">
      <alignment horizontal="center" vertical="bottom" textRotation="0" wrapText="false" shrinkToFit="false"/>
    </xf>
    <xf xfId="0" fontId="8" numFmtId="0" fillId="3" borderId="30" applyFont="1" applyNumberFormat="0" applyFill="1" applyBorder="1" applyAlignment="0">
      <alignment horizontal="general" vertical="bottom" textRotation="0" wrapText="false" shrinkToFit="false"/>
    </xf>
    <xf xfId="0" fontId="0" numFmtId="0" fillId="3" borderId="28" applyFont="0" applyNumberFormat="0" applyFill="1" applyBorder="1" applyAlignment="1">
      <alignment horizontal="center" vertical="bottom" textRotation="0" wrapText="false" shrinkToFit="false"/>
    </xf>
    <xf xfId="0" fontId="13" numFmtId="0" fillId="5" borderId="0" applyFont="1" applyNumberFormat="0" applyFill="1" applyBorder="0" applyAlignment="0">
      <alignment horizontal="general" vertical="bottom" textRotation="0" wrapText="false" shrinkToFit="false"/>
    </xf>
    <xf xfId="0" fontId="1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13" borderId="5" applyFont="0" applyNumberFormat="0" applyFill="1" applyBorder="1" applyAlignment="1">
      <alignment horizontal="left" vertical="bottom" textRotation="0" wrapText="false" shrinkToFit="false"/>
    </xf>
    <xf xfId="0" fontId="0" numFmtId="0" fillId="13" borderId="6" applyFont="0" applyNumberFormat="0" applyFill="1" applyBorder="1" applyAlignment="0">
      <alignment horizontal="general" vertical="bottom" textRotation="0" wrapText="false" shrinkToFit="false"/>
    </xf>
    <xf xfId="0" fontId="0" numFmtId="169" fillId="13" borderId="5" applyFont="0" applyNumberFormat="1" applyFill="1" applyBorder="1" applyAlignment="1">
      <alignment horizontal="left" vertical="bottom" textRotation="0" wrapText="false" shrinkToFit="false"/>
    </xf>
    <xf xfId="0" fontId="0" numFmtId="3" fillId="13" borderId="0" applyFont="0" applyNumberFormat="1" applyFill="1" applyBorder="0" applyAlignment="1">
      <alignment horizontal="left" vertical="bottom" textRotation="0" wrapText="false" shrinkToFit="false"/>
    </xf>
    <xf xfId="0" fontId="0" numFmtId="0" fillId="14" borderId="5" applyFont="0" applyNumberFormat="0" applyFill="1" applyBorder="1" applyAlignment="1">
      <alignment horizontal="left" vertical="bottom" textRotation="0" wrapText="false" shrinkToFit="false"/>
    </xf>
    <xf xfId="0" fontId="0" numFmtId="169" fillId="14" borderId="5" applyFont="0" applyNumberFormat="1" applyFill="1" applyBorder="1" applyAlignment="1">
      <alignment horizontal="left" vertical="bottom" textRotation="0" wrapText="false" shrinkToFit="false"/>
    </xf>
    <xf xfId="0" fontId="0" numFmtId="0" fillId="14" borderId="5" applyFont="0" applyNumberFormat="0" applyFill="1" applyBorder="1" applyAlignment="0">
      <alignment horizontal="general" vertical="bottom" textRotation="0" wrapText="false" shrinkToFit="false"/>
    </xf>
    <xf xfId="0" fontId="0" numFmtId="49" fillId="3" borderId="0" applyFont="0" applyNumberFormat="1" applyFill="1" applyBorder="0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1">
      <alignment horizontal="left" vertical="bottom" textRotation="0" wrapText="false" shrinkToFit="false"/>
    </xf>
    <xf xfId="0" fontId="8" numFmtId="0" fillId="15" borderId="0" applyFont="1" applyNumberFormat="0" applyFill="1" applyBorder="0" applyAlignment="1">
      <alignment horizontal="center" vertical="center" textRotation="0" wrapText="false" shrinkToFit="false"/>
    </xf>
    <xf xfId="0" fontId="0" numFmtId="49" fillId="2" borderId="0" applyFont="0" applyNumberFormat="1" applyFill="0" applyBorder="0" applyAlignment="1">
      <alignment horizontal="center" vertical="bottom" textRotation="0" wrapText="false" shrinkToFit="false"/>
    </xf>
    <xf xfId="0" fontId="14" numFmtId="0" fillId="15" borderId="0" applyFont="1" applyNumberFormat="0" applyFill="1" applyBorder="0" applyAlignment="1">
      <alignment horizontal="center" vertical="center" textRotation="0" wrapText="false" shrinkToFit="false"/>
    </xf>
    <xf xfId="0" fontId="8" numFmtId="0" fillId="2" borderId="0" applyFont="1" applyNumberFormat="0" applyFill="0" applyBorder="0" applyAlignment="1">
      <alignment horizontal="center" vertical="center" textRotation="0" wrapText="false" shrinkToFit="false"/>
    </xf>
    <xf xfId="0" fontId="8" numFmtId="1" fillId="9" borderId="10" applyFont="1" applyNumberFormat="1" applyFill="1" applyBorder="1" applyAlignment="1">
      <alignment horizontal="center" vertical="bottom" textRotation="0" wrapText="false" shrinkToFit="false"/>
    </xf>
    <xf xfId="0" fontId="0" numFmtId="1" fillId="3" borderId="4" applyFont="0" applyNumberFormat="1" applyFill="1" applyBorder="1" applyAlignment="1">
      <alignment horizontal="center" vertical="bottom" textRotation="0" wrapText="false" shrinkToFit="false"/>
    </xf>
    <xf xfId="0" fontId="0" numFmtId="1" fillId="3" borderId="5" applyFont="0" applyNumberFormat="1" applyFill="1" applyBorder="1" applyAlignment="1">
      <alignment horizontal="center" vertical="bottom" textRotation="0" wrapText="false" shrinkToFit="false"/>
    </xf>
    <xf xfId="0" fontId="0" numFmtId="1" fillId="3" borderId="17" applyFont="0" applyNumberFormat="1" applyFill="1" applyBorder="1" applyAlignment="1">
      <alignment horizontal="center" vertical="bottom" textRotation="0" wrapText="false" shrinkToFit="false"/>
    </xf>
    <xf xfId="0" fontId="0" numFmtId="1" fillId="3" borderId="0" applyFont="0" applyNumberFormat="1" applyFill="1" applyBorder="0" applyAlignment="0">
      <alignment horizontal="general" vertical="bottom" textRotation="0" wrapText="false" shrinkToFit="false"/>
    </xf>
    <xf xfId="0" fontId="0" numFmtId="0" fillId="3" borderId="31" applyFont="0" applyNumberFormat="0" applyFill="1" applyBorder="1" applyAlignment="1">
      <alignment horizontal="left" vertical="bottom" textRotation="0" wrapText="false" shrinkToFit="false"/>
    </xf>
    <xf xfId="0" fontId="0" numFmtId="0" fillId="3" borderId="9" applyFont="0" applyNumberFormat="0" applyFill="1" applyBorder="1" applyAlignment="1">
      <alignment horizontal="left" vertical="bottom" textRotation="0" wrapText="false" shrinkToFit="false"/>
    </xf>
    <xf xfId="0" fontId="0" numFmtId="0" fillId="3" borderId="32" applyFont="0" applyNumberFormat="0" applyFill="1" applyBorder="1" applyAlignment="1">
      <alignment horizontal="left" vertical="center" textRotation="0" wrapText="false" shrinkToFit="false"/>
    </xf>
    <xf xfId="0" fontId="0" numFmtId="0" fillId="4" borderId="17" applyFont="0" applyNumberFormat="0" applyFill="1" applyBorder="1" applyAlignment="1">
      <alignment horizontal="left" vertical="bottom" textRotation="0" wrapText="false" shrinkToFit="false"/>
    </xf>
    <xf xfId="0" fontId="0" numFmtId="0" fillId="3" borderId="8" applyFont="0" applyNumberFormat="0" applyFill="1" applyBorder="1" applyAlignment="1">
      <alignment horizontal="left" vertical="bottom" textRotation="0" wrapText="false" shrinkToFit="false"/>
    </xf>
    <xf xfId="0" fontId="0" numFmtId="0" fillId="3" borderId="33" applyFont="0" applyNumberFormat="0" applyFill="1" applyBorder="1" applyAlignment="1">
      <alignment horizontal="left" vertical="bottom" textRotation="0" wrapText="false" shrinkToFit="false"/>
    </xf>
    <xf xfId="0" fontId="7" numFmtId="0" fillId="4" borderId="17" applyFont="1" applyNumberFormat="0" applyFill="1" applyBorder="1" applyAlignment="1">
      <alignment horizontal="center" vertical="center" textRotation="0" wrapText="true" shrinkToFit="false"/>
    </xf>
    <xf xfId="0" fontId="15" numFmtId="0" fillId="4" borderId="17" applyFont="1" applyNumberFormat="0" applyFill="1" applyBorder="1" applyAlignment="0">
      <alignment horizontal="general" vertical="bottom" textRotation="0" wrapText="false" shrinkToFit="false"/>
    </xf>
    <xf xfId="0" fontId="0" numFmtId="0" fillId="5" borderId="34" applyFont="0" applyNumberFormat="0" applyFill="1" applyBorder="1" applyAlignment="1">
      <alignment horizontal="left" vertical="bottom" textRotation="0" wrapText="false" shrinkToFit="false"/>
    </xf>
    <xf xfId="0" fontId="0" numFmtId="0" fillId="5" borderId="34" applyFont="0" applyNumberFormat="0" applyFill="1" applyBorder="1" applyAlignment="1">
      <alignment horizontal="center" vertical="bottom" textRotation="0" wrapText="false" shrinkToFit="false"/>
    </xf>
    <xf xfId="0" fontId="0" numFmtId="0" fillId="5" borderId="35" applyFont="0" applyNumberFormat="0" applyFill="1" applyBorder="1" applyAlignment="1">
      <alignment horizontal="center" vertical="bottom" textRotation="0" wrapText="false" shrinkToFit="false"/>
    </xf>
    <xf xfId="0" fontId="0" numFmtId="0" fillId="5" borderId="36" applyFont="0" applyNumberFormat="0" applyFill="1" applyBorder="1" applyAlignment="1">
      <alignment horizontal="center" vertical="bottom" textRotation="0" wrapText="false" shrinkToFit="false"/>
    </xf>
    <xf xfId="0" fontId="0" numFmtId="0" fillId="5" borderId="37" applyFont="0" applyNumberFormat="0" applyFill="1" applyBorder="1" applyAlignment="1">
      <alignment horizontal="center" vertical="bottom" textRotation="0" wrapText="false" shrinkToFit="false"/>
    </xf>
    <xf xfId="0" fontId="0" numFmtId="0" fillId="3" borderId="38" applyFont="0" applyNumberFormat="0" applyFill="1" applyBorder="1" applyAlignment="0">
      <alignment horizontal="general" vertical="bottom" textRotation="0" wrapText="false" shrinkToFit="false"/>
    </xf>
    <xf xfId="0" fontId="0" numFmtId="0" fillId="3" borderId="39" applyFont="0" applyNumberFormat="0" applyFill="1" applyBorder="1" applyAlignment="1">
      <alignment horizontal="center" vertical="bottom" textRotation="0" wrapText="false" shrinkToFit="false"/>
    </xf>
    <xf xfId="0" fontId="0" numFmtId="0" fillId="15" borderId="24" applyFont="0" applyNumberFormat="0" applyFill="1" applyBorder="1" applyAlignment="1">
      <alignment horizontal="center" vertical="bottom" textRotation="0" wrapText="false" shrinkToFit="false"/>
    </xf>
    <xf xfId="0" fontId="0" numFmtId="49" fillId="2" borderId="0" applyFont="0" applyNumberFormat="1" applyFill="0" applyBorder="0" applyAlignment="0">
      <alignment horizontal="general" vertical="bottom" textRotation="0" wrapText="false" shrinkToFit="false"/>
    </xf>
    <xf xfId="0" fontId="0" numFmtId="0" fillId="3" borderId="9" applyFont="0" applyNumberFormat="0" applyFill="1" applyBorder="1" applyAlignment="1">
      <alignment horizontal="left" vertical="center" textRotation="0" wrapText="false" shrinkToFit="false"/>
    </xf>
    <xf xfId="0" fontId="16" numFmtId="0" fillId="5" borderId="0" applyFont="1" applyNumberFormat="0" applyFill="1" applyBorder="0" applyAlignment="0">
      <alignment horizontal="general" vertical="bottom" textRotation="0" wrapText="false" shrinkToFit="false"/>
    </xf>
    <xf xfId="0" fontId="17" numFmtId="0" fillId="2" borderId="0" applyFont="1" applyNumberFormat="0" applyFill="0" applyBorder="0" applyAlignment="0">
      <alignment horizontal="general" vertical="bottom" textRotation="0" wrapText="false" shrinkToFit="false"/>
    </xf>
    <xf xfId="0" fontId="8" numFmtId="0" fillId="2" borderId="0" applyFont="1" applyNumberFormat="0" applyFill="0" applyBorder="0" applyAlignment="0">
      <alignment horizontal="general" vertical="bottom" textRotation="0" wrapText="false" shrinkToFit="false"/>
    </xf>
    <xf xfId="0" fontId="17" numFmtId="0" fillId="5" borderId="0" applyFont="1" applyNumberFormat="0" applyFill="1" applyBorder="0" applyAlignment="0">
      <alignment horizontal="general" vertical="bottom" textRotation="0" wrapText="false" shrinkToFit="false"/>
    </xf>
    <xf xfId="0" fontId="0" numFmtId="169" fillId="16" borderId="5" applyFont="0" applyNumberFormat="1" applyFill="1" applyBorder="1" applyAlignment="1">
      <alignment horizontal="center" vertical="bottom" textRotation="0" wrapText="false" shrinkToFit="false"/>
    </xf>
    <xf xfId="0" fontId="0" numFmtId="169" fillId="5" borderId="7" applyFont="0" applyNumberFormat="1" applyFill="1" applyBorder="1" applyAlignment="1">
      <alignment horizontal="center" vertical="bottom" textRotation="0" wrapText="false" shrinkToFit="false"/>
    </xf>
    <xf xfId="0" fontId="0" numFmtId="169" fillId="8" borderId="7" applyFont="0" applyNumberFormat="1" applyFill="1" applyBorder="1" applyAlignment="1">
      <alignment horizontal="center" vertical="bottom" textRotation="0" wrapText="false" shrinkToFit="false"/>
    </xf>
    <xf xfId="0" fontId="0" numFmtId="169" fillId="3" borderId="5" applyFont="0" applyNumberFormat="1" applyFill="1" applyBorder="1" applyAlignment="1">
      <alignment horizontal="center" vertical="bottom" textRotation="0" wrapText="false" shrinkToFit="false"/>
    </xf>
    <xf xfId="0" fontId="0" numFmtId="0" fillId="17" borderId="0" applyFont="0" applyNumberFormat="0" applyFill="1" applyBorder="0" applyAlignment="0">
      <alignment horizontal="general" vertical="bottom" textRotation="0" wrapText="false" shrinkToFit="false"/>
    </xf>
    <xf xfId="0" fontId="0" numFmtId="0" fillId="18" borderId="5" applyFont="0" applyNumberFormat="0" applyFill="1" applyBorder="1" applyAlignment="1">
      <alignment horizontal="left" vertical="center" textRotation="0" wrapText="true" shrinkToFit="false"/>
    </xf>
    <xf xfId="0" fontId="0" numFmtId="0" fillId="18" borderId="5" applyFont="0" applyNumberFormat="0" applyFill="1" applyBorder="1" applyAlignment="1">
      <alignment horizontal="left" vertical="center" textRotation="0" wrapText="false" shrinkToFit="false"/>
    </xf>
    <xf xfId="0" fontId="0" numFmtId="0" fillId="18" borderId="5" applyFont="0" applyNumberFormat="0" applyFill="1" applyBorder="1" applyAlignment="1">
      <alignment horizontal="center" vertical="center" textRotation="0" wrapText="false" shrinkToFit="false"/>
    </xf>
    <xf xfId="0" fontId="0" numFmtId="0" fillId="18" borderId="5" applyFont="0" applyNumberFormat="0" applyFill="1" applyBorder="1" applyAlignment="1">
      <alignment horizontal="general" vertical="center" textRotation="0" wrapText="true" shrinkToFit="false"/>
    </xf>
    <xf xfId="0" fontId="0" numFmtId="0" fillId="18" borderId="5" applyFont="0" applyNumberFormat="0" applyFill="1" applyBorder="1" applyAlignment="1">
      <alignment horizontal="general" vertical="center" textRotation="0" wrapText="false" shrinkToFit="false"/>
    </xf>
    <xf xfId="0" fontId="0" numFmtId="0" fillId="18" borderId="5" applyFont="0" applyNumberFormat="0" applyFill="1" applyBorder="1" applyAlignment="1">
      <alignment horizontal="center" vertical="bottom" textRotation="0" wrapText="false" shrinkToFit="false"/>
    </xf>
    <xf xfId="0" fontId="0" numFmtId="0" fillId="18" borderId="5" applyFont="0" applyNumberFormat="0" applyFill="1" applyBorder="1" applyAlignment="1">
      <alignment horizontal="left" vertical="bottom" textRotation="0" wrapText="false" shrinkToFit="false"/>
    </xf>
    <xf xfId="0" fontId="0" numFmtId="0" fillId="17" borderId="5" applyFont="0" applyNumberFormat="0" applyFill="1" applyBorder="1" applyAlignment="0">
      <alignment horizontal="general" vertical="bottom" textRotation="0" wrapText="false" shrinkToFit="false"/>
    </xf>
    <xf xfId="0" fontId="8" numFmtId="0" fillId="10" borderId="5" applyFont="1" applyNumberFormat="0" applyFill="1" applyBorder="1" applyAlignment="0">
      <alignment horizontal="general" vertical="bottom" textRotation="0" wrapText="false" shrinkToFit="false"/>
    </xf>
    <xf xfId="0" fontId="8" numFmtId="0" fillId="10" borderId="5" applyFont="1" applyNumberFormat="0" applyFill="1" applyBorder="1" applyAlignment="1">
      <alignment horizontal="center" vertical="bottom" textRotation="0" wrapText="false" shrinkToFit="false"/>
    </xf>
    <xf xfId="0" fontId="0" numFmtId="176" fillId="5" borderId="0" applyFont="0" applyNumberFormat="1" applyFill="1" applyBorder="0" applyAlignment="0">
      <alignment horizontal="general" vertical="bottom" textRotation="0" wrapText="false" shrinkToFit="false"/>
    </xf>
    <xf xfId="0" fontId="8" numFmtId="176" fillId="2" borderId="5" applyFont="1" applyNumberFormat="1" applyFill="0" applyBorder="1" applyAlignment="1">
      <alignment horizontal="center" vertical="bottom" textRotation="0" wrapText="false" shrinkToFit="false"/>
    </xf>
    <xf xfId="0" fontId="0" numFmtId="176" fillId="5" borderId="5" applyFont="0" applyNumberFormat="1" applyFill="1" applyBorder="1" applyAlignment="0">
      <alignment horizontal="general" vertical="bottom" textRotation="0" wrapText="false" shrinkToFit="false"/>
    </xf>
    <xf xfId="0" fontId="0" numFmtId="176" fillId="2" borderId="0" applyFont="0" applyNumberFormat="1" applyFill="0" applyBorder="0" applyAlignment="0">
      <alignment horizontal="general" vertical="bottom" textRotation="0" wrapText="false" shrinkToFit="false"/>
    </xf>
    <xf xfId="0" fontId="0" numFmtId="176" fillId="5" borderId="5" applyFont="0" applyNumberFormat="1" applyFill="1" applyBorder="1" applyAlignment="1">
      <alignment horizontal="center" vertical="bottom" textRotation="0" wrapText="false" shrinkToFit="false"/>
    </xf>
    <xf xfId="0" fontId="0" numFmtId="176" fillId="5" borderId="0" applyFont="0" applyNumberFormat="1" applyFill="1" applyBorder="0" applyAlignment="1">
      <alignment horizontal="center" vertical="bottom" textRotation="0" wrapText="false" shrinkToFit="false"/>
    </xf>
    <xf xfId="0" fontId="0" numFmtId="176" fillId="2" borderId="0" applyFont="0" applyNumberFormat="1" applyFill="0" applyBorder="0" applyAlignment="1">
      <alignment horizontal="center" vertical="bottom" textRotation="0" wrapText="false" shrinkToFit="false"/>
    </xf>
    <xf xfId="0" fontId="0" numFmtId="177" fillId="3" borderId="4" applyFont="0" applyNumberFormat="1" applyFill="1" applyBorder="1" applyAlignment="0">
      <alignment horizontal="general" vertical="bottom" textRotation="0" wrapText="false" shrinkToFit="false"/>
    </xf>
    <xf xfId="0" fontId="0" numFmtId="177" fillId="3" borderId="5" applyFont="0" applyNumberFormat="1" applyFill="1" applyBorder="1" applyAlignment="0">
      <alignment horizontal="general" vertical="bottom" textRotation="0" wrapText="false" shrinkToFit="false"/>
    </xf>
    <xf xfId="0" fontId="0" numFmtId="177" fillId="3" borderId="10" applyFont="0" applyNumberFormat="1" applyFill="1" applyBorder="1" applyAlignment="0">
      <alignment horizontal="general" vertical="bottom" textRotation="0" wrapText="false" shrinkToFit="false"/>
    </xf>
    <xf xfId="0" fontId="8" numFmtId="177" fillId="3" borderId="0" applyFont="1" applyNumberFormat="1" applyFill="1" applyBorder="0" applyAlignment="0">
      <alignment horizontal="general" vertical="bottom" textRotation="0" wrapText="false" shrinkToFit="false"/>
    </xf>
    <xf xfId="0" fontId="8" numFmtId="0" fillId="7" borderId="5" applyFont="1" applyNumberFormat="0" applyFill="1" applyBorder="1" applyAlignment="1">
      <alignment horizontal="center" vertical="center" textRotation="0" wrapText="false" shrinkToFit="false"/>
    </xf>
    <xf xfId="0" fontId="0" numFmtId="0" fillId="2" borderId="0" applyFont="0" applyNumberFormat="0" applyFill="0" applyBorder="0" applyAlignment="1">
      <alignment horizontal="left" vertical="top" textRotation="0" wrapText="false" shrinkToFit="false"/>
    </xf>
    <xf xfId="0" fontId="18" numFmtId="0" fillId="2" borderId="0" applyFont="1" applyNumberFormat="0" applyFill="0" applyBorder="0" applyAlignment="1">
      <alignment horizontal="left" vertical="top" textRotation="0" wrapText="false" shrinkToFit="false"/>
    </xf>
    <xf xfId="0" fontId="19" numFmtId="0" fillId="19" borderId="5" applyFont="1" applyNumberFormat="0" applyFill="1" applyBorder="1" applyAlignment="1">
      <alignment horizontal="center" vertical="center" textRotation="0" wrapText="true" shrinkToFit="false"/>
    </xf>
    <xf xfId="0" fontId="19" numFmtId="170" fillId="19" borderId="5" applyFont="1" applyNumberFormat="1" applyFill="1" applyBorder="1" applyAlignment="1">
      <alignment horizontal="center" vertical="center" textRotation="0" wrapText="true" shrinkToFit="false"/>
    </xf>
    <xf xfId="0" fontId="19" numFmtId="0" fillId="19" borderId="5" applyFont="1" applyNumberFormat="0" applyFill="1" applyBorder="1" applyAlignment="1">
      <alignment horizontal="center" vertical="top" textRotation="0" wrapText="true" shrinkToFit="false"/>
    </xf>
    <xf xfId="0" fontId="0" numFmtId="0" fillId="2" borderId="5" applyFont="0" applyNumberFormat="0" applyFill="0" applyBorder="1" applyAlignment="1">
      <alignment horizontal="left" vertical="top" textRotation="0" wrapText="false" shrinkToFit="false"/>
    </xf>
    <xf xfId="0" fontId="0" numFmtId="0" fillId="2" borderId="5" applyFont="0" applyNumberFormat="0" applyFill="0" applyBorder="1" applyAlignment="1">
      <alignment horizontal="center" vertical="top" textRotation="0" wrapText="false" shrinkToFit="false"/>
    </xf>
    <xf xfId="0" fontId="0" numFmtId="0" fillId="5" borderId="5" applyFont="0" applyNumberFormat="0" applyFill="1" applyBorder="1" applyAlignment="1">
      <alignment horizontal="general" vertical="center" textRotation="0" wrapText="false" shrinkToFit="false"/>
    </xf>
    <xf xfId="0" fontId="20" numFmtId="0" fillId="19" borderId="5" applyFont="1" applyNumberFormat="0" applyFill="1" applyBorder="1" applyAlignment="1">
      <alignment horizontal="center" vertical="center" textRotation="0" wrapText="true" shrinkToFit="false"/>
    </xf>
    <xf xfId="0" fontId="21" numFmtId="0" fillId="2" borderId="0" applyFont="1" applyNumberFormat="0" applyFill="0" applyBorder="0" applyAlignment="1">
      <alignment horizontal="general" vertical="center" textRotation="0" wrapText="false" shrinkToFit="false"/>
    </xf>
    <xf xfId="0" fontId="0" numFmtId="0" fillId="4" borderId="17" applyFont="0" applyNumberFormat="0" applyFill="1" applyBorder="1" applyAlignment="1">
      <alignment horizontal="center" vertical="bottom" textRotation="0" wrapText="false" shrinkToFit="false"/>
    </xf>
    <xf xfId="0" fontId="0" numFmtId="2" fillId="4" borderId="17" applyFont="0" applyNumberFormat="1" applyFill="1" applyBorder="1" applyAlignment="1">
      <alignment horizontal="center" vertical="bottom" textRotation="0" wrapText="false" shrinkToFit="false"/>
    </xf>
    <xf xfId="0" fontId="0" numFmtId="0" fillId="20" borderId="5" applyFont="0" applyNumberFormat="0" applyFill="1" applyBorder="1" applyAlignment="1">
      <alignment horizontal="center" vertical="bottom" textRotation="0" wrapText="false" shrinkToFit="false"/>
    </xf>
    <xf xfId="0" fontId="0" numFmtId="0" fillId="20" borderId="7" applyFont="0" applyNumberFormat="0" applyFill="1" applyBorder="1" applyAlignment="1">
      <alignment horizontal="center" vertical="bottom" textRotation="0" wrapText="false" shrinkToFit="false"/>
    </xf>
    <xf xfId="0" fontId="0" numFmtId="169" fillId="21" borderId="5" applyFont="0" applyNumberFormat="1" applyFill="1" applyBorder="1" applyAlignment="1">
      <alignment horizontal="center" vertical="bottom" textRotation="0" wrapText="false" shrinkToFit="false"/>
    </xf>
    <xf xfId="0" fontId="0" numFmtId="165" fillId="21" borderId="23" applyFont="0" applyNumberFormat="1" applyFill="1" applyBorder="1" applyAlignment="1">
      <alignment horizontal="center" vertical="bottom" textRotation="0" wrapText="false" shrinkToFit="false"/>
    </xf>
    <xf xfId="0" fontId="0" numFmtId="2" fillId="21" borderId="5" applyFont="0" applyNumberFormat="1" applyFill="1" applyBorder="1" applyAlignment="1">
      <alignment horizontal="center" vertical="bottom" textRotation="0" wrapText="false" shrinkToFit="false"/>
    </xf>
    <xf xfId="0" fontId="0" numFmtId="2" fillId="21" borderId="40" applyFont="0" applyNumberFormat="1" applyFill="1" applyBorder="1" applyAlignment="1">
      <alignment horizontal="center" vertical="bottom" textRotation="0" wrapText="false" shrinkToFit="false"/>
    </xf>
    <xf xfId="0" fontId="0" numFmtId="169" fillId="3" borderId="0" applyFont="0" applyNumberFormat="1" applyFill="1" applyBorder="0" applyAlignment="1">
      <alignment horizontal="center" vertical="bottom" textRotation="0" wrapText="false" shrinkToFit="false"/>
    </xf>
    <xf xfId="0" fontId="8" numFmtId="0" fillId="3" borderId="0" applyFont="1" applyNumberFormat="0" applyFill="1" applyBorder="0" applyAlignment="1">
      <alignment horizontal="center" vertical="bottom" textRotation="0" wrapText="false" shrinkToFit="false"/>
    </xf>
    <xf xfId="0" fontId="0" numFmtId="165" fillId="5" borderId="0" applyFont="0" applyNumberFormat="1" applyFill="1" applyBorder="0" applyAlignment="0">
      <alignment horizontal="general" vertical="bottom" textRotation="0" wrapText="false" shrinkToFit="false"/>
    </xf>
    <xf xfId="0" fontId="0" numFmtId="165" fillId="3" borderId="0" applyFont="0" applyNumberFormat="1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center" vertical="center" textRotation="0" wrapText="false" shrinkToFit="false"/>
    </xf>
    <xf xfId="0" fontId="0" numFmtId="165" fillId="13" borderId="5" applyFont="0" applyNumberFormat="1" applyFill="1" applyBorder="1" applyAlignment="1">
      <alignment horizontal="left" vertical="bottom" textRotation="0" wrapText="false" shrinkToFit="false"/>
    </xf>
    <xf xfId="0" fontId="8" numFmtId="165" fillId="3" borderId="5" applyFont="1" applyNumberFormat="1" applyFill="1" applyBorder="1" applyAlignment="1">
      <alignment horizontal="center" vertical="bottom" textRotation="0" wrapText="false" shrinkToFit="false"/>
    </xf>
    <xf xfId="0" fontId="8" numFmtId="169" fillId="3" borderId="0" applyFont="1" applyNumberFormat="1" applyFill="1" applyBorder="0" applyAlignment="1">
      <alignment horizontal="center" vertical="bottom" textRotation="0" wrapText="false" shrinkToFit="false"/>
    </xf>
    <xf xfId="0" fontId="0" numFmtId="178" fillId="10" borderId="10" applyFont="0" applyNumberFormat="1" applyFill="1" applyBorder="1" applyAlignment="0">
      <alignment horizontal="general" vertical="bottom" textRotation="0" wrapText="false" shrinkToFit="false"/>
    </xf>
    <xf xfId="0" fontId="0" numFmtId="178" fillId="10" borderId="10" applyFont="0" applyNumberFormat="1" applyFill="1" applyBorder="1" applyAlignment="1">
      <alignment horizontal="center" vertical="bottom" textRotation="0" wrapText="false" shrinkToFit="false"/>
    </xf>
    <xf xfId="0" fontId="0" numFmtId="178" fillId="3" borderId="16" applyFont="0" applyNumberFormat="1" applyFill="1" applyBorder="1" applyAlignment="0">
      <alignment horizontal="general" vertical="bottom" textRotation="0" wrapText="false" shrinkToFit="false"/>
    </xf>
    <xf xfId="0" fontId="0" numFmtId="178" fillId="3" borderId="5" applyFont="0" applyNumberFormat="1" applyFill="1" applyBorder="1" applyAlignment="0">
      <alignment horizontal="general" vertical="bottom" textRotation="0" wrapText="false" shrinkToFit="false"/>
    </xf>
    <xf xfId="0" fontId="0" numFmtId="178" fillId="3" borderId="10" applyFont="0" applyNumberFormat="1" applyFill="1" applyBorder="1" applyAlignment="0">
      <alignment horizontal="general" vertical="bottom" textRotation="0" wrapText="false" shrinkToFit="false"/>
    </xf>
    <xf xfId="0" fontId="8" numFmtId="178" fillId="3" borderId="16" applyFont="1" applyNumberFormat="1" applyFill="1" applyBorder="1" applyAlignment="0">
      <alignment horizontal="general" vertical="bottom" textRotation="0" wrapText="false" shrinkToFit="false"/>
    </xf>
    <xf xfId="0" fontId="0" numFmtId="178" fillId="3" borderId="0" applyFont="0" applyNumberFormat="1" applyFill="1" applyBorder="0" applyAlignment="0">
      <alignment horizontal="general" vertical="bottom" textRotation="0" wrapText="false" shrinkToFit="false"/>
    </xf>
    <xf xfId="0" fontId="0" numFmtId="165" fillId="10" borderId="10" applyFont="0" applyNumberFormat="1" applyFill="1" applyBorder="1" applyAlignment="1">
      <alignment horizontal="center" vertical="bottom" textRotation="0" wrapText="false" shrinkToFit="false"/>
    </xf>
    <xf xfId="0" fontId="0" numFmtId="165" fillId="3" borderId="16" applyFont="0" applyNumberFormat="1" applyFill="1" applyBorder="1" applyAlignment="0">
      <alignment horizontal="general" vertical="bottom" textRotation="0" wrapText="false" shrinkToFit="false"/>
    </xf>
    <xf xfId="0" fontId="8" numFmtId="165" fillId="3" borderId="16" applyFont="1" applyNumberFormat="1" applyFill="1" applyBorder="1" applyAlignment="0">
      <alignment horizontal="general" vertical="bottom" textRotation="0" wrapText="false" shrinkToFit="false"/>
    </xf>
    <xf xfId="0" fontId="0" numFmtId="169" fillId="21" borderId="7" applyFont="0" applyNumberFormat="1" applyFill="1" applyBorder="1" applyAlignment="1">
      <alignment horizontal="center" vertical="bottom" textRotation="0" wrapText="false" shrinkToFit="false"/>
    </xf>
    <xf xfId="0" fontId="0" numFmtId="0" fillId="18" borderId="5" applyFont="0" applyNumberFormat="0" applyFill="1" applyBorder="1" applyAlignment="1">
      <alignment horizontal="center" vertical="center" textRotation="0" wrapText="true" shrinkToFit="false"/>
    </xf>
    <xf xfId="0" fontId="0" numFmtId="0" fillId="17" borderId="5" applyFont="0" applyNumberFormat="0" applyFill="1" applyBorder="1" applyAlignment="1">
      <alignment horizontal="center" vertical="center" textRotation="0" wrapText="false" shrinkToFit="false"/>
    </xf>
    <xf xfId="0" fontId="0" numFmtId="0" fillId="17" borderId="5" applyFont="0" applyNumberFormat="0" applyFill="1" applyBorder="1" applyAlignment="1">
      <alignment horizontal="left" vertical="center" textRotation="0" wrapText="false" shrinkToFit="false"/>
    </xf>
    <xf xfId="0" fontId="0" numFmtId="0" fillId="15" borderId="0" applyFont="0" applyNumberFormat="0" applyFill="1" applyBorder="0" applyAlignment="0">
      <alignment horizontal="general" vertical="bottom" textRotation="0" wrapText="false" shrinkToFit="false"/>
    </xf>
    <xf xfId="0" fontId="0" numFmtId="169" fillId="2" borderId="0" applyFont="0" applyNumberFormat="1" applyFill="0" applyBorder="0" applyAlignment="1">
      <alignment horizontal="center" vertical="bottom" textRotation="0" wrapText="false" shrinkToFit="false"/>
    </xf>
    <xf xfId="0" fontId="8" numFmtId="0" fillId="15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41" applyFont="0" applyNumberFormat="0" applyFill="1" applyBorder="1" applyAlignment="1">
      <alignment horizontal="center" vertical="bottom" textRotation="0" wrapText="false" shrinkToFit="false"/>
    </xf>
    <xf xfId="0" fontId="8" numFmtId="0" fillId="2" borderId="5" applyFont="1" applyNumberFormat="0" applyFill="0" applyBorder="1" applyAlignment="1">
      <alignment horizontal="center" vertical="bottom" textRotation="0" wrapText="false" shrinkToFit="false"/>
    </xf>
    <xf xfId="0" fontId="0" numFmtId="4" fillId="2" borderId="5" applyFont="0" applyNumberFormat="1" applyFill="0" applyBorder="1" applyAlignment="0">
      <alignment horizontal="general" vertical="bottom" textRotation="0" wrapText="false" shrinkToFit="false"/>
    </xf>
    <xf xfId="0" fontId="0" numFmtId="0" fillId="3" borderId="2" applyFont="0" applyNumberFormat="0" applyFill="1" applyBorder="1" applyAlignment="1">
      <alignment horizontal="left" vertical="bottom" textRotation="0" wrapText="false" shrinkToFit="false"/>
    </xf>
    <xf xfId="0" fontId="0" numFmtId="0" fillId="5" borderId="7" applyFont="0" applyNumberFormat="0" applyFill="1" applyBorder="1" applyAlignment="0">
      <alignment horizontal="general" vertical="bottom" textRotation="0" wrapText="false" shrinkToFit="false"/>
    </xf>
    <xf xfId="0" fontId="14" numFmtId="0" fillId="3" borderId="42" applyFont="1" applyNumberFormat="0" applyFill="1" applyBorder="1" applyAlignment="1">
      <alignment horizontal="center" vertical="top" textRotation="0" wrapText="false" shrinkToFit="false"/>
    </xf>
    <xf xfId="0" fontId="0" numFmtId="0" fillId="5" borderId="42" applyFont="0" applyNumberFormat="0" applyFill="1" applyBorder="1" applyAlignment="1">
      <alignment horizontal="center" vertical="bottom" textRotation="0" wrapText="false" shrinkToFit="false"/>
    </xf>
    <xf xfId="0" fontId="8" numFmtId="0" fillId="3" borderId="13" applyFont="1" applyNumberFormat="0" applyFill="1" applyBorder="1" applyAlignment="1">
      <alignment horizontal="left" vertical="bottom" textRotation="0" wrapText="false" shrinkToFit="false"/>
    </xf>
    <xf xfId="0" fontId="12" numFmtId="0" fillId="2" borderId="16" applyFont="1" applyNumberFormat="0" applyFill="0" applyBorder="1" applyAlignment="1">
      <alignment horizontal="left" vertical="top" textRotation="0" wrapText="true" shrinkToFit="false"/>
    </xf>
    <xf xfId="0" fontId="12" numFmtId="0" fillId="2" borderId="5" applyFont="1" applyNumberFormat="0" applyFill="0" applyBorder="1" applyAlignment="1">
      <alignment horizontal="left" vertical="top" textRotation="0" wrapText="true" shrinkToFit="false"/>
    </xf>
    <xf xfId="0" fontId="12" numFmtId="2" fillId="2" borderId="0" applyFont="1" applyNumberFormat="1" applyFill="0" applyBorder="0" applyAlignment="1">
      <alignment horizontal="left" vertical="top" textRotation="0" wrapText="true" shrinkToFit="false"/>
    </xf>
    <xf xfId="0" fontId="0" numFmtId="0" fillId="2" borderId="6" applyFont="0" applyNumberFormat="0" applyFill="0" applyBorder="1" applyAlignment="1">
      <alignment horizontal="left" vertical="bottom" textRotation="0" wrapText="false" shrinkToFit="false"/>
    </xf>
    <xf xfId="0" fontId="12" numFmtId="2" fillId="2" borderId="9" applyFont="1" applyNumberFormat="1" applyFill="0" applyBorder="1" applyAlignment="1">
      <alignment horizontal="left" vertical="top" textRotation="0" wrapText="true" shrinkToFit="false"/>
    </xf>
    <xf xfId="0" fontId="0" numFmtId="0" fillId="2" borderId="6" applyFont="0" applyNumberFormat="0" applyFill="0" applyBorder="1" applyAlignment="1">
      <alignment horizontal="left" vertical="bottom" textRotation="0" wrapText="true" shrinkToFit="false"/>
    </xf>
    <xf xfId="0" fontId="0" numFmtId="0" fillId="2" borderId="9" applyFont="0" applyNumberFormat="0" applyFill="0" applyBorder="1" applyAlignment="1">
      <alignment horizontal="left" vertical="bottom" textRotation="0" wrapText="false" shrinkToFit="false"/>
    </xf>
    <xf xfId="0" fontId="12" numFmtId="2" fillId="2" borderId="5" applyFont="1" applyNumberFormat="1" applyFill="0" applyBorder="1" applyAlignment="1">
      <alignment horizontal="left" vertical="top" textRotation="0" wrapText="true" shrinkToFit="false"/>
    </xf>
    <xf xfId="0" fontId="12" numFmtId="0" fillId="3" borderId="5" applyFont="1" applyNumberFormat="0" applyFill="1" applyBorder="1" applyAlignment="1">
      <alignment horizontal="left" vertical="top" textRotation="0" wrapText="true" shrinkToFit="false"/>
    </xf>
    <xf xfId="0" fontId="12" numFmtId="2" fillId="3" borderId="5" applyFont="1" applyNumberFormat="1" applyFill="1" applyBorder="1" applyAlignment="1">
      <alignment horizontal="left" vertical="top" textRotation="0" wrapText="true" shrinkToFit="false"/>
    </xf>
    <xf xfId="0" fontId="0" numFmtId="0" fillId="5" borderId="5" applyFont="0" applyNumberFormat="0" applyFill="1" applyBorder="1" applyAlignment="1">
      <alignment horizontal="left" vertical="bottom" textRotation="0" wrapText="false" shrinkToFit="false"/>
    </xf>
    <xf xfId="0" fontId="0" numFmtId="0" fillId="3" borderId="6" applyFont="0" applyNumberFormat="0" applyFill="1" applyBorder="1" applyAlignment="1">
      <alignment horizontal="left" vertical="bottom" textRotation="0" wrapText="true" shrinkToFit="false"/>
    </xf>
    <xf xfId="0" fontId="0" numFmtId="0" fillId="5" borderId="7" applyFont="0" applyNumberFormat="0" applyFill="1" applyBorder="1" applyAlignment="1">
      <alignment horizontal="left" vertical="bottom" textRotation="0" wrapText="false" shrinkToFit="false"/>
    </xf>
    <xf xfId="0" fontId="8" numFmtId="172" fillId="3" borderId="16" applyFont="1" applyNumberFormat="1" applyFill="1" applyBorder="1" applyAlignment="1">
      <alignment horizontal="left" vertical="bottom" textRotation="0" wrapText="false" shrinkToFit="false"/>
    </xf>
    <xf xfId="0" fontId="14" numFmtId="0" fillId="3" borderId="0" applyFont="1" applyNumberFormat="0" applyFill="1" applyBorder="0" applyAlignment="1">
      <alignment horizontal="left" vertical="top" textRotation="0" wrapText="false" shrinkToFit="false"/>
    </xf>
    <xf xfId="0" fontId="0" numFmtId="0" fillId="5" borderId="18" applyFont="0" applyNumberFormat="0" applyFill="1" applyBorder="1" applyAlignment="1">
      <alignment horizontal="left" vertical="bottom" textRotation="0" wrapText="false" shrinkToFit="false"/>
    </xf>
    <xf xfId="0" fontId="22" numFmtId="49" fillId="3" borderId="43" applyFont="1" applyNumberFormat="1" applyFill="1" applyBorder="1" applyAlignment="1">
      <alignment horizontal="left" vertical="bottom" textRotation="0" wrapText="false" shrinkToFit="false"/>
    </xf>
    <xf xfId="0" fontId="14" numFmtId="49" fillId="2" borderId="44" applyFont="1" applyNumberFormat="1" applyFill="0" applyBorder="1" applyAlignment="1">
      <alignment horizontal="left" vertical="top" textRotation="0" wrapText="true" shrinkToFit="false" indent="2"/>
    </xf>
    <xf xfId="0" fontId="14" numFmtId="49" fillId="3" borderId="44" applyFont="1" applyNumberFormat="1" applyFill="1" applyBorder="1" applyAlignment="1">
      <alignment horizontal="left" vertical="top" textRotation="0" wrapText="true" shrinkToFit="false" indent="2"/>
    </xf>
    <xf xfId="0" fontId="14" numFmtId="49" fillId="3" borderId="45" applyFont="1" applyNumberFormat="1" applyFill="1" applyBorder="1" applyAlignment="1">
      <alignment horizontal="left" vertical="top" textRotation="0" wrapText="true" shrinkToFit="false" indent="2"/>
    </xf>
    <xf xfId="0" fontId="8" numFmtId="49" fillId="5" borderId="0" applyFont="1" applyNumberFormat="1" applyFill="1" applyBorder="0" applyAlignment="1">
      <alignment horizontal="left" vertical="bottom" textRotation="0" wrapText="false" shrinkToFit="false"/>
    </xf>
    <xf xfId="0" fontId="8" numFmtId="0" fillId="15" borderId="0" applyFont="1" applyNumberFormat="0" applyFill="1" applyBorder="0" applyAlignment="1">
      <alignment horizontal="center" vertical="bottom" textRotation="0" wrapText="false" shrinkToFit="false"/>
    </xf>
    <xf xfId="0" fontId="23" numFmtId="165" fillId="3" borderId="0" applyFont="1" applyNumberFormat="1" applyFill="1" applyBorder="0" applyAlignment="1">
      <alignment horizontal="center" vertical="bottom" textRotation="0" wrapText="false" shrinkToFit="false"/>
    </xf>
    <xf xfId="0" fontId="8" numFmtId="0" fillId="7" borderId="0" applyFont="1" applyNumberFormat="0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8" numFmtId="4" fillId="2" borderId="5" applyFont="1" applyNumberFormat="1" applyFill="0" applyBorder="1" applyAlignment="1">
      <alignment horizontal="center" vertical="bottom" textRotation="0" wrapText="false" shrinkToFit="false"/>
    </xf>
    <xf xfId="0" fontId="0" numFmtId="4" fillId="2" borderId="5" applyFont="0" applyNumberFormat="1" applyFill="0" applyBorder="1" applyAlignment="1">
      <alignment horizontal="center" vertical="bottom" textRotation="0" wrapText="false" shrinkToFit="false"/>
    </xf>
    <xf xfId="0" fontId="0" numFmtId="4" fillId="2" borderId="0" applyFont="0" applyNumberFormat="1" applyFill="0" applyBorder="0" applyAlignment="1">
      <alignment horizontal="center" vertical="bottom" textRotation="0" wrapText="false" shrinkToFit="false"/>
    </xf>
    <xf xfId="0" fontId="17" numFmtId="0" fillId="7" borderId="5" applyFont="1" applyNumberFormat="0" applyFill="1" applyBorder="1" applyAlignment="1">
      <alignment horizontal="center" vertical="bottom" textRotation="0" wrapText="false" shrinkToFit="false"/>
    </xf>
    <xf xfId="0" fontId="0" numFmtId="4" fillId="3" borderId="33" applyFont="0" applyNumberFormat="1" applyFill="1" applyBorder="1" applyAlignment="1">
      <alignment horizontal="center" vertical="bottom" textRotation="0" wrapText="false" shrinkToFit="false"/>
    </xf>
    <xf xfId="0" fontId="0" numFmtId="0" fillId="17" borderId="5" applyFont="0" applyNumberFormat="0" applyFill="1" applyBorder="1" applyAlignment="1">
      <alignment horizontal="center" vertical="bottom" textRotation="0" wrapText="false" shrinkToFit="false"/>
    </xf>
    <xf xfId="0" fontId="0" numFmtId="0" fillId="21" borderId="0" applyFont="0" applyNumberFormat="0" applyFill="1" applyBorder="0" applyAlignment="1">
      <alignment horizontal="center" vertical="bottom" textRotation="0" wrapText="false" shrinkToFit="false"/>
    </xf>
    <xf xfId="0" fontId="0" numFmtId="4" fillId="22" borderId="0" applyFont="0" applyNumberFormat="1" applyFill="1" applyBorder="0" applyAlignment="1">
      <alignment horizontal="center" vertical="bottom" textRotation="0" wrapText="false" shrinkToFit="false"/>
    </xf>
    <xf xfId="0" fontId="0" numFmtId="4" fillId="5" borderId="26" applyFont="0" applyNumberFormat="1" applyFill="1" applyBorder="1" applyAlignment="1">
      <alignment horizontal="center" vertical="bottom" textRotation="0" wrapText="false" shrinkToFit="false"/>
    </xf>
    <xf xfId="0" fontId="0" numFmtId="0" fillId="5" borderId="26" applyFont="0" applyNumberFormat="0" applyFill="1" applyBorder="1" applyAlignment="0">
      <alignment horizontal="general" vertical="bottom" textRotation="0" wrapText="false" shrinkToFit="false"/>
    </xf>
    <xf xfId="0" fontId="0" numFmtId="169" fillId="22" borderId="5" applyFont="0" applyNumberFormat="1" applyFill="1" applyBorder="1" applyAlignment="1">
      <alignment horizontal="center" vertical="bottom" textRotation="0" wrapText="false" shrinkToFit="false"/>
    </xf>
    <xf xfId="0" fontId="0" numFmtId="169" fillId="22" borderId="7" applyFont="0" applyNumberFormat="1" applyFill="1" applyBorder="1" applyAlignment="1">
      <alignment horizontal="center" vertical="bottom" textRotation="0" wrapText="false" shrinkToFit="false"/>
    </xf>
    <xf xfId="0" fontId="0" numFmtId="169" fillId="23" borderId="7" applyFont="0" applyNumberFormat="1" applyFill="1" applyBorder="1" applyAlignment="1">
      <alignment horizontal="center" vertical="bottom" textRotation="0" wrapText="false" shrinkToFit="false"/>
    </xf>
    <xf xfId="0" fontId="0" numFmtId="169" fillId="23" borderId="5" applyFont="0" applyNumberFormat="1" applyFill="1" applyBorder="1" applyAlignment="1">
      <alignment horizontal="center" vertical="bottom" textRotation="0" wrapText="false" shrinkToFit="false"/>
    </xf>
    <xf xfId="0" fontId="0" numFmtId="0" fillId="17" borderId="5" applyFont="0" applyNumberFormat="0" applyFill="1" applyBorder="1" applyAlignment="1">
      <alignment horizontal="left" vertical="bottom" textRotation="0" wrapText="false" shrinkToFit="false"/>
    </xf>
    <xf xfId="0" fontId="0" numFmtId="0" fillId="18" borderId="5" applyFont="0" applyNumberFormat="0" applyFill="1" applyBorder="1" applyAlignment="0">
      <alignment horizontal="general" vertical="bottom" textRotation="0" wrapText="false" shrinkToFit="false"/>
    </xf>
    <xf xfId="0" fontId="0" numFmtId="169" fillId="20" borderId="5" applyFont="0" applyNumberFormat="1" applyFill="1" applyBorder="1" applyAlignment="1">
      <alignment horizontal="center" vertical="bottom" textRotation="0" wrapText="false" shrinkToFit="false"/>
    </xf>
    <xf xfId="0" fontId="8" numFmtId="0" fillId="5" borderId="28" applyFont="1" applyNumberFormat="0" applyFill="1" applyBorder="1" applyAlignment="1">
      <alignment horizontal="center" vertical="bottom" textRotation="0" wrapText="false" shrinkToFit="false"/>
    </xf>
    <xf xfId="0" fontId="8" numFmtId="0" fillId="5" borderId="6" applyFont="1" applyNumberFormat="0" applyFill="1" applyBorder="1" applyAlignment="1">
      <alignment horizontal="center" vertical="bottom" textRotation="0" wrapText="false" shrinkToFit="false"/>
    </xf>
    <xf xfId="0" fontId="8" numFmtId="0" fillId="5" borderId="46" applyFont="1" applyNumberFormat="0" applyFill="1" applyBorder="1" applyAlignment="1">
      <alignment horizontal="center" vertical="center" textRotation="0" wrapText="false" shrinkToFit="false"/>
    </xf>
    <xf xfId="0" fontId="0" numFmtId="0" fillId="5" borderId="6" applyFont="0" applyNumberFormat="0" applyFill="1" applyBorder="1" applyAlignment="0">
      <alignment horizontal="general" vertical="bottom" textRotation="0" wrapText="false" shrinkToFit="false"/>
    </xf>
    <xf xfId="0" fontId="0" numFmtId="0" fillId="5" borderId="46" applyFont="0" applyNumberFormat="0" applyFill="1" applyBorder="1" applyAlignment="1">
      <alignment horizontal="center" vertical="bottom" textRotation="0" wrapText="false" shrinkToFit="false"/>
    </xf>
    <xf xfId="0" fontId="0" numFmtId="0" fillId="5" borderId="47" applyFont="0" applyNumberFormat="0" applyFill="1" applyBorder="1" applyAlignment="0">
      <alignment horizontal="general" vertical="bottom" textRotation="0" wrapText="false" shrinkToFit="false"/>
    </xf>
    <xf xfId="0" fontId="0" numFmtId="0" fillId="5" borderId="48" applyFont="0" applyNumberFormat="0" applyFill="1" applyBorder="1" applyAlignment="1">
      <alignment horizontal="center" vertical="bottom" textRotation="0" wrapText="false" shrinkToFit="false"/>
    </xf>
    <xf xfId="0" fontId="0" numFmtId="0" fillId="3" borderId="12" applyFont="0" applyNumberFormat="0" applyFill="1" applyBorder="1" applyAlignment="1">
      <alignment horizontal="center" vertical="bottom" textRotation="0" wrapText="false" shrinkToFit="false"/>
    </xf>
    <xf xfId="0" fontId="0" numFmtId="0" fillId="3" borderId="9" applyFont="0" applyNumberFormat="0" applyFill="1" applyBorder="1" applyAlignment="1">
      <alignment horizontal="center" vertical="bottom" textRotation="0" wrapText="false" shrinkToFit="false"/>
    </xf>
    <xf xfId="0" fontId="17" numFmtId="0" fillId="2" borderId="5" applyFont="1" applyNumberFormat="0" applyFill="0" applyBorder="1" applyAlignment="1">
      <alignment horizontal="center" vertical="bottom" textRotation="0" wrapText="false" shrinkToFit="false"/>
    </xf>
    <xf xfId="0" fontId="0" numFmtId="0" fillId="11" borderId="6" applyFont="0" applyNumberFormat="0" applyFill="1" applyBorder="1" applyAlignment="1">
      <alignment horizontal="left" vertical="bottom" textRotation="0" wrapText="false" shrinkToFit="false"/>
    </xf>
    <xf xfId="0" fontId="8" numFmtId="0" fillId="21" borderId="0" applyFont="1" applyNumberFormat="0" applyFill="1" applyBorder="0" applyAlignment="1">
      <alignment horizontal="center" vertical="bottom" textRotation="0" wrapText="false" shrinkToFit="false"/>
    </xf>
    <xf xfId="0" fontId="8" numFmtId="0" fillId="5" borderId="0" applyFont="1" applyNumberFormat="0" applyFill="1" applyBorder="0" applyAlignment="1">
      <alignment horizontal="left" vertical="bottom" textRotation="0" wrapText="false" shrinkToFit="false"/>
    </xf>
    <xf xfId="0" fontId="10" numFmtId="4" fillId="5" borderId="0" applyFont="1" applyNumberFormat="1" applyFill="1" applyBorder="0" applyAlignment="1">
      <alignment horizontal="center" vertical="bottom" textRotation="0" wrapText="false" shrinkToFit="false"/>
    </xf>
    <xf xfId="0" fontId="0" numFmtId="0" fillId="3" borderId="42" applyFont="0" applyNumberFormat="0" applyFill="1" applyBorder="1" applyAlignment="1">
      <alignment horizontal="center" vertical="bottom" textRotation="0" wrapText="false" shrinkToFit="false"/>
    </xf>
    <xf xfId="0" fontId="8" numFmtId="4" fillId="3" borderId="42" applyFont="1" applyNumberFormat="1" applyFill="1" applyBorder="1" applyAlignment="1">
      <alignment horizontal="center" vertical="bottom" textRotation="0" wrapText="false" shrinkToFit="false"/>
    </xf>
    <xf xfId="0" fontId="8" numFmtId="169" fillId="3" borderId="42" applyFont="1" applyNumberFormat="1" applyFill="1" applyBorder="1" applyAlignment="1">
      <alignment horizontal="center" vertical="bottom" textRotation="0" wrapText="false" shrinkToFit="false"/>
    </xf>
    <xf xfId="0" fontId="0" numFmtId="169" fillId="3" borderId="42" applyFont="0" applyNumberFormat="1" applyFill="1" applyBorder="1" applyAlignment="1">
      <alignment horizontal="center" vertical="bottom" textRotation="0" wrapText="false" shrinkToFit="false"/>
    </xf>
    <xf xfId="0" fontId="0" numFmtId="0" fillId="3" borderId="49" applyFont="0" applyNumberFormat="0" applyFill="1" applyBorder="1" applyAlignment="1">
      <alignment horizontal="left" vertical="bottom" textRotation="0" wrapText="false" shrinkToFit="false"/>
    </xf>
    <xf xfId="0" fontId="0" numFmtId="0" fillId="3" borderId="6" applyFont="0" applyNumberFormat="0" applyFill="1" applyBorder="1" applyAlignment="1">
      <alignment horizontal="left" vertical="center" textRotation="0" wrapText="false" shrinkToFit="false"/>
    </xf>
    <xf xfId="0" fontId="0" numFmtId="0" fillId="3" borderId="50" applyFont="0" applyNumberFormat="0" applyFill="1" applyBorder="1" applyAlignment="1">
      <alignment horizontal="left" vertical="center" textRotation="0" wrapText="false" shrinkToFit="false"/>
    </xf>
    <xf xfId="0" fontId="0" numFmtId="0" fillId="3" borderId="50" applyFont="0" applyNumberFormat="0" applyFill="1" applyBorder="1" applyAlignment="1">
      <alignment horizontal="left" vertical="bottom" textRotation="0" wrapText="false" shrinkToFit="false"/>
    </xf>
    <xf xfId="0" fontId="0" numFmtId="0" fillId="3" borderId="41" applyFont="0" applyNumberFormat="0" applyFill="1" applyBorder="1" applyAlignment="1">
      <alignment horizontal="left" vertical="bottom" textRotation="0" wrapText="false" shrinkToFit="false"/>
    </xf>
    <xf xfId="0" fontId="0" numFmtId="4" fillId="21" borderId="5" applyFont="0" applyNumberFormat="1" applyFill="1" applyBorder="1" applyAlignment="1">
      <alignment horizontal="center" vertical="bottom" textRotation="0" wrapText="false" shrinkToFit="false"/>
    </xf>
    <xf xfId="0" fontId="0" numFmtId="4" fillId="21" borderId="40" applyFont="0" applyNumberFormat="1" applyFill="1" applyBorder="1" applyAlignment="1">
      <alignment horizontal="center" vertical="bottom" textRotation="0" wrapText="false" shrinkToFit="false"/>
    </xf>
    <xf xfId="0" fontId="8" numFmtId="169" fillId="24" borderId="42" applyFont="1" applyNumberFormat="1" applyFill="1" applyBorder="1" applyAlignment="1">
      <alignment horizontal="center" vertical="bottom" textRotation="0" wrapText="false" shrinkToFit="false"/>
    </xf>
    <xf xfId="0" fontId="24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22" numFmtId="0" fillId="6" borderId="51" applyFont="1" applyNumberFormat="0" applyFill="1" applyBorder="1" applyAlignment="1">
      <alignment horizontal="center" vertical="bottom" textRotation="0" wrapText="false" shrinkToFit="false"/>
    </xf>
    <xf xfId="0" fontId="0" numFmtId="2" fillId="2" borderId="0" applyFont="0" applyNumberFormat="1" applyFill="0" applyBorder="0" applyAlignment="0">
      <alignment horizontal="general" vertical="bottom" textRotation="0" wrapText="false" shrinkToFit="false"/>
    </xf>
    <xf xfId="0" fontId="8" numFmtId="4" fillId="5" borderId="5" applyFont="1" applyNumberFormat="1" applyFill="1" applyBorder="1" applyAlignment="1">
      <alignment horizontal="center" vertical="bottom" textRotation="0" wrapText="false" shrinkToFit="false"/>
    </xf>
    <xf xfId="0" fontId="8" numFmtId="0" fillId="5" borderId="5" applyFont="1" applyNumberFormat="0" applyFill="1" applyBorder="1" applyAlignment="1">
      <alignment horizontal="right" vertical="bottom" textRotation="0" wrapText="false" shrinkToFit="false"/>
    </xf>
    <xf xfId="0" fontId="8" numFmtId="4" fillId="5" borderId="10" applyFont="1" applyNumberFormat="1" applyFill="1" applyBorder="1" applyAlignment="1">
      <alignment horizontal="center" vertical="bottom" textRotation="0" wrapText="false" shrinkToFit="false"/>
    </xf>
    <xf xfId="0" fontId="8" numFmtId="0" fillId="5" borderId="5" applyFont="1" applyNumberFormat="0" applyFill="1" applyBorder="1" applyAlignment="1">
      <alignment horizontal="center" vertical="center" textRotation="0" wrapText="true" shrinkToFit="false"/>
    </xf>
    <xf xfId="0" fontId="8" numFmtId="0" fillId="5" borderId="46" applyFont="1" applyNumberFormat="0" applyFill="1" applyBorder="1" applyAlignment="1">
      <alignment horizontal="center" vertical="center" textRotation="0" wrapText="true" shrinkToFit="false"/>
    </xf>
    <xf xfId="0" fontId="8" numFmtId="0" fillId="5" borderId="28" applyFont="1" applyNumberFormat="0" applyFill="1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top" textRotation="0" wrapText="true" shrinkToFit="false"/>
    </xf>
    <xf xfId="0" fontId="23" numFmtId="0" fillId="3" borderId="0" applyFont="1" applyNumberFormat="0" applyFill="1" applyBorder="0" applyAlignment="1">
      <alignment horizontal="left" vertical="bottom" textRotation="0" wrapText="false" shrinkToFit="false"/>
    </xf>
    <xf xfId="0" fontId="10" numFmtId="0" fillId="25" borderId="5" applyFont="1" applyNumberFormat="0" applyFill="1" applyBorder="1" applyAlignment="1">
      <alignment horizontal="left" vertical="bottom" textRotation="0" wrapText="false" shrinkToFit="false"/>
    </xf>
    <xf xfId="0" fontId="10" numFmtId="0" fillId="25" borderId="7" applyFont="1" applyNumberFormat="0" applyFill="1" applyBorder="1" applyAlignment="1">
      <alignment horizontal="left" vertical="bottom" textRotation="0" wrapText="false" shrinkToFit="false"/>
    </xf>
    <xf xfId="0" fontId="0" numFmtId="0" fillId="13" borderId="7" applyFont="0" applyNumberFormat="0" applyFill="1" applyBorder="1" applyAlignment="1">
      <alignment horizontal="left" vertical="bottom" textRotation="0" wrapText="false" shrinkToFit="false"/>
    </xf>
    <xf xfId="0" fontId="0" numFmtId="0" fillId="21" borderId="7" applyFont="0" applyNumberFormat="0" applyFill="1" applyBorder="1" applyAlignment="1">
      <alignment horizontal="center" vertical="bottom" textRotation="0" wrapText="false" shrinkToFit="false"/>
    </xf>
    <xf xfId="0" fontId="5" numFmtId="0" fillId="5" borderId="0" applyFont="1" applyNumberFormat="0" applyFill="1" applyBorder="0" applyAlignment="0">
      <alignment horizontal="general" vertical="bottom" textRotation="0" wrapText="false" shrinkToFit="false"/>
    </xf>
    <xf xfId="0" fontId="2" numFmtId="0" fillId="5" borderId="0" applyFont="1" applyNumberFormat="0" applyFill="1" applyBorder="0" applyAlignment="0">
      <alignment horizontal="general" vertical="bottom" textRotation="0" wrapText="false" shrinkToFit="false"/>
    </xf>
    <xf xfId="0" fontId="5" numFmtId="0" fillId="5" borderId="0" applyFont="1" applyNumberFormat="0" applyFill="1" applyBorder="0" applyAlignment="1">
      <alignment horizontal="general" vertical="top" textRotation="0" wrapText="true" shrinkToFit="false"/>
    </xf>
    <xf xfId="0" fontId="5" numFmtId="0" fillId="5" borderId="0" applyFont="1" applyNumberFormat="0" applyFill="1" applyBorder="0" applyAlignment="1">
      <alignment horizontal="general" vertical="top" textRotation="0" wrapText="false" shrinkToFit="false"/>
    </xf>
    <xf xfId="0" fontId="5" numFmtId="0" fillId="5" borderId="0" applyFont="1" applyNumberFormat="0" applyFill="1" applyBorder="0" applyAlignment="1" applyProtection="true">
      <alignment horizontal="general" vertical="top" textRotation="0" wrapText="true" shrinkToFit="false"/>
      <protection locked="false"/>
    </xf>
    <xf xfId="0" fontId="2" numFmtId="49" fillId="5" borderId="0" applyFont="1" applyNumberFormat="1" applyFill="1" applyBorder="0" applyAlignment="0">
      <alignment horizontal="general" vertical="bottom" textRotation="0" wrapText="false" shrinkToFit="false"/>
    </xf>
    <xf xfId="0" fontId="2" numFmtId="165" fillId="5" borderId="0" applyFont="1" applyNumberFormat="1" applyFill="1" applyBorder="0" applyAlignment="0">
      <alignment horizontal="general" vertical="bottom" textRotation="0" wrapText="false" shrinkToFit="false"/>
    </xf>
    <xf xfId="0" fontId="2" numFmtId="0" fillId="5" borderId="0" applyFont="1" applyNumberFormat="0" applyFill="1" applyBorder="0" applyAlignment="1">
      <alignment horizontal="right" vertical="center" textRotation="0" wrapText="false" shrinkToFit="false"/>
    </xf>
    <xf xfId="0" fontId="2" numFmtId="176" fillId="5" borderId="0" applyFont="1" applyNumberFormat="1" applyFill="1" applyBorder="0" applyAlignment="0">
      <alignment horizontal="general" vertical="bottom" textRotation="0" wrapText="false" shrinkToFit="false"/>
    </xf>
    <xf xfId="0" fontId="5" numFmtId="14" fillId="5" borderId="0" applyFont="1" applyNumberFormat="1" applyFill="1" applyBorder="0" applyAlignment="0">
      <alignment horizontal="general" vertical="bottom" textRotation="0" wrapText="false" shrinkToFit="false"/>
    </xf>
    <xf xfId="0" fontId="2" numFmtId="178" fillId="5" borderId="0" applyFont="1" applyNumberFormat="1" applyFill="1" applyBorder="0" applyAlignment="1">
      <alignment horizontal="right" vertical="center" textRotation="0" wrapText="false" shrinkToFit="false"/>
    </xf>
    <xf xfId="0" fontId="2" numFmtId="179" fillId="5" borderId="0" applyFont="1" applyNumberFormat="1" applyFill="1" applyBorder="0" applyAlignment="0">
      <alignment horizontal="general" vertical="bottom" textRotation="0" wrapText="false" shrinkToFit="false"/>
    </xf>
    <xf xfId="0" fontId="2" numFmtId="165" fillId="5" borderId="0" applyFont="1" applyNumberFormat="1" applyFill="1" applyBorder="0" applyAlignment="1">
      <alignment horizontal="left" vertical="bottom" textRotation="0" wrapText="false" shrinkToFit="false"/>
    </xf>
    <xf xfId="0" fontId="8" numFmtId="169" fillId="23" borderId="0" applyFont="1" applyNumberFormat="1" applyFill="1" applyBorder="0" applyAlignment="1">
      <alignment horizontal="center" vertical="bottom" textRotation="0" wrapText="false" shrinkToFit="false"/>
    </xf>
    <xf xfId="0" fontId="0" numFmtId="0" fillId="26" borderId="38" applyFont="0" applyNumberFormat="0" applyFill="1" applyBorder="1" applyAlignment="1">
      <alignment horizontal="center" vertical="bottom" textRotation="0" wrapText="false" shrinkToFit="false"/>
    </xf>
    <xf xfId="0" fontId="8" numFmtId="0" fillId="24" borderId="38" applyFont="1" applyNumberFormat="0" applyFill="1" applyBorder="1" applyAlignment="1">
      <alignment horizontal="center" vertical="bottom" textRotation="0" wrapText="false" shrinkToFit="false"/>
    </xf>
    <xf xfId="0" fontId="0" numFmtId="178" fillId="26" borderId="30" applyFont="0" applyNumberFormat="1" applyFill="1" applyBorder="1" applyAlignment="1">
      <alignment horizontal="center" vertical="bottom" textRotation="0" wrapText="false" shrinkToFit="false"/>
    </xf>
    <xf xfId="0" fontId="0" numFmtId="0" fillId="26" borderId="30" applyFont="0" applyNumberFormat="0" applyFill="1" applyBorder="1" applyAlignment="1">
      <alignment horizontal="center" vertical="bottom" textRotation="0" wrapText="false" shrinkToFit="false"/>
    </xf>
    <xf xfId="0" fontId="0" numFmtId="0" fillId="26" borderId="28" applyFont="0" applyNumberFormat="0" applyFill="1" applyBorder="1" applyAlignment="1">
      <alignment horizontal="center" vertical="bottom" textRotation="0" wrapText="false" shrinkToFit="false"/>
    </xf>
    <xf xfId="0" fontId="8" numFmtId="0" fillId="26" borderId="5" applyFont="1" applyNumberFormat="0" applyFill="1" applyBorder="1" applyAlignment="1">
      <alignment horizontal="center" vertical="bottom" textRotation="0" wrapText="false" shrinkToFit="false"/>
    </xf>
    <xf xfId="0" fontId="8" numFmtId="169" fillId="26" borderId="5" applyFont="1" applyNumberFormat="1" applyFill="1" applyBorder="1" applyAlignment="1">
      <alignment horizontal="center" vertical="bottom" textRotation="0" wrapText="false" shrinkToFit="false"/>
    </xf>
    <xf xfId="0" fontId="8" numFmtId="0" fillId="26" borderId="30" applyFont="1" applyNumberFormat="0" applyFill="1" applyBorder="1" applyAlignment="1">
      <alignment horizontal="center" vertical="bottom" textRotation="0" wrapText="false" shrinkToFit="false"/>
    </xf>
    <xf xfId="0" fontId="8" numFmtId="0" fillId="26" borderId="28" applyFont="1" applyNumberFormat="0" applyFill="1" applyBorder="1" applyAlignment="1">
      <alignment horizontal="center" vertical="bottom" textRotation="0" wrapText="false" shrinkToFit="false"/>
    </xf>
    <xf xfId="0" fontId="8" numFmtId="0" fillId="26" borderId="29" applyFont="1" applyNumberFormat="0" applyFill="1" applyBorder="1" applyAlignment="1">
      <alignment horizontal="center" vertical="bottom" textRotation="0" wrapText="false" shrinkToFit="false"/>
    </xf>
    <xf xfId="0" fontId="0" numFmtId="0" fillId="26" borderId="0" applyFont="0" applyNumberFormat="0" applyFill="1" applyBorder="0" applyAlignment="1">
      <alignment horizontal="center" vertical="bottom" textRotation="0" wrapText="false" shrinkToFit="false"/>
    </xf>
    <xf xfId="0" fontId="0" numFmtId="0" fillId="26" borderId="24" applyFont="0" applyNumberFormat="0" applyFill="1" applyBorder="1" applyAlignment="1">
      <alignment horizontal="center" vertical="bottom" textRotation="0" wrapText="false" shrinkToFit="false"/>
    </xf>
    <xf xfId="0" fontId="0" numFmtId="169" fillId="26" borderId="23" applyFont="0" applyNumberFormat="1" applyFill="1" applyBorder="1" applyAlignment="1">
      <alignment horizontal="center" vertical="bottom" textRotation="0" wrapText="false" shrinkToFit="false"/>
    </xf>
    <xf xfId="0" fontId="0" numFmtId="165" fillId="26" borderId="23" applyFont="0" applyNumberFormat="1" applyFill="1" applyBorder="1" applyAlignment="1">
      <alignment horizontal="center" vertical="bottom" textRotation="0" wrapText="false" shrinkToFit="false"/>
    </xf>
    <xf xfId="0" fontId="8" numFmtId="0" fillId="3" borderId="0" applyFont="1" applyNumberFormat="0" applyFill="1" applyBorder="0" applyAlignment="1">
      <alignment horizontal="right" vertical="bottom" textRotation="0" wrapText="false" shrinkToFit="false"/>
    </xf>
    <xf xfId="0" fontId="8" numFmtId="0" fillId="5" borderId="0" applyFont="1" applyNumberFormat="0" applyFill="1" applyBorder="0" applyAlignment="1">
      <alignment horizontal="right" vertical="bottom" textRotation="0" wrapText="false" shrinkToFit="false"/>
    </xf>
    <xf xfId="0" fontId="8" numFmtId="0" fillId="10" borderId="0" applyFont="1" applyNumberFormat="0" applyFill="1" applyBorder="0" applyAlignment="1">
      <alignment horizontal="center" vertical="bottom" textRotation="0" wrapText="false" shrinkToFit="false"/>
    </xf>
    <xf xfId="0" fontId="0" numFmtId="0" fillId="18" borderId="20" applyFont="0" applyNumberFormat="0" applyFill="1" applyBorder="1" applyAlignment="1">
      <alignment horizontal="center" vertical="bottom" textRotation="0" wrapText="false" shrinkToFit="false"/>
    </xf>
    <xf xfId="0" fontId="0" numFmtId="49" fillId="18" borderId="20" applyFont="0" applyNumberFormat="1" applyFill="1" applyBorder="1" applyAlignment="1">
      <alignment horizontal="center" vertical="bottom" textRotation="0" wrapText="false" shrinkToFit="false"/>
    </xf>
    <xf xfId="0" fontId="8" numFmtId="0" fillId="18" borderId="20" applyFont="1" applyNumberFormat="0" applyFill="1" applyBorder="1" applyAlignment="1">
      <alignment horizontal="center" vertical="bottom" textRotation="0" wrapText="false" shrinkToFit="false"/>
    </xf>
    <xf xfId="0" fontId="0" numFmtId="0" fillId="17" borderId="20" applyFont="0" applyNumberFormat="0" applyFill="1" applyBorder="1" applyAlignment="1">
      <alignment horizontal="center" vertical="bottom" textRotation="0" wrapText="false" shrinkToFit="false"/>
    </xf>
    <xf xfId="0" fontId="0" numFmtId="49" fillId="17" borderId="20" applyFont="0" applyNumberFormat="1" applyFill="1" applyBorder="1" applyAlignment="1">
      <alignment horizontal="center" vertical="bottom" textRotation="0" wrapText="false" shrinkToFit="false"/>
    </xf>
    <xf xfId="0" fontId="0" numFmtId="0" fillId="13" borderId="6" applyFont="0" applyNumberFormat="0" applyFill="1" applyBorder="1" applyAlignment="1">
      <alignment horizontal="left" vertical="bottom" textRotation="0" wrapText="false" shrinkToFit="false"/>
    </xf>
    <xf xfId="0" fontId="0" numFmtId="0" fillId="27" borderId="5" applyFont="0" applyNumberFormat="0" applyFill="1" applyBorder="1" applyAlignment="0">
      <alignment horizontal="general" vertical="bottom" textRotation="0" wrapText="false" shrinkToFit="false"/>
    </xf>
    <xf xfId="0" fontId="0" numFmtId="0" fillId="28" borderId="5" applyFont="0" applyNumberFormat="0" applyFill="1" applyBorder="1" applyAlignment="0">
      <alignment horizontal="general" vertical="bottom" textRotation="0" wrapText="false" shrinkToFit="false"/>
    </xf>
    <xf xfId="0" fontId="8" numFmtId="180" fillId="2" borderId="5" applyFont="1" applyNumberFormat="1" applyFill="0" applyBorder="1" applyAlignment="1">
      <alignment horizontal="center" vertical="bottom" textRotation="0" wrapText="false" shrinkToFit="false"/>
    </xf>
    <xf xfId="0" fontId="8" numFmtId="2" fillId="2" borderId="5" applyFont="1" applyNumberFormat="1" applyFill="0" applyBorder="1" applyAlignment="1">
      <alignment horizontal="center" vertical="bottom" textRotation="0" wrapText="false" shrinkToFit="false"/>
    </xf>
    <xf xfId="0" fontId="0" numFmtId="181" fillId="2" borderId="5" applyFont="0" applyNumberFormat="1" applyFill="0" applyBorder="1" applyAlignment="1">
      <alignment horizontal="center" vertical="bottom" textRotation="0" wrapText="false" shrinkToFit="false"/>
    </xf>
    <xf xfId="0" fontId="0" numFmtId="2" fillId="2" borderId="5" applyFont="0" applyNumberFormat="1" applyFill="0" applyBorder="1" applyAlignment="1">
      <alignment horizontal="center" vertical="bottom" textRotation="0" wrapText="false" shrinkToFit="false"/>
    </xf>
    <xf xfId="0" fontId="0" numFmtId="0" fillId="2" borderId="9" applyFont="0" applyNumberFormat="0" applyFill="0" applyBorder="1" applyAlignment="1">
      <alignment horizontal="center" vertical="bottom" textRotation="0" wrapText="false" shrinkToFit="false"/>
    </xf>
    <xf xfId="0" fontId="0" numFmtId="180" fillId="2" borderId="5" applyFont="0" applyNumberFormat="1" applyFill="0" applyBorder="1" applyAlignment="1">
      <alignment horizontal="center" vertical="bottom" textRotation="0" wrapText="false" shrinkToFit="false"/>
    </xf>
    <xf xfId="0" fontId="8" numFmtId="14" fillId="2" borderId="5" applyFont="1" applyNumberFormat="1" applyFill="0" applyBorder="1" applyAlignment="1">
      <alignment horizontal="center" vertical="bottom" textRotation="0" wrapText="false" shrinkToFit="false"/>
    </xf>
    <xf xfId="0" fontId="25" numFmtId="0" fillId="25" borderId="0" applyFont="1" applyNumberFormat="0" applyFill="1" applyBorder="0" applyAlignment="1">
      <alignment horizontal="right" vertical="bottom" textRotation="0" wrapText="false" shrinkToFit="false"/>
    </xf>
    <xf xfId="0" fontId="0" numFmtId="14" fillId="25" borderId="34" applyFont="0" applyNumberFormat="1" applyFill="1" applyBorder="1" applyAlignment="1">
      <alignment horizontal="right" vertical="bottom" textRotation="0" wrapText="false" shrinkToFit="false"/>
    </xf>
    <xf xfId="0" fontId="0" numFmtId="0" fillId="25" borderId="0" applyFont="0" applyNumberFormat="0" applyFill="1" applyBorder="0" applyAlignment="0">
      <alignment horizontal="general" vertical="bottom" textRotation="0" wrapText="false" shrinkToFit="false"/>
    </xf>
    <xf xfId="0" fontId="0" numFmtId="0" fillId="25" borderId="34" applyFont="0" applyNumberFormat="0" applyFill="1" applyBorder="1" applyAlignment="1">
      <alignment horizontal="right" vertical="bottom" textRotation="0" wrapText="false" shrinkToFit="false"/>
    </xf>
    <xf xfId="0" fontId="0" numFmtId="0" fillId="29" borderId="34" applyFont="0" applyNumberFormat="0" applyFill="1" applyBorder="1" applyAlignment="0">
      <alignment horizontal="general" vertical="bottom" textRotation="0" wrapText="false" shrinkToFit="false"/>
    </xf>
    <xf xfId="0" fontId="0" numFmtId="0" fillId="25" borderId="0" applyFont="0" applyNumberFormat="0" applyFill="1" applyBorder="0" applyAlignment="1">
      <alignment horizontal="right" vertical="bottom" textRotation="0" wrapText="false" shrinkToFit="false"/>
    </xf>
    <xf xfId="0" fontId="0" numFmtId="0" fillId="30" borderId="34" applyFont="0" applyNumberFormat="0" applyFill="1" applyBorder="1" applyAlignment="1">
      <alignment horizontal="right" vertical="bottom" textRotation="0" wrapText="false" shrinkToFit="false"/>
    </xf>
    <xf xfId="0" fontId="25" numFmtId="0" fillId="31" borderId="0" applyFont="1" applyNumberFormat="0" applyFill="1" applyBorder="0" applyAlignment="1">
      <alignment horizontal="right" vertical="bottom" textRotation="0" wrapText="false" shrinkToFit="false"/>
    </xf>
    <xf xfId="0" fontId="0" numFmtId="0" fillId="31" borderId="0" applyFont="0" applyNumberFormat="0" applyFill="1" applyBorder="0" applyAlignment="1">
      <alignment horizontal="right" vertical="bottom" textRotation="0" wrapText="false" shrinkToFit="false"/>
    </xf>
    <xf xfId="0" fontId="0" numFmtId="0" fillId="31" borderId="0" applyFont="0" applyNumberFormat="0" applyFill="1" applyBorder="0" applyAlignment="0">
      <alignment horizontal="general" vertical="bottom" textRotation="0" wrapText="false" shrinkToFit="false"/>
    </xf>
    <xf xfId="0" fontId="0" numFmtId="0" fillId="25" borderId="34" applyFont="0" applyNumberFormat="0" applyFill="1" applyBorder="1" applyAlignment="0">
      <alignment horizontal="general" vertical="bottom" textRotation="0" wrapText="false" shrinkToFit="false"/>
    </xf>
    <xf xfId="0" fontId="0" numFmtId="0" fillId="30" borderId="34" applyFont="0" applyNumberFormat="0" applyFill="1" applyBorder="1" applyAlignment="0">
      <alignment horizontal="general" vertical="bottom" textRotation="0" wrapText="false" shrinkToFit="false"/>
    </xf>
    <xf xfId="0" fontId="0" numFmtId="0" fillId="31" borderId="34" applyFont="0" applyNumberFormat="0" applyFill="1" applyBorder="1" applyAlignment="1">
      <alignment horizontal="center" vertical="bottom" textRotation="0" wrapText="false" shrinkToFit="false"/>
    </xf>
    <xf xfId="0" fontId="0" numFmtId="0" fillId="24" borderId="0" applyFont="0" applyNumberFormat="0" applyFill="1" applyBorder="0" applyAlignment="0">
      <alignment horizontal="general" vertical="bottom" textRotation="0" wrapText="false" shrinkToFit="false"/>
    </xf>
    <xf xfId="0" fontId="8" numFmtId="0" fillId="6" borderId="7" applyFont="1" applyNumberFormat="0" applyFill="1" applyBorder="1" applyAlignment="1">
      <alignment horizontal="center" vertical="center" textRotation="0" wrapText="false" shrinkToFit="false"/>
    </xf>
    <xf xfId="0" fontId="8" numFmtId="2" fillId="6" borderId="10" applyFont="1" applyNumberFormat="1" applyFill="1" applyBorder="1" applyAlignment="1">
      <alignment horizontal="center" vertical="center" textRotation="0" wrapText="true" shrinkToFit="false"/>
    </xf>
    <xf xfId="0" fontId="8" numFmtId="0" fillId="6" borderId="10" applyFont="1" applyNumberFormat="0" applyFill="1" applyBorder="1" applyAlignment="1">
      <alignment horizontal="center" vertical="center" textRotation="0" wrapText="true" shrinkToFit="false"/>
    </xf>
    <xf xfId="0" fontId="8" numFmtId="2" fillId="6" borderId="10" applyFont="1" applyNumberFormat="1" applyFill="1" applyBorder="1" applyAlignment="1">
      <alignment horizontal="center" vertical="center" textRotation="0" wrapText="false" shrinkToFit="false"/>
    </xf>
    <xf xfId="0" fontId="0" numFmtId="0" fillId="3" borderId="52" applyFont="0" applyNumberFormat="0" applyFill="1" applyBorder="1" applyAlignment="0">
      <alignment horizontal="general" vertical="bottom" textRotation="0" wrapText="false" shrinkToFit="false"/>
    </xf>
    <xf xfId="0" fontId="0" numFmtId="2" fillId="3" borderId="53" applyFont="0" applyNumberFormat="1" applyFill="1" applyBorder="1" applyAlignment="1">
      <alignment horizontal="center" vertical="bottom" textRotation="0" wrapText="false" shrinkToFit="false"/>
    </xf>
    <xf xfId="0" fontId="26" numFmtId="0" fillId="3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17" applyFont="0" applyNumberFormat="0" applyFill="1" applyBorder="1" applyAlignment="1">
      <alignment horizontal="left" vertical="center" textRotation="0" wrapText="false" shrinkToFit="false"/>
    </xf>
    <xf xfId="0" fontId="15" numFmtId="0" fillId="4" borderId="17" applyFont="1" applyNumberFormat="0" applyFill="1" applyBorder="1" applyAlignment="1">
      <alignment horizontal="general" vertical="center" textRotation="0" wrapText="false" shrinkToFit="false"/>
    </xf>
    <xf xfId="0" fontId="0" numFmtId="0" fillId="4" borderId="17" applyFont="0" applyNumberFormat="0" applyFill="1" applyBorder="1" applyAlignment="1">
      <alignment horizontal="center" vertical="center" textRotation="0" wrapText="false" shrinkToFit="false"/>
    </xf>
    <xf xfId="0" fontId="0" numFmtId="0" fillId="4" borderId="2" applyFont="0" applyNumberFormat="0" applyFill="1" applyBorder="1" applyAlignment="1">
      <alignment horizontal="center" vertical="center" textRotation="0" wrapText="false" shrinkToFit="false"/>
    </xf>
    <xf xfId="0" fontId="0" numFmtId="2" fillId="4" borderId="17" applyFont="0" applyNumberFormat="1" applyFill="1" applyBorder="1" applyAlignment="1">
      <alignment horizontal="center" vertical="center" textRotation="0" wrapText="false" shrinkToFit="false"/>
    </xf>
    <xf xfId="0" fontId="0" numFmtId="0" fillId="21" borderId="1" applyFont="0" applyNumberFormat="0" applyFill="1" applyBorder="1" applyAlignment="1">
      <alignment horizontal="center" vertical="center" textRotation="0" wrapText="false" shrinkToFit="false"/>
    </xf>
    <xf xfId="0" fontId="0" numFmtId="0" fillId="3" borderId="0" applyFont="0" applyNumberFormat="0" applyFill="1" applyBorder="0" applyAlignment="1">
      <alignment horizontal="general" vertical="center" textRotation="0" wrapText="true" shrinkToFit="false"/>
    </xf>
    <xf xfId="0" fontId="0" numFmtId="0" fillId="2" borderId="0" applyFont="0" applyNumberFormat="0" applyFill="0" applyBorder="0" applyAlignment="1">
      <alignment horizontal="general" vertical="center" textRotation="0" wrapText="false" shrinkToFit="false"/>
    </xf>
    <xf xfId="0" fontId="0" numFmtId="0" fillId="4" borderId="17" applyFont="0" applyNumberFormat="0" applyFill="1" applyBorder="1" applyAlignment="1">
      <alignment horizontal="center" vertical="center" textRotation="0" wrapText="true" shrinkToFit="false"/>
    </xf>
    <xf xfId="0" fontId="27" numFmtId="0" fillId="3" borderId="11" applyFont="1" applyNumberFormat="0" applyFill="1" applyBorder="1" applyAlignment="1">
      <alignment horizontal="justify" vertical="center" textRotation="0" wrapText="true" shrinkToFit="false"/>
    </xf>
    <xf xfId="0" fontId="0" numFmtId="182" fillId="28" borderId="5" applyFont="0" applyNumberFormat="1" applyFill="1" applyBorder="1" applyAlignment="0">
      <alignment horizontal="general" vertical="bottom" textRotation="0" wrapText="false" shrinkToFit="false"/>
    </xf>
    <xf xfId="0" fontId="0" numFmtId="4" fillId="32" borderId="29" applyFont="0" applyNumberFormat="1" applyFill="1" applyBorder="1" applyAlignment="1">
      <alignment horizontal="center" vertical="bottom" textRotation="0" wrapText="false" shrinkToFit="false"/>
    </xf>
    <xf xfId="0" fontId="0" numFmtId="169" fillId="32" borderId="40" applyFont="0" applyNumberFormat="1" applyFill="1" applyBorder="1" applyAlignment="1">
      <alignment horizontal="center" vertical="bottom" textRotation="0" wrapText="false" shrinkToFit="false"/>
    </xf>
    <xf xfId="0" fontId="0" numFmtId="4" fillId="32" borderId="5" applyFont="0" applyNumberFormat="1" applyFill="1" applyBorder="1" applyAlignment="1">
      <alignment horizontal="center" vertical="bottom" textRotation="0" wrapText="false" shrinkToFit="false"/>
    </xf>
    <xf xfId="0" fontId="0" numFmtId="169" fillId="5" borderId="0" applyFont="0" applyNumberFormat="1" applyFill="1" applyBorder="0" applyAlignment="1">
      <alignment horizontal="center" vertical="bottom" textRotation="0" wrapText="false" shrinkToFit="false"/>
    </xf>
    <xf xfId="0" fontId="0" numFmtId="0" fillId="32" borderId="34" applyFont="0" applyNumberFormat="0" applyFill="1" applyBorder="1" applyAlignment="1">
      <alignment horizontal="center" vertical="bottom" textRotation="0" wrapText="false" shrinkToFit="false"/>
    </xf>
    <xf xfId="0" fontId="8" numFmtId="0" fillId="33" borderId="38" applyFont="1" applyNumberFormat="0" applyFill="1" applyBorder="1" applyAlignment="1">
      <alignment horizontal="center" vertical="bottom" textRotation="0" wrapText="false" shrinkToFit="false"/>
    </xf>
    <xf xfId="0" fontId="8" numFmtId="0" fillId="32" borderId="38" applyFont="1" applyNumberFormat="0" applyFill="1" applyBorder="1" applyAlignment="1">
      <alignment horizontal="center" vertical="bottom" textRotation="0" wrapText="false" shrinkToFit="false"/>
    </xf>
    <xf xfId="0" fontId="8" numFmtId="178" fillId="32" borderId="54" applyFont="1" applyNumberFormat="1" applyFill="1" applyBorder="1" applyAlignment="1">
      <alignment horizontal="center" vertical="bottom" textRotation="0" wrapText="false" shrinkToFit="false"/>
    </xf>
    <xf xfId="0" fontId="0" numFmtId="2" fillId="32" borderId="5" applyFont="0" applyNumberFormat="1" applyFill="1" applyBorder="1" applyAlignment="1">
      <alignment horizontal="center" vertical="bottom" textRotation="0" wrapText="false" shrinkToFit="false"/>
    </xf>
    <xf xfId="0" fontId="0" numFmtId="2" fillId="32" borderId="40" applyFont="0" applyNumberFormat="1" applyFill="1" applyBorder="1" applyAlignment="1">
      <alignment horizontal="center" vertical="bottom" textRotation="0" wrapText="false" shrinkToFit="false"/>
    </xf>
    <xf xfId="0" fontId="0" numFmtId="169" fillId="32" borderId="30" applyFont="0" applyNumberFormat="1" applyFill="1" applyBorder="1" applyAlignment="1">
      <alignment horizontal="center" vertical="bottom" textRotation="0" wrapText="false" shrinkToFit="false"/>
    </xf>
    <xf xfId="0" fontId="0" numFmtId="169" fillId="32" borderId="54" applyFont="0" applyNumberFormat="1" applyFill="1" applyBorder="1" applyAlignment="1">
      <alignment horizontal="center" vertical="bottom" textRotation="0" wrapText="false" shrinkToFit="false"/>
    </xf>
    <xf xfId="0" fontId="0" numFmtId="0" fillId="32" borderId="0" applyFont="0" applyNumberFormat="0" applyFill="1" applyBorder="0" applyAlignment="1">
      <alignment horizontal="center" vertical="bottom" textRotation="0" wrapText="false" shrinkToFit="false"/>
    </xf>
    <xf xfId="0" fontId="0" numFmtId="0" fillId="32" borderId="24" applyFont="0" applyNumberFormat="0" applyFill="1" applyBorder="1" applyAlignment="1">
      <alignment horizontal="center" vertical="bottom" textRotation="0" wrapText="false" shrinkToFit="false"/>
    </xf>
    <xf xfId="0" fontId="0" numFmtId="165" fillId="32" borderId="0" applyFont="0" applyNumberFormat="1" applyFill="1" applyBorder="0" applyAlignment="1">
      <alignment horizontal="center" vertical="bottom" textRotation="0" wrapText="false" shrinkToFit="false"/>
    </xf>
    <xf xfId="0" fontId="8" numFmtId="0" fillId="32" borderId="0" applyFont="1" applyNumberFormat="0" applyFill="1" applyBorder="0" applyAlignment="1">
      <alignment horizontal="left" vertical="bottom" textRotation="0" wrapText="false" shrinkToFit="false"/>
    </xf>
    <xf xfId="0" fontId="8" numFmtId="0" fillId="32" borderId="0" applyFont="1" applyNumberFormat="0" applyFill="1" applyBorder="0" applyAlignment="0">
      <alignment horizontal="general" vertical="bottom" textRotation="0" wrapText="false" shrinkToFit="false"/>
    </xf>
    <xf xfId="0" fontId="0" numFmtId="169" fillId="32" borderId="24" applyFont="0" applyNumberFormat="1" applyFill="1" applyBorder="1" applyAlignment="1">
      <alignment horizontal="center" vertical="bottom" textRotation="0" wrapText="false" shrinkToFit="false"/>
    </xf>
    <xf xfId="0" fontId="0" numFmtId="4" fillId="32" borderId="24" applyFont="0" applyNumberFormat="1" applyFill="1" applyBorder="1" applyAlignment="1">
      <alignment horizontal="center" vertical="bottom" textRotation="0" wrapText="false" shrinkToFit="false"/>
    </xf>
    <xf xfId="0" fontId="0" numFmtId="0" fillId="32" borderId="40" applyFont="0" applyNumberFormat="0" applyFill="1" applyBorder="1" applyAlignment="1">
      <alignment horizontal="center" vertical="bottom" textRotation="0" wrapText="false" shrinkToFit="false"/>
    </xf>
    <xf xfId="0" fontId="0" numFmtId="172" fillId="5" borderId="5" applyFont="0" applyNumberFormat="1" applyFill="1" applyBorder="1" applyAlignment="1">
      <alignment horizontal="center" vertical="center" textRotation="0" wrapText="false" shrinkToFit="false"/>
    </xf>
    <xf xfId="0" fontId="0" numFmtId="183" fillId="5" borderId="5" applyFont="0" applyNumberFormat="1" applyFill="1" applyBorder="1" applyAlignment="1">
      <alignment horizontal="center" vertical="center" textRotation="0" wrapText="false" shrinkToFit="false"/>
    </xf>
    <xf xfId="0" fontId="0" numFmtId="184" fillId="5" borderId="5" applyFont="0" applyNumberFormat="1" applyFill="1" applyBorder="1" applyAlignment="1">
      <alignment horizontal="center" vertical="center" textRotation="0" wrapText="false" shrinkToFit="false"/>
    </xf>
    <xf xfId="0" fontId="0" numFmtId="170" fillId="5" borderId="5" applyFont="0" applyNumberFormat="1" applyFill="1" applyBorder="1" applyAlignment="1">
      <alignment horizontal="center" vertical="center" textRotation="0" wrapText="false" shrinkToFit="false"/>
    </xf>
    <xf xfId="0" fontId="0" numFmtId="0" fillId="18" borderId="7" applyFont="0" applyNumberFormat="0" applyFill="1" applyBorder="1" applyAlignment="1">
      <alignment horizontal="left" vertical="center" textRotation="0" wrapText="false" shrinkToFit="false"/>
    </xf>
    <xf xfId="0" fontId="0" numFmtId="0" fillId="18" borderId="7" applyFont="0" applyNumberFormat="0" applyFill="1" applyBorder="1" applyAlignment="1">
      <alignment horizontal="center" vertical="center" textRotation="0" wrapText="false" shrinkToFit="false"/>
    </xf>
    <xf xfId="0" fontId="0" numFmtId="0" fillId="18" borderId="7" applyFont="0" applyNumberFormat="0" applyFill="1" applyBorder="1" applyAlignment="1">
      <alignment horizontal="left" vertical="bottom" textRotation="0" wrapText="false" shrinkToFit="false"/>
    </xf>
    <xf xfId="0" fontId="0" numFmtId="0" fillId="17" borderId="55" applyFont="0" applyNumberFormat="0" applyFill="1" applyBorder="1" applyAlignment="1">
      <alignment horizontal="center" vertical="bottom" textRotation="0" wrapText="false" shrinkToFit="false"/>
    </xf>
    <xf xfId="0" fontId="0" numFmtId="49" fillId="17" borderId="55" applyFont="0" applyNumberFormat="1" applyFill="1" applyBorder="1" applyAlignment="1">
      <alignment horizontal="center" vertical="bottom" textRotation="0" wrapText="false" shrinkToFit="false"/>
    </xf>
    <xf xfId="0" fontId="0" numFmtId="0" fillId="17" borderId="20" applyFont="0" applyNumberFormat="0" applyFill="1" applyBorder="1" applyAlignment="0">
      <alignment horizontal="general" vertical="bottom" textRotation="0" wrapText="false" shrinkToFit="false"/>
    </xf>
    <xf xfId="0" fontId="8" numFmtId="0" fillId="34" borderId="5" applyFont="1" applyNumberFormat="0" applyFill="1" applyBorder="1" applyAlignment="1">
      <alignment horizontal="center" vertical="bottom" textRotation="0" wrapText="false" shrinkToFit="false"/>
    </xf>
    <xf xfId="0" fontId="0" numFmtId="14" fillId="5" borderId="5" applyFont="0" applyNumberFormat="1" applyFill="1" applyBorder="1" applyAlignment="1">
      <alignment horizontal="center" vertical="center" textRotation="0" wrapText="false" shrinkToFit="false"/>
    </xf>
    <xf xfId="0" fontId="11" numFmtId="4" fillId="3" borderId="2" applyFont="1" applyNumberFormat="1" applyFill="1" applyBorder="1" applyAlignment="1">
      <alignment horizontal="center" vertical="bottom" textRotation="0" wrapText="false" shrinkToFit="false"/>
    </xf>
    <xf xfId="0" fontId="0" numFmtId="0" fillId="3" borderId="3" applyFont="0" applyNumberFormat="0" applyFill="1" applyBorder="1" applyAlignment="1">
      <alignment horizontal="left" vertical="bottom" textRotation="0" wrapText="false" shrinkToFit="false"/>
    </xf>
    <xf xfId="0" fontId="0" numFmtId="0" fillId="5" borderId="5" applyFont="0" applyNumberFormat="0" applyFill="1" applyBorder="1" applyAlignment="1">
      <alignment horizontal="center" vertical="bottom" textRotation="0" wrapText="true" shrinkToFit="false"/>
    </xf>
    <xf xfId="0" fontId="0" numFmtId="169" fillId="3" borderId="0" applyFont="0" applyNumberFormat="1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right" vertical="bottom" textRotation="0" wrapText="false" shrinkToFit="false"/>
    </xf>
    <xf xfId="0" fontId="8" numFmtId="0" fillId="35" borderId="0" applyFont="1" applyNumberFormat="0" applyFill="1" applyBorder="0" applyAlignment="1">
      <alignment horizontal="right" vertical="bottom" textRotation="0" wrapText="false" shrinkToFit="false"/>
    </xf>
    <xf xfId="0" fontId="0" numFmtId="0" fillId="35" borderId="0" applyFont="0" applyNumberFormat="0" applyFill="1" applyBorder="0" applyAlignment="1">
      <alignment horizontal="left" vertical="bottom" textRotation="0" wrapText="false" shrinkToFit="false"/>
    </xf>
    <xf xfId="0" fontId="0" numFmtId="0" fillId="2" borderId="56" applyFont="0" applyNumberFormat="0" applyFill="0" applyBorder="1" applyAlignment="1">
      <alignment horizontal="right" vertical="bottom" textRotation="0" wrapText="false" shrinkToFit="false"/>
    </xf>
    <xf xfId="0" fontId="8" numFmtId="0" fillId="2" borderId="56" applyFont="1" applyNumberFormat="0" applyFill="0" applyBorder="1" applyAlignment="1">
      <alignment horizontal="right" vertical="bottom" textRotation="0" wrapText="false" shrinkToFit="false"/>
    </xf>
    <xf xfId="0" fontId="10" numFmtId="0" fillId="2" borderId="56" applyFont="1" applyNumberFormat="0" applyFill="0" applyBorder="1" applyAlignment="1">
      <alignment horizontal="right" vertical="bottom" textRotation="0" wrapText="false" shrinkToFit="false"/>
    </xf>
    <xf xfId="0" fontId="10" numFmtId="167" fillId="3" borderId="0" applyFont="1" applyNumberFormat="1" applyFill="1" applyBorder="0" applyAlignment="1">
      <alignment horizontal="center" vertical="bottom" textRotation="0" wrapText="false" shrinkToFit="false"/>
    </xf>
    <xf xfId="0" fontId="8" numFmtId="0" fillId="3" borderId="20" applyFont="1" applyNumberFormat="0" applyFill="1" applyBorder="1" applyAlignment="0">
      <alignment horizontal="general" vertical="bottom" textRotation="0" wrapText="false" shrinkToFit="false"/>
    </xf>
    <xf xfId="0" fontId="8" numFmtId="0" fillId="3" borderId="20" applyFont="1" applyNumberFormat="0" applyFill="1" applyBorder="1" applyAlignment="1">
      <alignment horizontal="general" vertical="center" textRotation="0" wrapText="false" shrinkToFit="false"/>
    </xf>
    <xf xfId="0" fontId="0" numFmtId="0" fillId="3" borderId="20" applyFont="0" applyNumberFormat="0" applyFill="1" applyBorder="1" applyAlignment="0">
      <alignment horizontal="general" vertical="bottom" textRotation="0" wrapText="false" shrinkToFit="false"/>
    </xf>
    <xf xfId="0" fontId="8" numFmtId="0" fillId="3" borderId="20" applyFont="1" applyNumberFormat="0" applyFill="1" applyBorder="1" applyAlignment="1">
      <alignment horizontal="left" vertical="center" textRotation="0" wrapText="false" shrinkToFit="false"/>
    </xf>
    <xf xfId="0" fontId="0" numFmtId="0" fillId="17" borderId="20" applyFont="0" applyNumberFormat="0" applyFill="1" applyBorder="1" applyAlignment="1">
      <alignment horizontal="right" vertical="bottom" textRotation="0" wrapText="false" shrinkToFit="false"/>
    </xf>
    <xf xfId="0" fontId="0" numFmtId="185" fillId="13" borderId="5" applyFont="0" applyNumberFormat="1" applyFill="1" applyBorder="1" applyAlignment="1">
      <alignment horizontal="left" vertical="bottom" textRotation="0" wrapText="false" shrinkToFit="false"/>
    </xf>
    <xf xfId="0" fontId="27" numFmtId="0" fillId="3" borderId="12" applyFont="1" applyNumberFormat="0" applyFill="1" applyBorder="1" applyAlignment="1">
      <alignment horizontal="general" vertical="center" textRotation="0" wrapText="true" shrinkToFit="false"/>
    </xf>
    <xf xfId="0" fontId="27" numFmtId="14" fillId="3" borderId="12" applyFont="1" applyNumberFormat="1" applyFill="1" applyBorder="1" applyAlignment="1">
      <alignment horizontal="general" vertical="center" textRotation="0" wrapText="true" shrinkToFit="false"/>
    </xf>
    <xf xfId="0" fontId="17" numFmtId="0" fillId="3" borderId="20" applyFont="1" applyNumberFormat="0" applyFill="1" applyBorder="1" applyAlignment="0">
      <alignment horizontal="general" vertical="bottom" textRotation="0" wrapText="false" shrinkToFit="false"/>
    </xf>
    <xf xfId="0" fontId="0" numFmtId="0" fillId="11" borderId="5" applyFont="0" applyNumberFormat="0" applyFill="1" applyBorder="1" applyAlignment="1">
      <alignment horizontal="center" vertical="bottom" textRotation="0" wrapText="false" shrinkToFit="false"/>
    </xf>
    <xf xfId="0" fontId="8" numFmtId="0" fillId="11" borderId="5" applyFont="1" applyNumberFormat="0" applyFill="1" applyBorder="1" applyAlignment="1">
      <alignment horizontal="center" vertical="bottom" textRotation="0" wrapText="false" shrinkToFit="false"/>
    </xf>
    <xf xfId="0" fontId="8" numFmtId="0" fillId="11" borderId="30" applyFont="1" applyNumberFormat="0" applyFill="1" applyBorder="1" applyAlignment="1">
      <alignment horizontal="center" vertical="bottom" textRotation="0" wrapText="false" shrinkToFit="false"/>
    </xf>
    <xf xfId="0" fontId="8" numFmtId="0" fillId="11" borderId="27" applyFont="1" applyNumberFormat="0" applyFill="1" applyBorder="1" applyAlignment="1">
      <alignment horizontal="center" vertical="bottom" textRotation="0" wrapText="false" shrinkToFit="false"/>
    </xf>
    <xf xfId="0" fontId="8" numFmtId="0" fillId="12" borderId="0" applyFont="1" applyNumberFormat="0" applyFill="1" applyBorder="0" applyAlignment="1">
      <alignment horizontal="center" vertical="bottom" textRotation="0" wrapText="false" shrinkToFit="false"/>
    </xf>
    <xf xfId="0" fontId="0" numFmtId="0" fillId="15" borderId="0" applyFont="0" applyNumberFormat="0" applyFill="1" applyBorder="0" applyAlignment="1">
      <alignment horizontal="center" vertical="bottom" textRotation="0" wrapText="false" shrinkToFit="false"/>
    </xf>
    <xf xfId="0" fontId="0" numFmtId="0" fillId="30" borderId="57" applyFont="0" applyNumberFormat="0" applyFill="1" applyBorder="1" applyAlignment="0">
      <alignment horizontal="general" vertical="bottom" textRotation="0" wrapText="false" shrinkToFit="false"/>
    </xf>
    <xf xfId="0" fontId="8" numFmtId="0" fillId="35" borderId="58" applyFont="1" applyNumberFormat="0" applyFill="1" applyBorder="1" applyAlignment="1">
      <alignment horizontal="center" vertical="bottom" textRotation="0" wrapText="false" shrinkToFit="false"/>
    </xf>
    <xf xfId="0" fontId="8" numFmtId="0" fillId="35" borderId="58" applyFont="1" applyNumberFormat="0" applyFill="1" applyBorder="1" applyAlignment="0">
      <alignment horizontal="general" vertical="bottom" textRotation="0" wrapText="false" shrinkToFit="false"/>
    </xf>
    <xf xfId="0" fontId="0" numFmtId="0" fillId="30" borderId="59" applyFont="0" applyNumberFormat="0" applyFill="1" applyBorder="1" applyAlignment="1">
      <alignment horizontal="center" vertical="bottom" textRotation="0" wrapText="false" shrinkToFit="false"/>
    </xf>
    <xf xfId="0" fontId="10" numFmtId="0" fillId="25" borderId="34" applyFont="1" applyNumberFormat="0" applyFill="1" applyBorder="1" applyAlignment="1">
      <alignment horizontal="right" vertical="bottom" textRotation="0" wrapText="false" shrinkToFit="false"/>
    </xf>
    <xf xfId="0" fontId="10" numFmtId="0" fillId="25" borderId="0" applyFont="1" applyNumberFormat="0" applyFill="1" applyBorder="0" applyAlignment="1">
      <alignment horizontal="left" vertical="bottom" textRotation="0" wrapText="false" shrinkToFit="false"/>
    </xf>
    <xf xfId="0" fontId="10" numFmtId="0" fillId="25" borderId="34" applyFont="1" applyNumberFormat="0" applyFill="1" applyBorder="1" applyAlignment="0">
      <alignment horizontal="general" vertical="bottom" textRotation="0" wrapText="false" shrinkToFit="false"/>
    </xf>
    <xf xfId="0" fontId="0" numFmtId="165" fillId="36" borderId="5" applyFont="0" applyNumberFormat="1" applyFill="1" applyBorder="1" applyAlignment="1">
      <alignment horizontal="left" vertical="bottom" textRotation="0" wrapText="false" shrinkToFit="false"/>
    </xf>
    <xf xfId="0" fontId="28" numFmtId="0" fillId="3" borderId="0" applyFont="1" applyNumberFormat="0" applyFill="1" applyBorder="0" applyAlignment="1">
      <alignment horizontal="center" vertical="bottom" textRotation="0" wrapText="false" shrinkToFit="false"/>
    </xf>
    <xf xfId="0" fontId="0" numFmtId="0" fillId="15" borderId="0" applyFont="0" applyNumberFormat="0" applyFill="1" applyBorder="0" applyAlignment="1">
      <alignment horizontal="left" vertical="bottom" textRotation="0" wrapText="false" shrinkToFit="false"/>
    </xf>
    <xf xfId="0" fontId="8" numFmtId="0" fillId="35" borderId="5" applyFont="1" applyNumberFormat="0" applyFill="1" applyBorder="1" applyAlignment="1">
      <alignment horizontal="center" vertical="bottom" textRotation="0" wrapText="false" shrinkToFit="false"/>
    </xf>
    <xf xfId="0" fontId="22" numFmtId="0" fillId="37" borderId="51" applyFont="1" applyNumberFormat="0" applyFill="1" applyBorder="1" applyAlignment="1">
      <alignment horizontal="center" vertical="bottom" textRotation="0" wrapText="false" shrinkToFit="false"/>
    </xf>
    <xf xfId="0" fontId="8" numFmtId="0" fillId="37" borderId="14" applyFont="1" applyNumberFormat="0" applyFill="1" applyBorder="1" applyAlignment="1">
      <alignment horizontal="center" vertical="bottom" textRotation="0" wrapText="false" shrinkToFit="false"/>
    </xf>
    <xf xfId="0" fontId="8" numFmtId="1" fillId="37" borderId="14" applyFont="1" applyNumberFormat="1" applyFill="1" applyBorder="1" applyAlignment="1">
      <alignment horizontal="center" vertical="bottom" textRotation="0" wrapText="false" shrinkToFit="false"/>
    </xf>
    <xf xfId="0" fontId="8" numFmtId="170" fillId="37" borderId="14" applyFont="1" applyNumberFormat="1" applyFill="1" applyBorder="1" applyAlignment="1">
      <alignment horizontal="center" vertical="bottom" textRotation="0" wrapText="false" shrinkToFit="false"/>
    </xf>
    <xf xfId="0" fontId="8" numFmtId="0" fillId="37" borderId="60" applyFont="1" applyNumberFormat="0" applyFill="1" applyBorder="1" applyAlignment="1">
      <alignment horizontal="center" vertical="bottom" textRotation="0" wrapText="false" shrinkToFit="false"/>
    </xf>
    <xf xfId="0" fontId="8" numFmtId="170" fillId="37" borderId="10" applyFont="1" applyNumberFormat="1" applyFill="1" applyBorder="1" applyAlignment="1">
      <alignment horizontal="center" vertical="bottom" textRotation="0" wrapText="false" shrinkToFit="false"/>
    </xf>
    <xf xfId="0" fontId="8" numFmtId="0" fillId="37" borderId="10" applyFont="1" applyNumberFormat="0" applyFill="1" applyBorder="1" applyAlignment="1">
      <alignment horizontal="center" vertical="bottom" textRotation="0" wrapText="false" shrinkToFit="false"/>
    </xf>
    <xf xfId="0" fontId="8" numFmtId="14" fillId="37" borderId="10" applyFont="1" applyNumberFormat="1" applyFill="1" applyBorder="1" applyAlignment="1">
      <alignment horizontal="center" vertical="bottom" textRotation="0" wrapText="false" shrinkToFit="false"/>
    </xf>
    <xf xfId="0" fontId="22" numFmtId="0" fillId="37" borderId="10" applyFont="1" applyNumberFormat="0" applyFill="1" applyBorder="1" applyAlignment="1">
      <alignment horizontal="center" vertical="bottom" textRotation="0" wrapText="false" shrinkToFit="false"/>
    </xf>
    <xf xfId="0" fontId="22" numFmtId="0" fillId="9" borderId="10" applyFont="1" applyNumberFormat="0" applyFill="1" applyBorder="1" applyAlignment="1">
      <alignment horizontal="center" vertical="bottom" textRotation="0" wrapText="false" shrinkToFit="false"/>
    </xf>
    <xf xfId="0" fontId="29" numFmtId="0" fillId="6" borderId="0" applyFont="1" applyNumberFormat="0" applyFill="1" applyBorder="0" applyAlignment="1">
      <alignment horizontal="center" vertical="bottom" textRotation="0" wrapText="false" shrinkToFit="false"/>
    </xf>
    <xf xfId="0" fontId="8" numFmtId="0" fillId="4" borderId="17" applyFont="1" applyNumberFormat="0" applyFill="1" applyBorder="1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30" numFmtId="0" fillId="10" borderId="5" applyFont="1" applyNumberFormat="0" applyFill="1" applyBorder="1" applyAlignment="1">
      <alignment horizontal="center" vertical="center" textRotation="0" wrapText="false" shrinkToFit="false"/>
    </xf>
    <xf xfId="0" fontId="31" numFmtId="0" fillId="5" borderId="0" applyFont="1" applyNumberFormat="0" applyFill="1" applyBorder="0" applyAlignment="0">
      <alignment horizontal="general" vertical="bottom" textRotation="0" wrapText="false" shrinkToFit="false"/>
    </xf>
    <xf xfId="0" fontId="24" numFmtId="0" fillId="5" borderId="0" applyFont="1" applyNumberFormat="0" applyFill="1" applyBorder="0" applyAlignment="0">
      <alignment horizontal="general" vertical="bottom" textRotation="0" wrapText="false" shrinkToFit="false"/>
    </xf>
    <xf xfId="0" fontId="30" numFmtId="0" fillId="5" borderId="0" applyFont="1" applyNumberFormat="0" applyFill="1" applyBorder="0" applyAlignment="0">
      <alignment horizontal="general" vertical="bottom" textRotation="0" wrapText="false" shrinkToFit="false"/>
    </xf>
    <xf xfId="0" fontId="31" numFmtId="0" fillId="11" borderId="5" applyFont="1" applyNumberFormat="0" applyFill="1" applyBorder="1" applyAlignment="1">
      <alignment horizontal="general" vertical="center" textRotation="0" wrapText="false" shrinkToFit="false"/>
    </xf>
    <xf xfId="0" fontId="32" numFmtId="0" fillId="5" borderId="0" applyFont="1" applyNumberFormat="0" applyFill="1" applyBorder="0" applyAlignment="0">
      <alignment horizontal="general" vertical="bottom" textRotation="0" wrapText="false" shrinkToFit="false"/>
    </xf>
    <xf xfId="0" fontId="33" numFmtId="0" fillId="37" borderId="51" applyFont="1" applyNumberFormat="0" applyFill="1" applyBorder="1" applyAlignment="1">
      <alignment horizontal="center" vertical="bottom" textRotation="0" wrapText="false" shrinkToFit="false"/>
    </xf>
    <xf xfId="0" fontId="33" numFmtId="0" fillId="10" borderId="5" applyFont="1" applyNumberFormat="0" applyFill="1" applyBorder="1" applyAlignment="0">
      <alignment horizontal="general" vertical="bottom" textRotation="0" wrapText="false" shrinkToFit="false"/>
    </xf>
    <xf xfId="0" fontId="33" numFmtId="0" fillId="2" borderId="5" applyFont="1" applyNumberFormat="0" applyFill="0" applyBorder="1" applyAlignment="1">
      <alignment horizontal="left" vertical="bottom" textRotation="0" wrapText="false" shrinkToFit="false"/>
    </xf>
    <xf xfId="0" fontId="33" numFmtId="0" fillId="10" borderId="10" applyFont="1" applyNumberFormat="0" applyFill="1" applyBorder="1" applyAlignment="0">
      <alignment horizontal="general" vertical="bottom" textRotation="0" wrapText="false" shrinkToFit="false"/>
    </xf>
    <xf xfId="0" fontId="33" numFmtId="0" fillId="5" borderId="0" applyFont="1" applyNumberFormat="0" applyFill="1" applyBorder="0" applyAlignment="1">
      <alignment horizontal="center" vertical="center" textRotation="0" wrapText="false" shrinkToFit="false"/>
    </xf>
    <xf xfId="0" fontId="22" numFmtId="0" fillId="35" borderId="5" applyFont="1" applyNumberFormat="0" applyFill="1" applyBorder="1" applyAlignment="1">
      <alignment horizontal="center" vertical="bottom" textRotation="0" wrapText="false" shrinkToFit="false"/>
    </xf>
    <xf xfId="0" fontId="30" numFmtId="0" fillId="12" borderId="0" applyFont="1" applyNumberFormat="0" applyFill="1" applyBorder="0" applyAlignment="0">
      <alignment horizontal="general" vertical="bottom" textRotation="0" wrapText="false" shrinkToFit="false"/>
    </xf>
    <xf xfId="0" fontId="24" numFmtId="0" fillId="12" borderId="0" applyFont="1" applyNumberFormat="0" applyFill="1" applyBorder="0" applyAlignment="0">
      <alignment horizontal="general" vertical="bottom" textRotation="0" wrapText="false" shrinkToFit="false"/>
    </xf>
    <xf xfId="0" fontId="17" numFmtId="0" fillId="12" borderId="0" applyFont="1" applyNumberFormat="0" applyFill="1" applyBorder="0" applyAlignment="0">
      <alignment horizontal="general" vertical="bottom" textRotation="0" wrapText="false" shrinkToFit="false"/>
    </xf>
    <xf xfId="0" fontId="17" numFmtId="0" fillId="12" borderId="0" applyFont="1" applyNumberFormat="0" applyFill="1" applyBorder="0" applyAlignment="0">
      <alignment horizontal="general" vertical="bottom" textRotation="0" wrapText="false" shrinkToFit="false"/>
    </xf>
    <xf xfId="0" fontId="24" numFmtId="49" fillId="11" borderId="16" applyFont="1" applyNumberFormat="1" applyFill="1" applyBorder="1" applyAlignment="0">
      <alignment horizontal="general" vertical="bottom" textRotation="0" wrapText="false" shrinkToFit="false"/>
    </xf>
    <xf xfId="0" fontId="8" numFmtId="169" fillId="3" borderId="0" applyFont="1" applyNumberFormat="1" applyFill="1" applyBorder="0" applyAlignment="0">
      <alignment horizontal="general" vertical="bottom" textRotation="0" wrapText="false" shrinkToFit="false"/>
    </xf>
    <xf xfId="0" fontId="0" numFmtId="0" fillId="23" borderId="0" applyFont="0" applyNumberFormat="0" applyFill="1" applyBorder="0" applyAlignment="0">
      <alignment horizontal="general" vertical="bottom" textRotation="0" wrapText="false" shrinkToFit="false"/>
    </xf>
    <xf xfId="0" fontId="0" numFmtId="0" fillId="2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8" numFmtId="169" fillId="23" borderId="0" applyFont="1" applyNumberFormat="1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right" vertical="bottom" textRotation="0" wrapText="false" shrinkToFit="false"/>
    </xf>
    <xf xfId="0" fontId="0" numFmtId="169" fillId="23" borderId="0" applyFont="0" applyNumberFormat="1" applyFill="1" applyBorder="0" applyAlignment="0">
      <alignment horizontal="general" vertical="bottom" textRotation="0" wrapText="false" shrinkToFit="false"/>
    </xf>
    <xf xfId="0" fontId="8" numFmtId="169" fillId="23" borderId="0" applyFont="1" applyNumberFormat="1" applyFill="1" applyBorder="0" applyAlignment="0">
      <alignment horizontal="general" vertical="bottom" textRotation="0" wrapText="false" shrinkToFit="false"/>
    </xf>
    <xf xfId="0" fontId="0" numFmtId="3" fillId="2" borderId="5" applyFont="0" applyNumberFormat="1" applyFill="0" applyBorder="1" applyAlignment="1">
      <alignment horizontal="center" vertical="bottom" textRotation="0" wrapText="false" shrinkToFit="false"/>
    </xf>
    <xf xfId="0" fontId="8" numFmtId="169" fillId="2" borderId="42" applyFont="1" applyNumberFormat="1" applyFill="0" applyBorder="1" applyAlignment="1">
      <alignment horizontal="center" vertical="bottom" textRotation="0" wrapText="false" shrinkToFit="false"/>
    </xf>
    <xf xfId="0" fontId="0" numFmtId="3" fillId="2" borderId="61" applyFont="0" applyNumberFormat="1" applyFill="0" applyBorder="1" applyAlignment="1">
      <alignment horizontal="center" vertical="bottom" textRotation="0" wrapText="false" shrinkToFit="false"/>
    </xf>
    <xf xfId="0" fontId="1" numFmtId="3" fillId="23" borderId="61" applyFont="1" applyNumberFormat="1" applyFill="1" applyBorder="1" applyAlignment="1">
      <alignment horizontal="center" vertical="bottom" textRotation="0" wrapText="false" shrinkToFit="false"/>
    </xf>
    <xf xfId="0" fontId="1" numFmtId="3" fillId="23" borderId="5" applyFont="1" applyNumberFormat="1" applyFill="1" applyBorder="1" applyAlignment="1">
      <alignment horizontal="center" vertical="bottom" textRotation="0" wrapText="false" shrinkToFit="false"/>
    </xf>
    <xf xfId="0" fontId="1" numFmtId="169" fillId="23" borderId="0" applyFont="1" applyNumberFormat="1" applyFill="1" applyBorder="0" applyAlignment="0">
      <alignment horizontal="general" vertical="bottom" textRotation="0" wrapText="false" shrinkToFit="false"/>
    </xf>
    <xf xfId="0" fontId="8" numFmtId="0" fillId="3" borderId="4" applyFont="1" applyNumberFormat="0" applyFill="1" applyBorder="1" applyAlignment="1">
      <alignment horizontal="center" vertical="bottom" textRotation="0" wrapText="false" shrinkToFit="false"/>
    </xf>
    <xf xfId="0" fontId="8" numFmtId="0" fillId="3" borderId="41" applyFont="1" applyNumberFormat="0" applyFill="1" applyBorder="1" applyAlignment="1">
      <alignment horizontal="center" vertical="bottom" textRotation="0" wrapText="false" shrinkToFit="false"/>
    </xf>
    <xf xfId="0" fontId="8" numFmtId="176" fillId="5" borderId="0" applyFont="1" applyNumberFormat="1" applyFill="1" applyBorder="0" applyAlignment="1">
      <alignment horizontal="center" vertical="bottom" textRotation="0" wrapText="false" shrinkToFit="false"/>
    </xf>
    <xf xfId="0" fontId="6" numFmtId="0" fillId="3" borderId="8" applyFont="1" applyNumberFormat="0" applyFill="1" applyBorder="1" applyAlignment="0">
      <alignment horizontal="general" vertical="bottom" textRotation="0" wrapText="false" shrinkToFit="false"/>
    </xf>
    <xf xfId="0" fontId="0" numFmtId="0" fillId="4" borderId="17" applyFont="0" applyNumberFormat="0" applyFill="1" applyBorder="1" applyAlignment="1">
      <alignment horizontal="center" vertical="center" textRotation="0" wrapText="true" shrinkToFit="false"/>
    </xf>
    <xf xfId="0" fontId="6" numFmtId="0" fillId="3" borderId="0" applyFont="1" applyNumberFormat="0" applyFill="1" applyBorder="0" applyAlignment="1">
      <alignment horizontal="center" vertical="bottom" textRotation="0" wrapText="true" shrinkToFit="false"/>
    </xf>
    <xf xfId="0" fontId="6" numFmtId="0" fillId="3" borderId="0" applyFont="1" applyNumberFormat="0" applyFill="1" applyBorder="0" applyAlignment="1">
      <alignment horizontal="center" vertical="bottom" textRotation="0" wrapText="false" shrinkToFit="false"/>
    </xf>
    <xf xfId="0" fontId="6" numFmtId="0" fillId="20" borderId="0" applyFont="1" applyNumberFormat="0" applyFill="1" applyBorder="0" applyAlignment="1">
      <alignment horizontal="center" vertical="bottom" textRotation="0" wrapText="false" shrinkToFit="false"/>
    </xf>
    <xf xfId="0" fontId="6" numFmtId="0" fillId="3" borderId="0" applyFont="1" applyNumberFormat="0" applyFill="1" applyBorder="0" applyAlignment="1">
      <alignment horizontal="center" vertical="center" textRotation="0" wrapText="false" shrinkToFit="false"/>
    </xf>
    <xf xfId="0" fontId="8" numFmtId="0" fillId="4" borderId="17" applyFont="1" applyNumberFormat="0" applyFill="1" applyBorder="1" applyAlignment="1">
      <alignment horizontal="center" vertical="center" textRotation="0" wrapText="true" shrinkToFit="false"/>
    </xf>
    <xf xfId="0" fontId="28" numFmtId="0" fillId="3" borderId="0" applyFont="1" applyNumberFormat="0" applyFill="1" applyBorder="0" applyAlignment="1">
      <alignment horizontal="center" vertical="center" textRotation="0" wrapText="true" shrinkToFit="false"/>
    </xf>
    <xf xfId="0" fontId="8" numFmtId="0" fillId="3" borderId="0" applyFont="1" applyNumberFormat="0" applyFill="1" applyBorder="0" applyAlignment="1">
      <alignment horizontal="center" vertical="center" textRotation="0" wrapText="false" shrinkToFit="false"/>
    </xf>
    <xf xfId="0" fontId="8" numFmtId="169" fillId="24" borderId="0" applyFont="1" applyNumberFormat="1" applyFill="1" applyBorder="0" applyAlignment="1">
      <alignment horizontal="center" vertical="bottom" textRotation="0" wrapText="false" shrinkToFit="false"/>
    </xf>
    <xf xfId="0" fontId="8" numFmtId="169" fillId="24" borderId="0" applyFont="1" applyNumberFormat="1" applyFill="1" applyBorder="0" applyAlignment="1">
      <alignment horizontal="center" vertical="bottom" textRotation="0" wrapText="false" shrinkToFit="false"/>
    </xf>
    <xf xfId="0" fontId="2" numFmtId="169" fillId="24" borderId="0" applyFont="1" applyNumberFormat="1" applyFill="1" applyBorder="0" applyAlignment="1">
      <alignment horizontal="center" vertical="bottom" textRotation="0" wrapText="false" shrinkToFit="false"/>
    </xf>
    <xf xfId="0" fontId="1" numFmtId="169" fillId="11" borderId="0" applyFont="1" applyNumberFormat="1" applyFill="1" applyBorder="0" applyAlignment="1">
      <alignment horizontal="center" vertical="bottom" textRotation="0" wrapText="false" shrinkToFit="false"/>
    </xf>
    <xf xfId="0" fontId="34" numFmtId="0" fillId="27" borderId="0" applyFont="1" applyNumberFormat="0" applyFill="1" applyBorder="0" applyAlignment="0">
      <alignment horizontal="general" vertical="bottom" textRotation="0" wrapText="false" shrinkToFit="false"/>
    </xf>
    <xf xfId="0" fontId="34" numFmtId="0" fillId="27" borderId="0" applyFont="1" applyNumberFormat="0" applyFill="1" applyBorder="0" applyAlignment="1">
      <alignment horizontal="left" vertical="bottom" textRotation="0" wrapText="false" shrinkToFit="false"/>
    </xf>
    <xf xfId="0" fontId="35" numFmtId="0" fillId="5" borderId="0" applyFont="1" applyNumberFormat="0" applyFill="1" applyBorder="0" applyAlignment="0">
      <alignment horizontal="general" vertical="bottom" textRotation="0" wrapText="false" shrinkToFit="false"/>
    </xf>
    <xf xfId="0" fontId="35" numFmtId="0" fillId="38" borderId="0" applyFont="1" applyNumberFormat="0" applyFill="1" applyBorder="0" applyAlignment="0">
      <alignment horizontal="general" vertical="bottom" textRotation="0" wrapText="false" shrinkToFit="false"/>
    </xf>
    <xf xfId="0" fontId="35" numFmtId="0" fillId="5" borderId="0" applyFont="1" applyNumberFormat="0" applyFill="1" applyBorder="0" applyAlignment="1">
      <alignment horizontal="left" vertical="bottom" textRotation="0" wrapText="false" shrinkToFit="false"/>
    </xf>
    <xf xfId="0" fontId="36" numFmtId="0" fillId="39" borderId="0" applyFont="1" applyNumberFormat="0" applyFill="1" applyBorder="0" applyAlignment="1">
      <alignment horizontal="center" vertical="center" textRotation="0" wrapText="true" shrinkToFit="false"/>
    </xf>
    <xf xfId="0" fontId="37" numFmtId="0" fillId="39" borderId="0" applyFont="1" applyNumberFormat="0" applyFill="1" applyBorder="0" applyAlignment="1">
      <alignment horizontal="general" vertical="bottom" textRotation="0" wrapText="true" shrinkToFit="false"/>
    </xf>
    <xf xfId="0" fontId="38" numFmtId="0" fillId="39" borderId="0" applyFont="1" applyNumberFormat="0" applyFill="1" applyBorder="0" applyAlignment="0">
      <alignment horizontal="general" vertical="bottom" textRotation="0" wrapText="false" shrinkToFit="false"/>
    </xf>
    <xf xfId="0" fontId="39" numFmtId="0" fillId="39" borderId="0" applyFont="1" applyNumberFormat="0" applyFill="1" applyBorder="0" applyAlignment="1">
      <alignment horizontal="right" vertical="center" textRotation="0" wrapText="true" shrinkToFit="false"/>
    </xf>
    <xf xfId="0" fontId="40" numFmtId="2" fillId="39" borderId="62" applyFont="1" applyNumberFormat="1" applyFill="1" applyBorder="1" applyAlignment="1">
      <alignment horizontal="center" vertical="center" textRotation="0" wrapText="true" shrinkToFit="false"/>
    </xf>
    <xf xfId="0" fontId="40" numFmtId="0" fillId="39" borderId="4" applyFont="1" applyNumberFormat="0" applyFill="1" applyBorder="1" applyAlignment="1">
      <alignment horizontal="center" vertical="center" textRotation="0" wrapText="true" shrinkToFit="false"/>
    </xf>
    <xf xfId="0" fontId="40" numFmtId="0" fillId="39" borderId="49" applyFont="1" applyNumberFormat="0" applyFill="1" applyBorder="1" applyAlignment="1">
      <alignment horizontal="center" vertical="center" textRotation="0" wrapText="true" shrinkToFit="false"/>
    </xf>
    <xf xfId="0" fontId="40" numFmtId="0" fillId="39" borderId="63" applyFont="1" applyNumberFormat="0" applyFill="1" applyBorder="1" applyAlignment="1">
      <alignment horizontal="center" vertical="center" textRotation="0" wrapText="true" shrinkToFit="false"/>
    </xf>
    <xf xfId="0" fontId="34" numFmtId="0" fillId="39" borderId="0" applyFont="1" applyNumberFormat="0" applyFill="1" applyBorder="0" applyAlignment="1">
      <alignment horizontal="center" vertical="center" textRotation="0" wrapText="true" shrinkToFit="false"/>
    </xf>
    <xf xfId="0" fontId="41" numFmtId="0" fillId="31" borderId="0" applyFont="1" applyNumberFormat="0" applyFill="1" applyBorder="0" applyAlignment="1">
      <alignment horizontal="right" vertical="center" textRotation="0" wrapText="true" shrinkToFit="false"/>
    </xf>
    <xf xfId="0" fontId="42" numFmtId="2" fillId="2" borderId="64" applyFont="1" applyNumberFormat="1" applyFill="0" applyBorder="1" applyAlignment="1">
      <alignment horizontal="right" vertical="center" textRotation="0" wrapText="true" shrinkToFit="false"/>
    </xf>
    <xf xfId="0" fontId="42" numFmtId="0" fillId="2" borderId="5" applyFont="1" applyNumberFormat="0" applyFill="0" applyBorder="1" applyAlignment="1">
      <alignment horizontal="right" vertical="center" textRotation="0" wrapText="true" shrinkToFit="false"/>
    </xf>
    <xf xfId="0" fontId="42" numFmtId="0" fillId="2" borderId="6" applyFont="1" applyNumberFormat="0" applyFill="0" applyBorder="1" applyAlignment="1">
      <alignment horizontal="right" vertical="center" textRotation="0" wrapText="true" shrinkToFit="false"/>
    </xf>
    <xf xfId="0" fontId="42" numFmtId="0" fillId="2" borderId="65" applyFont="1" applyNumberFormat="0" applyFill="0" applyBorder="1" applyAlignment="1">
      <alignment horizontal="right" vertical="center" textRotation="0" wrapText="true" shrinkToFit="false"/>
    </xf>
    <xf xfId="0" fontId="42" numFmtId="0" fillId="2" borderId="0" applyFont="1" applyNumberFormat="0" applyFill="0" applyBorder="0" applyAlignment="1">
      <alignment horizontal="right" vertical="center" textRotation="0" wrapText="true" shrinkToFit="false"/>
    </xf>
    <xf xfId="0" fontId="43" numFmtId="0" fillId="31" borderId="0" applyFont="1" applyNumberFormat="0" applyFill="1" applyBorder="0" applyAlignment="1">
      <alignment horizontal="right" vertical="center" textRotation="0" wrapText="false" shrinkToFit="false"/>
    </xf>
    <xf xfId="0" fontId="44" numFmtId="2" fillId="5" borderId="64" applyFont="1" applyNumberFormat="1" applyFill="1" applyBorder="1" applyAlignment="1">
      <alignment horizontal="right" vertical="bottom" textRotation="0" wrapText="false" shrinkToFit="false"/>
    </xf>
    <xf xfId="0" fontId="44" numFmtId="2" fillId="5" borderId="5" applyFont="1" applyNumberFormat="1" applyFill="1" applyBorder="1" applyAlignment="1">
      <alignment horizontal="right" vertical="bottom" textRotation="0" wrapText="false" shrinkToFit="false"/>
    </xf>
    <xf xfId="0" fontId="44" numFmtId="2" fillId="5" borderId="65" applyFont="1" applyNumberFormat="1" applyFill="1" applyBorder="1" applyAlignment="1">
      <alignment horizontal="right" vertical="bottom" textRotation="0" wrapText="false" shrinkToFit="false"/>
    </xf>
    <xf xfId="0" fontId="44" numFmtId="0" fillId="5" borderId="0" applyFont="1" applyNumberFormat="0" applyFill="1" applyBorder="0" applyAlignment="1">
      <alignment horizontal="right" vertical="bottom" textRotation="0" wrapText="false" shrinkToFit="false"/>
    </xf>
    <xf xfId="0" fontId="41" numFmtId="0" fillId="31" borderId="0" applyFont="1" applyNumberFormat="0" applyFill="1" applyBorder="0" applyAlignment="1">
      <alignment horizontal="right" vertical="center" textRotation="0" wrapText="false" shrinkToFit="false"/>
    </xf>
    <xf xfId="0" fontId="34" numFmtId="2" fillId="5" borderId="66" applyFont="1" applyNumberFormat="1" applyFill="1" applyBorder="1" applyAlignment="1">
      <alignment horizontal="right" vertical="bottom" textRotation="0" wrapText="false" shrinkToFit="false"/>
    </xf>
    <xf xfId="0" fontId="34" numFmtId="2" fillId="5" borderId="10" applyFont="1" applyNumberFormat="1" applyFill="1" applyBorder="1" applyAlignment="1">
      <alignment horizontal="right" vertical="bottom" textRotation="0" wrapText="false" shrinkToFit="false"/>
    </xf>
    <xf xfId="0" fontId="34" numFmtId="2" fillId="5" borderId="67" applyFont="1" applyNumberFormat="1" applyFill="1" applyBorder="1" applyAlignment="1">
      <alignment horizontal="right" vertical="bottom" textRotation="0" wrapText="false" shrinkToFit="false"/>
    </xf>
    <xf xfId="0" fontId="34" numFmtId="0" fillId="5" borderId="0" applyFont="1" applyNumberFormat="0" applyFill="1" applyBorder="0" applyAlignment="1">
      <alignment horizontal="right" vertical="bottom" textRotation="0" wrapText="false" shrinkToFit="false"/>
    </xf>
    <xf xfId="0" fontId="45" numFmtId="0" fillId="31" borderId="0" applyFont="1" applyNumberFormat="0" applyFill="1" applyBorder="0" applyAlignment="1">
      <alignment horizontal="right" vertical="bottom" textRotation="0" wrapText="false" shrinkToFit="true"/>
    </xf>
    <xf xfId="0" fontId="38" numFmtId="2" fillId="2" borderId="0" applyFont="1" applyNumberFormat="1" applyFill="0" applyBorder="0" applyAlignment="0">
      <alignment horizontal="general" vertical="bottom" textRotation="0" wrapText="false" shrinkToFit="false"/>
    </xf>
    <xf xfId="0" fontId="38" numFmtId="0" fillId="2" borderId="0" applyFont="1" applyNumberFormat="0" applyFill="0" applyBorder="0" applyAlignment="0">
      <alignment horizontal="general" vertical="bottom" textRotation="0" wrapText="false" shrinkToFit="false"/>
    </xf>
    <xf xfId="0" fontId="38" numFmtId="186" fillId="2" borderId="0" applyFont="1" applyNumberFormat="1" applyFill="0" applyBorder="0" applyAlignment="0">
      <alignment horizontal="general" vertical="bottom" textRotation="0" wrapText="false" shrinkToFit="false"/>
    </xf>
    <xf xfId="0" fontId="46" numFmtId="186" fillId="2" borderId="0" applyFont="1" applyNumberFormat="1" applyFill="0" applyBorder="0" applyAlignment="0">
      <alignment horizontal="general" vertical="bottom" textRotation="0" wrapText="false" shrinkToFit="false"/>
    </xf>
    <xf xfId="0" fontId="38" numFmtId="0" fillId="5" borderId="0" applyFont="1" applyNumberFormat="0" applyFill="1" applyBorder="0" applyAlignment="0">
      <alignment horizontal="general" vertical="bottom" textRotation="0" wrapText="false" shrinkToFit="false"/>
    </xf>
    <xf xfId="0" fontId="38" numFmtId="2" fillId="5" borderId="0" applyFont="1" applyNumberFormat="1" applyFill="1" applyBorder="0" applyAlignment="0">
      <alignment horizontal="general" vertical="bottom" textRotation="0" wrapText="false" shrinkToFit="false"/>
    </xf>
    <xf xfId="0" fontId="38" numFmtId="186" fillId="5" borderId="0" applyFont="1" applyNumberFormat="1" applyFill="1" applyBorder="0" applyAlignment="0">
      <alignment horizontal="general" vertical="bottom" textRotation="0" wrapText="false" shrinkToFit="false"/>
    </xf>
    <xf xfId="0" fontId="46" numFmtId="186" fillId="5" borderId="0" applyFont="1" applyNumberFormat="1" applyFill="1" applyBorder="0" applyAlignment="0">
      <alignment horizontal="general" vertical="bottom" textRotation="0" wrapText="false" shrinkToFit="false"/>
    </xf>
    <xf xfId="0" fontId="45" numFmtId="0" fillId="31" borderId="0" applyFont="1" applyNumberFormat="0" applyFill="1" applyBorder="0" applyAlignment="1">
      <alignment horizontal="right" vertical="bottom" textRotation="0" wrapText="false" shrinkToFit="false"/>
    </xf>
    <xf xfId="0" fontId="39" numFmtId="0" fillId="40" borderId="0" applyFont="1" applyNumberFormat="0" applyFill="1" applyBorder="0" applyAlignment="1">
      <alignment horizontal="right" vertical="center" textRotation="0" wrapText="true" shrinkToFit="false"/>
    </xf>
    <xf xfId="0" fontId="40" numFmtId="2" fillId="40" borderId="62" applyFont="1" applyNumberFormat="1" applyFill="1" applyBorder="1" applyAlignment="1">
      <alignment horizontal="center" vertical="center" textRotation="0" wrapText="true" shrinkToFit="false"/>
    </xf>
    <xf xfId="0" fontId="40" numFmtId="0" fillId="40" borderId="4" applyFont="1" applyNumberFormat="0" applyFill="1" applyBorder="1" applyAlignment="1">
      <alignment horizontal="center" vertical="center" textRotation="0" wrapText="true" shrinkToFit="false"/>
    </xf>
    <xf xfId="0" fontId="40" numFmtId="0" fillId="40" borderId="49" applyFont="1" applyNumberFormat="0" applyFill="1" applyBorder="1" applyAlignment="1">
      <alignment horizontal="center" vertical="center" textRotation="0" wrapText="true" shrinkToFit="false"/>
    </xf>
    <xf xfId="0" fontId="40" numFmtId="0" fillId="40" borderId="63" applyFont="1" applyNumberFormat="0" applyFill="1" applyBorder="1" applyAlignment="1">
      <alignment horizontal="center" vertical="center" textRotation="0" wrapText="true" shrinkToFit="false"/>
    </xf>
    <xf xfId="0" fontId="34" numFmtId="0" fillId="40" borderId="0" applyFont="1" applyNumberFormat="0" applyFill="1" applyBorder="0" applyAlignment="1">
      <alignment horizontal="center" vertical="center" textRotation="0" wrapText="true" shrinkToFit="false"/>
    </xf>
    <xf xfId="0" fontId="44" numFmtId="2" fillId="5" borderId="6" applyFont="1" applyNumberFormat="1" applyFill="1" applyBorder="1" applyAlignment="1">
      <alignment horizontal="right" vertical="bottom" textRotation="0" wrapText="false" shrinkToFit="false"/>
    </xf>
    <xf xfId="0" fontId="41" quotePrefix="1" numFmtId="0" fillId="31" borderId="0" applyFont="1" applyNumberFormat="0" applyFill="1" applyBorder="0" applyAlignment="1">
      <alignment horizontal="right" vertical="center" textRotation="0" wrapText="false" shrinkToFit="false"/>
    </xf>
    <xf xfId="0" fontId="34" numFmtId="2" fillId="5" borderId="2" applyFont="1" applyNumberFormat="1" applyFill="1" applyBorder="1" applyAlignment="1">
      <alignment horizontal="right" vertical="bottom" textRotation="0" wrapText="false" shrinkToFit="false"/>
    </xf>
    <xf xfId="0" fontId="42" numFmtId="0" fillId="2" borderId="0" applyFont="1" applyNumberFormat="0" applyFill="0" applyBorder="0" applyAlignment="1">
      <alignment horizontal="right" vertical="center" textRotation="0" wrapText="true" shrinkToFit="false"/>
    </xf>
    <xf xfId="0" fontId="42" numFmtId="2" fillId="2" borderId="64" applyFont="1" applyNumberFormat="1" applyFill="0" applyBorder="1" applyAlignment="1">
      <alignment horizontal="right" vertical="center" textRotation="0" wrapText="true" shrinkToFit="false"/>
    </xf>
    <xf xfId="0" fontId="42" numFmtId="0" fillId="2" borderId="5" applyFont="1" applyNumberFormat="0" applyFill="0" applyBorder="1" applyAlignment="1">
      <alignment horizontal="right" vertical="center" textRotation="0" wrapText="true" shrinkToFit="false"/>
    </xf>
    <xf xfId="0" fontId="42" numFmtId="0" fillId="2" borderId="6" applyFont="1" applyNumberFormat="0" applyFill="0" applyBorder="1" applyAlignment="1">
      <alignment horizontal="right" vertical="center" textRotation="0" wrapText="true" shrinkToFit="false"/>
    </xf>
    <xf xfId="0" fontId="42" numFmtId="0" fillId="2" borderId="65" applyFont="1" applyNumberFormat="0" applyFill="0" applyBorder="1" applyAlignment="1">
      <alignment horizontal="right" vertical="center" textRotation="0" wrapText="true" shrinkToFit="false"/>
    </xf>
    <xf xfId="0" fontId="34" numFmtId="0" fillId="41" borderId="0" applyFont="1" applyNumberFormat="0" applyFill="1" applyBorder="0" applyAlignment="0">
      <alignment horizontal="general" vertical="bottom" textRotation="0" wrapText="false" shrinkToFit="false"/>
    </xf>
    <xf xfId="0" fontId="35" numFmtId="0" fillId="42" borderId="0" applyFont="1" applyNumberFormat="0" applyFill="1" applyBorder="0" applyAlignment="0">
      <alignment horizontal="general" vertical="bottom" textRotation="0" wrapText="false" shrinkToFit="false"/>
    </xf>
    <xf xfId="0" fontId="34" numFmtId="0" fillId="41" borderId="0" applyFont="1" applyNumberFormat="0" applyFill="1" applyBorder="0" applyAlignment="1">
      <alignment horizontal="left" vertical="bottom" textRotation="0" wrapText="false" shrinkToFit="false"/>
    </xf>
    <xf xfId="0" fontId="17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3" borderId="32" applyFont="0" applyNumberFormat="0" applyFill="1" applyBorder="1" applyAlignment="1">
      <alignment horizontal="center" vertical="bottom" textRotation="0" wrapText="false" shrinkToFit="false"/>
    </xf>
    <xf xfId="0" fontId="0" numFmtId="0" fillId="3" borderId="5" applyFont="0" applyNumberFormat="0" applyFill="1" applyBorder="1" applyAlignment="1">
      <alignment horizontal="center" vertical="bottom" textRotation="0" wrapText="false" shrinkToFit="false"/>
    </xf>
    <xf xfId="0" fontId="4" numFmtId="0" fillId="3" borderId="0" applyFont="1" applyNumberFormat="0" applyFill="1" applyBorder="0" applyAlignment="1">
      <alignment horizontal="left" vertical="top" textRotation="0" wrapText="tru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right" vertical="bottom" textRotation="0" wrapText="false" shrinkToFit="false"/>
    </xf>
    <xf xfId="0" fontId="6" numFmtId="0" fillId="3" borderId="8" applyFont="1" applyNumberFormat="0" applyFill="1" applyBorder="1" applyAlignment="1">
      <alignment horizontal="center" vertical="bottom" textRotation="0" wrapText="false" shrinkToFit="false"/>
    </xf>
    <xf xfId="0" fontId="0" numFmtId="166" fillId="3" borderId="7" applyFont="0" applyNumberFormat="1" applyFill="1" applyBorder="1" applyAlignment="1">
      <alignment horizontal="center" vertical="center" textRotation="0" wrapText="false" shrinkToFit="false"/>
    </xf>
    <xf xfId="0" fontId="0" numFmtId="166" fillId="3" borderId="16" applyFont="0" applyNumberFormat="1" applyFill="1" applyBorder="1" applyAlignment="1">
      <alignment horizontal="center" vertical="center" textRotation="0" wrapText="false" shrinkToFit="false"/>
    </xf>
    <xf xfId="0" fontId="0" numFmtId="0" fillId="4" borderId="2" applyFont="0" applyNumberFormat="0" applyFill="1" applyBorder="1" applyAlignment="1">
      <alignment horizontal="center" vertical="bottom" textRotation="0" wrapText="false" shrinkToFit="false"/>
    </xf>
    <xf xfId="0" fontId="0" numFmtId="0" fillId="4" borderId="17" applyFont="0" applyNumberFormat="0" applyFill="1" applyBorder="1" applyAlignment="1">
      <alignment horizontal="center" vertical="bottom" textRotation="0" wrapText="false" shrinkToFit="false"/>
    </xf>
    <xf xfId="0" fontId="0" numFmtId="0" fillId="3" borderId="49" applyFont="0" applyNumberFormat="0" applyFill="1" applyBorder="1" applyAlignment="1">
      <alignment horizontal="left" vertical="bottom" textRotation="0" wrapText="false" shrinkToFit="false"/>
    </xf>
    <xf xfId="0" fontId="0" numFmtId="0" fillId="3" borderId="31" applyFont="0" applyNumberFormat="0" applyFill="1" applyBorder="1" applyAlignment="1">
      <alignment horizontal="left" vertical="bottom" textRotation="0" wrapText="false" shrinkToFit="false"/>
    </xf>
    <xf xfId="0" fontId="0" numFmtId="0" fillId="3" borderId="6" applyFont="0" applyNumberFormat="0" applyFill="1" applyBorder="1" applyAlignment="1">
      <alignment horizontal="left" vertical="bottom" textRotation="0" wrapText="false" shrinkToFit="false"/>
    </xf>
    <xf xfId="0" fontId="0" numFmtId="0" fillId="3" borderId="9" applyFont="0" applyNumberFormat="0" applyFill="1" applyBorder="1" applyAlignment="1">
      <alignment horizontal="left" vertical="bottom" textRotation="0" wrapText="false" shrinkToFit="false"/>
    </xf>
    <xf xfId="0" fontId="0" numFmtId="0" fillId="3" borderId="41" applyFont="0" applyNumberFormat="0" applyFill="1" applyBorder="1" applyAlignment="1">
      <alignment horizontal="left" vertical="center" textRotation="0" wrapText="false" shrinkToFit="false"/>
    </xf>
    <xf xfId="0" fontId="0" numFmtId="0" fillId="3" borderId="33" applyFont="0" applyNumberFormat="0" applyFill="1" applyBorder="1" applyAlignment="1">
      <alignment horizontal="left" vertical="center" textRotation="0" wrapText="false" shrinkToFit="false"/>
    </xf>
    <xf xfId="0" fontId="0" numFmtId="0" fillId="3" borderId="19" applyFont="0" applyNumberFormat="0" applyFill="1" applyBorder="1" applyAlignment="1">
      <alignment horizontal="left" vertical="center" textRotation="0" wrapText="false" shrinkToFit="false"/>
    </xf>
    <xf xfId="0" fontId="0" numFmtId="0" fillId="3" borderId="32" applyFont="0" applyNumberFormat="0" applyFill="1" applyBorder="1" applyAlignment="1">
      <alignment horizontal="left" vertical="center" textRotation="0" wrapText="false" shrinkToFit="false"/>
    </xf>
    <xf xfId="0" fontId="0" numFmtId="165" fillId="3" borderId="7" applyFont="0" applyNumberFormat="1" applyFill="1" applyBorder="1" applyAlignment="1">
      <alignment horizontal="center" vertical="center" textRotation="0" wrapText="false" shrinkToFit="false"/>
    </xf>
    <xf xfId="0" fontId="0" numFmtId="165" fillId="3" borderId="16" applyFont="0" applyNumberFormat="1" applyFill="1" applyBorder="1" applyAlignment="1">
      <alignment horizontal="center" vertical="center" textRotation="0" wrapText="false" shrinkToFit="false"/>
    </xf>
    <xf xfId="0" fontId="0" numFmtId="0" fillId="5" borderId="6" applyFont="0" applyNumberFormat="0" applyFill="1" applyBorder="1" applyAlignment="1">
      <alignment horizontal="center" vertical="bottom" textRotation="0" wrapText="false" shrinkToFit="false"/>
    </xf>
    <xf xfId="0" fontId="0" numFmtId="0" fillId="5" borderId="9" applyFont="0" applyNumberFormat="0" applyFill="1" applyBorder="1" applyAlignment="1">
      <alignment horizontal="center" vertical="bottom" textRotation="0" wrapText="false" shrinkToFit="false"/>
    </xf>
    <xf xfId="0" fontId="0" numFmtId="0" fillId="3" borderId="2" applyFont="0" applyNumberFormat="0" applyFill="1" applyBorder="1" applyAlignment="1">
      <alignment horizontal="left" vertical="bottom" textRotation="0" wrapText="false" shrinkToFit="false"/>
    </xf>
    <xf xfId="0" fontId="0" numFmtId="0" fillId="3" borderId="3" applyFont="0" applyNumberFormat="0" applyFill="1" applyBorder="1" applyAlignment="1">
      <alignment horizontal="left" vertical="bottom" textRotation="0" wrapText="false" shrinkToFit="false"/>
    </xf>
    <xf xfId="0" fontId="0" numFmtId="0" fillId="3" borderId="60" applyFont="0" applyNumberFormat="0" applyFill="1" applyBorder="1" applyAlignment="1">
      <alignment horizontal="left" vertical="bottom" textRotation="0" wrapText="false" shrinkToFit="false"/>
    </xf>
    <xf xfId="0" fontId="0" numFmtId="0" fillId="3" borderId="51" applyFont="0" applyNumberFormat="0" applyFill="1" applyBorder="1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bottom" textRotation="0" wrapText="false" shrinkToFit="false"/>
    </xf>
    <xf xfId="0" fontId="0" numFmtId="2" fillId="3" borderId="42" applyFont="0" applyNumberFormat="1" applyFill="1" applyBorder="1" applyAlignment="1">
      <alignment horizontal="left" vertical="bottom" textRotation="0" wrapText="false" shrinkToFit="false"/>
    </xf>
    <xf xfId="0" fontId="8" numFmtId="0" fillId="3" borderId="0" applyFont="1" applyNumberFormat="0" applyFill="1" applyBorder="0" applyAlignment="1">
      <alignment horizontal="left" vertical="bottom" textRotation="0" wrapText="false" shrinkToFit="false"/>
    </xf>
    <xf xfId="0" fontId="8" numFmtId="0" fillId="4" borderId="8" applyFont="1" applyNumberFormat="0" applyFill="1" applyBorder="1" applyAlignment="1">
      <alignment horizontal="center" vertical="bottom" textRotation="0" wrapText="false" shrinkToFit="false"/>
    </xf>
    <xf xfId="0" fontId="8" numFmtId="0" fillId="7" borderId="6" applyFont="1" applyNumberFormat="0" applyFill="1" applyBorder="1" applyAlignment="1">
      <alignment horizontal="center" vertical="bottom" textRotation="0" wrapText="false" shrinkToFit="false"/>
    </xf>
    <xf xfId="0" fontId="8" numFmtId="0" fillId="7" borderId="8" applyFont="1" applyNumberFormat="0" applyFill="1" applyBorder="1" applyAlignment="1">
      <alignment horizontal="center" vertical="bottom" textRotation="0" wrapText="false" shrinkToFit="false"/>
    </xf>
    <xf xfId="0" fontId="8" numFmtId="0" fillId="7" borderId="9" applyFont="1" applyNumberFormat="0" applyFill="1" applyBorder="1" applyAlignment="1">
      <alignment horizontal="center" vertical="bottom" textRotation="0" wrapText="false" shrinkToFit="false"/>
    </xf>
    <xf xfId="0" fontId="8" numFmtId="0" fillId="5" borderId="0" applyFont="1" applyNumberFormat="0" applyFill="1" applyBorder="0" applyAlignment="1">
      <alignment horizontal="center" vertical="bottom" textRotation="0" wrapText="false" shrinkToFit="false"/>
    </xf>
    <xf xfId="0" fontId="0" numFmtId="167" fillId="3" borderId="0" applyFont="0" applyNumberFormat="1" applyFill="1" applyBorder="0" applyAlignment="1">
      <alignment horizontal="center" vertical="bottom" textRotation="0" wrapText="false" shrinkToFit="false"/>
    </xf>
    <xf xfId="0" fontId="0" numFmtId="0" fillId="5" borderId="49" applyFont="0" applyNumberFormat="0" applyFill="1" applyBorder="1" applyAlignment="1">
      <alignment horizontal="center" vertical="bottom" textRotation="0" wrapText="false" shrinkToFit="false"/>
    </xf>
    <xf xfId="0" fontId="0" numFmtId="0" fillId="5" borderId="31" applyFont="0" applyNumberFormat="0" applyFill="1" applyBorder="1" applyAlignment="1">
      <alignment horizontal="center" vertical="bottom" textRotation="0" wrapText="false" shrinkToFit="false"/>
    </xf>
    <xf xfId="0" fontId="0" numFmtId="0" fillId="34" borderId="2" applyFont="0" applyNumberFormat="0" applyFill="1" applyBorder="1" applyAlignment="1">
      <alignment horizontal="center" vertical="bottom" textRotation="0" wrapText="false" shrinkToFit="false"/>
    </xf>
    <xf xfId="0" fontId="0" numFmtId="0" fillId="34" borderId="17" applyFont="0" applyNumberFormat="0" applyFill="1" applyBorder="1" applyAlignment="1">
      <alignment horizontal="center" vertical="bottom" textRotation="0" wrapText="false" shrinkToFit="false"/>
    </xf>
    <xf xfId="0" fontId="0" numFmtId="0" fillId="34" borderId="3" applyFont="0" applyNumberFormat="0" applyFill="1" applyBorder="1" applyAlignment="1">
      <alignment horizontal="center" vertical="bottom" textRotation="0" wrapText="false" shrinkToFit="false"/>
    </xf>
    <xf xfId="0" fontId="0" numFmtId="172" fillId="5" borderId="49" applyFont="0" applyNumberFormat="1" applyFill="1" applyBorder="1" applyAlignment="1">
      <alignment horizontal="center" vertical="bottom" textRotation="0" wrapText="false" shrinkToFit="false"/>
    </xf>
    <xf xfId="0" fontId="0" numFmtId="172" fillId="5" borderId="31" applyFont="0" applyNumberFormat="1" applyFill="1" applyBorder="1" applyAlignment="1">
      <alignment horizontal="center" vertical="bottom" textRotation="0" wrapText="false" shrinkToFit="false"/>
    </xf>
    <xf xfId="0" fontId="0" numFmtId="172" fillId="5" borderId="68" applyFont="0" applyNumberFormat="1" applyFill="1" applyBorder="1" applyAlignment="1">
      <alignment horizontal="center" vertical="bottom" textRotation="0" wrapText="false" shrinkToFit="false"/>
    </xf>
    <xf xfId="0" fontId="0" numFmtId="170" fillId="5" borderId="49" applyFont="0" applyNumberFormat="1" applyFill="1" applyBorder="1" applyAlignment="1">
      <alignment horizontal="center" vertical="bottom" textRotation="0" wrapText="false" shrinkToFit="false"/>
    </xf>
    <xf xfId="0" fontId="0" numFmtId="170" fillId="5" borderId="31" applyFont="0" applyNumberFormat="1" applyFill="1" applyBorder="1" applyAlignment="1">
      <alignment horizontal="center" vertical="bottom" textRotation="0" wrapText="false" shrinkToFit="false"/>
    </xf>
    <xf xfId="0" fontId="0" numFmtId="170" fillId="5" borderId="68" applyFont="0" applyNumberFormat="1" applyFill="1" applyBorder="1" applyAlignment="1">
      <alignment horizontal="center" vertical="bottom" textRotation="0" wrapText="false" shrinkToFit="false"/>
    </xf>
    <xf xfId="0" fontId="27" numFmtId="0" fillId="3" borderId="8" applyFont="1" applyNumberFormat="0" applyFill="1" applyBorder="1" applyAlignment="1">
      <alignment horizontal="justify" vertical="center" textRotation="0" wrapText="true" shrinkToFit="false"/>
    </xf>
    <xf xfId="0" fontId="27" numFmtId="0" fillId="3" borderId="0" applyFont="1" applyNumberFormat="0" applyFill="1" applyBorder="0" applyAlignment="1">
      <alignment horizontal="justify" vertical="center" textRotation="0" wrapText="true" shrinkToFit="false"/>
    </xf>
    <xf xfId="0" fontId="27" numFmtId="0" fillId="3" borderId="8" applyFont="1" applyNumberFormat="0" applyFill="1" applyBorder="1" applyAlignment="1">
      <alignment horizontal="justify" vertical="justify" textRotation="0" wrapText="true" shrinkToFit="false"/>
    </xf>
    <xf xfId="0" fontId="0" numFmtId="172" fillId="5" borderId="5" applyFont="0" applyNumberFormat="1" applyFill="1" applyBorder="1" applyAlignment="1">
      <alignment horizontal="center" vertical="bottom" textRotation="0" wrapText="false" shrinkToFit="false"/>
    </xf>
    <xf xfId="0" fontId="0" numFmtId="184" fillId="5" borderId="5" applyFont="0" applyNumberFormat="1" applyFill="1" applyBorder="1" applyAlignment="1">
      <alignment horizontal="center" vertical="bottom" textRotation="0" wrapText="false" shrinkToFit="false"/>
    </xf>
    <xf xfId="0" fontId="0" numFmtId="168" fillId="5" borderId="5" applyFont="0" applyNumberFormat="1" applyFill="1" applyBorder="1" applyAlignment="1">
      <alignment horizontal="center" vertical="bottom" textRotation="0" wrapText="false" shrinkToFit="false"/>
    </xf>
    <xf xfId="0" fontId="8" numFmtId="0" fillId="23" borderId="0" applyFont="1" applyNumberFormat="0" applyFill="1" applyBorder="0" applyAlignment="1">
      <alignment horizontal="center" vertical="bottom" textRotation="0" wrapText="false" shrinkToFit="false"/>
    </xf>
    <xf xfId="0" fontId="8" numFmtId="0" fillId="21" borderId="0" applyFont="1" applyNumberFormat="0" applyFill="1" applyBorder="0" applyAlignment="1">
      <alignment horizontal="left" vertical="bottom" textRotation="0" wrapText="true" shrinkToFit="false"/>
    </xf>
    <xf xfId="0" fontId="0" numFmtId="0" fillId="3" borderId="42" applyFont="0" applyNumberFormat="0" applyFill="1" applyBorder="1" applyAlignment="1">
      <alignment horizontal="left" vertical="bottom" textRotation="0" wrapText="false" shrinkToFit="false"/>
    </xf>
    <xf xfId="0" fontId="8" numFmtId="0" fillId="3" borderId="0" applyFont="1" applyNumberFormat="0" applyFill="1" applyBorder="0" applyAlignment="1">
      <alignment horizontal="right" vertical="bottom" textRotation="0" wrapText="false" shrinkToFit="false"/>
    </xf>
    <xf xfId="0" fontId="23" numFmtId="0" fillId="3" borderId="0" applyFont="1" applyNumberFormat="0" applyFill="1" applyBorder="0" applyAlignment="1">
      <alignment horizontal="left" vertical="bottom" textRotation="0" wrapText="false" shrinkToFit="false"/>
    </xf>
    <xf xfId="0" fontId="4" numFmtId="0" fillId="3" borderId="0" applyFont="1" applyNumberFormat="0" applyFill="1" applyBorder="0" applyAlignment="1">
      <alignment horizontal="center" vertical="top" textRotation="0" wrapText="true" shrinkToFit="false"/>
    </xf>
    <xf xfId="0" fontId="0" numFmtId="0" fillId="3" borderId="0" applyFont="0" applyNumberFormat="0" applyFill="1" applyBorder="0" applyAlignment="1">
      <alignment horizontal="left" vertical="top" textRotation="0" wrapText="true" shrinkToFit="false"/>
    </xf>
    <xf xfId="0" fontId="0" numFmtId="0" fillId="3" borderId="69" applyFont="0" applyNumberFormat="0" applyFill="1" applyBorder="1" applyAlignment="1">
      <alignment horizontal="center" vertical="bottom" textRotation="0" wrapText="false" shrinkToFit="false"/>
    </xf>
    <xf xfId="0" fontId="0" numFmtId="0" fillId="3" borderId="7" applyFont="0" applyNumberFormat="0" applyFill="1" applyBorder="1" applyAlignment="1">
      <alignment horizontal="center" vertical="bottom" textRotation="0" wrapText="false" shrinkToFit="false"/>
    </xf>
    <xf xfId="0" fontId="23" numFmtId="0" fillId="35" borderId="0" applyFont="1" applyNumberFormat="0" applyFill="1" applyBorder="0" applyAlignment="1">
      <alignment horizontal="center" vertical="bottom" textRotation="0" wrapText="false" shrinkToFit="false"/>
    </xf>
    <xf xfId="0" fontId="27" numFmtId="0" fillId="3" borderId="8" applyFont="1" applyNumberFormat="0" applyFill="1" applyBorder="1" applyAlignment="1">
      <alignment horizontal="left" vertical="center" textRotation="0" wrapText="true" shrinkToFit="false"/>
    </xf>
    <xf xfId="0" fontId="27" numFmtId="0" fillId="3" borderId="12" applyFont="1" applyNumberFormat="0" applyFill="1" applyBorder="1" applyAlignment="1">
      <alignment horizontal="left" vertical="center" textRotation="0" wrapText="true" shrinkToFit="false"/>
    </xf>
    <xf xfId="0" fontId="27" numFmtId="0" fillId="3" borderId="12" applyFont="1" applyNumberFormat="0" applyFill="1" applyBorder="1" applyAlignment="1">
      <alignment horizontal="center" vertical="center" textRotation="0" wrapText="true" shrinkToFit="false"/>
    </xf>
    <xf xfId="0" fontId="27" numFmtId="0" fillId="3" borderId="12" applyFont="1" applyNumberFormat="0" applyFill="1" applyBorder="1" applyAlignment="1">
      <alignment horizontal="right" vertical="center" textRotation="0" wrapText="true" shrinkToFit="false"/>
    </xf>
    <xf xfId="0" fontId="0" numFmtId="0" fillId="5" borderId="0" applyFont="0" applyNumberFormat="0" applyFill="1" applyBorder="0" applyAlignment="1">
      <alignment horizontal="center" vertical="center" textRotation="0" wrapText="false" shrinkToFit="false"/>
    </xf>
    <xf xfId="0" fontId="0" numFmtId="0" fillId="5" borderId="11" applyFont="0" applyNumberFormat="0" applyFill="1" applyBorder="1" applyAlignment="1">
      <alignment horizontal="center" vertical="center" textRotation="0" wrapText="false" shrinkToFit="false"/>
    </xf>
    <xf xfId="0" fontId="47" numFmtId="0" fillId="4" borderId="8" applyFont="1" applyNumberFormat="0" applyFill="1" applyBorder="1" applyAlignment="1">
      <alignment horizontal="center" vertical="center" textRotation="0" wrapText="false" shrinkToFit="false"/>
    </xf>
    <xf xfId="0" fontId="8" numFmtId="0" fillId="7" borderId="5" applyFont="1" applyNumberFormat="0" applyFill="1" applyBorder="1" applyAlignment="1">
      <alignment horizontal="center" vertical="bottom" textRotation="0" wrapText="false" shrinkToFit="false"/>
    </xf>
    <xf xfId="0" fontId="27" numFmtId="0" fillId="3" borderId="8" applyFont="1" applyNumberFormat="0" applyFill="1" applyBorder="1" applyAlignment="1">
      <alignment horizontal="left" vertical="center" textRotation="0" wrapText="false" shrinkToFit="false"/>
    </xf>
    <xf xfId="0" fontId="0" numFmtId="0" fillId="3" borderId="0" applyFont="0" applyNumberFormat="0" applyFill="1" applyBorder="0" applyAlignment="1">
      <alignment horizontal="center" vertical="center" textRotation="0" wrapText="true" shrinkToFit="false"/>
    </xf>
    <xf xfId="0" fontId="31" numFmtId="0" fillId="35" borderId="0" applyFont="1" applyNumberFormat="0" applyFill="1" applyBorder="0" applyAlignment="1">
      <alignment horizontal="center" vertical="bottom" textRotation="0" wrapText="false" shrinkToFit="false"/>
    </xf>
    <xf xfId="0" fontId="8" numFmtId="0" fillId="25" borderId="70" applyFont="1" applyNumberFormat="0" applyFill="1" applyBorder="1" applyAlignment="1">
      <alignment horizontal="center" vertical="bottom" textRotation="0" wrapText="false" shrinkToFit="false"/>
    </xf>
    <xf xfId="0" fontId="0" numFmtId="0" fillId="29" borderId="52" applyFont="0" applyNumberFormat="0" applyFill="1" applyBorder="1" applyAlignment="1">
      <alignment horizontal="center" vertical="bottom" textRotation="0" wrapText="false" shrinkToFit="false"/>
    </xf>
    <xf xfId="0" fontId="0" numFmtId="0" fillId="29" borderId="53" applyFont="0" applyNumberFormat="0" applyFill="1" applyBorder="1" applyAlignment="1">
      <alignment horizontal="center" vertical="bottom" textRotation="0" wrapText="false" shrinkToFit="false"/>
    </xf>
    <xf xfId="0" fontId="0" numFmtId="0" fillId="24" borderId="71" applyFont="0" applyNumberFormat="0" applyFill="1" applyBorder="1" applyAlignment="1">
      <alignment horizontal="center" vertical="bottom" textRotation="0" wrapText="false" shrinkToFit="false"/>
    </xf>
    <xf xfId="0" fontId="0" numFmtId="0" fillId="24" borderId="0" applyFont="0" applyNumberFormat="0" applyFill="1" applyBorder="0" applyAlignment="1">
      <alignment horizontal="center" vertical="bottom" textRotation="0" wrapText="false" shrinkToFit="false"/>
    </xf>
    <xf xfId="0" fontId="33" numFmtId="0" fillId="43" borderId="5" applyFont="1" applyNumberFormat="0" applyFill="1" applyBorder="1" applyAlignment="1">
      <alignment horizontal="center" vertical="bottom" textRotation="0" wrapText="false" shrinkToFit="false"/>
    </xf>
    <xf xfId="0" fontId="0" numFmtId="3" fillId="10" borderId="5" applyFont="0" applyNumberFormat="1" applyFill="1" applyBorder="1" applyAlignment="1">
      <alignment horizontal="center" vertical="bottom" textRotation="0" wrapText="false" shrinkToFit="false"/>
    </xf>
    <xf xfId="0" fontId="0" numFmtId="0" fillId="7" borderId="5" applyFont="0" applyNumberFormat="0" applyFill="1" applyBorder="1" applyAlignment="1">
      <alignment horizontal="center" vertical="bottom" textRotation="0" wrapText="false" shrinkToFit="false"/>
    </xf>
    <xf xfId="0" fontId="8" numFmtId="0" fillId="25" borderId="0" applyFont="1" applyNumberFormat="0" applyFill="1" applyBorder="0" applyAlignment="1">
      <alignment horizontal="center" vertical="bottom" textRotation="0" wrapText="false" shrinkToFit="false"/>
    </xf>
    <xf xfId="0" fontId="8" numFmtId="0" fillId="35" borderId="72" applyFont="1" applyNumberFormat="0" applyFill="1" applyBorder="1" applyAlignment="1">
      <alignment horizontal="center" vertical="bottom" textRotation="0" wrapText="false" shrinkToFit="false"/>
    </xf>
    <xf xfId="0" fontId="8" numFmtId="0" fillId="35" borderId="73" applyFont="1" applyNumberFormat="0" applyFill="1" applyBorder="1" applyAlignment="1">
      <alignment horizontal="center" vertical="bottom" textRotation="0" wrapText="false" shrinkToFit="false"/>
    </xf>
    <xf xfId="0" fontId="8" numFmtId="0" fillId="35" borderId="74" applyFont="1" applyNumberFormat="0" applyFill="1" applyBorder="1" applyAlignment="1">
      <alignment horizontal="center" vertical="bottom" textRotation="0" wrapText="false" shrinkToFit="false"/>
    </xf>
    <xf xfId="0" fontId="0" numFmtId="0" fillId="15" borderId="23" applyFont="0" applyNumberFormat="0" applyFill="1" applyBorder="1" applyAlignment="1">
      <alignment horizontal="general" vertical="bottom" textRotation="0" wrapText="true" shrinkToFit="false"/>
    </xf>
    <xf xfId="0" fontId="0" numFmtId="0" fillId="15" borderId="0" applyFont="0" applyNumberFormat="0" applyFill="1" applyBorder="0" applyAlignment="1">
      <alignment horizontal="general" vertical="bottom" textRotation="0" wrapText="true" shrinkToFit="false"/>
    </xf>
    <xf xfId="0" fontId="0" numFmtId="0" fillId="15" borderId="24" applyFont="0" applyNumberFormat="0" applyFill="1" applyBorder="1" applyAlignment="1">
      <alignment horizontal="general" vertical="bottom" textRotation="0" wrapText="true" shrinkToFit="false"/>
    </xf>
    <xf xfId="0" fontId="8" numFmtId="0" fillId="7" borderId="75" applyFont="1" applyNumberFormat="0" applyFill="1" applyBorder="1" applyAlignment="1">
      <alignment horizontal="center" vertical="bottom" textRotation="0" wrapText="false" shrinkToFit="false"/>
    </xf>
    <xf xfId="0" fontId="8" numFmtId="0" fillId="7" borderId="76" applyFont="1" applyNumberFormat="0" applyFill="1" applyBorder="1" applyAlignment="1">
      <alignment horizontal="center" vertical="bottom" textRotation="0" wrapText="false" shrinkToFit="false"/>
    </xf>
    <xf xfId="0" fontId="8" numFmtId="0" fillId="7" borderId="77" applyFont="1" applyNumberFormat="0" applyFill="1" applyBorder="1" applyAlignment="1">
      <alignment horizontal="center" vertical="bottom" textRotation="0" wrapText="false" shrinkToFit="false"/>
    </xf>
    <xf xfId="0" fontId="8" numFmtId="0" fillId="26" borderId="23" applyFont="1" applyNumberFormat="0" applyFill="1" applyBorder="1" applyAlignment="1">
      <alignment horizontal="center" vertical="bottom" textRotation="0" wrapText="false" shrinkToFit="false"/>
    </xf>
    <xf xfId="0" fontId="8" numFmtId="0" fillId="26" borderId="0" applyFont="1" applyNumberFormat="0" applyFill="1" applyBorder="0" applyAlignment="1">
      <alignment horizontal="center" vertical="bottom" textRotation="0" wrapText="false" shrinkToFit="false"/>
    </xf>
    <xf xfId="0" fontId="8" numFmtId="0" fillId="26" borderId="24" applyFont="1" applyNumberFormat="0" applyFill="1" applyBorder="1" applyAlignment="1">
      <alignment horizontal="center" vertical="bottom" textRotation="0" wrapText="false" shrinkToFit="false"/>
    </xf>
    <xf xfId="0" fontId="0" numFmtId="0" fillId="15" borderId="0" applyFont="0" applyNumberFormat="0" applyFill="1" applyBorder="0" applyAlignment="0">
      <alignment horizontal="general" vertical="bottom" textRotation="0" wrapText="false" shrinkToFit="false"/>
    </xf>
    <xf xfId="0" fontId="0" numFmtId="0" fillId="15" borderId="24" applyFont="0" applyNumberFormat="0" applyFill="1" applyBorder="1" applyAlignment="0">
      <alignment horizontal="general" vertical="bottom" textRotation="0" wrapText="false" shrinkToFit="false"/>
    </xf>
    <xf xfId="0" fontId="8" numFmtId="0" fillId="7" borderId="78" applyFont="1" applyNumberFormat="0" applyFill="1" applyBorder="1" applyAlignment="1">
      <alignment horizontal="center" vertical="bottom" textRotation="0" wrapText="false" shrinkToFit="false"/>
    </xf>
    <xf xfId="0" fontId="8" numFmtId="0" fillId="7" borderId="79" applyFont="1" applyNumberFormat="0" applyFill="1" applyBorder="1" applyAlignment="1">
      <alignment horizontal="center" vertical="bottom" textRotation="0" wrapText="false" shrinkToFit="false"/>
    </xf>
    <xf xfId="0" fontId="8" numFmtId="0" fillId="7" borderId="80" applyFont="1" applyNumberFormat="0" applyFill="1" applyBorder="1" applyAlignment="1">
      <alignment horizontal="center" vertical="bottom" textRotation="0" wrapText="false" shrinkToFit="false"/>
    </xf>
    <xf xfId="0" fontId="8" numFmtId="0" fillId="32" borderId="23" applyFont="1" applyNumberFormat="0" applyFill="1" applyBorder="1" applyAlignment="1">
      <alignment horizontal="center" vertical="bottom" textRotation="0" wrapText="false" shrinkToFit="false"/>
    </xf>
    <xf xfId="0" fontId="8" numFmtId="0" fillId="32" borderId="0" applyFont="1" applyNumberFormat="0" applyFill="1" applyBorder="0" applyAlignment="1">
      <alignment horizontal="center" vertical="bottom" textRotation="0" wrapText="false" shrinkToFit="false"/>
    </xf>
    <xf xfId="0" fontId="8" numFmtId="0" fillId="32" borderId="24" applyFont="1" applyNumberFormat="0" applyFill="1" applyBorder="1" applyAlignment="1">
      <alignment horizontal="center" vertical="bottom" textRotation="0" wrapText="false" shrinkToFit="false"/>
    </xf>
    <xf xfId="0" fontId="17" numFmtId="0" fillId="7" borderId="81" applyFont="1" applyNumberFormat="0" applyFill="1" applyBorder="1" applyAlignment="1">
      <alignment horizontal="center" vertical="bottom" textRotation="0" wrapText="false" shrinkToFit="false"/>
    </xf>
    <xf xfId="0" fontId="17" numFmtId="0" fillId="7" borderId="82" applyFont="1" applyNumberFormat="0" applyFill="1" applyBorder="1" applyAlignment="1">
      <alignment horizontal="center" vertical="bottom" textRotation="0" wrapText="false" shrinkToFit="false"/>
    </xf>
    <xf xfId="0" fontId="17" numFmtId="0" fillId="7" borderId="83" applyFont="1" applyNumberFormat="0" applyFill="1" applyBorder="1" applyAlignment="1">
      <alignment horizontal="center" vertical="bottom" textRotation="0" wrapText="false" shrinkToFit="false"/>
    </xf>
    <xf xfId="0" fontId="8" numFmtId="0" fillId="7" borderId="81" applyFont="1" applyNumberFormat="0" applyFill="1" applyBorder="1" applyAlignment="1">
      <alignment horizontal="center" vertical="bottom" textRotation="0" wrapText="false" shrinkToFit="false"/>
    </xf>
    <xf xfId="0" fontId="8" numFmtId="0" fillId="7" borderId="82" applyFont="1" applyNumberFormat="0" applyFill="1" applyBorder="1" applyAlignment="1">
      <alignment horizontal="center" vertical="bottom" textRotation="0" wrapText="false" shrinkToFit="false"/>
    </xf>
    <xf xfId="0" fontId="8" numFmtId="0" fillId="7" borderId="83" applyFont="1" applyNumberFormat="0" applyFill="1" applyBorder="1" applyAlignment="1">
      <alignment horizontal="center" vertical="bottom" textRotation="0" wrapText="false" shrinkToFit="false"/>
    </xf>
    <xf xfId="0" fontId="0" numFmtId="0" fillId="3" borderId="84" applyFont="0" applyNumberFormat="0" applyFill="1" applyBorder="1" applyAlignment="1">
      <alignment horizontal="right" vertical="bottom" textRotation="0" wrapText="false" shrinkToFit="false"/>
    </xf>
    <xf xfId="0" fontId="0" numFmtId="0" fillId="3" borderId="85" applyFont="0" applyNumberFormat="0" applyFill="1" applyBorder="1" applyAlignment="1">
      <alignment horizontal="right" vertical="bottom" textRotation="0" wrapText="false" shrinkToFit="false"/>
    </xf>
    <xf xfId="0" fontId="0" numFmtId="0" fillId="15" borderId="23" applyFont="0" applyNumberFormat="0" applyFill="1" applyBorder="1" applyAlignment="1">
      <alignment horizontal="center" vertical="bottom" textRotation="0" wrapText="true" shrinkToFit="false"/>
    </xf>
    <xf xfId="0" fontId="0" numFmtId="0" fillId="2" borderId="0" applyFont="0" applyNumberFormat="0" applyFill="0" applyBorder="0" applyAlignment="1">
      <alignment horizontal="center" vertical="center" textRotation="0" wrapText="false" shrinkToFit="false"/>
    </xf>
    <xf xfId="0" fontId="8" numFmtId="0" fillId="7" borderId="6" applyFont="1" applyNumberFormat="0" applyFill="1" applyBorder="1" applyAlignment="1">
      <alignment horizontal="center" vertical="center" textRotation="0" wrapText="true" shrinkToFit="false"/>
    </xf>
    <xf xfId="0" fontId="8" numFmtId="0" fillId="7" borderId="8" applyFont="1" applyNumberFormat="0" applyFill="1" applyBorder="1" applyAlignment="1">
      <alignment horizontal="center" vertical="center" textRotation="0" wrapText="true" shrinkToFit="false"/>
    </xf>
    <xf xfId="0" fontId="8" numFmtId="0" fillId="7" borderId="9" applyFont="1" applyNumberFormat="0" applyFill="1" applyBorder="1" applyAlignment="1">
      <alignment horizontal="center" vertical="center" textRotation="0" wrapText="true" shrinkToFit="false"/>
    </xf>
    <xf xfId="0" fontId="8" numFmtId="0" fillId="5" borderId="6" applyFont="1" applyNumberFormat="0" applyFill="1" applyBorder="1" applyAlignment="1">
      <alignment horizontal="center" vertical="center" textRotation="0" wrapText="false" shrinkToFit="false"/>
    </xf>
    <xf xfId="0" fontId="8" numFmtId="0" fillId="5" borderId="8" applyFont="1" applyNumberFormat="0" applyFill="1" applyBorder="1" applyAlignment="1">
      <alignment horizontal="center" vertical="center" textRotation="0" wrapText="false" shrinkToFit="false"/>
    </xf>
    <xf xfId="0" fontId="8" numFmtId="0" fillId="5" borderId="9" applyFont="1" applyNumberFormat="0" applyFill="1" applyBorder="1" applyAlignment="1">
      <alignment horizontal="center" vertical="center" textRotation="0" wrapText="false" shrinkToFit="false"/>
    </xf>
    <xf xfId="0" fontId="8" numFmtId="0" fillId="7" borderId="6" applyFont="1" applyNumberFormat="0" applyFill="1" applyBorder="1" applyAlignment="1">
      <alignment horizontal="center" vertical="center" textRotation="0" wrapText="false" shrinkToFit="false"/>
    </xf>
    <xf xfId="0" fontId="8" numFmtId="0" fillId="7" borderId="8" applyFont="1" applyNumberFormat="0" applyFill="1" applyBorder="1" applyAlignment="1">
      <alignment horizontal="center" vertical="center" textRotation="0" wrapText="false" shrinkToFit="false"/>
    </xf>
    <xf xfId="0" fontId="8" numFmtId="0" fillId="7" borderId="9" applyFont="1" applyNumberFormat="0" applyFill="1" applyBorder="1" applyAlignment="1">
      <alignment horizontal="center" vertical="center" textRotation="0" wrapText="false" shrinkToFit="false"/>
    </xf>
    <xf xfId="0" fontId="8" numFmtId="0" fillId="5" borderId="19" applyFont="1" applyNumberFormat="0" applyFill="1" applyBorder="1" applyAlignment="1">
      <alignment horizontal="center" vertical="center" textRotation="0" wrapText="false" shrinkToFit="false"/>
    </xf>
    <xf xfId="0" fontId="8" numFmtId="0" fillId="5" borderId="11" applyFont="1" applyNumberFormat="0" applyFill="1" applyBorder="1" applyAlignment="1">
      <alignment horizontal="center" vertical="center" textRotation="0" wrapText="false" shrinkToFit="false"/>
    </xf>
    <xf xfId="0" fontId="0" numFmtId="0" fillId="5" borderId="6" applyFont="0" applyNumberFormat="0" applyFill="1" applyBorder="1" applyAlignment="1">
      <alignment horizontal="left" vertical="center" textRotation="0" wrapText="false" shrinkToFit="false"/>
    </xf>
    <xf xfId="0" fontId="0" numFmtId="0" fillId="5" borderId="8" applyFont="0" applyNumberFormat="0" applyFill="1" applyBorder="1" applyAlignment="1">
      <alignment horizontal="left" vertical="center" textRotation="0" wrapText="false" shrinkToFit="false"/>
    </xf>
    <xf xfId="0" fontId="0" numFmtId="0" fillId="5" borderId="32" applyFont="0" applyNumberFormat="0" applyFill="1" applyBorder="1" applyAlignment="1">
      <alignment horizontal="left" vertical="center" textRotation="0" wrapText="false" shrinkToFit="false"/>
    </xf>
    <xf xfId="0" fontId="21" numFmtId="0" fillId="2" borderId="0" applyFont="1" applyNumberFormat="0" applyFill="0" applyBorder="0" applyAlignment="1">
      <alignment horizontal="center" vertical="center" textRotation="0" wrapText="false" shrinkToFit="false"/>
    </xf>
    <xf xfId="0" fontId="20" numFmtId="0" fillId="19" borderId="6" applyFont="1" applyNumberFormat="0" applyFill="1" applyBorder="1" applyAlignment="1">
      <alignment horizontal="left" vertical="center" textRotation="0" wrapText="true" shrinkToFit="false"/>
    </xf>
    <xf xfId="0" fontId="20" numFmtId="0" fillId="19" borderId="9" applyFont="1" applyNumberFormat="0" applyFill="1" applyBorder="1" applyAlignment="1">
      <alignment horizontal="left" vertical="center" textRotation="0" wrapText="true" shrinkToFit="false"/>
    </xf>
    <xf xfId="0" fontId="0" numFmtId="0" fillId="5" borderId="6" applyFont="0" applyNumberFormat="0" applyFill="1" applyBorder="1" applyAlignment="1">
      <alignment horizontal="center" vertical="center" textRotation="0" wrapText="false" shrinkToFit="false"/>
    </xf>
    <xf xfId="0" fontId="0" numFmtId="0" fillId="5" borderId="9" applyFont="0" applyNumberFormat="0" applyFill="1" applyBorder="1" applyAlignment="1">
      <alignment horizontal="center" vertical="center" textRotation="0" wrapText="false" shrinkToFit="false"/>
    </xf>
    <xf xfId="0" fontId="6" numFmtId="0" fillId="3" borderId="8" applyFont="1" applyNumberFormat="0" applyFill="1" applyBorder="1" applyAlignment="1">
      <alignment horizontal="center" vertical="top" textRotation="0" wrapText="true" shrinkToFit="false"/>
    </xf>
    <xf xfId="0" fontId="0" numFmtId="0" fillId="3" borderId="5" applyFont="0" applyNumberFormat="0" applyFill="1" applyBorder="1" applyAlignment="1">
      <alignment horizontal="left" vertical="bottom" textRotation="0" wrapText="false" shrinkToFit="false"/>
    </xf>
    <xf xfId="0" fontId="8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5" borderId="0" applyFont="1" applyNumberFormat="0" applyFill="1" applyBorder="0" applyAlignment="1">
      <alignment horizontal="left" vertical="bottom" textRotation="0" wrapText="false" shrinkToFit="false"/>
    </xf>
    <xf xfId="0" fontId="5" numFmtId="0" fillId="5" borderId="0" applyFont="1" applyNumberFormat="0" applyFill="1" applyBorder="0" applyAlignment="1" applyProtection="true">
      <alignment horizontal="left" vertical="top" textRotation="0" wrapText="true" shrinkToFit="false"/>
      <protection locked="false"/>
    </xf>
    <xf xfId="0" fontId="5" numFmtId="0" fillId="5" borderId="0" applyFont="1" applyNumberFormat="0" applyFill="1" applyBorder="0" applyAlignment="1">
      <alignment horizontal="left" vertical="bottom" textRotation="0" wrapText="false" shrinkToFit="false"/>
    </xf>
    <xf xfId="0" fontId="5" numFmtId="0" fillId="5" borderId="0" applyFont="1" applyNumberFormat="0" applyFill="1" applyBorder="0" applyAlignment="1">
      <alignment horizontal="justify" vertical="justify" textRotation="0" wrapText="true" shrinkToFit="false"/>
    </xf>
    <xf xfId="0" fontId="2" numFmtId="0" fillId="5" borderId="0" applyFont="1" applyNumberFormat="0" applyFill="1" applyBorder="0" applyAlignment="1">
      <alignment horizontal="center" vertical="bottom" textRotation="0" wrapText="false" shrinkToFit="false"/>
    </xf>
    <xf xfId="0" fontId="5" numFmtId="0" fillId="5" borderId="0" applyFont="1" applyNumberFormat="0" applyFill="1" applyBorder="0" applyAlignment="1">
      <alignment horizontal="left" vertical="center" textRotation="0" wrapText="true" shrinkToFit="false"/>
    </xf>
    <xf xfId="0" fontId="17" numFmtId="0" fillId="39" borderId="0" applyFont="1" applyNumberFormat="0" applyFill="1" applyBorder="0" applyAlignment="1">
      <alignment horizontal="left" vertical="center" textRotation="0" wrapText="true" shrinkToFit="false"/>
    </xf>
    <xf xfId="0" fontId="34" numFmtId="0" fillId="31" borderId="0" applyFont="1" applyNumberFormat="0" applyFill="1" applyBorder="0" applyAlignment="1">
      <alignment horizontal="right" vertical="center" textRotation="0" wrapText="false" shrinkToFit="false"/>
    </xf>
    <xf xfId="0" fontId="17" numFmtId="0" fillId="3" borderId="0" applyFont="1" applyNumberFormat="0" applyFill="1" applyBorder="0" applyAlignment="1">
      <alignment horizontal="center" vertical="bottom" textRotation="0" wrapText="false" shrinkToFit="false"/>
    </xf>
    <xf xfId="0" fontId="30" numFmtId="0" fillId="3" borderId="0" applyFont="1" applyNumberFormat="0" applyFill="1" applyBorder="0" applyAlignment="1">
      <alignment horizontal="left" vertical="center" textRotation="0" wrapText="false" shrinkToFit="false"/>
    </xf>
    <xf xfId="0" fontId="48" numFmtId="0" fillId="3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4">
    <dxf>
      <font>
        <sz val="10"/>
        <color rgb="FFFFFFFF"/>
        <name val="Calibri"/>
      </font>
      <numFmt numFmtId="164" formatCode="General"/>
      <fill>
        <patternFill patternType="solid">
          <fgColor rgb="FFFFFFFF"/>
          <bgColor rgb="FFFFFFFF"/>
        </patternFill>
      </fill>
      <alignment/>
      <border/>
    </dxf>
    <dxf>
      <font>
        <sz val="10"/>
        <color rgb="FF9C0006"/>
        <name val="Calibri"/>
      </font>
      <numFmt numFmtId="164" formatCode="General"/>
      <fill>
        <patternFill patternType="solid">
          <fgColor rgb="FF000000"/>
          <bgColor rgb="FFFFC7CE"/>
        </patternFill>
      </fill>
      <alignment/>
      <border/>
    </dxf>
    <dxf>
      <font/>
      <numFmt numFmtId="164" formatCode="General"/>
      <fill>
        <patternFill patternType="solid">
          <fgColor rgb="FF000000"/>
          <bgColor rgb="FFD8D8D8"/>
        </patternFill>
      </fill>
      <alignment/>
      <border/>
    </dxf>
    <dxf>
      <font>
        <b val="0"/>
        <sz val="11"/>
        <color rgb="FF000000"/>
        <name val="Calibri"/>
      </font>
      <numFmt numFmtId="164" formatCode="General"/>
      <alignment/>
      <border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31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2.gif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3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304800</xdr:colOff>
      <xdr:row>0</xdr:row>
      <xdr:rowOff>76200</xdr:rowOff>
    </xdr:from>
    <xdr:ext cx="1828800" cy="685800"/>
    <xdr:pic>
      <xdr:nvPicPr>
        <xdr:cNvPr id="1" name="Obrázek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304800</xdr:colOff>
      <xdr:row>0</xdr:row>
      <xdr:rowOff>76200</xdr:rowOff>
    </xdr:from>
    <xdr:ext cx="1828800" cy="685800"/>
    <xdr:pic>
      <xdr:nvPicPr>
        <xdr:cNvPr id="1" name="Obrázek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57150</xdr:colOff>
      <xdr:row>0</xdr:row>
      <xdr:rowOff>38100</xdr:rowOff>
    </xdr:from>
    <xdr:ext cx="1933575" cy="342900"/>
    <xdr:pic>
      <xdr:nvPicPr>
        <xdr:cNvPr id="1" name="Obrázek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_comments_vml1" Type="http://schemas.openxmlformats.org/officeDocument/2006/relationships/vmlDrawing" Target="../drawings/vmlDrawing2.vml"/><Relationship Id="rId_comments1" Type="http://schemas.openxmlformats.org/officeDocument/2006/relationships/comments" Target="../comments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6.vml"/><Relationship Id="rId_comments1" Type="http://schemas.openxmlformats.org/officeDocument/2006/relationships/comments" Target="../comments6.xml"/></Relationships>
</file>

<file path=xl/worksheets/_rels/sheet7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7.vml"/><Relationship Id="rId_comments1" Type="http://schemas.openxmlformats.org/officeDocument/2006/relationships/comments" Target="../comments7.xml"/></Relationships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1drv.ms/b/s!AnnUQWVRKRY8jM8GRW-mbzUFyh1iuQ?e=KufTVZ" TargetMode="External"/><Relationship Id="rId_hyperlink_2" Type="http://schemas.openxmlformats.org/officeDocument/2006/relationships/hyperlink" Target="https://1drv.ms/b/s!AnnUQWVRKRY8jM8GRW-mbzUFyh1iuQ?e=KufTVZ" TargetMode="External"/><Relationship Id="rId_hyperlink_3" Type="http://schemas.openxmlformats.org/officeDocument/2006/relationships/hyperlink" Target="https://1drv.ms/b/s!AnnUQWVRKRY8jM8GRW-mbzUFyh1iuQ?e=KufTVZ" TargetMode="External"/><Relationship Id="rId_hyperlink_4" Type="http://schemas.openxmlformats.org/officeDocument/2006/relationships/hyperlink" Target="https://1drv.ms/b/s!AnnUQWVRKRY8jM8GRW-mbzUFyh1iuQ?e=KufTVZ" TargetMode="External"/><Relationship Id="rId_hyperlink_5" Type="http://schemas.openxmlformats.org/officeDocument/2006/relationships/hyperlink" Target="https://1drv.ms/b/s!AnnUQWVRKRY8jM8GRW-mbzUFyh1iuQ?e=KufTVZ" TargetMode="External"/><Relationship Id="rId_comments_vml1" Type="http://schemas.openxmlformats.org/officeDocument/2006/relationships/vmlDrawing" Target="../drawings/vmlDrawing15.vml"/><Relationship Id="rId_comments1" Type="http://schemas.openxmlformats.org/officeDocument/2006/relationships/comments" Target="../comments15.xml"/></Relationships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20.vml"/><Relationship Id="rId_comments1" Type="http://schemas.openxmlformats.org/officeDocument/2006/relationships/comments" Target="../comments20.xml"/></Relationships>
</file>

<file path=xl/worksheets/_rels/sheet2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21.vml"/><Relationship Id="rId_comments1" Type="http://schemas.openxmlformats.org/officeDocument/2006/relationships/comments" Target="../comments21.xml"/></Relationships>
</file>

<file path=xl/worksheets/_rels/sheet22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22.vml"/><Relationship Id="rId_comments1" Type="http://schemas.openxmlformats.org/officeDocument/2006/relationships/comments" Target="../comments22.xml"/></Relationships>
</file>

<file path=xl/worksheets/_rels/sheet23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23.vml"/><Relationship Id="rId_comments1" Type="http://schemas.openxmlformats.org/officeDocument/2006/relationships/comments" Target="../comments23.xml"/></Relationships>
</file>

<file path=xl/worksheets/_rels/sheet24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24.vml"/><Relationship Id="rId_comments1" Type="http://schemas.openxmlformats.org/officeDocument/2006/relationships/comments" Target="../comments24.xml"/></Relationships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28.vml"/><Relationship Id="rId_comments1" Type="http://schemas.openxmlformats.org/officeDocument/2006/relationships/comments" Target="../comments28.xml"/></Relationships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32.vml"/><Relationship Id="rId_comments1" Type="http://schemas.openxmlformats.org/officeDocument/2006/relationships/comments" Target="../comments32.xml"/></Relationships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ML44"/>
  <sheetViews>
    <sheetView tabSelected="0" workbookViewId="0" showGridLines="true" showRowColHeaders="1">
      <selection activeCell="A28" sqref="A28"/>
    </sheetView>
  </sheetViews>
  <sheetFormatPr defaultRowHeight="14.4" outlineLevelRow="0" outlineLevelCol="0"/>
  <cols>
    <col min="1" max="1" width="16.73046875" customWidth="true" style="2"/>
    <col min="2" max="2" width="17.59765625" customWidth="true" style="2"/>
    <col min="3" max="3" width="15.86328125" customWidth="true" style="2"/>
    <col min="4" max="4" width="12.3984375" customWidth="true" style="2"/>
    <col min="5" max="5" width="11.86328125" customWidth="true" style="2"/>
    <col min="6" max="6" width="11.86328125" customWidth="true" style="2"/>
    <col min="7" max="7" width="13.1328125" customWidth="true" style="1"/>
    <col min="8" max="8" width="18.59765625" customWidth="true" style="2"/>
    <col min="9" max="9" width="13.59765625" customWidth="true" style="1"/>
    <col min="10" max="10" width="14" customWidth="true" style="2"/>
    <col min="11" max="11" width="19.1328125" customWidth="true" style="2"/>
    <col min="12" max="12" width="13" customWidth="true" style="2"/>
    <col min="13" max="13" width="9.1328125" customWidth="true" style="2"/>
    <col min="14" max="14" width="9.1328125" customWidth="true" style="2"/>
    <col min="15" max="15" width="9.1328125" customWidth="true" style="2"/>
    <col min="16" max="16" width="9.1328125" customWidth="true" style="2"/>
    <col min="17" max="17" width="9.1328125" customWidth="true" style="2"/>
    <col min="18" max="18" width="9.1328125" customWidth="true" style="2"/>
    <col min="19" max="19" width="9.1328125" customWidth="true" style="2"/>
    <col min="20" max="20" width="9.1328125" customWidth="true" style="2"/>
    <col min="21" max="21" width="9.1328125" customWidth="true" style="2"/>
    <col min="22" max="22" width="9.1328125" customWidth="true" style="2"/>
    <col min="23" max="23" width="9.1328125" customWidth="true" style="2"/>
    <col min="24" max="24" width="9.1328125" customWidth="true" style="2"/>
    <col min="25" max="25" width="9.1328125" customWidth="true" style="2"/>
    <col min="26" max="26" width="9.1328125" customWidth="true" style="2"/>
    <col min="27" max="27" width="9.1328125" customWidth="true" style="2"/>
    <col min="28" max="28" width="9.1328125" customWidth="true" style="2"/>
    <col min="29" max="29" width="9.1328125" customWidth="true" style="2"/>
    <col min="30" max="30" width="9.1328125" customWidth="true" style="2"/>
    <col min="31" max="31" width="9.1328125" customWidth="true" style="2"/>
    <col min="32" max="32" width="9.1328125" customWidth="true" style="2"/>
    <col min="33" max="33" width="9.1328125" customWidth="true" style="2"/>
    <col min="34" max="34" width="9.1328125" customWidth="true" style="2"/>
    <col min="35" max="35" width="9.1328125" customWidth="true" style="2"/>
    <col min="36" max="36" width="9.1328125" customWidth="true" style="2"/>
    <col min="37" max="37" width="9.1328125" customWidth="true" style="2"/>
    <col min="38" max="38" width="9.1328125" customWidth="true" style="2"/>
    <col min="39" max="39" width="9.1328125" customWidth="true" style="2"/>
    <col min="40" max="40" width="9.1328125" customWidth="true" style="2"/>
    <col min="41" max="41" width="9.1328125" customWidth="true" style="2"/>
    <col min="42" max="42" width="9.1328125" customWidth="true" style="2"/>
    <col min="43" max="43" width="9.1328125" customWidth="true" style="2"/>
    <col min="44" max="44" width="9.1328125" customWidth="true" style="2"/>
    <col min="45" max="45" width="9.1328125" customWidth="true" style="2"/>
    <col min="46" max="46" width="9.1328125" customWidth="true" style="2"/>
    <col min="47" max="47" width="9.1328125" customWidth="true" style="2"/>
    <col min="48" max="48" width="9.1328125" customWidth="true" style="2"/>
    <col min="49" max="49" width="9.1328125" customWidth="true" style="2"/>
    <col min="50" max="50" width="9.1328125" customWidth="true" style="2"/>
    <col min="51" max="51" width="9.1328125" customWidth="true" style="2"/>
    <col min="52" max="52" width="9.1328125" customWidth="true" style="2"/>
    <col min="53" max="53" width="9.1328125" customWidth="true" style="2"/>
    <col min="54" max="54" width="9.1328125" customWidth="true" style="2"/>
    <col min="55" max="55" width="9.1328125" customWidth="true" style="2"/>
    <col min="56" max="56" width="9.1328125" customWidth="true" style="2"/>
    <col min="57" max="57" width="9.1328125" customWidth="true" style="2"/>
    <col min="58" max="58" width="9.1328125" customWidth="true" style="2"/>
    <col min="59" max="59" width="9.1328125" customWidth="true" style="2"/>
    <col min="60" max="60" width="9.1328125" customWidth="true" style="2"/>
    <col min="61" max="61" width="9.1328125" customWidth="true" style="2"/>
    <col min="62" max="62" width="9.1328125" customWidth="true" style="2"/>
    <col min="63" max="63" width="9.1328125" customWidth="true" style="2"/>
    <col min="64" max="64" width="9.1328125" customWidth="true" style="2"/>
    <col min="65" max="65" width="9.1328125" customWidth="true" style="2"/>
    <col min="66" max="66" width="9.1328125" customWidth="true" style="2"/>
    <col min="67" max="67" width="9.1328125" customWidth="true" style="2"/>
    <col min="68" max="68" width="9.1328125" customWidth="true" style="2"/>
    <col min="69" max="69" width="9.1328125" customWidth="true" style="2"/>
    <col min="70" max="70" width="9.1328125" customWidth="true" style="2"/>
    <col min="71" max="71" width="9.1328125" customWidth="true" style="2"/>
    <col min="72" max="72" width="9.1328125" customWidth="true" style="2"/>
    <col min="73" max="73" width="9.1328125" customWidth="true" style="2"/>
    <col min="74" max="74" width="9.1328125" customWidth="true" style="2"/>
    <col min="75" max="75" width="9.1328125" customWidth="true" style="2"/>
    <col min="76" max="76" width="9.1328125" customWidth="true" style="2"/>
    <col min="77" max="77" width="9.1328125" customWidth="true" style="2"/>
    <col min="78" max="78" width="9.1328125" customWidth="true" style="2"/>
    <col min="79" max="79" width="9.1328125" customWidth="true" style="2"/>
    <col min="80" max="80" width="9.1328125" customWidth="true" style="2"/>
    <col min="81" max="81" width="9.1328125" customWidth="true" style="2"/>
    <col min="82" max="82" width="9.1328125" customWidth="true" style="2"/>
    <col min="83" max="83" width="9.1328125" customWidth="true" style="2"/>
    <col min="84" max="84" width="9.1328125" customWidth="true" style="2"/>
    <col min="85" max="85" width="9.1328125" customWidth="true" style="2"/>
    <col min="86" max="86" width="9.1328125" customWidth="true" style="2"/>
    <col min="87" max="87" width="9.1328125" customWidth="true" style="2"/>
    <col min="88" max="88" width="9.1328125" customWidth="true" style="2"/>
    <col min="89" max="89" width="9.1328125" customWidth="true" style="2"/>
    <col min="90" max="90" width="9.1328125" customWidth="true" style="2"/>
    <col min="91" max="91" width="9.1328125" customWidth="true" style="2"/>
    <col min="92" max="92" width="9.1328125" customWidth="true" style="2"/>
    <col min="93" max="93" width="9.1328125" customWidth="true" style="2"/>
    <col min="94" max="94" width="9.1328125" customWidth="true" style="2"/>
    <col min="95" max="95" width="9.1328125" customWidth="true" style="2"/>
    <col min="96" max="96" width="9.1328125" customWidth="true" style="2"/>
    <col min="97" max="97" width="9.1328125" customWidth="true" style="2"/>
    <col min="98" max="98" width="9.1328125" customWidth="true" style="2"/>
    <col min="99" max="99" width="9.1328125" customWidth="true" style="2"/>
    <col min="100" max="100" width="9.1328125" customWidth="true" style="2"/>
    <col min="101" max="101" width="9.1328125" customWidth="true" style="2"/>
    <col min="102" max="102" width="9.1328125" customWidth="true" style="2"/>
    <col min="103" max="103" width="9.1328125" customWidth="true" style="2"/>
    <col min="104" max="104" width="9.1328125" customWidth="true" style="2"/>
    <col min="105" max="105" width="9.1328125" customWidth="true" style="2"/>
    <col min="106" max="106" width="9.1328125" customWidth="true" style="2"/>
    <col min="107" max="107" width="9.1328125" customWidth="true" style="2"/>
    <col min="108" max="108" width="9.1328125" customWidth="true" style="2"/>
    <col min="109" max="109" width="9.1328125" customWidth="true" style="2"/>
    <col min="110" max="110" width="9.1328125" customWidth="true" style="2"/>
    <col min="111" max="111" width="9.1328125" customWidth="true" style="2"/>
    <col min="112" max="112" width="9.1328125" customWidth="true" style="2"/>
    <col min="113" max="113" width="9.1328125" customWidth="true" style="2"/>
    <col min="114" max="114" width="9.1328125" customWidth="true" style="2"/>
    <col min="115" max="115" width="9.1328125" customWidth="true" style="2"/>
    <col min="116" max="116" width="9.1328125" customWidth="true" style="2"/>
    <col min="117" max="117" width="9.1328125" customWidth="true" style="2"/>
    <col min="118" max="118" width="9.1328125" customWidth="true" style="2"/>
    <col min="119" max="119" width="9.1328125" customWidth="true" style="2"/>
    <col min="120" max="120" width="9.1328125" customWidth="true" style="2"/>
    <col min="121" max="121" width="9.1328125" customWidth="true" style="2"/>
    <col min="122" max="122" width="9.1328125" customWidth="true" style="2"/>
    <col min="123" max="123" width="9.1328125" customWidth="true" style="2"/>
    <col min="124" max="124" width="9.1328125" customWidth="true" style="2"/>
    <col min="125" max="125" width="9.1328125" customWidth="true" style="2"/>
    <col min="126" max="126" width="9.1328125" customWidth="true" style="2"/>
    <col min="127" max="127" width="9.1328125" customWidth="true" style="2"/>
    <col min="128" max="128" width="9.1328125" customWidth="true" style="2"/>
    <col min="129" max="129" width="9.1328125" customWidth="true" style="2"/>
    <col min="130" max="130" width="9.1328125" customWidth="true" style="2"/>
    <col min="131" max="131" width="9.1328125" customWidth="true" style="2"/>
    <col min="132" max="132" width="9.1328125" customWidth="true" style="2"/>
    <col min="133" max="133" width="9.1328125" customWidth="true" style="2"/>
    <col min="134" max="134" width="9.1328125" customWidth="true" style="2"/>
    <col min="135" max="135" width="9.1328125" customWidth="true" style="2"/>
    <col min="136" max="136" width="9.1328125" customWidth="true" style="2"/>
    <col min="137" max="137" width="9.1328125" customWidth="true" style="2"/>
    <col min="138" max="138" width="9.1328125" customWidth="true" style="2"/>
    <col min="139" max="139" width="9.1328125" customWidth="true" style="2"/>
    <col min="140" max="140" width="9.1328125" customWidth="true" style="2"/>
    <col min="141" max="141" width="9.1328125" customWidth="true" style="2"/>
    <col min="142" max="142" width="9.1328125" customWidth="true" style="2"/>
    <col min="143" max="143" width="9.1328125" customWidth="true" style="2"/>
    <col min="144" max="144" width="9.1328125" customWidth="true" style="2"/>
    <col min="145" max="145" width="9.1328125" customWidth="true" style="2"/>
    <col min="146" max="146" width="9.1328125" customWidth="true" style="2"/>
    <col min="147" max="147" width="9.1328125" customWidth="true" style="2"/>
    <col min="148" max="148" width="9.1328125" customWidth="true" style="2"/>
    <col min="149" max="149" width="9.1328125" customWidth="true" style="2"/>
    <col min="150" max="150" width="9.1328125" customWidth="true" style="2"/>
    <col min="151" max="151" width="9.1328125" customWidth="true" style="2"/>
    <col min="152" max="152" width="9.1328125" customWidth="true" style="2"/>
    <col min="153" max="153" width="9.1328125" customWidth="true" style="2"/>
    <col min="154" max="154" width="9.1328125" customWidth="true" style="2"/>
    <col min="155" max="155" width="9.1328125" customWidth="true" style="2"/>
    <col min="156" max="156" width="9.1328125" customWidth="true" style="2"/>
    <col min="157" max="157" width="9.1328125" customWidth="true" style="2"/>
    <col min="158" max="158" width="9.1328125" customWidth="true" style="2"/>
    <col min="159" max="159" width="9.1328125" customWidth="true" style="2"/>
    <col min="160" max="160" width="9.1328125" customWidth="true" style="2"/>
    <col min="161" max="161" width="9.1328125" customWidth="true" style="2"/>
    <col min="162" max="162" width="9.1328125" customWidth="true" style="2"/>
    <col min="163" max="163" width="9.1328125" customWidth="true" style="2"/>
    <col min="164" max="164" width="9.1328125" customWidth="true" style="2"/>
    <col min="165" max="165" width="9.1328125" customWidth="true" style="2"/>
    <col min="166" max="166" width="9.1328125" customWidth="true" style="2"/>
    <col min="167" max="167" width="9.1328125" customWidth="true" style="2"/>
    <col min="168" max="168" width="9.1328125" customWidth="true" style="2"/>
    <col min="169" max="169" width="9.1328125" customWidth="true" style="2"/>
    <col min="170" max="170" width="9.1328125" customWidth="true" style="2"/>
    <col min="171" max="171" width="9.1328125" customWidth="true" style="2"/>
    <col min="172" max="172" width="9.1328125" customWidth="true" style="2"/>
    <col min="173" max="173" width="9.1328125" customWidth="true" style="2"/>
    <col min="174" max="174" width="9.1328125" customWidth="true" style="2"/>
    <col min="175" max="175" width="9.1328125" customWidth="true" style="2"/>
    <col min="176" max="176" width="9.1328125" customWidth="true" style="2"/>
    <col min="177" max="177" width="9.1328125" customWidth="true" style="2"/>
    <col min="178" max="178" width="9.1328125" customWidth="true" style="2"/>
    <col min="179" max="179" width="9.1328125" customWidth="true" style="2"/>
    <col min="180" max="180" width="9.1328125" customWidth="true" style="2"/>
    <col min="181" max="181" width="9.1328125" customWidth="true" style="2"/>
    <col min="182" max="182" width="9.1328125" customWidth="true" style="2"/>
    <col min="183" max="183" width="9.1328125" customWidth="true" style="2"/>
    <col min="184" max="184" width="9.1328125" customWidth="true" style="2"/>
    <col min="185" max="185" width="9.1328125" customWidth="true" style="2"/>
    <col min="186" max="186" width="9.1328125" customWidth="true" style="2"/>
    <col min="187" max="187" width="9.1328125" customWidth="true" style="2"/>
    <col min="188" max="188" width="9.1328125" customWidth="true" style="2"/>
    <col min="189" max="189" width="9.1328125" customWidth="true" style="2"/>
    <col min="190" max="190" width="9.1328125" customWidth="true" style="2"/>
    <col min="191" max="191" width="9.1328125" customWidth="true" style="2"/>
    <col min="192" max="192" width="9.1328125" customWidth="true" style="2"/>
    <col min="193" max="193" width="9.1328125" customWidth="true" style="2"/>
    <col min="194" max="194" width="9.1328125" customWidth="true" style="2"/>
    <col min="195" max="195" width="9.1328125" customWidth="true" style="2"/>
    <col min="196" max="196" width="9.1328125" customWidth="true" style="2"/>
    <col min="197" max="197" width="9.1328125" customWidth="true" style="2"/>
    <col min="198" max="198" width="9.1328125" customWidth="true" style="2"/>
    <col min="199" max="199" width="9.1328125" customWidth="true" style="2"/>
    <col min="200" max="200" width="9.1328125" customWidth="true" style="2"/>
    <col min="201" max="201" width="9.1328125" customWidth="true" style="2"/>
    <col min="202" max="202" width="9.1328125" customWidth="true" style="2"/>
    <col min="203" max="203" width="9.1328125" customWidth="true" style="2"/>
    <col min="204" max="204" width="9.1328125" customWidth="true" style="2"/>
    <col min="205" max="205" width="9.1328125" customWidth="true" style="2"/>
    <col min="206" max="206" width="9.1328125" customWidth="true" style="2"/>
    <col min="207" max="207" width="9.1328125" customWidth="true" style="2"/>
    <col min="208" max="208" width="9.1328125" customWidth="true" style="2"/>
    <col min="209" max="209" width="9.1328125" customWidth="true" style="2"/>
    <col min="210" max="210" width="9.1328125" customWidth="true" style="2"/>
    <col min="211" max="211" width="9.1328125" customWidth="true" style="2"/>
    <col min="212" max="212" width="9.1328125" customWidth="true" style="2"/>
    <col min="213" max="213" width="9.1328125" customWidth="true" style="2"/>
    <col min="214" max="214" width="9.1328125" customWidth="true" style="2"/>
    <col min="215" max="215" width="9.1328125" customWidth="true" style="2"/>
    <col min="216" max="216" width="9.1328125" customWidth="true" style="2"/>
    <col min="217" max="217" width="9.1328125" customWidth="true" style="2"/>
    <col min="218" max="218" width="9.1328125" customWidth="true" style="2"/>
    <col min="219" max="219" width="9.1328125" customWidth="true" style="2"/>
    <col min="220" max="220" width="9.1328125" customWidth="true" style="2"/>
    <col min="221" max="221" width="9.1328125" customWidth="true" style="2"/>
    <col min="222" max="222" width="9.1328125" customWidth="true" style="2"/>
    <col min="223" max="223" width="9.1328125" customWidth="true" style="2"/>
    <col min="224" max="224" width="9.1328125" customWidth="true" style="2"/>
    <col min="225" max="225" width="9.1328125" customWidth="true" style="2"/>
    <col min="226" max="226" width="9.1328125" customWidth="true" style="2"/>
    <col min="227" max="227" width="9.1328125" customWidth="true" style="2"/>
    <col min="228" max="228" width="9.1328125" customWidth="true" style="2"/>
    <col min="229" max="229" width="9.1328125" customWidth="true" style="2"/>
    <col min="230" max="230" width="9.1328125" customWidth="true" style="2"/>
    <col min="231" max="231" width="9.1328125" customWidth="true" style="2"/>
    <col min="232" max="232" width="9.1328125" customWidth="true" style="2"/>
    <col min="233" max="233" width="9.1328125" customWidth="true" style="2"/>
    <col min="234" max="234" width="9.1328125" customWidth="true" style="2"/>
    <col min="235" max="235" width="9.1328125" customWidth="true" style="2"/>
    <col min="236" max="236" width="9.1328125" customWidth="true" style="2"/>
    <col min="237" max="237" width="9.1328125" customWidth="true" style="2"/>
    <col min="238" max="238" width="9.1328125" customWidth="true" style="2"/>
    <col min="239" max="239" width="9.1328125" customWidth="true" style="2"/>
    <col min="240" max="240" width="9.1328125" customWidth="true" style="2"/>
    <col min="241" max="241" width="9.1328125" customWidth="true" style="2"/>
    <col min="242" max="242" width="9.1328125" customWidth="true" style="2"/>
    <col min="243" max="243" width="9.1328125" customWidth="true" style="2"/>
    <col min="244" max="244" width="9.1328125" customWidth="true" style="2"/>
    <col min="245" max="245" width="9.1328125" customWidth="true" style="2"/>
    <col min="246" max="246" width="9.1328125" customWidth="true" style="2"/>
    <col min="247" max="247" width="9.1328125" customWidth="true" style="2"/>
    <col min="248" max="248" width="9.1328125" customWidth="true" style="2"/>
    <col min="249" max="249" width="9.1328125" customWidth="true" style="2"/>
    <col min="250" max="250" width="9.1328125" customWidth="true" style="2"/>
    <col min="251" max="251" width="9.1328125" customWidth="true" style="2"/>
    <col min="252" max="252" width="9.1328125" customWidth="true" style="2"/>
    <col min="253" max="253" width="9.1328125" customWidth="true" style="2"/>
    <col min="254" max="254" width="9.1328125" customWidth="true" style="2"/>
    <col min="255" max="255" width="9.1328125" customWidth="true" style="2"/>
    <col min="256" max="256" width="9.1328125" customWidth="true" style="2"/>
    <col min="257" max="257" width="9.1328125" customWidth="true" style="2"/>
    <col min="258" max="258" width="9.1328125" customWidth="true" style="2"/>
    <col min="259" max="259" width="9.1328125" customWidth="true" style="2"/>
    <col min="260" max="260" width="9.1328125" customWidth="true" style="2"/>
    <col min="261" max="261" width="9.1328125" customWidth="true" style="2"/>
    <col min="262" max="262" width="9.1328125" customWidth="true" style="2"/>
    <col min="263" max="263" width="9.1328125" customWidth="true" style="2"/>
    <col min="264" max="264" width="9.1328125" customWidth="true" style="2"/>
    <col min="265" max="265" width="9.1328125" customWidth="true" style="2"/>
    <col min="266" max="266" width="9.1328125" customWidth="true" style="2"/>
    <col min="267" max="267" width="9.1328125" customWidth="true" style="2"/>
    <col min="268" max="268" width="9.1328125" customWidth="true" style="2"/>
    <col min="269" max="269" width="9.1328125" customWidth="true" style="2"/>
    <col min="270" max="270" width="9.1328125" customWidth="true" style="2"/>
    <col min="271" max="271" width="9.1328125" customWidth="true" style="2"/>
    <col min="272" max="272" width="9.1328125" customWidth="true" style="2"/>
    <col min="273" max="273" width="9.1328125" customWidth="true" style="2"/>
    <col min="274" max="274" width="9.1328125" customWidth="true" style="2"/>
    <col min="275" max="275" width="9.1328125" customWidth="true" style="2"/>
    <col min="276" max="276" width="9.1328125" customWidth="true" style="2"/>
    <col min="277" max="277" width="9.1328125" customWidth="true" style="2"/>
    <col min="278" max="278" width="9.1328125" customWidth="true" style="2"/>
    <col min="279" max="279" width="9.1328125" customWidth="true" style="2"/>
    <col min="280" max="280" width="9.1328125" customWidth="true" style="2"/>
    <col min="281" max="281" width="9.1328125" customWidth="true" style="2"/>
    <col min="282" max="282" width="9.1328125" customWidth="true" style="2"/>
    <col min="283" max="283" width="9.1328125" customWidth="true" style="2"/>
    <col min="284" max="284" width="9.1328125" customWidth="true" style="2"/>
    <col min="285" max="285" width="9.1328125" customWidth="true" style="2"/>
    <col min="286" max="286" width="9.1328125" customWidth="true" style="2"/>
    <col min="287" max="287" width="9.1328125" customWidth="true" style="2"/>
    <col min="288" max="288" width="9.1328125" customWidth="true" style="2"/>
    <col min="289" max="289" width="9.1328125" customWidth="true" style="2"/>
    <col min="290" max="290" width="9.1328125" customWidth="true" style="2"/>
    <col min="291" max="291" width="9.1328125" customWidth="true" style="2"/>
    <col min="292" max="292" width="9.1328125" customWidth="true" style="2"/>
    <col min="293" max="293" width="9.1328125" customWidth="true" style="2"/>
    <col min="294" max="294" width="9.1328125" customWidth="true" style="2"/>
    <col min="295" max="295" width="9.1328125" customWidth="true" style="2"/>
    <col min="296" max="296" width="9.1328125" customWidth="true" style="2"/>
    <col min="297" max="297" width="9.1328125" customWidth="true" style="2"/>
    <col min="298" max="298" width="9.1328125" customWidth="true" style="2"/>
    <col min="299" max="299" width="9.1328125" customWidth="true" style="2"/>
    <col min="300" max="300" width="9.1328125" customWidth="true" style="2"/>
    <col min="301" max="301" width="9.1328125" customWidth="true" style="2"/>
    <col min="302" max="302" width="9.1328125" customWidth="true" style="2"/>
    <col min="303" max="303" width="9.1328125" customWidth="true" style="2"/>
    <col min="304" max="304" width="9.1328125" customWidth="true" style="2"/>
    <col min="305" max="305" width="9.1328125" customWidth="true" style="2"/>
    <col min="306" max="306" width="9.1328125" customWidth="true" style="2"/>
    <col min="307" max="307" width="9.1328125" customWidth="true" style="2"/>
    <col min="308" max="308" width="9.1328125" customWidth="true" style="2"/>
    <col min="309" max="309" width="9.1328125" customWidth="true" style="2"/>
    <col min="310" max="310" width="9.1328125" customWidth="true" style="2"/>
    <col min="311" max="311" width="9.1328125" customWidth="true" style="2"/>
    <col min="312" max="312" width="9.1328125" customWidth="true" style="2"/>
    <col min="313" max="313" width="9.1328125" customWidth="true" style="2"/>
    <col min="314" max="314" width="9.1328125" customWidth="true" style="2"/>
    <col min="315" max="315" width="9.1328125" customWidth="true" style="2"/>
    <col min="316" max="316" width="9.1328125" customWidth="true" style="2"/>
    <col min="317" max="317" width="9.1328125" customWidth="true" style="2"/>
    <col min="318" max="318" width="9.1328125" customWidth="true" style="2"/>
    <col min="319" max="319" width="9.1328125" customWidth="true" style="2"/>
    <col min="320" max="320" width="9.1328125" customWidth="true" style="2"/>
    <col min="321" max="321" width="9.1328125" customWidth="true" style="2"/>
    <col min="322" max="322" width="9.1328125" customWidth="true" style="2"/>
    <col min="323" max="323" width="9.1328125" customWidth="true" style="2"/>
    <col min="324" max="324" width="9.1328125" customWidth="true" style="2"/>
    <col min="325" max="325" width="9.1328125" customWidth="true" style="2"/>
    <col min="326" max="326" width="9.1328125" customWidth="true" style="2"/>
    <col min="327" max="327" width="9.1328125" customWidth="true" style="2"/>
    <col min="328" max="328" width="9.1328125" customWidth="true" style="2"/>
    <col min="329" max="329" width="9.1328125" customWidth="true" style="2"/>
    <col min="330" max="330" width="9.1328125" customWidth="true" style="2"/>
    <col min="331" max="331" width="9.1328125" customWidth="true" style="2"/>
    <col min="332" max="332" width="9.1328125" customWidth="true" style="2"/>
    <col min="333" max="333" width="9.1328125" customWidth="true" style="2"/>
    <col min="334" max="334" width="9.1328125" customWidth="true" style="2"/>
    <col min="335" max="335" width="9.1328125" customWidth="true" style="2"/>
    <col min="336" max="336" width="9.1328125" customWidth="true" style="2"/>
    <col min="337" max="337" width="9.1328125" customWidth="true" style="2"/>
    <col min="338" max="338" width="9.1328125" customWidth="true" style="2"/>
    <col min="339" max="339" width="9.1328125" customWidth="true" style="2"/>
    <col min="340" max="340" width="9.1328125" customWidth="true" style="2"/>
    <col min="341" max="341" width="9.1328125" customWidth="true" style="2"/>
    <col min="342" max="342" width="9.1328125" customWidth="true" style="2"/>
    <col min="343" max="343" width="9.1328125" customWidth="true" style="2"/>
    <col min="344" max="344" width="9.1328125" customWidth="true" style="2"/>
    <col min="345" max="345" width="9.1328125" customWidth="true" style="2"/>
    <col min="346" max="346" width="9.1328125" customWidth="true" style="2"/>
    <col min="347" max="347" width="9.1328125" customWidth="true" style="2"/>
    <col min="348" max="348" width="9.1328125" customWidth="true" style="2"/>
    <col min="349" max="349" width="9.1328125" customWidth="true" style="2"/>
    <col min="350" max="350" width="9.1328125" customWidth="true" style="2"/>
    <col min="351" max="351" width="9.1328125" customWidth="true" style="2"/>
    <col min="352" max="352" width="9.1328125" customWidth="true" style="2"/>
    <col min="353" max="353" width="9.1328125" customWidth="true" style="2"/>
    <col min="354" max="354" width="9.1328125" customWidth="true" style="2"/>
    <col min="355" max="355" width="9.1328125" customWidth="true" style="2"/>
    <col min="356" max="356" width="9.1328125" customWidth="true" style="2"/>
    <col min="357" max="357" width="9.1328125" customWidth="true" style="2"/>
    <col min="358" max="358" width="9.1328125" customWidth="true" style="2"/>
    <col min="359" max="359" width="9.1328125" customWidth="true" style="2"/>
    <col min="360" max="360" width="9.1328125" customWidth="true" style="2"/>
    <col min="361" max="361" width="9.1328125" customWidth="true" style="2"/>
    <col min="362" max="362" width="9.1328125" customWidth="true" style="2"/>
    <col min="363" max="363" width="9.1328125" customWidth="true" style="2"/>
    <col min="364" max="364" width="9.1328125" customWidth="true" style="2"/>
    <col min="365" max="365" width="9.1328125" customWidth="true" style="2"/>
    <col min="366" max="366" width="9.1328125" customWidth="true" style="2"/>
    <col min="367" max="367" width="9.1328125" customWidth="true" style="2"/>
    <col min="368" max="368" width="9.1328125" customWidth="true" style="2"/>
    <col min="369" max="369" width="9.1328125" customWidth="true" style="2"/>
    <col min="370" max="370" width="9.1328125" customWidth="true" style="2"/>
    <col min="371" max="371" width="9.1328125" customWidth="true" style="2"/>
    <col min="372" max="372" width="9.1328125" customWidth="true" style="2"/>
    <col min="373" max="373" width="9.1328125" customWidth="true" style="2"/>
    <col min="374" max="374" width="9.1328125" customWidth="true" style="2"/>
    <col min="375" max="375" width="9.1328125" customWidth="true" style="2"/>
    <col min="376" max="376" width="9.1328125" customWidth="true" style="2"/>
    <col min="377" max="377" width="9.1328125" customWidth="true" style="2"/>
    <col min="378" max="378" width="9.1328125" customWidth="true" style="2"/>
    <col min="379" max="379" width="9.1328125" customWidth="true" style="2"/>
    <col min="380" max="380" width="9.1328125" customWidth="true" style="2"/>
    <col min="381" max="381" width="9.1328125" customWidth="true" style="2"/>
    <col min="382" max="382" width="9.1328125" customWidth="true" style="2"/>
    <col min="383" max="383" width="9.1328125" customWidth="true" style="2"/>
    <col min="384" max="384" width="9.1328125" customWidth="true" style="2"/>
    <col min="385" max="385" width="9.1328125" customWidth="true" style="2"/>
    <col min="386" max="386" width="9.1328125" customWidth="true" style="2"/>
    <col min="387" max="387" width="9.1328125" customWidth="true" style="2"/>
    <col min="388" max="388" width="9.1328125" customWidth="true" style="2"/>
    <col min="389" max="389" width="9.1328125" customWidth="true" style="2"/>
    <col min="390" max="390" width="9.1328125" customWidth="true" style="2"/>
    <col min="391" max="391" width="9.1328125" customWidth="true" style="2"/>
    <col min="392" max="392" width="9.1328125" customWidth="true" style="2"/>
    <col min="393" max="393" width="9.1328125" customWidth="true" style="2"/>
    <col min="394" max="394" width="9.1328125" customWidth="true" style="2"/>
    <col min="395" max="395" width="9.1328125" customWidth="true" style="2"/>
    <col min="396" max="396" width="9.1328125" customWidth="true" style="2"/>
    <col min="397" max="397" width="9.1328125" customWidth="true" style="2"/>
    <col min="398" max="398" width="9.1328125" customWidth="true" style="2"/>
    <col min="399" max="399" width="9.1328125" customWidth="true" style="2"/>
    <col min="400" max="400" width="9.1328125" customWidth="true" style="2"/>
    <col min="401" max="401" width="9.1328125" customWidth="true" style="2"/>
    <col min="402" max="402" width="9.1328125" customWidth="true" style="2"/>
    <col min="403" max="403" width="9.1328125" customWidth="true" style="2"/>
    <col min="404" max="404" width="9.1328125" customWidth="true" style="2"/>
    <col min="405" max="405" width="9.1328125" customWidth="true" style="2"/>
    <col min="406" max="406" width="9.1328125" customWidth="true" style="2"/>
    <col min="407" max="407" width="9.1328125" customWidth="true" style="2"/>
    <col min="408" max="408" width="9.1328125" customWidth="true" style="2"/>
    <col min="409" max="409" width="9.1328125" customWidth="true" style="2"/>
    <col min="410" max="410" width="9.1328125" customWidth="true" style="2"/>
    <col min="411" max="411" width="9.1328125" customWidth="true" style="2"/>
    <col min="412" max="412" width="9.1328125" customWidth="true" style="2"/>
    <col min="413" max="413" width="9.1328125" customWidth="true" style="2"/>
    <col min="414" max="414" width="9.1328125" customWidth="true" style="2"/>
    <col min="415" max="415" width="9.1328125" customWidth="true" style="2"/>
    <col min="416" max="416" width="9.1328125" customWidth="true" style="2"/>
    <col min="417" max="417" width="9.1328125" customWidth="true" style="2"/>
    <col min="418" max="418" width="9.1328125" customWidth="true" style="2"/>
    <col min="419" max="419" width="9.1328125" customWidth="true" style="2"/>
    <col min="420" max="420" width="9.1328125" customWidth="true" style="2"/>
    <col min="421" max="421" width="9.1328125" customWidth="true" style="2"/>
    <col min="422" max="422" width="9.1328125" customWidth="true" style="2"/>
    <col min="423" max="423" width="9.1328125" customWidth="true" style="2"/>
    <col min="424" max="424" width="9.1328125" customWidth="true" style="2"/>
    <col min="425" max="425" width="9.1328125" customWidth="true" style="2"/>
    <col min="426" max="426" width="9.1328125" customWidth="true" style="2"/>
    <col min="427" max="427" width="9.1328125" customWidth="true" style="2"/>
    <col min="428" max="428" width="9.1328125" customWidth="true" style="2"/>
    <col min="429" max="429" width="9.1328125" customWidth="true" style="2"/>
    <col min="430" max="430" width="9.1328125" customWidth="true" style="2"/>
    <col min="431" max="431" width="9.1328125" customWidth="true" style="2"/>
    <col min="432" max="432" width="9.1328125" customWidth="true" style="2"/>
    <col min="433" max="433" width="9.1328125" customWidth="true" style="2"/>
    <col min="434" max="434" width="9.1328125" customWidth="true" style="2"/>
    <col min="435" max="435" width="9.1328125" customWidth="true" style="2"/>
    <col min="436" max="436" width="9.1328125" customWidth="true" style="2"/>
    <col min="437" max="437" width="9.1328125" customWidth="true" style="2"/>
    <col min="438" max="438" width="9.1328125" customWidth="true" style="2"/>
    <col min="439" max="439" width="9.1328125" customWidth="true" style="2"/>
    <col min="440" max="440" width="9.1328125" customWidth="true" style="2"/>
    <col min="441" max="441" width="9.1328125" customWidth="true" style="2"/>
    <col min="442" max="442" width="9.1328125" customWidth="true" style="2"/>
    <col min="443" max="443" width="9.1328125" customWidth="true" style="2"/>
    <col min="444" max="444" width="9.1328125" customWidth="true" style="2"/>
    <col min="445" max="445" width="9.1328125" customWidth="true" style="2"/>
    <col min="446" max="446" width="9.1328125" customWidth="true" style="2"/>
    <col min="447" max="447" width="9.1328125" customWidth="true" style="2"/>
    <col min="448" max="448" width="9.1328125" customWidth="true" style="2"/>
    <col min="449" max="449" width="9.1328125" customWidth="true" style="2"/>
    <col min="450" max="450" width="9.1328125" customWidth="true" style="2"/>
    <col min="451" max="451" width="9.1328125" customWidth="true" style="2"/>
    <col min="452" max="452" width="9.1328125" customWidth="true" style="2"/>
    <col min="453" max="453" width="9.1328125" customWidth="true" style="2"/>
    <col min="454" max="454" width="9.1328125" customWidth="true" style="2"/>
    <col min="455" max="455" width="9.1328125" customWidth="true" style="2"/>
    <col min="456" max="456" width="9.1328125" customWidth="true" style="2"/>
    <col min="457" max="457" width="9.1328125" customWidth="true" style="2"/>
    <col min="458" max="458" width="9.1328125" customWidth="true" style="2"/>
    <col min="459" max="459" width="9.1328125" customWidth="true" style="2"/>
    <col min="460" max="460" width="9.1328125" customWidth="true" style="2"/>
    <col min="461" max="461" width="9.1328125" customWidth="true" style="2"/>
    <col min="462" max="462" width="9.1328125" customWidth="true" style="2"/>
    <col min="463" max="463" width="9.1328125" customWidth="true" style="2"/>
    <col min="464" max="464" width="9.1328125" customWidth="true" style="2"/>
    <col min="465" max="465" width="9.1328125" customWidth="true" style="2"/>
    <col min="466" max="466" width="9.1328125" customWidth="true" style="2"/>
    <col min="467" max="467" width="9.1328125" customWidth="true" style="2"/>
    <col min="468" max="468" width="9.1328125" customWidth="true" style="2"/>
    <col min="469" max="469" width="9.1328125" customWidth="true" style="2"/>
    <col min="470" max="470" width="9.1328125" customWidth="true" style="2"/>
    <col min="471" max="471" width="9.1328125" customWidth="true" style="2"/>
    <col min="472" max="472" width="9.1328125" customWidth="true" style="2"/>
    <col min="473" max="473" width="9.1328125" customWidth="true" style="2"/>
    <col min="474" max="474" width="9.1328125" customWidth="true" style="2"/>
    <col min="475" max="475" width="9.1328125" customWidth="true" style="2"/>
    <col min="476" max="476" width="9.1328125" customWidth="true" style="2"/>
    <col min="477" max="477" width="9.1328125" customWidth="true" style="2"/>
    <col min="478" max="478" width="9.1328125" customWidth="true" style="2"/>
    <col min="479" max="479" width="9.1328125" customWidth="true" style="2"/>
    <col min="480" max="480" width="9.1328125" customWidth="true" style="2"/>
    <col min="481" max="481" width="9.1328125" customWidth="true" style="2"/>
    <col min="482" max="482" width="9.1328125" customWidth="true" style="2"/>
    <col min="483" max="483" width="9.1328125" customWidth="true" style="2"/>
    <col min="484" max="484" width="9.1328125" customWidth="true" style="2"/>
    <col min="485" max="485" width="9.1328125" customWidth="true" style="2"/>
    <col min="486" max="486" width="9.1328125" customWidth="true" style="2"/>
    <col min="487" max="487" width="9.1328125" customWidth="true" style="2"/>
    <col min="488" max="488" width="9.1328125" customWidth="true" style="2"/>
    <col min="489" max="489" width="9.1328125" customWidth="true" style="2"/>
    <col min="490" max="490" width="9.1328125" customWidth="true" style="2"/>
    <col min="491" max="491" width="9.1328125" customWidth="true" style="2"/>
    <col min="492" max="492" width="9.1328125" customWidth="true" style="2"/>
    <col min="493" max="493" width="9.1328125" customWidth="true" style="2"/>
    <col min="494" max="494" width="9.1328125" customWidth="true" style="2"/>
    <col min="495" max="495" width="9.1328125" customWidth="true" style="2"/>
    <col min="496" max="496" width="9.1328125" customWidth="true" style="2"/>
    <col min="497" max="497" width="9.1328125" customWidth="true" style="2"/>
    <col min="498" max="498" width="9.1328125" customWidth="true" style="2"/>
    <col min="499" max="499" width="9.1328125" customWidth="true" style="2"/>
    <col min="500" max="500" width="9.1328125" customWidth="true" style="2"/>
    <col min="501" max="501" width="9.1328125" customWidth="true" style="2"/>
    <col min="502" max="502" width="9.1328125" customWidth="true" style="2"/>
    <col min="503" max="503" width="9.1328125" customWidth="true" style="2"/>
    <col min="504" max="504" width="9.1328125" customWidth="true" style="2"/>
    <col min="505" max="505" width="9.1328125" customWidth="true" style="2"/>
    <col min="506" max="506" width="9.1328125" customWidth="true" style="2"/>
    <col min="507" max="507" width="9.1328125" customWidth="true" style="2"/>
    <col min="508" max="508" width="9.1328125" customWidth="true" style="2"/>
    <col min="509" max="509" width="9.1328125" customWidth="true" style="2"/>
    <col min="510" max="510" width="9.1328125" customWidth="true" style="2"/>
    <col min="511" max="511" width="9.1328125" customWidth="true" style="2"/>
    <col min="512" max="512" width="9.1328125" customWidth="true" style="2"/>
    <col min="513" max="513" width="9.1328125" customWidth="true" style="2"/>
    <col min="514" max="514" width="9.1328125" customWidth="true" style="2"/>
    <col min="515" max="515" width="9.1328125" customWidth="true" style="2"/>
    <col min="516" max="516" width="9.1328125" customWidth="true" style="2"/>
    <col min="517" max="517" width="9.1328125" customWidth="true" style="2"/>
    <col min="518" max="518" width="9.1328125" customWidth="true" style="2"/>
    <col min="519" max="519" width="9.1328125" customWidth="true" style="2"/>
    <col min="520" max="520" width="9.1328125" customWidth="true" style="2"/>
    <col min="521" max="521" width="9.1328125" customWidth="true" style="2"/>
    <col min="522" max="522" width="9.1328125" customWidth="true" style="2"/>
    <col min="523" max="523" width="9.1328125" customWidth="true" style="2"/>
    <col min="524" max="524" width="9.1328125" customWidth="true" style="2"/>
    <col min="525" max="525" width="9.1328125" customWidth="true" style="2"/>
    <col min="526" max="526" width="9.1328125" customWidth="true" style="2"/>
    <col min="527" max="527" width="9.1328125" customWidth="true" style="2"/>
    <col min="528" max="528" width="9.1328125" customWidth="true" style="2"/>
    <col min="529" max="529" width="9.1328125" customWidth="true" style="2"/>
    <col min="530" max="530" width="9.1328125" customWidth="true" style="2"/>
    <col min="531" max="531" width="9.1328125" customWidth="true" style="2"/>
    <col min="532" max="532" width="9.1328125" customWidth="true" style="2"/>
    <col min="533" max="533" width="9.1328125" customWidth="true" style="2"/>
    <col min="534" max="534" width="9.1328125" customWidth="true" style="2"/>
    <col min="535" max="535" width="9.1328125" customWidth="true" style="2"/>
    <col min="536" max="536" width="9.1328125" customWidth="true" style="2"/>
    <col min="537" max="537" width="9.1328125" customWidth="true" style="2"/>
    <col min="538" max="538" width="9.1328125" customWidth="true" style="2"/>
    <col min="539" max="539" width="9.1328125" customWidth="true" style="2"/>
    <col min="540" max="540" width="9.1328125" customWidth="true" style="2"/>
    <col min="541" max="541" width="9.1328125" customWidth="true" style="2"/>
    <col min="542" max="542" width="9.1328125" customWidth="true" style="2"/>
    <col min="543" max="543" width="9.1328125" customWidth="true" style="2"/>
    <col min="544" max="544" width="9.1328125" customWidth="true" style="2"/>
    <col min="545" max="545" width="9.1328125" customWidth="true" style="2"/>
    <col min="546" max="546" width="9.1328125" customWidth="true" style="2"/>
    <col min="547" max="547" width="9.1328125" customWidth="true" style="2"/>
    <col min="548" max="548" width="9.1328125" customWidth="true" style="2"/>
    <col min="549" max="549" width="9.1328125" customWidth="true" style="2"/>
    <col min="550" max="550" width="9.1328125" customWidth="true" style="2"/>
    <col min="551" max="551" width="9.1328125" customWidth="true" style="2"/>
    <col min="552" max="552" width="9.1328125" customWidth="true" style="2"/>
    <col min="553" max="553" width="9.1328125" customWidth="true" style="2"/>
    <col min="554" max="554" width="9.1328125" customWidth="true" style="2"/>
    <col min="555" max="555" width="9.1328125" customWidth="true" style="2"/>
    <col min="556" max="556" width="9.1328125" customWidth="true" style="2"/>
    <col min="557" max="557" width="9.1328125" customWidth="true" style="2"/>
    <col min="558" max="558" width="9.1328125" customWidth="true" style="2"/>
    <col min="559" max="559" width="9.1328125" customWidth="true" style="2"/>
    <col min="560" max="560" width="9.1328125" customWidth="true" style="2"/>
    <col min="561" max="561" width="9.1328125" customWidth="true" style="2"/>
    <col min="562" max="562" width="9.1328125" customWidth="true" style="2"/>
    <col min="563" max="563" width="9.1328125" customWidth="true" style="2"/>
    <col min="564" max="564" width="9.1328125" customWidth="true" style="2"/>
    <col min="565" max="565" width="9.1328125" customWidth="true" style="2"/>
    <col min="566" max="566" width="9.1328125" customWidth="true" style="2"/>
    <col min="567" max="567" width="9.1328125" customWidth="true" style="2"/>
    <col min="568" max="568" width="9.1328125" customWidth="true" style="2"/>
    <col min="569" max="569" width="9.1328125" customWidth="true" style="2"/>
    <col min="570" max="570" width="9.1328125" customWidth="true" style="2"/>
    <col min="571" max="571" width="9.1328125" customWidth="true" style="2"/>
    <col min="572" max="572" width="9.1328125" customWidth="true" style="2"/>
    <col min="573" max="573" width="9.1328125" customWidth="true" style="2"/>
    <col min="574" max="574" width="9.1328125" customWidth="true" style="2"/>
    <col min="575" max="575" width="9.1328125" customWidth="true" style="2"/>
    <col min="576" max="576" width="9.1328125" customWidth="true" style="2"/>
    <col min="577" max="577" width="9.1328125" customWidth="true" style="2"/>
    <col min="578" max="578" width="9.1328125" customWidth="true" style="2"/>
    <col min="579" max="579" width="9.1328125" customWidth="true" style="2"/>
    <col min="580" max="580" width="9.1328125" customWidth="true" style="2"/>
    <col min="581" max="581" width="9.1328125" customWidth="true" style="2"/>
    <col min="582" max="582" width="9.1328125" customWidth="true" style="2"/>
    <col min="583" max="583" width="9.1328125" customWidth="true" style="2"/>
    <col min="584" max="584" width="9.1328125" customWidth="true" style="2"/>
    <col min="585" max="585" width="9.1328125" customWidth="true" style="2"/>
    <col min="586" max="586" width="9.1328125" customWidth="true" style="2"/>
    <col min="587" max="587" width="9.1328125" customWidth="true" style="2"/>
    <col min="588" max="588" width="9.1328125" customWidth="true" style="2"/>
    <col min="589" max="589" width="9.1328125" customWidth="true" style="2"/>
    <col min="590" max="590" width="9.1328125" customWidth="true" style="2"/>
    <col min="591" max="591" width="9.1328125" customWidth="true" style="2"/>
    <col min="592" max="592" width="9.1328125" customWidth="true" style="2"/>
    <col min="593" max="593" width="9.1328125" customWidth="true" style="2"/>
    <col min="594" max="594" width="9.1328125" customWidth="true" style="2"/>
    <col min="595" max="595" width="9.1328125" customWidth="true" style="2"/>
    <col min="596" max="596" width="9.1328125" customWidth="true" style="2"/>
    <col min="597" max="597" width="9.1328125" customWidth="true" style="2"/>
    <col min="598" max="598" width="9.1328125" customWidth="true" style="2"/>
    <col min="599" max="599" width="9.1328125" customWidth="true" style="2"/>
    <col min="600" max="600" width="9.1328125" customWidth="true" style="2"/>
    <col min="601" max="601" width="9.1328125" customWidth="true" style="2"/>
    <col min="602" max="602" width="9.1328125" customWidth="true" style="2"/>
    <col min="603" max="603" width="9.1328125" customWidth="true" style="2"/>
    <col min="604" max="604" width="9.1328125" customWidth="true" style="2"/>
    <col min="605" max="605" width="9.1328125" customWidth="true" style="2"/>
    <col min="606" max="606" width="9.1328125" customWidth="true" style="2"/>
    <col min="607" max="607" width="9.1328125" customWidth="true" style="2"/>
    <col min="608" max="608" width="9.1328125" customWidth="true" style="2"/>
    <col min="609" max="609" width="9.1328125" customWidth="true" style="2"/>
    <col min="610" max="610" width="9.1328125" customWidth="true" style="2"/>
    <col min="611" max="611" width="9.1328125" customWidth="true" style="2"/>
    <col min="612" max="612" width="9.1328125" customWidth="true" style="2"/>
    <col min="613" max="613" width="9.1328125" customWidth="true" style="2"/>
    <col min="614" max="614" width="9.1328125" customWidth="true" style="2"/>
    <col min="615" max="615" width="9.1328125" customWidth="true" style="2"/>
    <col min="616" max="616" width="9.1328125" customWidth="true" style="2"/>
    <col min="617" max="617" width="9.1328125" customWidth="true" style="2"/>
    <col min="618" max="618" width="9.1328125" customWidth="true" style="2"/>
    <col min="619" max="619" width="9.1328125" customWidth="true" style="2"/>
    <col min="620" max="620" width="9.1328125" customWidth="true" style="2"/>
    <col min="621" max="621" width="9.1328125" customWidth="true" style="2"/>
    <col min="622" max="622" width="9.1328125" customWidth="true" style="2"/>
    <col min="623" max="623" width="9.1328125" customWidth="true" style="2"/>
    <col min="624" max="624" width="9.1328125" customWidth="true" style="2"/>
    <col min="625" max="625" width="9.1328125" customWidth="true" style="2"/>
    <col min="626" max="626" width="9.1328125" customWidth="true" style="2"/>
    <col min="627" max="627" width="9.1328125" customWidth="true" style="2"/>
    <col min="628" max="628" width="9.1328125" customWidth="true" style="2"/>
    <col min="629" max="629" width="9.1328125" customWidth="true" style="2"/>
    <col min="630" max="630" width="9.1328125" customWidth="true" style="2"/>
    <col min="631" max="631" width="9.1328125" customWidth="true" style="2"/>
    <col min="632" max="632" width="9.1328125" customWidth="true" style="2"/>
    <col min="633" max="633" width="9.1328125" customWidth="true" style="2"/>
    <col min="634" max="634" width="9.1328125" customWidth="true" style="2"/>
    <col min="635" max="635" width="9.1328125" customWidth="true" style="2"/>
    <col min="636" max="636" width="9.1328125" customWidth="true" style="2"/>
    <col min="637" max="637" width="9.1328125" customWidth="true" style="2"/>
    <col min="638" max="638" width="9.1328125" customWidth="true" style="2"/>
    <col min="639" max="639" width="9.1328125" customWidth="true" style="2"/>
    <col min="640" max="640" width="9.1328125" customWidth="true" style="2"/>
    <col min="641" max="641" width="9.1328125" customWidth="true" style="2"/>
    <col min="642" max="642" width="9.1328125" customWidth="true" style="2"/>
    <col min="643" max="643" width="9.1328125" customWidth="true" style="2"/>
    <col min="644" max="644" width="9.1328125" customWidth="true" style="2"/>
    <col min="645" max="645" width="9.1328125" customWidth="true" style="2"/>
    <col min="646" max="646" width="9.1328125" customWidth="true" style="2"/>
    <col min="647" max="647" width="9.1328125" customWidth="true" style="2"/>
    <col min="648" max="648" width="9.1328125" customWidth="true" style="2"/>
    <col min="649" max="649" width="9.1328125" customWidth="true" style="2"/>
    <col min="650" max="650" width="9.1328125" customWidth="true" style="2"/>
    <col min="651" max="651" width="9.1328125" customWidth="true" style="2"/>
    <col min="652" max="652" width="9.1328125" customWidth="true" style="2"/>
    <col min="653" max="653" width="9.1328125" customWidth="true" style="2"/>
    <col min="654" max="654" width="9.1328125" customWidth="true" style="2"/>
    <col min="655" max="655" width="9.1328125" customWidth="true" style="2"/>
    <col min="656" max="656" width="9.1328125" customWidth="true" style="2"/>
    <col min="657" max="657" width="9.1328125" customWidth="true" style="2"/>
    <col min="658" max="658" width="9.1328125" customWidth="true" style="2"/>
    <col min="659" max="659" width="9.1328125" customWidth="true" style="2"/>
    <col min="660" max="660" width="9.1328125" customWidth="true" style="2"/>
    <col min="661" max="661" width="9.1328125" customWidth="true" style="2"/>
    <col min="662" max="662" width="9.1328125" customWidth="true" style="2"/>
    <col min="663" max="663" width="9.1328125" customWidth="true" style="2"/>
    <col min="664" max="664" width="9.1328125" customWidth="true" style="2"/>
    <col min="665" max="665" width="9.1328125" customWidth="true" style="2"/>
    <col min="666" max="666" width="9.1328125" customWidth="true" style="2"/>
    <col min="667" max="667" width="9.1328125" customWidth="true" style="2"/>
    <col min="668" max="668" width="9.1328125" customWidth="true" style="2"/>
    <col min="669" max="669" width="9.1328125" customWidth="true" style="2"/>
    <col min="670" max="670" width="9.1328125" customWidth="true" style="2"/>
    <col min="671" max="671" width="9.1328125" customWidth="true" style="2"/>
    <col min="672" max="672" width="9.1328125" customWidth="true" style="2"/>
    <col min="673" max="673" width="9.1328125" customWidth="true" style="2"/>
    <col min="674" max="674" width="9.1328125" customWidth="true" style="2"/>
    <col min="675" max="675" width="9.1328125" customWidth="true" style="2"/>
    <col min="676" max="676" width="9.1328125" customWidth="true" style="2"/>
    <col min="677" max="677" width="9.1328125" customWidth="true" style="2"/>
    <col min="678" max="678" width="9.1328125" customWidth="true" style="2"/>
    <col min="679" max="679" width="9.1328125" customWidth="true" style="2"/>
    <col min="680" max="680" width="9.1328125" customWidth="true" style="2"/>
    <col min="681" max="681" width="9.1328125" customWidth="true" style="2"/>
    <col min="682" max="682" width="9.1328125" customWidth="true" style="2"/>
    <col min="683" max="683" width="9.1328125" customWidth="true" style="2"/>
    <col min="684" max="684" width="9.1328125" customWidth="true" style="2"/>
    <col min="685" max="685" width="9.1328125" customWidth="true" style="2"/>
    <col min="686" max="686" width="9.1328125" customWidth="true" style="2"/>
    <col min="687" max="687" width="9.1328125" customWidth="true" style="2"/>
    <col min="688" max="688" width="9.1328125" customWidth="true" style="2"/>
    <col min="689" max="689" width="9.1328125" customWidth="true" style="2"/>
    <col min="690" max="690" width="9.1328125" customWidth="true" style="2"/>
    <col min="691" max="691" width="9.1328125" customWidth="true" style="2"/>
    <col min="692" max="692" width="9.1328125" customWidth="true" style="2"/>
    <col min="693" max="693" width="9.1328125" customWidth="true" style="2"/>
    <col min="694" max="694" width="9.1328125" customWidth="true" style="2"/>
    <col min="695" max="695" width="9.1328125" customWidth="true" style="2"/>
    <col min="696" max="696" width="9.1328125" customWidth="true" style="2"/>
    <col min="697" max="697" width="9.1328125" customWidth="true" style="2"/>
    <col min="698" max="698" width="9.1328125" customWidth="true" style="2"/>
    <col min="699" max="699" width="9.1328125" customWidth="true" style="2"/>
    <col min="700" max="700" width="9.1328125" customWidth="true" style="2"/>
    <col min="701" max="701" width="9.1328125" customWidth="true" style="2"/>
    <col min="702" max="702" width="9.1328125" customWidth="true" style="2"/>
    <col min="703" max="703" width="9.1328125" customWidth="true" style="2"/>
    <col min="704" max="704" width="9.1328125" customWidth="true" style="2"/>
    <col min="705" max="705" width="9.1328125" customWidth="true" style="2"/>
    <col min="706" max="706" width="9.1328125" customWidth="true" style="2"/>
    <col min="707" max="707" width="9.1328125" customWidth="true" style="2"/>
    <col min="708" max="708" width="9.1328125" customWidth="true" style="2"/>
    <col min="709" max="709" width="9.1328125" customWidth="true" style="2"/>
    <col min="710" max="710" width="9.1328125" customWidth="true" style="2"/>
    <col min="711" max="711" width="9.1328125" customWidth="true" style="2"/>
    <col min="712" max="712" width="9.1328125" customWidth="true" style="2"/>
    <col min="713" max="713" width="9.1328125" customWidth="true" style="2"/>
    <col min="714" max="714" width="9.1328125" customWidth="true" style="2"/>
    <col min="715" max="715" width="9.1328125" customWidth="true" style="2"/>
    <col min="716" max="716" width="9.1328125" customWidth="true" style="2"/>
    <col min="717" max="717" width="9.1328125" customWidth="true" style="2"/>
    <col min="718" max="718" width="9.1328125" customWidth="true" style="2"/>
    <col min="719" max="719" width="9.1328125" customWidth="true" style="2"/>
    <col min="720" max="720" width="9.1328125" customWidth="true" style="2"/>
    <col min="721" max="721" width="9.1328125" customWidth="true" style="2"/>
    <col min="722" max="722" width="9.1328125" customWidth="true" style="2"/>
    <col min="723" max="723" width="9.1328125" customWidth="true" style="2"/>
    <col min="724" max="724" width="9.1328125" customWidth="true" style="2"/>
    <col min="725" max="725" width="9.1328125" customWidth="true" style="2"/>
    <col min="726" max="726" width="9.1328125" customWidth="true" style="2"/>
    <col min="727" max="727" width="9.1328125" customWidth="true" style="2"/>
    <col min="728" max="728" width="9.1328125" customWidth="true" style="2"/>
    <col min="729" max="729" width="9.1328125" customWidth="true" style="2"/>
    <col min="730" max="730" width="9.1328125" customWidth="true" style="2"/>
    <col min="731" max="731" width="9.1328125" customWidth="true" style="2"/>
    <col min="732" max="732" width="9.1328125" customWidth="true" style="2"/>
    <col min="733" max="733" width="9.1328125" customWidth="true" style="2"/>
    <col min="734" max="734" width="9.1328125" customWidth="true" style="2"/>
    <col min="735" max="735" width="9.1328125" customWidth="true" style="2"/>
    <col min="736" max="736" width="9.1328125" customWidth="true" style="2"/>
    <col min="737" max="737" width="9.1328125" customWidth="true" style="2"/>
    <col min="738" max="738" width="9.1328125" customWidth="true" style="2"/>
    <col min="739" max="739" width="9.1328125" customWidth="true" style="2"/>
    <col min="740" max="740" width="9.1328125" customWidth="true" style="2"/>
    <col min="741" max="741" width="9.1328125" customWidth="true" style="2"/>
    <col min="742" max="742" width="9.1328125" customWidth="true" style="2"/>
    <col min="743" max="743" width="9.1328125" customWidth="true" style="2"/>
    <col min="744" max="744" width="9.1328125" customWidth="true" style="2"/>
    <col min="745" max="745" width="9.1328125" customWidth="true" style="2"/>
    <col min="746" max="746" width="9.1328125" customWidth="true" style="2"/>
    <col min="747" max="747" width="9.1328125" customWidth="true" style="2"/>
    <col min="748" max="748" width="9.1328125" customWidth="true" style="2"/>
    <col min="749" max="749" width="9.1328125" customWidth="true" style="2"/>
    <col min="750" max="750" width="9.1328125" customWidth="true" style="2"/>
    <col min="751" max="751" width="9.1328125" customWidth="true" style="2"/>
    <col min="752" max="752" width="9.1328125" customWidth="true" style="2"/>
    <col min="753" max="753" width="9.1328125" customWidth="true" style="2"/>
    <col min="754" max="754" width="9.1328125" customWidth="true" style="2"/>
    <col min="755" max="755" width="9.1328125" customWidth="true" style="2"/>
    <col min="756" max="756" width="9.1328125" customWidth="true" style="2"/>
    <col min="757" max="757" width="9.1328125" customWidth="true" style="2"/>
    <col min="758" max="758" width="9.1328125" customWidth="true" style="2"/>
    <col min="759" max="759" width="9.1328125" customWidth="true" style="2"/>
    <col min="760" max="760" width="9.1328125" customWidth="true" style="2"/>
    <col min="761" max="761" width="9.1328125" customWidth="true" style="2"/>
    <col min="762" max="762" width="9.1328125" customWidth="true" style="2"/>
    <col min="763" max="763" width="9.1328125" customWidth="true" style="2"/>
    <col min="764" max="764" width="9.1328125" customWidth="true" style="2"/>
    <col min="765" max="765" width="9.1328125" customWidth="true" style="2"/>
    <col min="766" max="766" width="9.1328125" customWidth="true" style="2"/>
    <col min="767" max="767" width="9.1328125" customWidth="true" style="2"/>
    <col min="768" max="768" width="9.1328125" customWidth="true" style="2"/>
    <col min="769" max="769" width="9.1328125" customWidth="true" style="2"/>
    <col min="770" max="770" width="9.1328125" customWidth="true" style="2"/>
    <col min="771" max="771" width="9.1328125" customWidth="true" style="2"/>
    <col min="772" max="772" width="9.1328125" customWidth="true" style="2"/>
    <col min="773" max="773" width="9.1328125" customWidth="true" style="2"/>
    <col min="774" max="774" width="9.1328125" customWidth="true" style="2"/>
    <col min="775" max="775" width="9.1328125" customWidth="true" style="2"/>
    <col min="776" max="776" width="9.1328125" customWidth="true" style="2"/>
    <col min="777" max="777" width="9.1328125" customWidth="true" style="2"/>
    <col min="778" max="778" width="9.1328125" customWidth="true" style="2"/>
    <col min="779" max="779" width="9.1328125" customWidth="true" style="2"/>
    <col min="780" max="780" width="9.1328125" customWidth="true" style="2"/>
    <col min="781" max="781" width="9.1328125" customWidth="true" style="2"/>
    <col min="782" max="782" width="9.1328125" customWidth="true" style="2"/>
    <col min="783" max="783" width="9.1328125" customWidth="true" style="2"/>
    <col min="784" max="784" width="9.1328125" customWidth="true" style="2"/>
    <col min="785" max="785" width="9.1328125" customWidth="true" style="2"/>
    <col min="786" max="786" width="9.1328125" customWidth="true" style="2"/>
    <col min="787" max="787" width="9.1328125" customWidth="true" style="2"/>
    <col min="788" max="788" width="9.1328125" customWidth="true" style="2"/>
    <col min="789" max="789" width="9.1328125" customWidth="true" style="2"/>
    <col min="790" max="790" width="9.1328125" customWidth="true" style="2"/>
    <col min="791" max="791" width="9.1328125" customWidth="true" style="2"/>
    <col min="792" max="792" width="9.1328125" customWidth="true" style="2"/>
    <col min="793" max="793" width="9.1328125" customWidth="true" style="2"/>
    <col min="794" max="794" width="9.1328125" customWidth="true" style="2"/>
    <col min="795" max="795" width="9.1328125" customWidth="true" style="2"/>
    <col min="796" max="796" width="9.1328125" customWidth="true" style="2"/>
    <col min="797" max="797" width="9.1328125" customWidth="true" style="2"/>
    <col min="798" max="798" width="9.1328125" customWidth="true" style="2"/>
    <col min="799" max="799" width="9.1328125" customWidth="true" style="2"/>
    <col min="800" max="800" width="9.1328125" customWidth="true" style="2"/>
    <col min="801" max="801" width="9.1328125" customWidth="true" style="2"/>
    <col min="802" max="802" width="9.1328125" customWidth="true" style="2"/>
    <col min="803" max="803" width="9.1328125" customWidth="true" style="2"/>
    <col min="804" max="804" width="9.1328125" customWidth="true" style="2"/>
    <col min="805" max="805" width="9.1328125" customWidth="true" style="2"/>
    <col min="806" max="806" width="9.1328125" customWidth="true" style="2"/>
    <col min="807" max="807" width="9.1328125" customWidth="true" style="2"/>
    <col min="808" max="808" width="9.1328125" customWidth="true" style="2"/>
    <col min="809" max="809" width="9.1328125" customWidth="true" style="2"/>
    <col min="810" max="810" width="9.1328125" customWidth="true" style="2"/>
    <col min="811" max="811" width="9.1328125" customWidth="true" style="2"/>
    <col min="812" max="812" width="9.1328125" customWidth="true" style="2"/>
    <col min="813" max="813" width="9.1328125" customWidth="true" style="2"/>
    <col min="814" max="814" width="9.1328125" customWidth="true" style="2"/>
    <col min="815" max="815" width="9.1328125" customWidth="true" style="2"/>
    <col min="816" max="816" width="9.1328125" customWidth="true" style="2"/>
    <col min="817" max="817" width="9.1328125" customWidth="true" style="2"/>
    <col min="818" max="818" width="9.1328125" customWidth="true" style="2"/>
    <col min="819" max="819" width="9.1328125" customWidth="true" style="2"/>
    <col min="820" max="820" width="9.1328125" customWidth="true" style="2"/>
    <col min="821" max="821" width="9.1328125" customWidth="true" style="2"/>
    <col min="822" max="822" width="9.1328125" customWidth="true" style="2"/>
    <col min="823" max="823" width="9.1328125" customWidth="true" style="2"/>
    <col min="824" max="824" width="9.1328125" customWidth="true" style="2"/>
    <col min="825" max="825" width="9.1328125" customWidth="true" style="2"/>
    <col min="826" max="826" width="9.1328125" customWidth="true" style="2"/>
    <col min="827" max="827" width="9.1328125" customWidth="true" style="2"/>
    <col min="828" max="828" width="9.1328125" customWidth="true" style="2"/>
    <col min="829" max="829" width="9.1328125" customWidth="true" style="2"/>
    <col min="830" max="830" width="9.1328125" customWidth="true" style="2"/>
    <col min="831" max="831" width="9.1328125" customWidth="true" style="2"/>
    <col min="832" max="832" width="9.1328125" customWidth="true" style="2"/>
    <col min="833" max="833" width="9.1328125" customWidth="true" style="2"/>
    <col min="834" max="834" width="9.1328125" customWidth="true" style="2"/>
    <col min="835" max="835" width="9.1328125" customWidth="true" style="2"/>
    <col min="836" max="836" width="9.1328125" customWidth="true" style="2"/>
    <col min="837" max="837" width="9.1328125" customWidth="true" style="2"/>
    <col min="838" max="838" width="9.1328125" customWidth="true" style="2"/>
    <col min="839" max="839" width="9.1328125" customWidth="true" style="2"/>
    <col min="840" max="840" width="9.1328125" customWidth="true" style="2"/>
    <col min="841" max="841" width="9.1328125" customWidth="true" style="2"/>
    <col min="842" max="842" width="9.1328125" customWidth="true" style="2"/>
    <col min="843" max="843" width="9.1328125" customWidth="true" style="2"/>
    <col min="844" max="844" width="9.1328125" customWidth="true" style="2"/>
    <col min="845" max="845" width="9.1328125" customWidth="true" style="2"/>
    <col min="846" max="846" width="9.1328125" customWidth="true" style="2"/>
    <col min="847" max="847" width="9.1328125" customWidth="true" style="2"/>
    <col min="848" max="848" width="9.1328125" customWidth="true" style="2"/>
    <col min="849" max="849" width="9.1328125" customWidth="true" style="2"/>
    <col min="850" max="850" width="9.1328125" customWidth="true" style="2"/>
    <col min="851" max="851" width="9.1328125" customWidth="true" style="2"/>
    <col min="852" max="852" width="9.1328125" customWidth="true" style="2"/>
    <col min="853" max="853" width="9.1328125" customWidth="true" style="2"/>
    <col min="854" max="854" width="9.1328125" customWidth="true" style="2"/>
    <col min="855" max="855" width="9.1328125" customWidth="true" style="2"/>
    <col min="856" max="856" width="9.1328125" customWidth="true" style="2"/>
    <col min="857" max="857" width="9.1328125" customWidth="true" style="2"/>
    <col min="858" max="858" width="9.1328125" customWidth="true" style="2"/>
    <col min="859" max="859" width="9.1328125" customWidth="true" style="2"/>
    <col min="860" max="860" width="9.1328125" customWidth="true" style="2"/>
    <col min="861" max="861" width="9.1328125" customWidth="true" style="2"/>
    <col min="862" max="862" width="9.1328125" customWidth="true" style="2"/>
    <col min="863" max="863" width="9.1328125" customWidth="true" style="2"/>
    <col min="864" max="864" width="9.1328125" customWidth="true" style="2"/>
    <col min="865" max="865" width="9.1328125" customWidth="true" style="2"/>
    <col min="866" max="866" width="9.1328125" customWidth="true" style="2"/>
    <col min="867" max="867" width="9.1328125" customWidth="true" style="2"/>
    <col min="868" max="868" width="9.1328125" customWidth="true" style="2"/>
    <col min="869" max="869" width="9.1328125" customWidth="true" style="2"/>
    <col min="870" max="870" width="9.1328125" customWidth="true" style="2"/>
    <col min="871" max="871" width="9.1328125" customWidth="true" style="2"/>
    <col min="872" max="872" width="9.1328125" customWidth="true" style="2"/>
    <col min="873" max="873" width="9.1328125" customWidth="true" style="2"/>
    <col min="874" max="874" width="9.1328125" customWidth="true" style="2"/>
    <col min="875" max="875" width="9.1328125" customWidth="true" style="2"/>
    <col min="876" max="876" width="9.1328125" customWidth="true" style="2"/>
    <col min="877" max="877" width="9.1328125" customWidth="true" style="2"/>
    <col min="878" max="878" width="9.1328125" customWidth="true" style="2"/>
    <col min="879" max="879" width="9.1328125" customWidth="true" style="2"/>
    <col min="880" max="880" width="9.1328125" customWidth="true" style="2"/>
    <col min="881" max="881" width="9.1328125" customWidth="true" style="2"/>
    <col min="882" max="882" width="9.1328125" customWidth="true" style="2"/>
    <col min="883" max="883" width="9.1328125" customWidth="true" style="2"/>
    <col min="884" max="884" width="9.1328125" customWidth="true" style="2"/>
    <col min="885" max="885" width="9.1328125" customWidth="true" style="2"/>
    <col min="886" max="886" width="9.1328125" customWidth="true" style="2"/>
    <col min="887" max="887" width="9.1328125" customWidth="true" style="2"/>
    <col min="888" max="888" width="9.1328125" customWidth="true" style="2"/>
    <col min="889" max="889" width="9.1328125" customWidth="true" style="2"/>
    <col min="890" max="890" width="9.1328125" customWidth="true" style="2"/>
    <col min="891" max="891" width="9.1328125" customWidth="true" style="2"/>
    <col min="892" max="892" width="9.1328125" customWidth="true" style="2"/>
    <col min="893" max="893" width="9.1328125" customWidth="true" style="2"/>
    <col min="894" max="894" width="9.1328125" customWidth="true" style="2"/>
    <col min="895" max="895" width="9.1328125" customWidth="true" style="2"/>
    <col min="896" max="896" width="9.1328125" customWidth="true" style="2"/>
    <col min="897" max="897" width="9.1328125" customWidth="true" style="2"/>
    <col min="898" max="898" width="9.1328125" customWidth="true" style="2"/>
    <col min="899" max="899" width="9.1328125" customWidth="true" style="2"/>
    <col min="900" max="900" width="9.1328125" customWidth="true" style="2"/>
    <col min="901" max="901" width="9.1328125" customWidth="true" style="2"/>
    <col min="902" max="902" width="9.1328125" customWidth="true" style="2"/>
    <col min="903" max="903" width="9.1328125" customWidth="true" style="2"/>
    <col min="904" max="904" width="9.1328125" customWidth="true" style="2"/>
    <col min="905" max="905" width="9.1328125" customWidth="true" style="2"/>
    <col min="906" max="906" width="9.1328125" customWidth="true" style="2"/>
    <col min="907" max="907" width="9.1328125" customWidth="true" style="2"/>
    <col min="908" max="908" width="9.1328125" customWidth="true" style="2"/>
    <col min="909" max="909" width="9.1328125" customWidth="true" style="2"/>
    <col min="910" max="910" width="9.1328125" customWidth="true" style="2"/>
    <col min="911" max="911" width="9.1328125" customWidth="true" style="2"/>
    <col min="912" max="912" width="9.1328125" customWidth="true" style="2"/>
    <col min="913" max="913" width="9.1328125" customWidth="true" style="2"/>
    <col min="914" max="914" width="9.1328125" customWidth="true" style="2"/>
    <col min="915" max="915" width="9.1328125" customWidth="true" style="2"/>
    <col min="916" max="916" width="9.1328125" customWidth="true" style="2"/>
    <col min="917" max="917" width="9.1328125" customWidth="true" style="2"/>
    <col min="918" max="918" width="9.1328125" customWidth="true" style="2"/>
    <col min="919" max="919" width="9.1328125" customWidth="true" style="2"/>
    <col min="920" max="920" width="9.1328125" customWidth="true" style="2"/>
    <col min="921" max="921" width="9.1328125" customWidth="true" style="2"/>
    <col min="922" max="922" width="9.1328125" customWidth="true" style="2"/>
    <col min="923" max="923" width="9.1328125" customWidth="true" style="2"/>
    <col min="924" max="924" width="9.1328125" customWidth="true" style="2"/>
    <col min="925" max="925" width="9.1328125" customWidth="true" style="2"/>
    <col min="926" max="926" width="9.1328125" customWidth="true" style="2"/>
    <col min="927" max="927" width="9.1328125" customWidth="true" style="2"/>
    <col min="928" max="928" width="9.1328125" customWidth="true" style="2"/>
    <col min="929" max="929" width="9.1328125" customWidth="true" style="2"/>
    <col min="930" max="930" width="9.1328125" customWidth="true" style="2"/>
    <col min="931" max="931" width="9.1328125" customWidth="true" style="2"/>
    <col min="932" max="932" width="9.1328125" customWidth="true" style="2"/>
    <col min="933" max="933" width="9.1328125" customWidth="true" style="2"/>
    <col min="934" max="934" width="9.1328125" customWidth="true" style="2"/>
    <col min="935" max="935" width="9.1328125" customWidth="true" style="2"/>
    <col min="936" max="936" width="9.1328125" customWidth="true" style="2"/>
    <col min="937" max="937" width="9.1328125" customWidth="true" style="2"/>
    <col min="938" max="938" width="9.1328125" customWidth="true" style="2"/>
    <col min="939" max="939" width="9.1328125" customWidth="true" style="2"/>
    <col min="940" max="940" width="9.1328125" customWidth="true" style="2"/>
    <col min="941" max="941" width="9.1328125" customWidth="true" style="2"/>
    <col min="942" max="942" width="9.1328125" customWidth="true" style="2"/>
    <col min="943" max="943" width="9.1328125" customWidth="true" style="2"/>
    <col min="944" max="944" width="9.1328125" customWidth="true" style="2"/>
    <col min="945" max="945" width="9.1328125" customWidth="true" style="2"/>
    <col min="946" max="946" width="9.1328125" customWidth="true" style="2"/>
    <col min="947" max="947" width="9.1328125" customWidth="true" style="2"/>
    <col min="948" max="948" width="9.1328125" customWidth="true" style="2"/>
    <col min="949" max="949" width="9.1328125" customWidth="true" style="2"/>
    <col min="950" max="950" width="9.1328125" customWidth="true" style="2"/>
    <col min="951" max="951" width="9.1328125" customWidth="true" style="2"/>
    <col min="952" max="952" width="9.1328125" customWidth="true" style="2"/>
    <col min="953" max="953" width="9.1328125" customWidth="true" style="2"/>
    <col min="954" max="954" width="9.1328125" customWidth="true" style="2"/>
    <col min="955" max="955" width="9.1328125" customWidth="true" style="2"/>
    <col min="956" max="956" width="9.1328125" customWidth="true" style="2"/>
    <col min="957" max="957" width="9.1328125" customWidth="true" style="2"/>
    <col min="958" max="958" width="9.1328125" customWidth="true" style="2"/>
    <col min="959" max="959" width="9.1328125" customWidth="true" style="2"/>
    <col min="960" max="960" width="9.1328125" customWidth="true" style="2"/>
    <col min="961" max="961" width="9.1328125" customWidth="true" style="2"/>
    <col min="962" max="962" width="9.1328125" customWidth="true" style="2"/>
    <col min="963" max="963" width="9.1328125" customWidth="true" style="2"/>
    <col min="964" max="964" width="9.1328125" customWidth="true" style="2"/>
    <col min="965" max="965" width="9.1328125" customWidth="true" style="2"/>
    <col min="966" max="966" width="9.1328125" customWidth="true" style="2"/>
    <col min="967" max="967" width="9.1328125" customWidth="true" style="2"/>
    <col min="968" max="968" width="9.1328125" customWidth="true" style="2"/>
    <col min="969" max="969" width="9.1328125" customWidth="true" style="2"/>
    <col min="970" max="970" width="9.1328125" customWidth="true" style="2"/>
    <col min="971" max="971" width="9.1328125" customWidth="true" style="2"/>
    <col min="972" max="972" width="9.1328125" customWidth="true" style="2"/>
    <col min="973" max="973" width="9.1328125" customWidth="true" style="2"/>
    <col min="974" max="974" width="9.1328125" customWidth="true" style="2"/>
    <col min="975" max="975" width="9.1328125" customWidth="true" style="2"/>
    <col min="976" max="976" width="9.1328125" customWidth="true" style="2"/>
    <col min="977" max="977" width="9.1328125" customWidth="true" style="2"/>
    <col min="978" max="978" width="9.1328125" customWidth="true" style="2"/>
    <col min="979" max="979" width="9.1328125" customWidth="true" style="2"/>
    <col min="980" max="980" width="9.1328125" customWidth="true" style="2"/>
    <col min="981" max="981" width="9.1328125" customWidth="true" style="2"/>
    <col min="982" max="982" width="9.1328125" customWidth="true" style="2"/>
    <col min="983" max="983" width="9.1328125" customWidth="true" style="2"/>
    <col min="984" max="984" width="9.1328125" customWidth="true" style="2"/>
    <col min="985" max="985" width="9.1328125" customWidth="true" style="2"/>
    <col min="986" max="986" width="9.1328125" customWidth="true" style="2"/>
    <col min="987" max="987" width="9.1328125" customWidth="true" style="2"/>
    <col min="988" max="988" width="9.1328125" customWidth="true" style="2"/>
    <col min="989" max="989" width="9.1328125" customWidth="true" style="2"/>
    <col min="990" max="990" width="9.1328125" customWidth="true" style="2"/>
    <col min="991" max="991" width="9.1328125" customWidth="true" style="2"/>
    <col min="992" max="992" width="9.1328125" customWidth="true" style="2"/>
    <col min="993" max="993" width="9.1328125" customWidth="true" style="2"/>
    <col min="994" max="994" width="9.1328125" customWidth="true" style="2"/>
    <col min="995" max="995" width="9.1328125" customWidth="true" style="2"/>
    <col min="996" max="996" width="9.1328125" customWidth="true" style="2"/>
    <col min="997" max="997" width="9.1328125" customWidth="true" style="2"/>
    <col min="998" max="998" width="9.1328125" customWidth="true" style="2"/>
    <col min="999" max="999" width="9.1328125" customWidth="true" style="2"/>
    <col min="1000" max="1000" width="9.1328125" customWidth="true" style="2"/>
    <col min="1001" max="1001" width="9.1328125" customWidth="true" style="2"/>
    <col min="1002" max="1002" width="9.1328125" customWidth="true" style="2"/>
    <col min="1003" max="1003" width="9.1328125" customWidth="true" style="2"/>
    <col min="1004" max="1004" width="9.1328125" customWidth="true" style="2"/>
    <col min="1005" max="1005" width="9.1328125" customWidth="true" style="2"/>
    <col min="1006" max="1006" width="9.1328125" customWidth="true" style="2"/>
    <col min="1007" max="1007" width="9.1328125" customWidth="true" style="2"/>
    <col min="1008" max="1008" width="9.1328125" customWidth="true" style="2"/>
    <col min="1009" max="1009" width="9.1328125" customWidth="true" style="2"/>
    <col min="1010" max="1010" width="9.1328125" customWidth="true" style="2"/>
    <col min="1011" max="1011" width="9.1328125" customWidth="true" style="2"/>
    <col min="1012" max="1012" width="9.1328125" customWidth="true" style="2"/>
    <col min="1013" max="1013" width="9.1328125" customWidth="true" style="2"/>
    <col min="1014" max="1014" width="9.1328125" customWidth="true" style="2"/>
    <col min="1015" max="1015" width="9.1328125" customWidth="true" style="2"/>
    <col min="1016" max="1016" width="9.1328125" customWidth="true" style="2"/>
    <col min="1017" max="1017" width="9.1328125" customWidth="true" style="2"/>
    <col min="1018" max="1018" width="9.1328125" customWidth="true" style="2"/>
    <col min="1019" max="1019" width="9.1328125" customWidth="true" style="2"/>
    <col min="1020" max="1020" width="9.1328125" customWidth="true" style="2"/>
    <col min="1021" max="1021" width="9.1328125" customWidth="true" style="2"/>
    <col min="1022" max="1022" width="9.1328125" customWidth="true" style="2"/>
    <col min="1023" max="1023" width="9.1328125" customWidth="true" style="2"/>
    <col min="1024" max="1024" width="9.1328125" customWidth="true" style="2"/>
    <col min="1025" max="1025" width="9.1328125" customWidth="true" style="2"/>
    <col min="1026" max="1026" width="9.1328125" customWidth="true" style="0"/>
  </cols>
  <sheetData>
    <row r="1" spans="1:1026" customHeight="1" ht="50.25">
      <c r="A1" s="694" t="str">
        <f>#REF!</f>
        <v>0</v>
      </c>
      <c r="B1" s="694"/>
      <c r="C1" s="694"/>
      <c r="E1" s="27"/>
      <c r="F1" s="27"/>
      <c r="G1" s="27"/>
      <c r="H1" s="27"/>
      <c r="I1" s="27"/>
      <c r="K1" s="2"/>
    </row>
    <row r="2" spans="1:1026" customHeight="1" ht="9.75">
      <c r="A2" s="695"/>
      <c r="B2" s="695"/>
      <c r="C2" s="695"/>
      <c r="D2" s="695"/>
      <c r="E2" s="695"/>
      <c r="F2" s="695"/>
      <c r="G2" s="695"/>
      <c r="H2" s="695"/>
      <c r="I2" s="695"/>
      <c r="J2" s="695"/>
      <c r="K2" s="695"/>
    </row>
    <row r="3" spans="1:1026" customHeight="1" ht="18.75">
      <c r="A3" s="3" t="str">
        <f>#REF!</f>
        <v>0</v>
      </c>
      <c r="C3" s="4"/>
      <c r="E3" s="27"/>
      <c r="F3" s="27"/>
      <c r="G3" s="27"/>
      <c r="H3" s="27"/>
      <c r="I3" s="27"/>
      <c r="K3" s="5"/>
      <c r="L3" s="27"/>
    </row>
    <row r="4" spans="1:1026">
      <c r="A4" s="6" t="str">
        <f>#REF!</f>
        <v>0</v>
      </c>
      <c r="B4" s="27"/>
      <c r="C4" s="7" t="str">
        <f>#REF!</f>
        <v>0</v>
      </c>
      <c r="F4" s="696" t="str">
        <f>#REF!</f>
        <v>0</v>
      </c>
      <c r="G4" s="696"/>
      <c r="H4" s="8" t="str">
        <f>#REF!</f>
        <v>0</v>
      </c>
      <c r="J4" s="87" t="str">
        <f>#REF!</f>
        <v>0</v>
      </c>
      <c r="K4" s="7" t="str">
        <f>#REF!</f>
        <v>0</v>
      </c>
      <c r="L4" s="27"/>
    </row>
    <row r="5" spans="1:1026">
      <c r="A5" s="6" t="str">
        <f>#REF!</f>
        <v>0</v>
      </c>
      <c r="B5" s="27"/>
      <c r="C5" s="7" t="str">
        <f>#REF!</f>
        <v>0</v>
      </c>
      <c r="D5" s="9"/>
      <c r="E5" s="7"/>
      <c r="F5" s="696" t="str">
        <f>#REF!</f>
        <v>0</v>
      </c>
      <c r="G5" s="696"/>
      <c r="H5" s="7" t="str">
        <f>#REF!</f>
        <v>0</v>
      </c>
      <c r="J5" s="87" t="str">
        <f>#REF!</f>
        <v>0</v>
      </c>
      <c r="K5" s="7" t="str">
        <f>#REF!</f>
        <v>0</v>
      </c>
      <c r="L5" s="27"/>
    </row>
    <row r="6" spans="1:1026" customHeight="1" ht="12">
      <c r="A6" s="9"/>
      <c r="C6" s="10"/>
      <c r="E6" s="27"/>
      <c r="F6" s="27"/>
      <c r="G6" s="27"/>
      <c r="H6" s="27"/>
      <c r="I6" s="27"/>
      <c r="J6" s="27"/>
      <c r="K6" s="27"/>
      <c r="L6" s="27"/>
    </row>
    <row r="7" spans="1:1026" customHeight="1" ht="21.75">
      <c r="A7" s="697" t="str">
        <f>#REF!</f>
        <v>0</v>
      </c>
      <c r="B7" s="697"/>
      <c r="C7" s="697"/>
      <c r="D7" s="697"/>
      <c r="E7" s="697"/>
      <c r="F7" s="697"/>
      <c r="G7" s="697"/>
      <c r="H7" s="697"/>
      <c r="I7" s="697"/>
      <c r="J7" s="697"/>
      <c r="K7" s="697"/>
      <c r="L7" s="27"/>
    </row>
    <row r="8" spans="1:1026" customHeight="1" ht="12">
      <c r="A8" s="68"/>
      <c r="B8" s="68"/>
      <c r="C8" s="68"/>
      <c r="D8" s="68"/>
      <c r="E8" s="11"/>
      <c r="F8" s="11"/>
      <c r="G8" s="11"/>
      <c r="H8" s="11"/>
      <c r="I8" s="11"/>
      <c r="J8" s="11"/>
      <c r="K8" s="11"/>
      <c r="L8" s="27"/>
    </row>
    <row r="9" spans="1:1026">
      <c r="A9" s="692"/>
      <c r="B9" s="692"/>
      <c r="C9" s="692"/>
      <c r="D9" s="692"/>
      <c r="E9" s="693" t="str">
        <f>#REF!</f>
        <v>0</v>
      </c>
      <c r="F9" s="693"/>
      <c r="G9" s="693"/>
      <c r="H9" s="693" t="str">
        <f>#REF!</f>
        <v>0</v>
      </c>
      <c r="I9" s="693"/>
      <c r="J9" s="693"/>
      <c r="K9" s="693"/>
      <c r="L9" s="27"/>
    </row>
    <row r="10" spans="1:1026" customHeight="1" ht="15.95">
      <c r="A10" s="700" t="str">
        <f>#REF!</f>
        <v>0</v>
      </c>
      <c r="B10" s="701"/>
      <c r="C10" s="14" t="str">
        <f>#REF!</f>
        <v>0</v>
      </c>
      <c r="D10" s="14" t="str">
        <f>#REF!</f>
        <v>0</v>
      </c>
      <c r="E10" s="13" t="str">
        <f>#REF!</f>
        <v>0</v>
      </c>
      <c r="F10" s="14" t="str">
        <f>#REF!</f>
        <v>0</v>
      </c>
      <c r="G10" s="12" t="str">
        <f>#REF!</f>
        <v>0</v>
      </c>
      <c r="H10" s="13" t="str">
        <f>#REF!</f>
        <v>0</v>
      </c>
      <c r="I10" s="12" t="str">
        <f>#REF!</f>
        <v>0</v>
      </c>
      <c r="J10" s="14" t="str">
        <f>#REF!</f>
        <v>0</v>
      </c>
      <c r="K10" s="15" t="str">
        <f>#REF!</f>
        <v>0</v>
      </c>
      <c r="L10" s="27"/>
    </row>
    <row r="11" spans="1:1026" customHeight="1" ht="15.95">
      <c r="A11" s="702" t="str">
        <f>#REF!</f>
        <v>0</v>
      </c>
      <c r="B11" s="703"/>
      <c r="C11" s="17" t="str">
        <f>#REF!</f>
        <v>0</v>
      </c>
      <c r="D11" s="16" t="str">
        <f>#REF!</f>
        <v>0</v>
      </c>
      <c r="E11" s="18" t="str">
        <f>#REF!</f>
        <v>0</v>
      </c>
      <c r="F11" s="85" t="str">
        <f>#REF!</f>
        <v>0</v>
      </c>
      <c r="G11" s="19" t="str">
        <f>ROUND(E11/F11,2)</f>
        <v>0</v>
      </c>
      <c r="H11" s="23" t="str">
        <f>#REF!</f>
        <v>0</v>
      </c>
      <c r="I11" s="23" t="str">
        <f>#REF!</f>
        <v>0</v>
      </c>
      <c r="J11" s="36" t="str">
        <f>#REF!</f>
        <v>0</v>
      </c>
      <c r="K11" s="38" t="str">
        <f>J11-I11</f>
        <v>0</v>
      </c>
      <c r="L11" s="27"/>
    </row>
    <row r="12" spans="1:1026">
      <c r="A12" s="704" t="str">
        <f>#REF!</f>
        <v>0</v>
      </c>
      <c r="B12" s="705"/>
      <c r="C12" s="21" t="str">
        <f>#REF!</f>
        <v>0</v>
      </c>
      <c r="D12" s="20" t="str">
        <f>#REF!</f>
        <v>0</v>
      </c>
      <c r="E12" s="22" t="str">
        <f>#REF!</f>
        <v>0</v>
      </c>
      <c r="F12" s="85" t="str">
        <f>#REF!</f>
        <v>0</v>
      </c>
      <c r="G12" s="23" t="str">
        <f>ROUND(E12/F12,2)</f>
        <v>0</v>
      </c>
      <c r="H12" s="23" t="str">
        <f>#REF!</f>
        <v>0</v>
      </c>
      <c r="I12" s="23" t="str">
        <f>#REF!</f>
        <v>0</v>
      </c>
      <c r="J12" s="37" t="str">
        <f>#REF!</f>
        <v>0</v>
      </c>
      <c r="K12" s="39" t="str">
        <f>J12-I12</f>
        <v>0</v>
      </c>
      <c r="L12" s="27"/>
    </row>
    <row r="13" spans="1:1026">
      <c r="A13" s="704" t="str">
        <f>#REF!</f>
        <v>0</v>
      </c>
      <c r="B13" s="705"/>
      <c r="C13" s="21" t="str">
        <f>#REF!</f>
        <v>0</v>
      </c>
      <c r="D13" s="20" t="str">
        <f>#REF!</f>
        <v>0</v>
      </c>
      <c r="E13" s="22" t="str">
        <f>#REF!</f>
        <v>0</v>
      </c>
      <c r="F13" s="85" t="str">
        <f>#REF!</f>
        <v>0</v>
      </c>
      <c r="G13" s="23" t="str">
        <f>ROUND(E13/F13,2)</f>
        <v>0</v>
      </c>
      <c r="H13" s="23" t="str">
        <f>#REF!</f>
        <v>0</v>
      </c>
      <c r="I13" s="23" t="str">
        <f>#REF!</f>
        <v>0</v>
      </c>
      <c r="J13" s="37" t="str">
        <f>#REF!</f>
        <v>0</v>
      </c>
      <c r="K13" s="39" t="str">
        <f>J13-I13</f>
        <v>0</v>
      </c>
      <c r="L13" s="27"/>
    </row>
    <row r="14" spans="1:1026">
      <c r="A14" s="704" t="str">
        <f>#REF!</f>
        <v>0</v>
      </c>
      <c r="B14" s="705"/>
      <c r="C14" s="21" t="str">
        <f>#REF!</f>
        <v>0</v>
      </c>
      <c r="D14" s="20" t="str">
        <f>#REF!</f>
        <v>0</v>
      </c>
      <c r="E14" s="22" t="str">
        <f>#REF!</f>
        <v>0</v>
      </c>
      <c r="F14" s="85" t="str">
        <f>'Počet osob'!P104</f>
        <v>0</v>
      </c>
      <c r="G14" s="23" t="str">
        <f>ROUND(E14/F14,2)</f>
        <v>0</v>
      </c>
      <c r="H14" s="23" t="str">
        <f>LOOKUP('vstupní data'!B4,'Počet osob'!A:A,'Počet osob'!P:P)</f>
        <v>0</v>
      </c>
      <c r="I14" s="23" t="str">
        <f>H14*G14</f>
        <v>0</v>
      </c>
      <c r="J14" s="37" t="str">
        <f>#REF!</f>
        <v>0</v>
      </c>
      <c r="K14" s="40" t="str">
        <f>J14-I14</f>
        <v>0</v>
      </c>
      <c r="L14" s="27"/>
    </row>
    <row r="15" spans="1:1026" hidden="true">
      <c r="A15" s="704" t="str">
        <f>#REF!</f>
        <v>0</v>
      </c>
      <c r="B15" s="705"/>
      <c r="C15" s="21" t="str">
        <f>#REF!</f>
        <v>0</v>
      </c>
      <c r="D15" s="20" t="str">
        <f>#REF!</f>
        <v>0</v>
      </c>
      <c r="E15" s="22" t="str">
        <f>#REF!</f>
        <v>0</v>
      </c>
      <c r="F15" s="85" t="str">
        <f>#REF!</f>
        <v>0</v>
      </c>
      <c r="G15" s="23" t="str">
        <f>#REF!</f>
        <v>0</v>
      </c>
      <c r="H15" s="23" t="str">
        <f>#REF!</f>
        <v>0</v>
      </c>
      <c r="I15" s="23" t="str">
        <f>#REF!</f>
        <v>0</v>
      </c>
      <c r="J15" s="37" t="str">
        <f>#REF!</f>
        <v>0</v>
      </c>
      <c r="K15" s="40" t="str">
        <f>#REF!</f>
        <v>0</v>
      </c>
      <c r="L15" s="27"/>
    </row>
    <row r="16" spans="1:1026" hidden="true">
      <c r="A16" s="704" t="str">
        <f>#REF!</f>
        <v>0</v>
      </c>
      <c r="B16" s="705"/>
      <c r="C16" s="21" t="str">
        <f>#REF!</f>
        <v>0</v>
      </c>
      <c r="D16" s="20" t="str">
        <f>#REF!</f>
        <v>0</v>
      </c>
      <c r="E16" s="22" t="str">
        <f>#REF!</f>
        <v>0</v>
      </c>
      <c r="F16" s="85" t="str">
        <f>#REF!</f>
        <v>0</v>
      </c>
      <c r="G16" s="23" t="str">
        <f>#REF!</f>
        <v>0</v>
      </c>
      <c r="H16" s="23" t="str">
        <f>#REF!</f>
        <v>0</v>
      </c>
      <c r="I16" s="23" t="str">
        <f>#REF!</f>
        <v>0</v>
      </c>
      <c r="J16" s="37" t="str">
        <f>#REF!</f>
        <v>0</v>
      </c>
      <c r="K16" s="40" t="str">
        <f>#REF!</f>
        <v>0</v>
      </c>
      <c r="L16" s="27"/>
    </row>
    <row r="17" spans="1:1026" hidden="true">
      <c r="A17" s="704" t="str">
        <f>#REF!</f>
        <v>0</v>
      </c>
      <c r="B17" s="705"/>
      <c r="C17" s="21" t="str">
        <f>#REF!</f>
        <v>0</v>
      </c>
      <c r="D17" s="20" t="str">
        <f>#REF!</f>
        <v>0</v>
      </c>
      <c r="E17" s="22" t="str">
        <f>#REF!</f>
        <v>0</v>
      </c>
      <c r="F17" s="85" t="str">
        <f>#REF!</f>
        <v>0</v>
      </c>
      <c r="G17" s="23" t="str">
        <f>#REF!</f>
        <v>0</v>
      </c>
      <c r="H17" s="23" t="str">
        <f>#REF!</f>
        <v>0</v>
      </c>
      <c r="I17" s="23" t="str">
        <f>#REF!</f>
        <v>0</v>
      </c>
      <c r="J17" s="37" t="str">
        <f>#REF!</f>
        <v>0</v>
      </c>
      <c r="K17" s="40" t="str">
        <f>#REF!</f>
        <v>0</v>
      </c>
      <c r="L17" s="27"/>
    </row>
    <row r="18" spans="1:1026">
      <c r="A18" s="704" t="str">
        <f>#REF!</f>
        <v>0</v>
      </c>
      <c r="B18" s="705"/>
      <c r="C18" s="21" t="str">
        <f>#REF!</f>
        <v>0</v>
      </c>
      <c r="D18" s="20" t="str">
        <f>#REF!</f>
        <v>0</v>
      </c>
      <c r="E18" s="22" t="str">
        <f>'faktury za služby'!J43</f>
        <v>0</v>
      </c>
      <c r="F18" s="85" t="str">
        <f>#REF!</f>
        <v>0</v>
      </c>
      <c r="G18" s="23" t="str">
        <f>ROUND(E18/F18,2)</f>
        <v>0</v>
      </c>
      <c r="H18" s="23" t="str">
        <f>#REF!</f>
        <v>0</v>
      </c>
      <c r="I18" s="23" t="str">
        <f>#REF!</f>
        <v>0</v>
      </c>
      <c r="J18" s="37" t="str">
        <f>#REF!</f>
        <v>0</v>
      </c>
      <c r="K18" s="40" t="str">
        <f>J18-I18</f>
        <v>0</v>
      </c>
      <c r="L18" s="27"/>
    </row>
    <row r="19" spans="1:1026" hidden="true">
      <c r="A19" s="706" t="str">
        <f>#REF!</f>
        <v>0</v>
      </c>
      <c r="B19" s="707"/>
      <c r="C19" s="21" t="str">
        <f>#REF!</f>
        <v>0</v>
      </c>
      <c r="D19" s="20" t="str">
        <f>#REF!</f>
        <v>0</v>
      </c>
      <c r="E19" s="22" t="str">
        <f>#REF!</f>
        <v>0</v>
      </c>
      <c r="F19" s="85" t="str">
        <f>#REF!</f>
        <v>0</v>
      </c>
      <c r="G19" s="23" t="str">
        <f>#REF!</f>
        <v>0</v>
      </c>
      <c r="H19" s="23" t="str">
        <f>#REF!</f>
        <v>0</v>
      </c>
      <c r="I19" s="23" t="str">
        <f>#REF!</f>
        <v>0</v>
      </c>
      <c r="J19" s="710" t="str">
        <f>#REF!</f>
        <v>0</v>
      </c>
      <c r="K19" s="698" t="str">
        <f>#REF!</f>
        <v>0</v>
      </c>
      <c r="L19" s="27"/>
    </row>
    <row r="20" spans="1:1026" hidden="true">
      <c r="A20" s="708"/>
      <c r="B20" s="709"/>
      <c r="C20" s="31" t="str">
        <f>#REF!</f>
        <v>0</v>
      </c>
      <c r="D20" s="83" t="str">
        <f>#REF!</f>
        <v>0</v>
      </c>
      <c r="E20" s="86" t="str">
        <f>#REF!</f>
        <v>0</v>
      </c>
      <c r="F20" s="85" t="str">
        <f>#REF!</f>
        <v>0</v>
      </c>
      <c r="G20" s="23" t="str">
        <f>#REF!</f>
        <v>0</v>
      </c>
      <c r="H20" s="23" t="str">
        <f>#REF!</f>
        <v>0</v>
      </c>
      <c r="I20" s="23" t="str">
        <f>#REF!</f>
        <v>0</v>
      </c>
      <c r="J20" s="711"/>
      <c r="K20" s="699"/>
      <c r="L20" s="27"/>
    </row>
    <row r="21" spans="1:1026" customHeight="1" ht="15.95">
      <c r="A21" s="714" t="str">
        <f>#REF!</f>
        <v>0</v>
      </c>
      <c r="B21" s="715"/>
      <c r="C21" s="73" t="str">
        <f>#REF!</f>
        <v>0</v>
      </c>
      <c r="D21" s="54" t="str">
        <f>#REF!</f>
        <v>0</v>
      </c>
      <c r="E21" s="74" t="str">
        <f>#REF!</f>
        <v>0</v>
      </c>
      <c r="F21" s="76" t="str">
        <f>#REF!</f>
        <v>0</v>
      </c>
      <c r="G21" s="76" t="str">
        <f>ROUND(E21/F21,2)</f>
        <v>0</v>
      </c>
      <c r="H21" s="76" t="str">
        <f>#REF!</f>
        <v>0</v>
      </c>
      <c r="I21" s="76" t="str">
        <f>#REF!</f>
        <v>0</v>
      </c>
      <c r="J21" s="78" t="str">
        <f>#REF!</f>
        <v>0</v>
      </c>
      <c r="K21" s="91" t="str">
        <f>J21-I21</f>
        <v>0</v>
      </c>
      <c r="L21" s="27"/>
    </row>
    <row r="22" spans="1:1026" customHeight="1" ht="15.95" hidden="true">
      <c r="A22" s="716" t="str">
        <f>#REF!</f>
        <v>0</v>
      </c>
      <c r="B22" s="717"/>
      <c r="C22" s="92" t="str">
        <f>#REF!</f>
        <v>0</v>
      </c>
      <c r="D22" s="75" t="str">
        <f>#REF!</f>
        <v>0</v>
      </c>
      <c r="E22" s="93" t="str">
        <f>#REF!</f>
        <v>0</v>
      </c>
      <c r="F22" s="75" t="str">
        <f>#REF!</f>
        <v>0</v>
      </c>
      <c r="G22" s="94" t="str">
        <f>#REF!</f>
        <v>0</v>
      </c>
      <c r="H22" s="77" t="str">
        <f>#REF!</f>
        <v>0</v>
      </c>
      <c r="I22" s="94" t="str">
        <f>#REF!</f>
        <v>0</v>
      </c>
      <c r="J22" s="95" t="str">
        <f>#REF!</f>
        <v>0</v>
      </c>
      <c r="K22" s="96" t="str">
        <f>#REF!</f>
        <v>0</v>
      </c>
      <c r="L22" s="27"/>
    </row>
    <row r="23" spans="1:1026" customHeight="1" ht="15.95">
      <c r="A23" s="718" t="str">
        <f>#REF!</f>
        <v>0</v>
      </c>
      <c r="B23" s="718"/>
      <c r="C23" s="718"/>
      <c r="D23" s="5"/>
      <c r="E23" s="24" t="str">
        <f>SUM(E11:E21)</f>
        <v>0</v>
      </c>
      <c r="F23" s="5"/>
      <c r="G23" s="719" t="str">
        <f>#REF!</f>
        <v>0</v>
      </c>
      <c r="H23" s="719"/>
      <c r="I23" s="24" t="str">
        <f>SUM(I11:I21)</f>
        <v>0</v>
      </c>
      <c r="J23" s="24" t="str">
        <f>SUM(J11:J21)</f>
        <v>0</v>
      </c>
      <c r="K23" s="174" t="str">
        <f>SUM(K11:K21)</f>
        <v>0</v>
      </c>
      <c r="L23" s="27"/>
    </row>
    <row r="24" spans="1:1026">
      <c r="A24" s="27"/>
      <c r="B24" s="27"/>
      <c r="C24" s="27"/>
      <c r="D24" s="27"/>
      <c r="E24" s="27"/>
      <c r="G24" s="718" t="str">
        <f>#REF!</f>
        <v>0</v>
      </c>
      <c r="H24" s="718"/>
      <c r="I24" s="718"/>
      <c r="J24" s="718"/>
      <c r="K24" s="41" t="str">
        <f>#REF!</f>
        <v>0</v>
      </c>
      <c r="L24" s="27"/>
    </row>
    <row r="25" spans="1:1026">
      <c r="A25" s="27"/>
      <c r="B25" s="27"/>
      <c r="C25" s="69"/>
      <c r="D25" s="5"/>
      <c r="E25" s="5"/>
      <c r="F25" s="5"/>
      <c r="G25" s="720" t="str">
        <f>#REF!</f>
        <v>0</v>
      </c>
      <c r="H25" s="720"/>
      <c r="I25" s="720"/>
      <c r="J25" s="720"/>
      <c r="K25" s="42" t="str">
        <f>K24+K23</f>
        <v>0</v>
      </c>
      <c r="L25" s="27"/>
    </row>
    <row r="26" spans="1:1026">
      <c r="A26" s="27"/>
      <c r="B26" s="27"/>
      <c r="C26" s="25"/>
      <c r="D26" s="5"/>
      <c r="E26" s="721" t="str">
        <f>#REF!</f>
        <v>0</v>
      </c>
      <c r="F26" s="721"/>
      <c r="G26" s="721"/>
      <c r="H26" s="721"/>
      <c r="I26" s="721"/>
      <c r="J26" s="721"/>
      <c r="K26" s="721"/>
      <c r="L26" s="27"/>
    </row>
    <row r="27" spans="1:1026">
      <c r="A27" s="27"/>
      <c r="B27" s="27"/>
      <c r="C27" s="25"/>
      <c r="D27" s="5"/>
      <c r="E27" s="61"/>
      <c r="F27" s="61"/>
      <c r="G27" s="61"/>
      <c r="H27" s="61"/>
      <c r="I27" s="61"/>
      <c r="J27" s="61"/>
      <c r="K27" s="61"/>
      <c r="L27" s="27"/>
    </row>
    <row r="28" spans="1:1026">
      <c r="A28" s="722" t="str">
        <f>#REF!</f>
        <v>0</v>
      </c>
      <c r="B28" s="723"/>
      <c r="C28" s="723"/>
      <c r="D28" s="723"/>
      <c r="E28" s="723"/>
      <c r="F28" s="723"/>
      <c r="G28" s="723"/>
      <c r="H28" s="723"/>
      <c r="I28" s="723"/>
      <c r="J28" s="723"/>
      <c r="K28" s="723"/>
      <c r="L28" s="724"/>
    </row>
    <row r="29" spans="1:1026">
      <c r="A29" s="63" t="str">
        <f>#REF!</f>
        <v>0</v>
      </c>
      <c r="B29" s="63" t="str">
        <f>#REF!</f>
        <v>0</v>
      </c>
      <c r="C29" s="63" t="str">
        <f>#REF!</f>
        <v>0</v>
      </c>
      <c r="D29" s="63" t="str">
        <f>#REF!</f>
        <v>0</v>
      </c>
      <c r="E29" s="63" t="str">
        <f>#REF!</f>
        <v>0</v>
      </c>
      <c r="F29" s="63" t="str">
        <f>#REF!</f>
        <v>0</v>
      </c>
      <c r="G29" s="63" t="str">
        <f>#REF!</f>
        <v>0</v>
      </c>
      <c r="H29" s="63" t="str">
        <f>#REF!</f>
        <v>0</v>
      </c>
      <c r="I29" s="63" t="str">
        <f>#REF!</f>
        <v>0</v>
      </c>
      <c r="J29" s="63" t="str">
        <f>#REF!</f>
        <v>0</v>
      </c>
      <c r="K29" s="63" t="str">
        <f>#REF!</f>
        <v>0</v>
      </c>
      <c r="L29" s="63" t="str">
        <f>#REF!</f>
        <v>0</v>
      </c>
    </row>
    <row r="30" spans="1:1026">
      <c r="A30" s="64" t="str">
        <f>#REF!</f>
        <v>0</v>
      </c>
      <c r="B30" s="64" t="str">
        <f>#REF!</f>
        <v>0</v>
      </c>
      <c r="C30" s="64" t="str">
        <f>#REF!</f>
        <v>0</v>
      </c>
      <c r="D30" s="64" t="str">
        <f>#REF!</f>
        <v>0</v>
      </c>
      <c r="E30" s="64" t="str">
        <f>#REF!</f>
        <v>0</v>
      </c>
      <c r="F30" s="64" t="str">
        <f>#REF!</f>
        <v>0</v>
      </c>
      <c r="G30" s="64" t="str">
        <f>#REF!</f>
        <v>0</v>
      </c>
      <c r="H30" s="64" t="str">
        <f>#REF!</f>
        <v>0</v>
      </c>
      <c r="I30" s="64" t="str">
        <f>#REF!</f>
        <v>0</v>
      </c>
      <c r="J30" s="64" t="str">
        <f>#REF!</f>
        <v>0</v>
      </c>
      <c r="K30" s="64" t="str">
        <f>#REF!</f>
        <v>0</v>
      </c>
      <c r="L30" s="64" t="str">
        <f>#REF!</f>
        <v>0</v>
      </c>
      <c r="N30" s="725"/>
      <c r="O30" s="725"/>
      <c r="P30" s="725"/>
      <c r="Q30" s="725"/>
    </row>
    <row r="31" spans="1:1026">
      <c r="A31" s="722" t="str">
        <f>#REF!</f>
        <v>0</v>
      </c>
      <c r="B31" s="723"/>
      <c r="C31" s="723"/>
      <c r="D31" s="723"/>
      <c r="E31" s="723"/>
      <c r="F31" s="723"/>
      <c r="G31" s="723"/>
      <c r="H31" s="723"/>
      <c r="I31" s="723"/>
      <c r="J31" s="723"/>
      <c r="K31" s="723"/>
      <c r="L31" s="724"/>
      <c r="N31" s="726"/>
      <c r="O31" s="726"/>
      <c r="P31" s="726"/>
      <c r="Q31" s="726"/>
    </row>
    <row r="32" spans="1:1026">
      <c r="A32" s="63" t="str">
        <f>#REF!</f>
        <v>0</v>
      </c>
      <c r="B32" s="63" t="str">
        <f>#REF!</f>
        <v>0</v>
      </c>
      <c r="C32" s="63" t="str">
        <f>#REF!</f>
        <v>0</v>
      </c>
      <c r="D32" s="63" t="str">
        <f>#REF!</f>
        <v>0</v>
      </c>
      <c r="E32" s="63" t="str">
        <f>#REF!</f>
        <v>0</v>
      </c>
      <c r="F32" s="63" t="str">
        <f>#REF!</f>
        <v>0</v>
      </c>
      <c r="G32" s="63" t="str">
        <f>#REF!</f>
        <v>0</v>
      </c>
      <c r="H32" s="63" t="str">
        <f>#REF!</f>
        <v>0</v>
      </c>
      <c r="I32" s="63" t="str">
        <f>#REF!</f>
        <v>0</v>
      </c>
      <c r="J32" s="63" t="str">
        <f>#REF!</f>
        <v>0</v>
      </c>
      <c r="K32" s="63" t="str">
        <f>#REF!</f>
        <v>0</v>
      </c>
      <c r="L32" s="63" t="str">
        <f>#REF!</f>
        <v>0</v>
      </c>
      <c r="N32" s="89"/>
      <c r="O32" s="89"/>
      <c r="P32" s="89"/>
      <c r="Q32" s="89"/>
    </row>
    <row r="33" spans="1:1026">
      <c r="A33" s="64" t="str">
        <f>#REF!</f>
        <v>0</v>
      </c>
      <c r="B33" s="64" t="str">
        <f>#REF!</f>
        <v>0</v>
      </c>
      <c r="C33" s="64" t="str">
        <f>#REF!</f>
        <v>0</v>
      </c>
      <c r="D33" s="64" t="str">
        <f>#REF!</f>
        <v>0</v>
      </c>
      <c r="E33" s="64" t="str">
        <f>#REF!</f>
        <v>0</v>
      </c>
      <c r="F33" s="64" t="str">
        <f>#REF!</f>
        <v>0</v>
      </c>
      <c r="G33" s="64" t="str">
        <f>#REF!</f>
        <v>0</v>
      </c>
      <c r="H33" s="64" t="str">
        <f>#REF!</f>
        <v>0</v>
      </c>
      <c r="I33" s="64" t="str">
        <f>#REF!</f>
        <v>0</v>
      </c>
      <c r="J33" s="64" t="str">
        <f>#REF!</f>
        <v>0</v>
      </c>
      <c r="K33" s="64" t="str">
        <f>#REF!</f>
        <v>0</v>
      </c>
      <c r="L33" s="64" t="str">
        <f>#REF!</f>
        <v>0</v>
      </c>
    </row>
    <row r="34" spans="1:1026">
      <c r="A34" s="712" t="str">
        <f>#REF!</f>
        <v>0</v>
      </c>
      <c r="B34" s="713"/>
      <c r="C34" s="62" t="str">
        <f>#REF!</f>
        <v>0</v>
      </c>
      <c r="D34" s="89"/>
      <c r="E34" s="61"/>
      <c r="F34" s="61"/>
      <c r="G34" s="61"/>
      <c r="H34" s="61"/>
      <c r="I34" s="61"/>
      <c r="J34" s="61"/>
      <c r="K34" s="61"/>
      <c r="L34" s="27"/>
    </row>
    <row r="35" spans="1:1026">
      <c r="A35" s="67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</row>
    <row r="36" spans="1:1026">
      <c r="A36" s="722" t="str">
        <f>#REF!</f>
        <v>0</v>
      </c>
      <c r="B36" s="723"/>
      <c r="C36" s="723"/>
      <c r="D36" s="723"/>
      <c r="E36" s="723"/>
      <c r="F36" s="723"/>
      <c r="G36" s="723"/>
      <c r="H36" s="723"/>
      <c r="I36" s="723"/>
      <c r="J36" s="723"/>
      <c r="K36" s="723"/>
      <c r="L36" s="724"/>
    </row>
    <row r="37" spans="1:1026" customHeight="1" ht="15.95">
      <c r="A37" s="729" t="str">
        <f>#REF!</f>
        <v>0</v>
      </c>
      <c r="B37" s="730"/>
      <c r="C37" s="730" t="str">
        <f>#REF!</f>
        <v>0</v>
      </c>
      <c r="D37" s="730"/>
      <c r="E37" s="730" t="str">
        <f>#REF!</f>
        <v>0</v>
      </c>
      <c r="F37" s="730"/>
      <c r="G37" s="730" t="str">
        <f>#REF!</f>
        <v>0</v>
      </c>
      <c r="H37" s="730"/>
      <c r="I37" s="730" t="str">
        <f>#REF!</f>
        <v>0</v>
      </c>
      <c r="J37" s="730"/>
      <c r="K37" s="730" t="str">
        <f>#REF!</f>
        <v>0</v>
      </c>
      <c r="L37" s="731"/>
    </row>
    <row r="38" spans="1:1026" customHeight="1" ht="15.95">
      <c r="A38" s="732" t="str">
        <f>#REF!</f>
        <v>0</v>
      </c>
      <c r="B38" s="733"/>
      <c r="C38" s="727" t="str">
        <f>#REF!</f>
        <v>0</v>
      </c>
      <c r="D38" s="728"/>
      <c r="E38" s="734" t="str">
        <f>#REF!</f>
        <v>0</v>
      </c>
      <c r="F38" s="734"/>
      <c r="G38" s="735" t="str">
        <f>#REF!</f>
        <v>0</v>
      </c>
      <c r="H38" s="736"/>
      <c r="I38" s="737" t="str">
        <f>#REF!</f>
        <v>0</v>
      </c>
      <c r="J38" s="737"/>
      <c r="K38" s="727" t="str">
        <f>#REF!</f>
        <v>0</v>
      </c>
      <c r="L38" s="728"/>
    </row>
    <row r="39" spans="1:1026">
      <c r="A39" s="741" t="str">
        <f>#REF!</f>
        <v>0</v>
      </c>
      <c r="B39" s="741"/>
      <c r="C39" s="741" t="str">
        <f>#REF!</f>
        <v>0</v>
      </c>
      <c r="D39" s="741"/>
      <c r="E39" s="741" t="str">
        <f>#REF!</f>
        <v>0</v>
      </c>
      <c r="F39" s="741"/>
      <c r="G39" s="742" t="str">
        <f>#REF!</f>
        <v>0</v>
      </c>
      <c r="H39" s="742"/>
      <c r="I39" s="742" t="str">
        <f>#REF!</f>
        <v>0</v>
      </c>
      <c r="J39" s="742"/>
      <c r="K39" s="743" t="str">
        <f>#REF!</f>
        <v>0</v>
      </c>
      <c r="L39" s="743"/>
    </row>
    <row r="40" spans="1:1026">
      <c r="A40" s="5"/>
      <c r="B40" s="5"/>
      <c r="C40" s="5"/>
      <c r="D40" s="5"/>
      <c r="E40" s="5"/>
      <c r="F40" s="5"/>
      <c r="G40" s="26"/>
      <c r="H40" s="5"/>
      <c r="I40" s="26"/>
      <c r="J40" s="5"/>
      <c r="K40" s="5"/>
      <c r="L40" s="27"/>
    </row>
    <row r="41" spans="1:1026" customHeight="1" ht="29.25">
      <c r="A41" s="738" t="str">
        <f>#REF!</f>
        <v>0</v>
      </c>
      <c r="B41" s="738"/>
      <c r="C41" s="738"/>
      <c r="D41" s="738"/>
      <c r="E41" s="738"/>
      <c r="F41" s="738"/>
      <c r="G41" s="738"/>
      <c r="H41" s="738"/>
      <c r="I41" s="738"/>
      <c r="J41" s="738"/>
      <c r="K41" s="738"/>
      <c r="L41" s="738"/>
    </row>
    <row r="42" spans="1:1026" customHeight="1" ht="29.25">
      <c r="A42" s="739" t="str">
        <f>#REF!</f>
        <v>0</v>
      </c>
      <c r="B42" s="739"/>
      <c r="C42" s="739"/>
      <c r="D42" s="739"/>
      <c r="E42" s="739"/>
      <c r="F42" s="739"/>
      <c r="G42" s="739"/>
      <c r="H42" s="739"/>
      <c r="I42" s="739"/>
      <c r="J42" s="739"/>
      <c r="K42" s="739"/>
      <c r="L42" s="739"/>
    </row>
    <row r="43" spans="1:1026" customHeight="1" ht="29.25">
      <c r="A43" s="738" t="str">
        <f>#REF!</f>
        <v>0</v>
      </c>
      <c r="B43" s="738"/>
      <c r="C43" s="738"/>
      <c r="D43" s="738"/>
      <c r="E43" s="738"/>
      <c r="F43" s="738"/>
      <c r="G43" s="738"/>
      <c r="H43" s="738"/>
      <c r="I43" s="738"/>
      <c r="J43" s="738"/>
      <c r="K43" s="738"/>
      <c r="L43" s="738"/>
    </row>
    <row r="44" spans="1:1026" customHeight="1" ht="29.25">
      <c r="A44" s="740" t="str">
        <f>#REF!</f>
        <v>0</v>
      </c>
      <c r="B44" s="740"/>
      <c r="C44" s="740"/>
      <c r="D44" s="740"/>
      <c r="E44" s="740"/>
      <c r="F44" s="740"/>
      <c r="G44" s="740"/>
      <c r="H44" s="740"/>
      <c r="I44" s="740"/>
      <c r="J44" s="740"/>
      <c r="K44" s="740"/>
      <c r="L44" s="74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1:L41"/>
    <mergeCell ref="A42:L42"/>
    <mergeCell ref="A43:L43"/>
    <mergeCell ref="A44:L44"/>
    <mergeCell ref="A39:B39"/>
    <mergeCell ref="C39:D39"/>
    <mergeCell ref="E39:F39"/>
    <mergeCell ref="G39:H39"/>
    <mergeCell ref="I39:J39"/>
    <mergeCell ref="K39:L39"/>
    <mergeCell ref="N30:Q30"/>
    <mergeCell ref="A31:L31"/>
    <mergeCell ref="N31:Q31"/>
    <mergeCell ref="K38:L38"/>
    <mergeCell ref="A36:L36"/>
    <mergeCell ref="A37:B37"/>
    <mergeCell ref="C37:D37"/>
    <mergeCell ref="E37:F37"/>
    <mergeCell ref="G37:H37"/>
    <mergeCell ref="I37:J37"/>
    <mergeCell ref="K37:L37"/>
    <mergeCell ref="A38:B38"/>
    <mergeCell ref="C38:D38"/>
    <mergeCell ref="E38:F38"/>
    <mergeCell ref="G38:H38"/>
    <mergeCell ref="I38:J38"/>
    <mergeCell ref="A34:B34"/>
    <mergeCell ref="A21:B21"/>
    <mergeCell ref="A22:B22"/>
    <mergeCell ref="A23:C23"/>
    <mergeCell ref="G23:H23"/>
    <mergeCell ref="G24:J24"/>
    <mergeCell ref="G25:J25"/>
    <mergeCell ref="E26:K26"/>
    <mergeCell ref="A28:L28"/>
    <mergeCell ref="K19:K20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20"/>
    <mergeCell ref="J19:J20"/>
    <mergeCell ref="A9:D9"/>
    <mergeCell ref="E9:G9"/>
    <mergeCell ref="H9:K9"/>
    <mergeCell ref="A1:C1"/>
    <mergeCell ref="A2:K2"/>
    <mergeCell ref="F4:G4"/>
    <mergeCell ref="F5:G5"/>
    <mergeCell ref="A7:K7"/>
  </mergeCells>
  <conditionalFormatting sqref="A34:C34">
    <cfRule type="cellIs" dxfId="0" priority="1" operator="equal">
      <formula>0</formula>
    </cfRule>
  </conditionalFormatting>
  <conditionalFormatting sqref="A28:L33">
    <cfRule type="cellIs" dxfId="0" priority="2" operator="equal">
      <formula>0</formula>
    </cfRule>
  </conditionalFormatting>
  <printOptions gridLines="false" gridLinesSet="true"/>
  <pageMargins left="0.25" right="0.25" top="0.24166666666667" bottom="0.75" header="0.51180555555555" footer="0.3"/>
  <pageSetup paperSize="9" orientation="landscape" scale="75" fitToHeight="1" fitToWidth="1"/>
  <headerFooter differentOddEven="false" differentFirst="false" scaleWithDoc="true" alignWithMargins="true">
    <oddHeader/>
    <oddFooter>&amp;L&amp;8datum:      15.4.2015
vystavil: Ing. Milan Kosť&amp;C&amp;8kancelar@adminreal.cz
mobil: 607 959 876&amp;R&amp;8www.onlinesprava.cz</oddFooter>
    <evenHeader/>
    <evenFooter/>
    <firstHeader/>
    <firstFooter/>
  </headerFooter>
  <drawing r:id="rId1"/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ML44"/>
  <sheetViews>
    <sheetView tabSelected="0" workbookViewId="0" showGridLines="true" showRowColHeaders="1">
      <selection activeCell="A28" sqref="A28"/>
    </sheetView>
  </sheetViews>
  <sheetFormatPr defaultRowHeight="14.4" outlineLevelRow="0" outlineLevelCol="0"/>
  <cols>
    <col min="1" max="1" width="16.73046875" customWidth="true" style="2"/>
    <col min="2" max="2" width="17.59765625" customWidth="true" style="2"/>
    <col min="3" max="3" width="15.86328125" customWidth="true" style="2"/>
    <col min="4" max="4" width="12.3984375" customWidth="true" style="2"/>
    <col min="5" max="5" width="11.86328125" customWidth="true" style="2"/>
    <col min="6" max="6" width="11.86328125" customWidth="true" style="2"/>
    <col min="7" max="7" width="13.1328125" customWidth="true" style="1"/>
    <col min="8" max="8" width="18.59765625" customWidth="true" style="2"/>
    <col min="9" max="9" width="13.59765625" customWidth="true" style="1"/>
    <col min="10" max="10" width="14" customWidth="true" style="2"/>
    <col min="11" max="11" width="19.1328125" customWidth="true" style="2"/>
    <col min="12" max="12" width="13" customWidth="true" style="2"/>
    <col min="13" max="13" width="9.1328125" customWidth="true" style="2"/>
    <col min="14" max="14" width="9.1328125" customWidth="true" style="2"/>
    <col min="15" max="15" width="9.1328125" customWidth="true" style="2"/>
    <col min="16" max="16" width="9.1328125" customWidth="true" style="2"/>
    <col min="17" max="17" width="9.1328125" customWidth="true" style="2"/>
    <col min="18" max="18" width="9.1328125" customWidth="true" style="2"/>
    <col min="19" max="19" width="9.1328125" customWidth="true" style="2"/>
    <col min="20" max="20" width="9.1328125" customWidth="true" style="2"/>
    <col min="21" max="21" width="9.1328125" customWidth="true" style="2"/>
    <col min="22" max="22" width="9.1328125" customWidth="true" style="2"/>
    <col min="23" max="23" width="9.1328125" customWidth="true" style="2"/>
    <col min="24" max="24" width="9.1328125" customWidth="true" style="2"/>
    <col min="25" max="25" width="9.1328125" customWidth="true" style="2"/>
    <col min="26" max="26" width="9.1328125" customWidth="true" style="2"/>
    <col min="27" max="27" width="9.1328125" customWidth="true" style="2"/>
    <col min="28" max="28" width="9.1328125" customWidth="true" style="2"/>
    <col min="29" max="29" width="9.1328125" customWidth="true" style="2"/>
    <col min="30" max="30" width="9.1328125" customWidth="true" style="2"/>
    <col min="31" max="31" width="9.1328125" customWidth="true" style="2"/>
    <col min="32" max="32" width="9.1328125" customWidth="true" style="2"/>
    <col min="33" max="33" width="9.1328125" customWidth="true" style="2"/>
    <col min="34" max="34" width="9.1328125" customWidth="true" style="2"/>
    <col min="35" max="35" width="9.1328125" customWidth="true" style="2"/>
    <col min="36" max="36" width="9.1328125" customWidth="true" style="2"/>
    <col min="37" max="37" width="9.1328125" customWidth="true" style="2"/>
    <col min="38" max="38" width="9.1328125" customWidth="true" style="2"/>
    <col min="39" max="39" width="9.1328125" customWidth="true" style="2"/>
    <col min="40" max="40" width="9.1328125" customWidth="true" style="2"/>
    <col min="41" max="41" width="9.1328125" customWidth="true" style="2"/>
    <col min="42" max="42" width="9.1328125" customWidth="true" style="2"/>
    <col min="43" max="43" width="9.1328125" customWidth="true" style="2"/>
    <col min="44" max="44" width="9.1328125" customWidth="true" style="2"/>
    <col min="45" max="45" width="9.1328125" customWidth="true" style="2"/>
    <col min="46" max="46" width="9.1328125" customWidth="true" style="2"/>
    <col min="47" max="47" width="9.1328125" customWidth="true" style="2"/>
    <col min="48" max="48" width="9.1328125" customWidth="true" style="2"/>
    <col min="49" max="49" width="9.1328125" customWidth="true" style="2"/>
    <col min="50" max="50" width="9.1328125" customWidth="true" style="2"/>
    <col min="51" max="51" width="9.1328125" customWidth="true" style="2"/>
    <col min="52" max="52" width="9.1328125" customWidth="true" style="2"/>
    <col min="53" max="53" width="9.1328125" customWidth="true" style="2"/>
    <col min="54" max="54" width="9.1328125" customWidth="true" style="2"/>
    <col min="55" max="55" width="9.1328125" customWidth="true" style="2"/>
    <col min="56" max="56" width="9.1328125" customWidth="true" style="2"/>
    <col min="57" max="57" width="9.1328125" customWidth="true" style="2"/>
    <col min="58" max="58" width="9.1328125" customWidth="true" style="2"/>
    <col min="59" max="59" width="9.1328125" customWidth="true" style="2"/>
    <col min="60" max="60" width="9.1328125" customWidth="true" style="2"/>
    <col min="61" max="61" width="9.1328125" customWidth="true" style="2"/>
    <col min="62" max="62" width="9.1328125" customWidth="true" style="2"/>
    <col min="63" max="63" width="9.1328125" customWidth="true" style="2"/>
    <col min="64" max="64" width="9.1328125" customWidth="true" style="2"/>
    <col min="65" max="65" width="9.1328125" customWidth="true" style="2"/>
    <col min="66" max="66" width="9.1328125" customWidth="true" style="2"/>
    <col min="67" max="67" width="9.1328125" customWidth="true" style="2"/>
    <col min="68" max="68" width="9.1328125" customWidth="true" style="2"/>
    <col min="69" max="69" width="9.1328125" customWidth="true" style="2"/>
    <col min="70" max="70" width="9.1328125" customWidth="true" style="2"/>
    <col min="71" max="71" width="9.1328125" customWidth="true" style="2"/>
    <col min="72" max="72" width="9.1328125" customWidth="true" style="2"/>
    <col min="73" max="73" width="9.1328125" customWidth="true" style="2"/>
    <col min="74" max="74" width="9.1328125" customWidth="true" style="2"/>
    <col min="75" max="75" width="9.1328125" customWidth="true" style="2"/>
    <col min="76" max="76" width="9.1328125" customWidth="true" style="2"/>
    <col min="77" max="77" width="9.1328125" customWidth="true" style="2"/>
    <col min="78" max="78" width="9.1328125" customWidth="true" style="2"/>
    <col min="79" max="79" width="9.1328125" customWidth="true" style="2"/>
    <col min="80" max="80" width="9.1328125" customWidth="true" style="2"/>
    <col min="81" max="81" width="9.1328125" customWidth="true" style="2"/>
    <col min="82" max="82" width="9.1328125" customWidth="true" style="2"/>
    <col min="83" max="83" width="9.1328125" customWidth="true" style="2"/>
    <col min="84" max="84" width="9.1328125" customWidth="true" style="2"/>
    <col min="85" max="85" width="9.1328125" customWidth="true" style="2"/>
    <col min="86" max="86" width="9.1328125" customWidth="true" style="2"/>
    <col min="87" max="87" width="9.1328125" customWidth="true" style="2"/>
    <col min="88" max="88" width="9.1328125" customWidth="true" style="2"/>
    <col min="89" max="89" width="9.1328125" customWidth="true" style="2"/>
    <col min="90" max="90" width="9.1328125" customWidth="true" style="2"/>
    <col min="91" max="91" width="9.1328125" customWidth="true" style="2"/>
    <col min="92" max="92" width="9.1328125" customWidth="true" style="2"/>
    <col min="93" max="93" width="9.1328125" customWidth="true" style="2"/>
    <col min="94" max="94" width="9.1328125" customWidth="true" style="2"/>
    <col min="95" max="95" width="9.1328125" customWidth="true" style="2"/>
    <col min="96" max="96" width="9.1328125" customWidth="true" style="2"/>
    <col min="97" max="97" width="9.1328125" customWidth="true" style="2"/>
    <col min="98" max="98" width="9.1328125" customWidth="true" style="2"/>
    <col min="99" max="99" width="9.1328125" customWidth="true" style="2"/>
    <col min="100" max="100" width="9.1328125" customWidth="true" style="2"/>
    <col min="101" max="101" width="9.1328125" customWidth="true" style="2"/>
    <col min="102" max="102" width="9.1328125" customWidth="true" style="2"/>
    <col min="103" max="103" width="9.1328125" customWidth="true" style="2"/>
    <col min="104" max="104" width="9.1328125" customWidth="true" style="2"/>
    <col min="105" max="105" width="9.1328125" customWidth="true" style="2"/>
    <col min="106" max="106" width="9.1328125" customWidth="true" style="2"/>
    <col min="107" max="107" width="9.1328125" customWidth="true" style="2"/>
    <col min="108" max="108" width="9.1328125" customWidth="true" style="2"/>
    <col min="109" max="109" width="9.1328125" customWidth="true" style="2"/>
    <col min="110" max="110" width="9.1328125" customWidth="true" style="2"/>
    <col min="111" max="111" width="9.1328125" customWidth="true" style="2"/>
    <col min="112" max="112" width="9.1328125" customWidth="true" style="2"/>
    <col min="113" max="113" width="9.1328125" customWidth="true" style="2"/>
    <col min="114" max="114" width="9.1328125" customWidth="true" style="2"/>
    <col min="115" max="115" width="9.1328125" customWidth="true" style="2"/>
    <col min="116" max="116" width="9.1328125" customWidth="true" style="2"/>
    <col min="117" max="117" width="9.1328125" customWidth="true" style="2"/>
    <col min="118" max="118" width="9.1328125" customWidth="true" style="2"/>
    <col min="119" max="119" width="9.1328125" customWidth="true" style="2"/>
    <col min="120" max="120" width="9.1328125" customWidth="true" style="2"/>
    <col min="121" max="121" width="9.1328125" customWidth="true" style="2"/>
    <col min="122" max="122" width="9.1328125" customWidth="true" style="2"/>
    <col min="123" max="123" width="9.1328125" customWidth="true" style="2"/>
    <col min="124" max="124" width="9.1328125" customWidth="true" style="2"/>
    <col min="125" max="125" width="9.1328125" customWidth="true" style="2"/>
    <col min="126" max="126" width="9.1328125" customWidth="true" style="2"/>
    <col min="127" max="127" width="9.1328125" customWidth="true" style="2"/>
    <col min="128" max="128" width="9.1328125" customWidth="true" style="2"/>
    <col min="129" max="129" width="9.1328125" customWidth="true" style="2"/>
    <col min="130" max="130" width="9.1328125" customWidth="true" style="2"/>
    <col min="131" max="131" width="9.1328125" customWidth="true" style="2"/>
    <col min="132" max="132" width="9.1328125" customWidth="true" style="2"/>
    <col min="133" max="133" width="9.1328125" customWidth="true" style="2"/>
    <col min="134" max="134" width="9.1328125" customWidth="true" style="2"/>
    <col min="135" max="135" width="9.1328125" customWidth="true" style="2"/>
    <col min="136" max="136" width="9.1328125" customWidth="true" style="2"/>
    <col min="137" max="137" width="9.1328125" customWidth="true" style="2"/>
    <col min="138" max="138" width="9.1328125" customWidth="true" style="2"/>
    <col min="139" max="139" width="9.1328125" customWidth="true" style="2"/>
    <col min="140" max="140" width="9.1328125" customWidth="true" style="2"/>
    <col min="141" max="141" width="9.1328125" customWidth="true" style="2"/>
    <col min="142" max="142" width="9.1328125" customWidth="true" style="2"/>
    <col min="143" max="143" width="9.1328125" customWidth="true" style="2"/>
    <col min="144" max="144" width="9.1328125" customWidth="true" style="2"/>
    <col min="145" max="145" width="9.1328125" customWidth="true" style="2"/>
    <col min="146" max="146" width="9.1328125" customWidth="true" style="2"/>
    <col min="147" max="147" width="9.1328125" customWidth="true" style="2"/>
    <col min="148" max="148" width="9.1328125" customWidth="true" style="2"/>
    <col min="149" max="149" width="9.1328125" customWidth="true" style="2"/>
    <col min="150" max="150" width="9.1328125" customWidth="true" style="2"/>
    <col min="151" max="151" width="9.1328125" customWidth="true" style="2"/>
    <col min="152" max="152" width="9.1328125" customWidth="true" style="2"/>
    <col min="153" max="153" width="9.1328125" customWidth="true" style="2"/>
    <col min="154" max="154" width="9.1328125" customWidth="true" style="2"/>
    <col min="155" max="155" width="9.1328125" customWidth="true" style="2"/>
    <col min="156" max="156" width="9.1328125" customWidth="true" style="2"/>
    <col min="157" max="157" width="9.1328125" customWidth="true" style="2"/>
    <col min="158" max="158" width="9.1328125" customWidth="true" style="2"/>
    <col min="159" max="159" width="9.1328125" customWidth="true" style="2"/>
    <col min="160" max="160" width="9.1328125" customWidth="true" style="2"/>
    <col min="161" max="161" width="9.1328125" customWidth="true" style="2"/>
    <col min="162" max="162" width="9.1328125" customWidth="true" style="2"/>
    <col min="163" max="163" width="9.1328125" customWidth="true" style="2"/>
    <col min="164" max="164" width="9.1328125" customWidth="true" style="2"/>
    <col min="165" max="165" width="9.1328125" customWidth="true" style="2"/>
    <col min="166" max="166" width="9.1328125" customWidth="true" style="2"/>
    <col min="167" max="167" width="9.1328125" customWidth="true" style="2"/>
    <col min="168" max="168" width="9.1328125" customWidth="true" style="2"/>
    <col min="169" max="169" width="9.1328125" customWidth="true" style="2"/>
    <col min="170" max="170" width="9.1328125" customWidth="true" style="2"/>
    <col min="171" max="171" width="9.1328125" customWidth="true" style="2"/>
    <col min="172" max="172" width="9.1328125" customWidth="true" style="2"/>
    <col min="173" max="173" width="9.1328125" customWidth="true" style="2"/>
    <col min="174" max="174" width="9.1328125" customWidth="true" style="2"/>
    <col min="175" max="175" width="9.1328125" customWidth="true" style="2"/>
    <col min="176" max="176" width="9.1328125" customWidth="true" style="2"/>
    <col min="177" max="177" width="9.1328125" customWidth="true" style="2"/>
    <col min="178" max="178" width="9.1328125" customWidth="true" style="2"/>
    <col min="179" max="179" width="9.1328125" customWidth="true" style="2"/>
    <col min="180" max="180" width="9.1328125" customWidth="true" style="2"/>
    <col min="181" max="181" width="9.1328125" customWidth="true" style="2"/>
    <col min="182" max="182" width="9.1328125" customWidth="true" style="2"/>
    <col min="183" max="183" width="9.1328125" customWidth="true" style="2"/>
    <col min="184" max="184" width="9.1328125" customWidth="true" style="2"/>
    <col min="185" max="185" width="9.1328125" customWidth="true" style="2"/>
    <col min="186" max="186" width="9.1328125" customWidth="true" style="2"/>
    <col min="187" max="187" width="9.1328125" customWidth="true" style="2"/>
    <col min="188" max="188" width="9.1328125" customWidth="true" style="2"/>
    <col min="189" max="189" width="9.1328125" customWidth="true" style="2"/>
    <col min="190" max="190" width="9.1328125" customWidth="true" style="2"/>
    <col min="191" max="191" width="9.1328125" customWidth="true" style="2"/>
    <col min="192" max="192" width="9.1328125" customWidth="true" style="2"/>
    <col min="193" max="193" width="9.1328125" customWidth="true" style="2"/>
    <col min="194" max="194" width="9.1328125" customWidth="true" style="2"/>
    <col min="195" max="195" width="9.1328125" customWidth="true" style="2"/>
    <col min="196" max="196" width="9.1328125" customWidth="true" style="2"/>
    <col min="197" max="197" width="9.1328125" customWidth="true" style="2"/>
    <col min="198" max="198" width="9.1328125" customWidth="true" style="2"/>
    <col min="199" max="199" width="9.1328125" customWidth="true" style="2"/>
    <col min="200" max="200" width="9.1328125" customWidth="true" style="2"/>
    <col min="201" max="201" width="9.1328125" customWidth="true" style="2"/>
    <col min="202" max="202" width="9.1328125" customWidth="true" style="2"/>
    <col min="203" max="203" width="9.1328125" customWidth="true" style="2"/>
    <col min="204" max="204" width="9.1328125" customWidth="true" style="2"/>
    <col min="205" max="205" width="9.1328125" customWidth="true" style="2"/>
    <col min="206" max="206" width="9.1328125" customWidth="true" style="2"/>
    <col min="207" max="207" width="9.1328125" customWidth="true" style="2"/>
    <col min="208" max="208" width="9.1328125" customWidth="true" style="2"/>
    <col min="209" max="209" width="9.1328125" customWidth="true" style="2"/>
    <col min="210" max="210" width="9.1328125" customWidth="true" style="2"/>
    <col min="211" max="211" width="9.1328125" customWidth="true" style="2"/>
    <col min="212" max="212" width="9.1328125" customWidth="true" style="2"/>
    <col min="213" max="213" width="9.1328125" customWidth="true" style="2"/>
    <col min="214" max="214" width="9.1328125" customWidth="true" style="2"/>
    <col min="215" max="215" width="9.1328125" customWidth="true" style="2"/>
    <col min="216" max="216" width="9.1328125" customWidth="true" style="2"/>
    <col min="217" max="217" width="9.1328125" customWidth="true" style="2"/>
    <col min="218" max="218" width="9.1328125" customWidth="true" style="2"/>
    <col min="219" max="219" width="9.1328125" customWidth="true" style="2"/>
    <col min="220" max="220" width="9.1328125" customWidth="true" style="2"/>
    <col min="221" max="221" width="9.1328125" customWidth="true" style="2"/>
    <col min="222" max="222" width="9.1328125" customWidth="true" style="2"/>
    <col min="223" max="223" width="9.1328125" customWidth="true" style="2"/>
    <col min="224" max="224" width="9.1328125" customWidth="true" style="2"/>
    <col min="225" max="225" width="9.1328125" customWidth="true" style="2"/>
    <col min="226" max="226" width="9.1328125" customWidth="true" style="2"/>
    <col min="227" max="227" width="9.1328125" customWidth="true" style="2"/>
    <col min="228" max="228" width="9.1328125" customWidth="true" style="2"/>
    <col min="229" max="229" width="9.1328125" customWidth="true" style="2"/>
    <col min="230" max="230" width="9.1328125" customWidth="true" style="2"/>
    <col min="231" max="231" width="9.1328125" customWidth="true" style="2"/>
    <col min="232" max="232" width="9.1328125" customWidth="true" style="2"/>
    <col min="233" max="233" width="9.1328125" customWidth="true" style="2"/>
    <col min="234" max="234" width="9.1328125" customWidth="true" style="2"/>
    <col min="235" max="235" width="9.1328125" customWidth="true" style="2"/>
    <col min="236" max="236" width="9.1328125" customWidth="true" style="2"/>
    <col min="237" max="237" width="9.1328125" customWidth="true" style="2"/>
    <col min="238" max="238" width="9.1328125" customWidth="true" style="2"/>
    <col min="239" max="239" width="9.1328125" customWidth="true" style="2"/>
    <col min="240" max="240" width="9.1328125" customWidth="true" style="2"/>
    <col min="241" max="241" width="9.1328125" customWidth="true" style="2"/>
    <col min="242" max="242" width="9.1328125" customWidth="true" style="2"/>
    <col min="243" max="243" width="9.1328125" customWidth="true" style="2"/>
    <col min="244" max="244" width="9.1328125" customWidth="true" style="2"/>
    <col min="245" max="245" width="9.1328125" customWidth="true" style="2"/>
    <col min="246" max="246" width="9.1328125" customWidth="true" style="2"/>
    <col min="247" max="247" width="9.1328125" customWidth="true" style="2"/>
    <col min="248" max="248" width="9.1328125" customWidth="true" style="2"/>
    <col min="249" max="249" width="9.1328125" customWidth="true" style="2"/>
    <col min="250" max="250" width="9.1328125" customWidth="true" style="2"/>
    <col min="251" max="251" width="9.1328125" customWidth="true" style="2"/>
    <col min="252" max="252" width="9.1328125" customWidth="true" style="2"/>
    <col min="253" max="253" width="9.1328125" customWidth="true" style="2"/>
    <col min="254" max="254" width="9.1328125" customWidth="true" style="2"/>
    <col min="255" max="255" width="9.1328125" customWidth="true" style="2"/>
    <col min="256" max="256" width="9.1328125" customWidth="true" style="2"/>
    <col min="257" max="257" width="9.1328125" customWidth="true" style="2"/>
    <col min="258" max="258" width="9.1328125" customWidth="true" style="2"/>
    <col min="259" max="259" width="9.1328125" customWidth="true" style="2"/>
    <col min="260" max="260" width="9.1328125" customWidth="true" style="2"/>
    <col min="261" max="261" width="9.1328125" customWidth="true" style="2"/>
    <col min="262" max="262" width="9.1328125" customWidth="true" style="2"/>
    <col min="263" max="263" width="9.1328125" customWidth="true" style="2"/>
    <col min="264" max="264" width="9.1328125" customWidth="true" style="2"/>
    <col min="265" max="265" width="9.1328125" customWidth="true" style="2"/>
    <col min="266" max="266" width="9.1328125" customWidth="true" style="2"/>
    <col min="267" max="267" width="9.1328125" customWidth="true" style="2"/>
    <col min="268" max="268" width="9.1328125" customWidth="true" style="2"/>
    <col min="269" max="269" width="9.1328125" customWidth="true" style="2"/>
    <col min="270" max="270" width="9.1328125" customWidth="true" style="2"/>
    <col min="271" max="271" width="9.1328125" customWidth="true" style="2"/>
    <col min="272" max="272" width="9.1328125" customWidth="true" style="2"/>
    <col min="273" max="273" width="9.1328125" customWidth="true" style="2"/>
    <col min="274" max="274" width="9.1328125" customWidth="true" style="2"/>
    <col min="275" max="275" width="9.1328125" customWidth="true" style="2"/>
    <col min="276" max="276" width="9.1328125" customWidth="true" style="2"/>
    <col min="277" max="277" width="9.1328125" customWidth="true" style="2"/>
    <col min="278" max="278" width="9.1328125" customWidth="true" style="2"/>
    <col min="279" max="279" width="9.1328125" customWidth="true" style="2"/>
    <col min="280" max="280" width="9.1328125" customWidth="true" style="2"/>
    <col min="281" max="281" width="9.1328125" customWidth="true" style="2"/>
    <col min="282" max="282" width="9.1328125" customWidth="true" style="2"/>
    <col min="283" max="283" width="9.1328125" customWidth="true" style="2"/>
    <col min="284" max="284" width="9.1328125" customWidth="true" style="2"/>
    <col min="285" max="285" width="9.1328125" customWidth="true" style="2"/>
    <col min="286" max="286" width="9.1328125" customWidth="true" style="2"/>
    <col min="287" max="287" width="9.1328125" customWidth="true" style="2"/>
    <col min="288" max="288" width="9.1328125" customWidth="true" style="2"/>
    <col min="289" max="289" width="9.1328125" customWidth="true" style="2"/>
    <col min="290" max="290" width="9.1328125" customWidth="true" style="2"/>
    <col min="291" max="291" width="9.1328125" customWidth="true" style="2"/>
    <col min="292" max="292" width="9.1328125" customWidth="true" style="2"/>
    <col min="293" max="293" width="9.1328125" customWidth="true" style="2"/>
    <col min="294" max="294" width="9.1328125" customWidth="true" style="2"/>
    <col min="295" max="295" width="9.1328125" customWidth="true" style="2"/>
    <col min="296" max="296" width="9.1328125" customWidth="true" style="2"/>
    <col min="297" max="297" width="9.1328125" customWidth="true" style="2"/>
    <col min="298" max="298" width="9.1328125" customWidth="true" style="2"/>
    <col min="299" max="299" width="9.1328125" customWidth="true" style="2"/>
    <col min="300" max="300" width="9.1328125" customWidth="true" style="2"/>
    <col min="301" max="301" width="9.1328125" customWidth="true" style="2"/>
    <col min="302" max="302" width="9.1328125" customWidth="true" style="2"/>
    <col min="303" max="303" width="9.1328125" customWidth="true" style="2"/>
    <col min="304" max="304" width="9.1328125" customWidth="true" style="2"/>
    <col min="305" max="305" width="9.1328125" customWidth="true" style="2"/>
    <col min="306" max="306" width="9.1328125" customWidth="true" style="2"/>
    <col min="307" max="307" width="9.1328125" customWidth="true" style="2"/>
    <col min="308" max="308" width="9.1328125" customWidth="true" style="2"/>
    <col min="309" max="309" width="9.1328125" customWidth="true" style="2"/>
    <col min="310" max="310" width="9.1328125" customWidth="true" style="2"/>
    <col min="311" max="311" width="9.1328125" customWidth="true" style="2"/>
    <col min="312" max="312" width="9.1328125" customWidth="true" style="2"/>
    <col min="313" max="313" width="9.1328125" customWidth="true" style="2"/>
    <col min="314" max="314" width="9.1328125" customWidth="true" style="2"/>
    <col min="315" max="315" width="9.1328125" customWidth="true" style="2"/>
    <col min="316" max="316" width="9.1328125" customWidth="true" style="2"/>
    <col min="317" max="317" width="9.1328125" customWidth="true" style="2"/>
    <col min="318" max="318" width="9.1328125" customWidth="true" style="2"/>
    <col min="319" max="319" width="9.1328125" customWidth="true" style="2"/>
    <col min="320" max="320" width="9.1328125" customWidth="true" style="2"/>
    <col min="321" max="321" width="9.1328125" customWidth="true" style="2"/>
    <col min="322" max="322" width="9.1328125" customWidth="true" style="2"/>
    <col min="323" max="323" width="9.1328125" customWidth="true" style="2"/>
    <col min="324" max="324" width="9.1328125" customWidth="true" style="2"/>
    <col min="325" max="325" width="9.1328125" customWidth="true" style="2"/>
    <col min="326" max="326" width="9.1328125" customWidth="true" style="2"/>
    <col min="327" max="327" width="9.1328125" customWidth="true" style="2"/>
    <col min="328" max="328" width="9.1328125" customWidth="true" style="2"/>
    <col min="329" max="329" width="9.1328125" customWidth="true" style="2"/>
    <col min="330" max="330" width="9.1328125" customWidth="true" style="2"/>
    <col min="331" max="331" width="9.1328125" customWidth="true" style="2"/>
    <col min="332" max="332" width="9.1328125" customWidth="true" style="2"/>
    <col min="333" max="333" width="9.1328125" customWidth="true" style="2"/>
    <col min="334" max="334" width="9.1328125" customWidth="true" style="2"/>
    <col min="335" max="335" width="9.1328125" customWidth="true" style="2"/>
    <col min="336" max="336" width="9.1328125" customWidth="true" style="2"/>
    <col min="337" max="337" width="9.1328125" customWidth="true" style="2"/>
    <col min="338" max="338" width="9.1328125" customWidth="true" style="2"/>
    <col min="339" max="339" width="9.1328125" customWidth="true" style="2"/>
    <col min="340" max="340" width="9.1328125" customWidth="true" style="2"/>
    <col min="341" max="341" width="9.1328125" customWidth="true" style="2"/>
    <col min="342" max="342" width="9.1328125" customWidth="true" style="2"/>
    <col min="343" max="343" width="9.1328125" customWidth="true" style="2"/>
    <col min="344" max="344" width="9.1328125" customWidth="true" style="2"/>
    <col min="345" max="345" width="9.1328125" customWidth="true" style="2"/>
    <col min="346" max="346" width="9.1328125" customWidth="true" style="2"/>
    <col min="347" max="347" width="9.1328125" customWidth="true" style="2"/>
    <col min="348" max="348" width="9.1328125" customWidth="true" style="2"/>
    <col min="349" max="349" width="9.1328125" customWidth="true" style="2"/>
    <col min="350" max="350" width="9.1328125" customWidth="true" style="2"/>
    <col min="351" max="351" width="9.1328125" customWidth="true" style="2"/>
    <col min="352" max="352" width="9.1328125" customWidth="true" style="2"/>
    <col min="353" max="353" width="9.1328125" customWidth="true" style="2"/>
    <col min="354" max="354" width="9.1328125" customWidth="true" style="2"/>
    <col min="355" max="355" width="9.1328125" customWidth="true" style="2"/>
    <col min="356" max="356" width="9.1328125" customWidth="true" style="2"/>
    <col min="357" max="357" width="9.1328125" customWidth="true" style="2"/>
    <col min="358" max="358" width="9.1328125" customWidth="true" style="2"/>
    <col min="359" max="359" width="9.1328125" customWidth="true" style="2"/>
    <col min="360" max="360" width="9.1328125" customWidth="true" style="2"/>
    <col min="361" max="361" width="9.1328125" customWidth="true" style="2"/>
    <col min="362" max="362" width="9.1328125" customWidth="true" style="2"/>
    <col min="363" max="363" width="9.1328125" customWidth="true" style="2"/>
    <col min="364" max="364" width="9.1328125" customWidth="true" style="2"/>
    <col min="365" max="365" width="9.1328125" customWidth="true" style="2"/>
    <col min="366" max="366" width="9.1328125" customWidth="true" style="2"/>
    <col min="367" max="367" width="9.1328125" customWidth="true" style="2"/>
    <col min="368" max="368" width="9.1328125" customWidth="true" style="2"/>
    <col min="369" max="369" width="9.1328125" customWidth="true" style="2"/>
    <col min="370" max="370" width="9.1328125" customWidth="true" style="2"/>
    <col min="371" max="371" width="9.1328125" customWidth="true" style="2"/>
    <col min="372" max="372" width="9.1328125" customWidth="true" style="2"/>
    <col min="373" max="373" width="9.1328125" customWidth="true" style="2"/>
    <col min="374" max="374" width="9.1328125" customWidth="true" style="2"/>
    <col min="375" max="375" width="9.1328125" customWidth="true" style="2"/>
    <col min="376" max="376" width="9.1328125" customWidth="true" style="2"/>
    <col min="377" max="377" width="9.1328125" customWidth="true" style="2"/>
    <col min="378" max="378" width="9.1328125" customWidth="true" style="2"/>
    <col min="379" max="379" width="9.1328125" customWidth="true" style="2"/>
    <col min="380" max="380" width="9.1328125" customWidth="true" style="2"/>
    <col min="381" max="381" width="9.1328125" customWidth="true" style="2"/>
    <col min="382" max="382" width="9.1328125" customWidth="true" style="2"/>
    <col min="383" max="383" width="9.1328125" customWidth="true" style="2"/>
    <col min="384" max="384" width="9.1328125" customWidth="true" style="2"/>
    <col min="385" max="385" width="9.1328125" customWidth="true" style="2"/>
    <col min="386" max="386" width="9.1328125" customWidth="true" style="2"/>
    <col min="387" max="387" width="9.1328125" customWidth="true" style="2"/>
    <col min="388" max="388" width="9.1328125" customWidth="true" style="2"/>
    <col min="389" max="389" width="9.1328125" customWidth="true" style="2"/>
    <col min="390" max="390" width="9.1328125" customWidth="true" style="2"/>
    <col min="391" max="391" width="9.1328125" customWidth="true" style="2"/>
    <col min="392" max="392" width="9.1328125" customWidth="true" style="2"/>
    <col min="393" max="393" width="9.1328125" customWidth="true" style="2"/>
    <col min="394" max="394" width="9.1328125" customWidth="true" style="2"/>
    <col min="395" max="395" width="9.1328125" customWidth="true" style="2"/>
    <col min="396" max="396" width="9.1328125" customWidth="true" style="2"/>
    <col min="397" max="397" width="9.1328125" customWidth="true" style="2"/>
    <col min="398" max="398" width="9.1328125" customWidth="true" style="2"/>
    <col min="399" max="399" width="9.1328125" customWidth="true" style="2"/>
    <col min="400" max="400" width="9.1328125" customWidth="true" style="2"/>
    <col min="401" max="401" width="9.1328125" customWidth="true" style="2"/>
    <col min="402" max="402" width="9.1328125" customWidth="true" style="2"/>
    <col min="403" max="403" width="9.1328125" customWidth="true" style="2"/>
    <col min="404" max="404" width="9.1328125" customWidth="true" style="2"/>
    <col min="405" max="405" width="9.1328125" customWidth="true" style="2"/>
    <col min="406" max="406" width="9.1328125" customWidth="true" style="2"/>
    <col min="407" max="407" width="9.1328125" customWidth="true" style="2"/>
    <col min="408" max="408" width="9.1328125" customWidth="true" style="2"/>
    <col min="409" max="409" width="9.1328125" customWidth="true" style="2"/>
    <col min="410" max="410" width="9.1328125" customWidth="true" style="2"/>
    <col min="411" max="411" width="9.1328125" customWidth="true" style="2"/>
    <col min="412" max="412" width="9.1328125" customWidth="true" style="2"/>
    <col min="413" max="413" width="9.1328125" customWidth="true" style="2"/>
    <col min="414" max="414" width="9.1328125" customWidth="true" style="2"/>
    <col min="415" max="415" width="9.1328125" customWidth="true" style="2"/>
    <col min="416" max="416" width="9.1328125" customWidth="true" style="2"/>
    <col min="417" max="417" width="9.1328125" customWidth="true" style="2"/>
    <col min="418" max="418" width="9.1328125" customWidth="true" style="2"/>
    <col min="419" max="419" width="9.1328125" customWidth="true" style="2"/>
    <col min="420" max="420" width="9.1328125" customWidth="true" style="2"/>
    <col min="421" max="421" width="9.1328125" customWidth="true" style="2"/>
    <col min="422" max="422" width="9.1328125" customWidth="true" style="2"/>
    <col min="423" max="423" width="9.1328125" customWidth="true" style="2"/>
    <col min="424" max="424" width="9.1328125" customWidth="true" style="2"/>
    <col min="425" max="425" width="9.1328125" customWidth="true" style="2"/>
    <col min="426" max="426" width="9.1328125" customWidth="true" style="2"/>
    <col min="427" max="427" width="9.1328125" customWidth="true" style="2"/>
    <col min="428" max="428" width="9.1328125" customWidth="true" style="2"/>
    <col min="429" max="429" width="9.1328125" customWidth="true" style="2"/>
    <col min="430" max="430" width="9.1328125" customWidth="true" style="2"/>
    <col min="431" max="431" width="9.1328125" customWidth="true" style="2"/>
    <col min="432" max="432" width="9.1328125" customWidth="true" style="2"/>
    <col min="433" max="433" width="9.1328125" customWidth="true" style="2"/>
    <col min="434" max="434" width="9.1328125" customWidth="true" style="2"/>
    <col min="435" max="435" width="9.1328125" customWidth="true" style="2"/>
    <col min="436" max="436" width="9.1328125" customWidth="true" style="2"/>
    <col min="437" max="437" width="9.1328125" customWidth="true" style="2"/>
    <col min="438" max="438" width="9.1328125" customWidth="true" style="2"/>
    <col min="439" max="439" width="9.1328125" customWidth="true" style="2"/>
    <col min="440" max="440" width="9.1328125" customWidth="true" style="2"/>
    <col min="441" max="441" width="9.1328125" customWidth="true" style="2"/>
    <col min="442" max="442" width="9.1328125" customWidth="true" style="2"/>
    <col min="443" max="443" width="9.1328125" customWidth="true" style="2"/>
    <col min="444" max="444" width="9.1328125" customWidth="true" style="2"/>
    <col min="445" max="445" width="9.1328125" customWidth="true" style="2"/>
    <col min="446" max="446" width="9.1328125" customWidth="true" style="2"/>
    <col min="447" max="447" width="9.1328125" customWidth="true" style="2"/>
    <col min="448" max="448" width="9.1328125" customWidth="true" style="2"/>
    <col min="449" max="449" width="9.1328125" customWidth="true" style="2"/>
    <col min="450" max="450" width="9.1328125" customWidth="true" style="2"/>
    <col min="451" max="451" width="9.1328125" customWidth="true" style="2"/>
    <col min="452" max="452" width="9.1328125" customWidth="true" style="2"/>
    <col min="453" max="453" width="9.1328125" customWidth="true" style="2"/>
    <col min="454" max="454" width="9.1328125" customWidth="true" style="2"/>
    <col min="455" max="455" width="9.1328125" customWidth="true" style="2"/>
    <col min="456" max="456" width="9.1328125" customWidth="true" style="2"/>
    <col min="457" max="457" width="9.1328125" customWidth="true" style="2"/>
    <col min="458" max="458" width="9.1328125" customWidth="true" style="2"/>
    <col min="459" max="459" width="9.1328125" customWidth="true" style="2"/>
    <col min="460" max="460" width="9.1328125" customWidth="true" style="2"/>
    <col min="461" max="461" width="9.1328125" customWidth="true" style="2"/>
    <col min="462" max="462" width="9.1328125" customWidth="true" style="2"/>
    <col min="463" max="463" width="9.1328125" customWidth="true" style="2"/>
    <col min="464" max="464" width="9.1328125" customWidth="true" style="2"/>
    <col min="465" max="465" width="9.1328125" customWidth="true" style="2"/>
    <col min="466" max="466" width="9.1328125" customWidth="true" style="2"/>
    <col min="467" max="467" width="9.1328125" customWidth="true" style="2"/>
    <col min="468" max="468" width="9.1328125" customWidth="true" style="2"/>
    <col min="469" max="469" width="9.1328125" customWidth="true" style="2"/>
    <col min="470" max="470" width="9.1328125" customWidth="true" style="2"/>
    <col min="471" max="471" width="9.1328125" customWidth="true" style="2"/>
    <col min="472" max="472" width="9.1328125" customWidth="true" style="2"/>
    <col min="473" max="473" width="9.1328125" customWidth="true" style="2"/>
    <col min="474" max="474" width="9.1328125" customWidth="true" style="2"/>
    <col min="475" max="475" width="9.1328125" customWidth="true" style="2"/>
    <col min="476" max="476" width="9.1328125" customWidth="true" style="2"/>
    <col min="477" max="477" width="9.1328125" customWidth="true" style="2"/>
    <col min="478" max="478" width="9.1328125" customWidth="true" style="2"/>
    <col min="479" max="479" width="9.1328125" customWidth="true" style="2"/>
    <col min="480" max="480" width="9.1328125" customWidth="true" style="2"/>
    <col min="481" max="481" width="9.1328125" customWidth="true" style="2"/>
    <col min="482" max="482" width="9.1328125" customWidth="true" style="2"/>
    <col min="483" max="483" width="9.1328125" customWidth="true" style="2"/>
    <col min="484" max="484" width="9.1328125" customWidth="true" style="2"/>
    <col min="485" max="485" width="9.1328125" customWidth="true" style="2"/>
    <col min="486" max="486" width="9.1328125" customWidth="true" style="2"/>
    <col min="487" max="487" width="9.1328125" customWidth="true" style="2"/>
    <col min="488" max="488" width="9.1328125" customWidth="true" style="2"/>
    <col min="489" max="489" width="9.1328125" customWidth="true" style="2"/>
    <col min="490" max="490" width="9.1328125" customWidth="true" style="2"/>
    <col min="491" max="491" width="9.1328125" customWidth="true" style="2"/>
    <col min="492" max="492" width="9.1328125" customWidth="true" style="2"/>
    <col min="493" max="493" width="9.1328125" customWidth="true" style="2"/>
    <col min="494" max="494" width="9.1328125" customWidth="true" style="2"/>
    <col min="495" max="495" width="9.1328125" customWidth="true" style="2"/>
    <col min="496" max="496" width="9.1328125" customWidth="true" style="2"/>
    <col min="497" max="497" width="9.1328125" customWidth="true" style="2"/>
    <col min="498" max="498" width="9.1328125" customWidth="true" style="2"/>
    <col min="499" max="499" width="9.1328125" customWidth="true" style="2"/>
    <col min="500" max="500" width="9.1328125" customWidth="true" style="2"/>
    <col min="501" max="501" width="9.1328125" customWidth="true" style="2"/>
    <col min="502" max="502" width="9.1328125" customWidth="true" style="2"/>
    <col min="503" max="503" width="9.1328125" customWidth="true" style="2"/>
    <col min="504" max="504" width="9.1328125" customWidth="true" style="2"/>
    <col min="505" max="505" width="9.1328125" customWidth="true" style="2"/>
    <col min="506" max="506" width="9.1328125" customWidth="true" style="2"/>
    <col min="507" max="507" width="9.1328125" customWidth="true" style="2"/>
    <col min="508" max="508" width="9.1328125" customWidth="true" style="2"/>
    <col min="509" max="509" width="9.1328125" customWidth="true" style="2"/>
    <col min="510" max="510" width="9.1328125" customWidth="true" style="2"/>
    <col min="511" max="511" width="9.1328125" customWidth="true" style="2"/>
    <col min="512" max="512" width="9.1328125" customWidth="true" style="2"/>
    <col min="513" max="513" width="9.1328125" customWidth="true" style="2"/>
    <col min="514" max="514" width="9.1328125" customWidth="true" style="2"/>
    <col min="515" max="515" width="9.1328125" customWidth="true" style="2"/>
    <col min="516" max="516" width="9.1328125" customWidth="true" style="2"/>
    <col min="517" max="517" width="9.1328125" customWidth="true" style="2"/>
    <col min="518" max="518" width="9.1328125" customWidth="true" style="2"/>
    <col min="519" max="519" width="9.1328125" customWidth="true" style="2"/>
    <col min="520" max="520" width="9.1328125" customWidth="true" style="2"/>
    <col min="521" max="521" width="9.1328125" customWidth="true" style="2"/>
    <col min="522" max="522" width="9.1328125" customWidth="true" style="2"/>
    <col min="523" max="523" width="9.1328125" customWidth="true" style="2"/>
    <col min="524" max="524" width="9.1328125" customWidth="true" style="2"/>
    <col min="525" max="525" width="9.1328125" customWidth="true" style="2"/>
    <col min="526" max="526" width="9.1328125" customWidth="true" style="2"/>
    <col min="527" max="527" width="9.1328125" customWidth="true" style="2"/>
    <col min="528" max="528" width="9.1328125" customWidth="true" style="2"/>
    <col min="529" max="529" width="9.1328125" customWidth="true" style="2"/>
    <col min="530" max="530" width="9.1328125" customWidth="true" style="2"/>
    <col min="531" max="531" width="9.1328125" customWidth="true" style="2"/>
    <col min="532" max="532" width="9.1328125" customWidth="true" style="2"/>
    <col min="533" max="533" width="9.1328125" customWidth="true" style="2"/>
    <col min="534" max="534" width="9.1328125" customWidth="true" style="2"/>
    <col min="535" max="535" width="9.1328125" customWidth="true" style="2"/>
    <col min="536" max="536" width="9.1328125" customWidth="true" style="2"/>
    <col min="537" max="537" width="9.1328125" customWidth="true" style="2"/>
    <col min="538" max="538" width="9.1328125" customWidth="true" style="2"/>
    <col min="539" max="539" width="9.1328125" customWidth="true" style="2"/>
    <col min="540" max="540" width="9.1328125" customWidth="true" style="2"/>
    <col min="541" max="541" width="9.1328125" customWidth="true" style="2"/>
    <col min="542" max="542" width="9.1328125" customWidth="true" style="2"/>
    <col min="543" max="543" width="9.1328125" customWidth="true" style="2"/>
    <col min="544" max="544" width="9.1328125" customWidth="true" style="2"/>
    <col min="545" max="545" width="9.1328125" customWidth="true" style="2"/>
    <col min="546" max="546" width="9.1328125" customWidth="true" style="2"/>
    <col min="547" max="547" width="9.1328125" customWidth="true" style="2"/>
    <col min="548" max="548" width="9.1328125" customWidth="true" style="2"/>
    <col min="549" max="549" width="9.1328125" customWidth="true" style="2"/>
    <col min="550" max="550" width="9.1328125" customWidth="true" style="2"/>
    <col min="551" max="551" width="9.1328125" customWidth="true" style="2"/>
    <col min="552" max="552" width="9.1328125" customWidth="true" style="2"/>
    <col min="553" max="553" width="9.1328125" customWidth="true" style="2"/>
    <col min="554" max="554" width="9.1328125" customWidth="true" style="2"/>
    <col min="555" max="555" width="9.1328125" customWidth="true" style="2"/>
    <col min="556" max="556" width="9.1328125" customWidth="true" style="2"/>
    <col min="557" max="557" width="9.1328125" customWidth="true" style="2"/>
    <col min="558" max="558" width="9.1328125" customWidth="true" style="2"/>
    <col min="559" max="559" width="9.1328125" customWidth="true" style="2"/>
    <col min="560" max="560" width="9.1328125" customWidth="true" style="2"/>
    <col min="561" max="561" width="9.1328125" customWidth="true" style="2"/>
    <col min="562" max="562" width="9.1328125" customWidth="true" style="2"/>
    <col min="563" max="563" width="9.1328125" customWidth="true" style="2"/>
    <col min="564" max="564" width="9.1328125" customWidth="true" style="2"/>
    <col min="565" max="565" width="9.1328125" customWidth="true" style="2"/>
    <col min="566" max="566" width="9.1328125" customWidth="true" style="2"/>
    <col min="567" max="567" width="9.1328125" customWidth="true" style="2"/>
    <col min="568" max="568" width="9.1328125" customWidth="true" style="2"/>
    <col min="569" max="569" width="9.1328125" customWidth="true" style="2"/>
    <col min="570" max="570" width="9.1328125" customWidth="true" style="2"/>
    <col min="571" max="571" width="9.1328125" customWidth="true" style="2"/>
    <col min="572" max="572" width="9.1328125" customWidth="true" style="2"/>
    <col min="573" max="573" width="9.1328125" customWidth="true" style="2"/>
    <col min="574" max="574" width="9.1328125" customWidth="true" style="2"/>
    <col min="575" max="575" width="9.1328125" customWidth="true" style="2"/>
    <col min="576" max="576" width="9.1328125" customWidth="true" style="2"/>
    <col min="577" max="577" width="9.1328125" customWidth="true" style="2"/>
    <col min="578" max="578" width="9.1328125" customWidth="true" style="2"/>
    <col min="579" max="579" width="9.1328125" customWidth="true" style="2"/>
    <col min="580" max="580" width="9.1328125" customWidth="true" style="2"/>
    <col min="581" max="581" width="9.1328125" customWidth="true" style="2"/>
    <col min="582" max="582" width="9.1328125" customWidth="true" style="2"/>
    <col min="583" max="583" width="9.1328125" customWidth="true" style="2"/>
    <col min="584" max="584" width="9.1328125" customWidth="true" style="2"/>
    <col min="585" max="585" width="9.1328125" customWidth="true" style="2"/>
    <col min="586" max="586" width="9.1328125" customWidth="true" style="2"/>
    <col min="587" max="587" width="9.1328125" customWidth="true" style="2"/>
    <col min="588" max="588" width="9.1328125" customWidth="true" style="2"/>
    <col min="589" max="589" width="9.1328125" customWidth="true" style="2"/>
    <col min="590" max="590" width="9.1328125" customWidth="true" style="2"/>
    <col min="591" max="591" width="9.1328125" customWidth="true" style="2"/>
    <col min="592" max="592" width="9.1328125" customWidth="true" style="2"/>
    <col min="593" max="593" width="9.1328125" customWidth="true" style="2"/>
    <col min="594" max="594" width="9.1328125" customWidth="true" style="2"/>
    <col min="595" max="595" width="9.1328125" customWidth="true" style="2"/>
    <col min="596" max="596" width="9.1328125" customWidth="true" style="2"/>
    <col min="597" max="597" width="9.1328125" customWidth="true" style="2"/>
    <col min="598" max="598" width="9.1328125" customWidth="true" style="2"/>
    <col min="599" max="599" width="9.1328125" customWidth="true" style="2"/>
    <col min="600" max="600" width="9.1328125" customWidth="true" style="2"/>
    <col min="601" max="601" width="9.1328125" customWidth="true" style="2"/>
    <col min="602" max="602" width="9.1328125" customWidth="true" style="2"/>
    <col min="603" max="603" width="9.1328125" customWidth="true" style="2"/>
    <col min="604" max="604" width="9.1328125" customWidth="true" style="2"/>
    <col min="605" max="605" width="9.1328125" customWidth="true" style="2"/>
    <col min="606" max="606" width="9.1328125" customWidth="true" style="2"/>
    <col min="607" max="607" width="9.1328125" customWidth="true" style="2"/>
    <col min="608" max="608" width="9.1328125" customWidth="true" style="2"/>
    <col min="609" max="609" width="9.1328125" customWidth="true" style="2"/>
    <col min="610" max="610" width="9.1328125" customWidth="true" style="2"/>
    <col min="611" max="611" width="9.1328125" customWidth="true" style="2"/>
    <col min="612" max="612" width="9.1328125" customWidth="true" style="2"/>
    <col min="613" max="613" width="9.1328125" customWidth="true" style="2"/>
    <col min="614" max="614" width="9.1328125" customWidth="true" style="2"/>
    <col min="615" max="615" width="9.1328125" customWidth="true" style="2"/>
    <col min="616" max="616" width="9.1328125" customWidth="true" style="2"/>
    <col min="617" max="617" width="9.1328125" customWidth="true" style="2"/>
    <col min="618" max="618" width="9.1328125" customWidth="true" style="2"/>
    <col min="619" max="619" width="9.1328125" customWidth="true" style="2"/>
    <col min="620" max="620" width="9.1328125" customWidth="true" style="2"/>
    <col min="621" max="621" width="9.1328125" customWidth="true" style="2"/>
    <col min="622" max="622" width="9.1328125" customWidth="true" style="2"/>
    <col min="623" max="623" width="9.1328125" customWidth="true" style="2"/>
    <col min="624" max="624" width="9.1328125" customWidth="true" style="2"/>
    <col min="625" max="625" width="9.1328125" customWidth="true" style="2"/>
    <col min="626" max="626" width="9.1328125" customWidth="true" style="2"/>
    <col min="627" max="627" width="9.1328125" customWidth="true" style="2"/>
    <col min="628" max="628" width="9.1328125" customWidth="true" style="2"/>
    <col min="629" max="629" width="9.1328125" customWidth="true" style="2"/>
    <col min="630" max="630" width="9.1328125" customWidth="true" style="2"/>
    <col min="631" max="631" width="9.1328125" customWidth="true" style="2"/>
    <col min="632" max="632" width="9.1328125" customWidth="true" style="2"/>
    <col min="633" max="633" width="9.1328125" customWidth="true" style="2"/>
    <col min="634" max="634" width="9.1328125" customWidth="true" style="2"/>
    <col min="635" max="635" width="9.1328125" customWidth="true" style="2"/>
    <col min="636" max="636" width="9.1328125" customWidth="true" style="2"/>
    <col min="637" max="637" width="9.1328125" customWidth="true" style="2"/>
    <col min="638" max="638" width="9.1328125" customWidth="true" style="2"/>
    <col min="639" max="639" width="9.1328125" customWidth="true" style="2"/>
    <col min="640" max="640" width="9.1328125" customWidth="true" style="2"/>
    <col min="641" max="641" width="9.1328125" customWidth="true" style="2"/>
    <col min="642" max="642" width="9.1328125" customWidth="true" style="2"/>
    <col min="643" max="643" width="9.1328125" customWidth="true" style="2"/>
    <col min="644" max="644" width="9.1328125" customWidth="true" style="2"/>
    <col min="645" max="645" width="9.1328125" customWidth="true" style="2"/>
    <col min="646" max="646" width="9.1328125" customWidth="true" style="2"/>
    <col min="647" max="647" width="9.1328125" customWidth="true" style="2"/>
    <col min="648" max="648" width="9.1328125" customWidth="true" style="2"/>
    <col min="649" max="649" width="9.1328125" customWidth="true" style="2"/>
    <col min="650" max="650" width="9.1328125" customWidth="true" style="2"/>
    <col min="651" max="651" width="9.1328125" customWidth="true" style="2"/>
    <col min="652" max="652" width="9.1328125" customWidth="true" style="2"/>
    <col min="653" max="653" width="9.1328125" customWidth="true" style="2"/>
    <col min="654" max="654" width="9.1328125" customWidth="true" style="2"/>
    <col min="655" max="655" width="9.1328125" customWidth="true" style="2"/>
    <col min="656" max="656" width="9.1328125" customWidth="true" style="2"/>
    <col min="657" max="657" width="9.1328125" customWidth="true" style="2"/>
    <col min="658" max="658" width="9.1328125" customWidth="true" style="2"/>
    <col min="659" max="659" width="9.1328125" customWidth="true" style="2"/>
    <col min="660" max="660" width="9.1328125" customWidth="true" style="2"/>
    <col min="661" max="661" width="9.1328125" customWidth="true" style="2"/>
    <col min="662" max="662" width="9.1328125" customWidth="true" style="2"/>
    <col min="663" max="663" width="9.1328125" customWidth="true" style="2"/>
    <col min="664" max="664" width="9.1328125" customWidth="true" style="2"/>
    <col min="665" max="665" width="9.1328125" customWidth="true" style="2"/>
    <col min="666" max="666" width="9.1328125" customWidth="true" style="2"/>
    <col min="667" max="667" width="9.1328125" customWidth="true" style="2"/>
    <col min="668" max="668" width="9.1328125" customWidth="true" style="2"/>
    <col min="669" max="669" width="9.1328125" customWidth="true" style="2"/>
    <col min="670" max="670" width="9.1328125" customWidth="true" style="2"/>
    <col min="671" max="671" width="9.1328125" customWidth="true" style="2"/>
    <col min="672" max="672" width="9.1328125" customWidth="true" style="2"/>
    <col min="673" max="673" width="9.1328125" customWidth="true" style="2"/>
    <col min="674" max="674" width="9.1328125" customWidth="true" style="2"/>
    <col min="675" max="675" width="9.1328125" customWidth="true" style="2"/>
    <col min="676" max="676" width="9.1328125" customWidth="true" style="2"/>
    <col min="677" max="677" width="9.1328125" customWidth="true" style="2"/>
    <col min="678" max="678" width="9.1328125" customWidth="true" style="2"/>
    <col min="679" max="679" width="9.1328125" customWidth="true" style="2"/>
    <col min="680" max="680" width="9.1328125" customWidth="true" style="2"/>
    <col min="681" max="681" width="9.1328125" customWidth="true" style="2"/>
    <col min="682" max="682" width="9.1328125" customWidth="true" style="2"/>
    <col min="683" max="683" width="9.1328125" customWidth="true" style="2"/>
    <col min="684" max="684" width="9.1328125" customWidth="true" style="2"/>
    <col min="685" max="685" width="9.1328125" customWidth="true" style="2"/>
    <col min="686" max="686" width="9.1328125" customWidth="true" style="2"/>
    <col min="687" max="687" width="9.1328125" customWidth="true" style="2"/>
    <col min="688" max="688" width="9.1328125" customWidth="true" style="2"/>
    <col min="689" max="689" width="9.1328125" customWidth="true" style="2"/>
    <col min="690" max="690" width="9.1328125" customWidth="true" style="2"/>
    <col min="691" max="691" width="9.1328125" customWidth="true" style="2"/>
    <col min="692" max="692" width="9.1328125" customWidth="true" style="2"/>
    <col min="693" max="693" width="9.1328125" customWidth="true" style="2"/>
    <col min="694" max="694" width="9.1328125" customWidth="true" style="2"/>
    <col min="695" max="695" width="9.1328125" customWidth="true" style="2"/>
    <col min="696" max="696" width="9.1328125" customWidth="true" style="2"/>
    <col min="697" max="697" width="9.1328125" customWidth="true" style="2"/>
    <col min="698" max="698" width="9.1328125" customWidth="true" style="2"/>
    <col min="699" max="699" width="9.1328125" customWidth="true" style="2"/>
    <col min="700" max="700" width="9.1328125" customWidth="true" style="2"/>
    <col min="701" max="701" width="9.1328125" customWidth="true" style="2"/>
    <col min="702" max="702" width="9.1328125" customWidth="true" style="2"/>
    <col min="703" max="703" width="9.1328125" customWidth="true" style="2"/>
    <col min="704" max="704" width="9.1328125" customWidth="true" style="2"/>
    <col min="705" max="705" width="9.1328125" customWidth="true" style="2"/>
    <col min="706" max="706" width="9.1328125" customWidth="true" style="2"/>
    <col min="707" max="707" width="9.1328125" customWidth="true" style="2"/>
    <col min="708" max="708" width="9.1328125" customWidth="true" style="2"/>
    <col min="709" max="709" width="9.1328125" customWidth="true" style="2"/>
    <col min="710" max="710" width="9.1328125" customWidth="true" style="2"/>
    <col min="711" max="711" width="9.1328125" customWidth="true" style="2"/>
    <col min="712" max="712" width="9.1328125" customWidth="true" style="2"/>
    <col min="713" max="713" width="9.1328125" customWidth="true" style="2"/>
    <col min="714" max="714" width="9.1328125" customWidth="true" style="2"/>
    <col min="715" max="715" width="9.1328125" customWidth="true" style="2"/>
    <col min="716" max="716" width="9.1328125" customWidth="true" style="2"/>
    <col min="717" max="717" width="9.1328125" customWidth="true" style="2"/>
    <col min="718" max="718" width="9.1328125" customWidth="true" style="2"/>
    <col min="719" max="719" width="9.1328125" customWidth="true" style="2"/>
    <col min="720" max="720" width="9.1328125" customWidth="true" style="2"/>
    <col min="721" max="721" width="9.1328125" customWidth="true" style="2"/>
    <col min="722" max="722" width="9.1328125" customWidth="true" style="2"/>
    <col min="723" max="723" width="9.1328125" customWidth="true" style="2"/>
    <col min="724" max="724" width="9.1328125" customWidth="true" style="2"/>
    <col min="725" max="725" width="9.1328125" customWidth="true" style="2"/>
    <col min="726" max="726" width="9.1328125" customWidth="true" style="2"/>
    <col min="727" max="727" width="9.1328125" customWidth="true" style="2"/>
    <col min="728" max="728" width="9.1328125" customWidth="true" style="2"/>
    <col min="729" max="729" width="9.1328125" customWidth="true" style="2"/>
    <col min="730" max="730" width="9.1328125" customWidth="true" style="2"/>
    <col min="731" max="731" width="9.1328125" customWidth="true" style="2"/>
    <col min="732" max="732" width="9.1328125" customWidth="true" style="2"/>
    <col min="733" max="733" width="9.1328125" customWidth="true" style="2"/>
    <col min="734" max="734" width="9.1328125" customWidth="true" style="2"/>
    <col min="735" max="735" width="9.1328125" customWidth="true" style="2"/>
    <col min="736" max="736" width="9.1328125" customWidth="true" style="2"/>
    <col min="737" max="737" width="9.1328125" customWidth="true" style="2"/>
    <col min="738" max="738" width="9.1328125" customWidth="true" style="2"/>
    <col min="739" max="739" width="9.1328125" customWidth="true" style="2"/>
    <col min="740" max="740" width="9.1328125" customWidth="true" style="2"/>
    <col min="741" max="741" width="9.1328125" customWidth="true" style="2"/>
    <col min="742" max="742" width="9.1328125" customWidth="true" style="2"/>
    <col min="743" max="743" width="9.1328125" customWidth="true" style="2"/>
    <col min="744" max="744" width="9.1328125" customWidth="true" style="2"/>
    <col min="745" max="745" width="9.1328125" customWidth="true" style="2"/>
    <col min="746" max="746" width="9.1328125" customWidth="true" style="2"/>
    <col min="747" max="747" width="9.1328125" customWidth="true" style="2"/>
    <col min="748" max="748" width="9.1328125" customWidth="true" style="2"/>
    <col min="749" max="749" width="9.1328125" customWidth="true" style="2"/>
    <col min="750" max="750" width="9.1328125" customWidth="true" style="2"/>
    <col min="751" max="751" width="9.1328125" customWidth="true" style="2"/>
    <col min="752" max="752" width="9.1328125" customWidth="true" style="2"/>
    <col min="753" max="753" width="9.1328125" customWidth="true" style="2"/>
    <col min="754" max="754" width="9.1328125" customWidth="true" style="2"/>
    <col min="755" max="755" width="9.1328125" customWidth="true" style="2"/>
    <col min="756" max="756" width="9.1328125" customWidth="true" style="2"/>
    <col min="757" max="757" width="9.1328125" customWidth="true" style="2"/>
    <col min="758" max="758" width="9.1328125" customWidth="true" style="2"/>
    <col min="759" max="759" width="9.1328125" customWidth="true" style="2"/>
    <col min="760" max="760" width="9.1328125" customWidth="true" style="2"/>
    <col min="761" max="761" width="9.1328125" customWidth="true" style="2"/>
    <col min="762" max="762" width="9.1328125" customWidth="true" style="2"/>
    <col min="763" max="763" width="9.1328125" customWidth="true" style="2"/>
    <col min="764" max="764" width="9.1328125" customWidth="true" style="2"/>
    <col min="765" max="765" width="9.1328125" customWidth="true" style="2"/>
    <col min="766" max="766" width="9.1328125" customWidth="true" style="2"/>
    <col min="767" max="767" width="9.1328125" customWidth="true" style="2"/>
    <col min="768" max="768" width="9.1328125" customWidth="true" style="2"/>
    <col min="769" max="769" width="9.1328125" customWidth="true" style="2"/>
    <col min="770" max="770" width="9.1328125" customWidth="true" style="2"/>
    <col min="771" max="771" width="9.1328125" customWidth="true" style="2"/>
    <col min="772" max="772" width="9.1328125" customWidth="true" style="2"/>
    <col min="773" max="773" width="9.1328125" customWidth="true" style="2"/>
    <col min="774" max="774" width="9.1328125" customWidth="true" style="2"/>
    <col min="775" max="775" width="9.1328125" customWidth="true" style="2"/>
    <col min="776" max="776" width="9.1328125" customWidth="true" style="2"/>
    <col min="777" max="777" width="9.1328125" customWidth="true" style="2"/>
    <col min="778" max="778" width="9.1328125" customWidth="true" style="2"/>
    <col min="779" max="779" width="9.1328125" customWidth="true" style="2"/>
    <col min="780" max="780" width="9.1328125" customWidth="true" style="2"/>
    <col min="781" max="781" width="9.1328125" customWidth="true" style="2"/>
    <col min="782" max="782" width="9.1328125" customWidth="true" style="2"/>
    <col min="783" max="783" width="9.1328125" customWidth="true" style="2"/>
    <col min="784" max="784" width="9.1328125" customWidth="true" style="2"/>
    <col min="785" max="785" width="9.1328125" customWidth="true" style="2"/>
    <col min="786" max="786" width="9.1328125" customWidth="true" style="2"/>
    <col min="787" max="787" width="9.1328125" customWidth="true" style="2"/>
    <col min="788" max="788" width="9.1328125" customWidth="true" style="2"/>
    <col min="789" max="789" width="9.1328125" customWidth="true" style="2"/>
    <col min="790" max="790" width="9.1328125" customWidth="true" style="2"/>
    <col min="791" max="791" width="9.1328125" customWidth="true" style="2"/>
    <col min="792" max="792" width="9.1328125" customWidth="true" style="2"/>
    <col min="793" max="793" width="9.1328125" customWidth="true" style="2"/>
    <col min="794" max="794" width="9.1328125" customWidth="true" style="2"/>
    <col min="795" max="795" width="9.1328125" customWidth="true" style="2"/>
    <col min="796" max="796" width="9.1328125" customWidth="true" style="2"/>
    <col min="797" max="797" width="9.1328125" customWidth="true" style="2"/>
    <col min="798" max="798" width="9.1328125" customWidth="true" style="2"/>
    <col min="799" max="799" width="9.1328125" customWidth="true" style="2"/>
    <col min="800" max="800" width="9.1328125" customWidth="true" style="2"/>
    <col min="801" max="801" width="9.1328125" customWidth="true" style="2"/>
    <col min="802" max="802" width="9.1328125" customWidth="true" style="2"/>
    <col min="803" max="803" width="9.1328125" customWidth="true" style="2"/>
    <col min="804" max="804" width="9.1328125" customWidth="true" style="2"/>
    <col min="805" max="805" width="9.1328125" customWidth="true" style="2"/>
    <col min="806" max="806" width="9.1328125" customWidth="true" style="2"/>
    <col min="807" max="807" width="9.1328125" customWidth="true" style="2"/>
    <col min="808" max="808" width="9.1328125" customWidth="true" style="2"/>
    <col min="809" max="809" width="9.1328125" customWidth="true" style="2"/>
    <col min="810" max="810" width="9.1328125" customWidth="true" style="2"/>
    <col min="811" max="811" width="9.1328125" customWidth="true" style="2"/>
    <col min="812" max="812" width="9.1328125" customWidth="true" style="2"/>
    <col min="813" max="813" width="9.1328125" customWidth="true" style="2"/>
    <col min="814" max="814" width="9.1328125" customWidth="true" style="2"/>
    <col min="815" max="815" width="9.1328125" customWidth="true" style="2"/>
    <col min="816" max="816" width="9.1328125" customWidth="true" style="2"/>
    <col min="817" max="817" width="9.1328125" customWidth="true" style="2"/>
    <col min="818" max="818" width="9.1328125" customWidth="true" style="2"/>
    <col min="819" max="819" width="9.1328125" customWidth="true" style="2"/>
    <col min="820" max="820" width="9.1328125" customWidth="true" style="2"/>
    <col min="821" max="821" width="9.1328125" customWidth="true" style="2"/>
    <col min="822" max="822" width="9.1328125" customWidth="true" style="2"/>
    <col min="823" max="823" width="9.1328125" customWidth="true" style="2"/>
    <col min="824" max="824" width="9.1328125" customWidth="true" style="2"/>
    <col min="825" max="825" width="9.1328125" customWidth="true" style="2"/>
    <col min="826" max="826" width="9.1328125" customWidth="true" style="2"/>
    <col min="827" max="827" width="9.1328125" customWidth="true" style="2"/>
    <col min="828" max="828" width="9.1328125" customWidth="true" style="2"/>
    <col min="829" max="829" width="9.1328125" customWidth="true" style="2"/>
    <col min="830" max="830" width="9.1328125" customWidth="true" style="2"/>
    <col min="831" max="831" width="9.1328125" customWidth="true" style="2"/>
    <col min="832" max="832" width="9.1328125" customWidth="true" style="2"/>
    <col min="833" max="833" width="9.1328125" customWidth="true" style="2"/>
    <col min="834" max="834" width="9.1328125" customWidth="true" style="2"/>
    <col min="835" max="835" width="9.1328125" customWidth="true" style="2"/>
    <col min="836" max="836" width="9.1328125" customWidth="true" style="2"/>
    <col min="837" max="837" width="9.1328125" customWidth="true" style="2"/>
    <col min="838" max="838" width="9.1328125" customWidth="true" style="2"/>
    <col min="839" max="839" width="9.1328125" customWidth="true" style="2"/>
    <col min="840" max="840" width="9.1328125" customWidth="true" style="2"/>
    <col min="841" max="841" width="9.1328125" customWidth="true" style="2"/>
    <col min="842" max="842" width="9.1328125" customWidth="true" style="2"/>
    <col min="843" max="843" width="9.1328125" customWidth="true" style="2"/>
    <col min="844" max="844" width="9.1328125" customWidth="true" style="2"/>
    <col min="845" max="845" width="9.1328125" customWidth="true" style="2"/>
    <col min="846" max="846" width="9.1328125" customWidth="true" style="2"/>
    <col min="847" max="847" width="9.1328125" customWidth="true" style="2"/>
    <col min="848" max="848" width="9.1328125" customWidth="true" style="2"/>
    <col min="849" max="849" width="9.1328125" customWidth="true" style="2"/>
    <col min="850" max="850" width="9.1328125" customWidth="true" style="2"/>
    <col min="851" max="851" width="9.1328125" customWidth="true" style="2"/>
    <col min="852" max="852" width="9.1328125" customWidth="true" style="2"/>
    <col min="853" max="853" width="9.1328125" customWidth="true" style="2"/>
    <col min="854" max="854" width="9.1328125" customWidth="true" style="2"/>
    <col min="855" max="855" width="9.1328125" customWidth="true" style="2"/>
    <col min="856" max="856" width="9.1328125" customWidth="true" style="2"/>
    <col min="857" max="857" width="9.1328125" customWidth="true" style="2"/>
    <col min="858" max="858" width="9.1328125" customWidth="true" style="2"/>
    <col min="859" max="859" width="9.1328125" customWidth="true" style="2"/>
    <col min="860" max="860" width="9.1328125" customWidth="true" style="2"/>
    <col min="861" max="861" width="9.1328125" customWidth="true" style="2"/>
    <col min="862" max="862" width="9.1328125" customWidth="true" style="2"/>
    <col min="863" max="863" width="9.1328125" customWidth="true" style="2"/>
    <col min="864" max="864" width="9.1328125" customWidth="true" style="2"/>
    <col min="865" max="865" width="9.1328125" customWidth="true" style="2"/>
    <col min="866" max="866" width="9.1328125" customWidth="true" style="2"/>
    <col min="867" max="867" width="9.1328125" customWidth="true" style="2"/>
    <col min="868" max="868" width="9.1328125" customWidth="true" style="2"/>
    <col min="869" max="869" width="9.1328125" customWidth="true" style="2"/>
    <col min="870" max="870" width="9.1328125" customWidth="true" style="2"/>
    <col min="871" max="871" width="9.1328125" customWidth="true" style="2"/>
    <col min="872" max="872" width="9.1328125" customWidth="true" style="2"/>
    <col min="873" max="873" width="9.1328125" customWidth="true" style="2"/>
    <col min="874" max="874" width="9.1328125" customWidth="true" style="2"/>
    <col min="875" max="875" width="9.1328125" customWidth="true" style="2"/>
    <col min="876" max="876" width="9.1328125" customWidth="true" style="2"/>
    <col min="877" max="877" width="9.1328125" customWidth="true" style="2"/>
    <col min="878" max="878" width="9.1328125" customWidth="true" style="2"/>
    <col min="879" max="879" width="9.1328125" customWidth="true" style="2"/>
    <col min="880" max="880" width="9.1328125" customWidth="true" style="2"/>
    <col min="881" max="881" width="9.1328125" customWidth="true" style="2"/>
    <col min="882" max="882" width="9.1328125" customWidth="true" style="2"/>
    <col min="883" max="883" width="9.1328125" customWidth="true" style="2"/>
    <col min="884" max="884" width="9.1328125" customWidth="true" style="2"/>
    <col min="885" max="885" width="9.1328125" customWidth="true" style="2"/>
    <col min="886" max="886" width="9.1328125" customWidth="true" style="2"/>
    <col min="887" max="887" width="9.1328125" customWidth="true" style="2"/>
    <col min="888" max="888" width="9.1328125" customWidth="true" style="2"/>
    <col min="889" max="889" width="9.1328125" customWidth="true" style="2"/>
    <col min="890" max="890" width="9.1328125" customWidth="true" style="2"/>
    <col min="891" max="891" width="9.1328125" customWidth="true" style="2"/>
    <col min="892" max="892" width="9.1328125" customWidth="true" style="2"/>
    <col min="893" max="893" width="9.1328125" customWidth="true" style="2"/>
    <col min="894" max="894" width="9.1328125" customWidth="true" style="2"/>
    <col min="895" max="895" width="9.1328125" customWidth="true" style="2"/>
    <col min="896" max="896" width="9.1328125" customWidth="true" style="2"/>
    <col min="897" max="897" width="9.1328125" customWidth="true" style="2"/>
    <col min="898" max="898" width="9.1328125" customWidth="true" style="2"/>
    <col min="899" max="899" width="9.1328125" customWidth="true" style="2"/>
    <col min="900" max="900" width="9.1328125" customWidth="true" style="2"/>
    <col min="901" max="901" width="9.1328125" customWidth="true" style="2"/>
    <col min="902" max="902" width="9.1328125" customWidth="true" style="2"/>
    <col min="903" max="903" width="9.1328125" customWidth="true" style="2"/>
    <col min="904" max="904" width="9.1328125" customWidth="true" style="2"/>
    <col min="905" max="905" width="9.1328125" customWidth="true" style="2"/>
    <col min="906" max="906" width="9.1328125" customWidth="true" style="2"/>
    <col min="907" max="907" width="9.1328125" customWidth="true" style="2"/>
    <col min="908" max="908" width="9.1328125" customWidth="true" style="2"/>
    <col min="909" max="909" width="9.1328125" customWidth="true" style="2"/>
    <col min="910" max="910" width="9.1328125" customWidth="true" style="2"/>
    <col min="911" max="911" width="9.1328125" customWidth="true" style="2"/>
    <col min="912" max="912" width="9.1328125" customWidth="true" style="2"/>
    <col min="913" max="913" width="9.1328125" customWidth="true" style="2"/>
    <col min="914" max="914" width="9.1328125" customWidth="true" style="2"/>
    <col min="915" max="915" width="9.1328125" customWidth="true" style="2"/>
    <col min="916" max="916" width="9.1328125" customWidth="true" style="2"/>
    <col min="917" max="917" width="9.1328125" customWidth="true" style="2"/>
    <col min="918" max="918" width="9.1328125" customWidth="true" style="2"/>
    <col min="919" max="919" width="9.1328125" customWidth="true" style="2"/>
    <col min="920" max="920" width="9.1328125" customWidth="true" style="2"/>
    <col min="921" max="921" width="9.1328125" customWidth="true" style="2"/>
    <col min="922" max="922" width="9.1328125" customWidth="true" style="2"/>
    <col min="923" max="923" width="9.1328125" customWidth="true" style="2"/>
    <col min="924" max="924" width="9.1328125" customWidth="true" style="2"/>
    <col min="925" max="925" width="9.1328125" customWidth="true" style="2"/>
    <col min="926" max="926" width="9.1328125" customWidth="true" style="2"/>
    <col min="927" max="927" width="9.1328125" customWidth="true" style="2"/>
    <col min="928" max="928" width="9.1328125" customWidth="true" style="2"/>
    <col min="929" max="929" width="9.1328125" customWidth="true" style="2"/>
    <col min="930" max="930" width="9.1328125" customWidth="true" style="2"/>
    <col min="931" max="931" width="9.1328125" customWidth="true" style="2"/>
    <col min="932" max="932" width="9.1328125" customWidth="true" style="2"/>
    <col min="933" max="933" width="9.1328125" customWidth="true" style="2"/>
    <col min="934" max="934" width="9.1328125" customWidth="true" style="2"/>
    <col min="935" max="935" width="9.1328125" customWidth="true" style="2"/>
    <col min="936" max="936" width="9.1328125" customWidth="true" style="2"/>
    <col min="937" max="937" width="9.1328125" customWidth="true" style="2"/>
    <col min="938" max="938" width="9.1328125" customWidth="true" style="2"/>
    <col min="939" max="939" width="9.1328125" customWidth="true" style="2"/>
    <col min="940" max="940" width="9.1328125" customWidth="true" style="2"/>
    <col min="941" max="941" width="9.1328125" customWidth="true" style="2"/>
    <col min="942" max="942" width="9.1328125" customWidth="true" style="2"/>
    <col min="943" max="943" width="9.1328125" customWidth="true" style="2"/>
    <col min="944" max="944" width="9.1328125" customWidth="true" style="2"/>
    <col min="945" max="945" width="9.1328125" customWidth="true" style="2"/>
    <col min="946" max="946" width="9.1328125" customWidth="true" style="2"/>
    <col min="947" max="947" width="9.1328125" customWidth="true" style="2"/>
    <col min="948" max="948" width="9.1328125" customWidth="true" style="2"/>
    <col min="949" max="949" width="9.1328125" customWidth="true" style="2"/>
    <col min="950" max="950" width="9.1328125" customWidth="true" style="2"/>
    <col min="951" max="951" width="9.1328125" customWidth="true" style="2"/>
    <col min="952" max="952" width="9.1328125" customWidth="true" style="2"/>
    <col min="953" max="953" width="9.1328125" customWidth="true" style="2"/>
    <col min="954" max="954" width="9.1328125" customWidth="true" style="2"/>
    <col min="955" max="955" width="9.1328125" customWidth="true" style="2"/>
    <col min="956" max="956" width="9.1328125" customWidth="true" style="2"/>
    <col min="957" max="957" width="9.1328125" customWidth="true" style="2"/>
    <col min="958" max="958" width="9.1328125" customWidth="true" style="2"/>
    <col min="959" max="959" width="9.1328125" customWidth="true" style="2"/>
    <col min="960" max="960" width="9.1328125" customWidth="true" style="2"/>
    <col min="961" max="961" width="9.1328125" customWidth="true" style="2"/>
    <col min="962" max="962" width="9.1328125" customWidth="true" style="2"/>
    <col min="963" max="963" width="9.1328125" customWidth="true" style="2"/>
    <col min="964" max="964" width="9.1328125" customWidth="true" style="2"/>
    <col min="965" max="965" width="9.1328125" customWidth="true" style="2"/>
    <col min="966" max="966" width="9.1328125" customWidth="true" style="2"/>
    <col min="967" max="967" width="9.1328125" customWidth="true" style="2"/>
    <col min="968" max="968" width="9.1328125" customWidth="true" style="2"/>
    <col min="969" max="969" width="9.1328125" customWidth="true" style="2"/>
    <col min="970" max="970" width="9.1328125" customWidth="true" style="2"/>
    <col min="971" max="971" width="9.1328125" customWidth="true" style="2"/>
    <col min="972" max="972" width="9.1328125" customWidth="true" style="2"/>
    <col min="973" max="973" width="9.1328125" customWidth="true" style="2"/>
    <col min="974" max="974" width="9.1328125" customWidth="true" style="2"/>
    <col min="975" max="975" width="9.1328125" customWidth="true" style="2"/>
    <col min="976" max="976" width="9.1328125" customWidth="true" style="2"/>
    <col min="977" max="977" width="9.1328125" customWidth="true" style="2"/>
    <col min="978" max="978" width="9.1328125" customWidth="true" style="2"/>
    <col min="979" max="979" width="9.1328125" customWidth="true" style="2"/>
    <col min="980" max="980" width="9.1328125" customWidth="true" style="2"/>
    <col min="981" max="981" width="9.1328125" customWidth="true" style="2"/>
    <col min="982" max="982" width="9.1328125" customWidth="true" style="2"/>
    <col min="983" max="983" width="9.1328125" customWidth="true" style="2"/>
    <col min="984" max="984" width="9.1328125" customWidth="true" style="2"/>
    <col min="985" max="985" width="9.1328125" customWidth="true" style="2"/>
    <col min="986" max="986" width="9.1328125" customWidth="true" style="2"/>
    <col min="987" max="987" width="9.1328125" customWidth="true" style="2"/>
    <col min="988" max="988" width="9.1328125" customWidth="true" style="2"/>
    <col min="989" max="989" width="9.1328125" customWidth="true" style="2"/>
    <col min="990" max="990" width="9.1328125" customWidth="true" style="2"/>
    <col min="991" max="991" width="9.1328125" customWidth="true" style="2"/>
    <col min="992" max="992" width="9.1328125" customWidth="true" style="2"/>
    <col min="993" max="993" width="9.1328125" customWidth="true" style="2"/>
    <col min="994" max="994" width="9.1328125" customWidth="true" style="2"/>
    <col min="995" max="995" width="9.1328125" customWidth="true" style="2"/>
    <col min="996" max="996" width="9.1328125" customWidth="true" style="2"/>
    <col min="997" max="997" width="9.1328125" customWidth="true" style="2"/>
    <col min="998" max="998" width="9.1328125" customWidth="true" style="2"/>
    <col min="999" max="999" width="9.1328125" customWidth="true" style="2"/>
    <col min="1000" max="1000" width="9.1328125" customWidth="true" style="2"/>
    <col min="1001" max="1001" width="9.1328125" customWidth="true" style="2"/>
    <col min="1002" max="1002" width="9.1328125" customWidth="true" style="2"/>
    <col min="1003" max="1003" width="9.1328125" customWidth="true" style="2"/>
    <col min="1004" max="1004" width="9.1328125" customWidth="true" style="2"/>
    <col min="1005" max="1005" width="9.1328125" customWidth="true" style="2"/>
    <col min="1006" max="1006" width="9.1328125" customWidth="true" style="2"/>
    <col min="1007" max="1007" width="9.1328125" customWidth="true" style="2"/>
    <col min="1008" max="1008" width="9.1328125" customWidth="true" style="2"/>
    <col min="1009" max="1009" width="9.1328125" customWidth="true" style="2"/>
    <col min="1010" max="1010" width="9.1328125" customWidth="true" style="2"/>
    <col min="1011" max="1011" width="9.1328125" customWidth="true" style="2"/>
    <col min="1012" max="1012" width="9.1328125" customWidth="true" style="2"/>
    <col min="1013" max="1013" width="9.1328125" customWidth="true" style="2"/>
    <col min="1014" max="1014" width="9.1328125" customWidth="true" style="2"/>
    <col min="1015" max="1015" width="9.1328125" customWidth="true" style="2"/>
    <col min="1016" max="1016" width="9.1328125" customWidth="true" style="2"/>
    <col min="1017" max="1017" width="9.1328125" customWidth="true" style="2"/>
    <col min="1018" max="1018" width="9.1328125" customWidth="true" style="2"/>
    <col min="1019" max="1019" width="9.1328125" customWidth="true" style="2"/>
    <col min="1020" max="1020" width="9.1328125" customWidth="true" style="2"/>
    <col min="1021" max="1021" width="9.1328125" customWidth="true" style="2"/>
    <col min="1022" max="1022" width="9.1328125" customWidth="true" style="2"/>
    <col min="1023" max="1023" width="9.1328125" customWidth="true" style="2"/>
    <col min="1024" max="1024" width="9.1328125" customWidth="true" style="2"/>
    <col min="1025" max="1025" width="9.1328125" customWidth="true" style="2"/>
    <col min="1026" max="1026" width="9.1328125" customWidth="true" style="0"/>
  </cols>
  <sheetData>
    <row r="1" spans="1:1026" customHeight="1" ht="50.25">
      <c r="A1" s="694" t="str">
        <f>#REF!</f>
        <v>0</v>
      </c>
      <c r="B1" s="694"/>
      <c r="C1" s="694"/>
      <c r="E1" s="27"/>
      <c r="F1" s="27"/>
      <c r="G1" s="27"/>
      <c r="H1" s="27"/>
      <c r="I1" s="27"/>
      <c r="K1" s="2"/>
    </row>
    <row r="2" spans="1:1026" customHeight="1" ht="9.75">
      <c r="A2" s="695"/>
      <c r="B2" s="695"/>
      <c r="C2" s="695"/>
      <c r="D2" s="695"/>
      <c r="E2" s="695"/>
      <c r="F2" s="695"/>
      <c r="G2" s="695"/>
      <c r="H2" s="695"/>
      <c r="I2" s="695"/>
      <c r="J2" s="695"/>
      <c r="K2" s="695"/>
    </row>
    <row r="3" spans="1:1026" customHeight="1" ht="18.75">
      <c r="A3" s="3" t="str">
        <f>#REF!</f>
        <v>0</v>
      </c>
      <c r="C3" s="4"/>
      <c r="E3" s="27"/>
      <c r="F3" s="27"/>
      <c r="G3" s="27"/>
      <c r="H3" s="27"/>
      <c r="I3" s="27"/>
      <c r="K3" s="5"/>
      <c r="L3" s="27"/>
    </row>
    <row r="4" spans="1:1026">
      <c r="A4" s="6" t="str">
        <f>#REF!</f>
        <v>0</v>
      </c>
      <c r="B4" s="27"/>
      <c r="C4" s="7" t="str">
        <f>#REF!</f>
        <v>0</v>
      </c>
      <c r="F4" s="696" t="str">
        <f>#REF!</f>
        <v>0</v>
      </c>
      <c r="G4" s="696"/>
      <c r="H4" s="8" t="str">
        <f>#REF!</f>
        <v>0</v>
      </c>
      <c r="J4" s="87" t="str">
        <f>#REF!</f>
        <v>0</v>
      </c>
      <c r="K4" s="7" t="str">
        <f>#REF!</f>
        <v>0</v>
      </c>
      <c r="L4" s="27"/>
    </row>
    <row r="5" spans="1:1026">
      <c r="A5" s="6" t="str">
        <f>#REF!</f>
        <v>0</v>
      </c>
      <c r="B5" s="27"/>
      <c r="C5" s="7" t="str">
        <f>#REF!</f>
        <v>0</v>
      </c>
      <c r="D5" s="9"/>
      <c r="E5" s="7"/>
      <c r="F5" s="696" t="str">
        <f>#REF!</f>
        <v>0</v>
      </c>
      <c r="G5" s="696"/>
      <c r="H5" s="7" t="str">
        <f>#REF!</f>
        <v>0</v>
      </c>
      <c r="J5" s="87" t="str">
        <f>#REF!</f>
        <v>0</v>
      </c>
      <c r="K5" s="7" t="str">
        <f>#REF!</f>
        <v>0</v>
      </c>
      <c r="L5" s="27"/>
    </row>
    <row r="6" spans="1:1026" customHeight="1" ht="12">
      <c r="A6" s="9"/>
      <c r="C6" s="10"/>
      <c r="E6" s="27"/>
      <c r="F6" s="27"/>
      <c r="G6" s="27"/>
      <c r="H6" s="27"/>
      <c r="I6" s="27"/>
      <c r="J6" s="27"/>
      <c r="K6" s="27"/>
      <c r="L6" s="27"/>
    </row>
    <row r="7" spans="1:1026" customHeight="1" ht="21.75">
      <c r="A7" s="697" t="str">
        <f>#REF!</f>
        <v>0</v>
      </c>
      <c r="B7" s="697"/>
      <c r="C7" s="697"/>
      <c r="D7" s="697"/>
      <c r="E7" s="697"/>
      <c r="F7" s="697"/>
      <c r="G7" s="697"/>
      <c r="H7" s="697"/>
      <c r="I7" s="697"/>
      <c r="J7" s="697"/>
      <c r="K7" s="697"/>
      <c r="L7" s="27"/>
    </row>
    <row r="8" spans="1:1026" customHeight="1" ht="12">
      <c r="A8" s="68"/>
      <c r="B8" s="68"/>
      <c r="C8" s="68"/>
      <c r="D8" s="68"/>
      <c r="E8" s="11"/>
      <c r="F8" s="11"/>
      <c r="G8" s="11"/>
      <c r="H8" s="11"/>
      <c r="I8" s="11"/>
      <c r="J8" s="11"/>
      <c r="K8" s="11"/>
      <c r="L8" s="27"/>
    </row>
    <row r="9" spans="1:1026">
      <c r="A9" s="692"/>
      <c r="B9" s="692"/>
      <c r="C9" s="692"/>
      <c r="D9" s="692"/>
      <c r="E9" s="693" t="str">
        <f>#REF!</f>
        <v>0</v>
      </c>
      <c r="F9" s="693"/>
      <c r="G9" s="693"/>
      <c r="H9" s="693" t="str">
        <f>#REF!</f>
        <v>0</v>
      </c>
      <c r="I9" s="693"/>
      <c r="J9" s="693"/>
      <c r="K9" s="693"/>
      <c r="L9" s="27"/>
    </row>
    <row r="10" spans="1:1026" customHeight="1" ht="15.95">
      <c r="A10" s="700" t="str">
        <f>#REF!</f>
        <v>0</v>
      </c>
      <c r="B10" s="701"/>
      <c r="C10" s="14" t="str">
        <f>#REF!</f>
        <v>0</v>
      </c>
      <c r="D10" s="14" t="str">
        <f>#REF!</f>
        <v>0</v>
      </c>
      <c r="E10" s="13" t="str">
        <f>#REF!</f>
        <v>0</v>
      </c>
      <c r="F10" s="14" t="str">
        <f>#REF!</f>
        <v>0</v>
      </c>
      <c r="G10" s="12" t="str">
        <f>#REF!</f>
        <v>0</v>
      </c>
      <c r="H10" s="13" t="str">
        <f>#REF!</f>
        <v>0</v>
      </c>
      <c r="I10" s="12" t="str">
        <f>#REF!</f>
        <v>0</v>
      </c>
      <c r="J10" s="14" t="str">
        <f>#REF!</f>
        <v>0</v>
      </c>
      <c r="K10" s="15" t="str">
        <f>#REF!</f>
        <v>0</v>
      </c>
      <c r="L10" s="27"/>
    </row>
    <row r="11" spans="1:1026" customHeight="1" ht="15.95">
      <c r="A11" s="702" t="str">
        <f>#REF!</f>
        <v>0</v>
      </c>
      <c r="B11" s="703"/>
      <c r="C11" s="17" t="str">
        <f>#REF!</f>
        <v>0</v>
      </c>
      <c r="D11" s="16" t="str">
        <f>#REF!</f>
        <v>0</v>
      </c>
      <c r="E11" s="18" t="str">
        <f>#REF!</f>
        <v>0</v>
      </c>
      <c r="F11" s="85" t="str">
        <f>#REF!</f>
        <v>0</v>
      </c>
      <c r="G11" s="19" t="str">
        <f>ROUND(E11/F11,2)</f>
        <v>0</v>
      </c>
      <c r="H11" s="23" t="str">
        <f>#REF!</f>
        <v>0</v>
      </c>
      <c r="I11" s="23" t="str">
        <f>G11*H11</f>
        <v>0</v>
      </c>
      <c r="J11" s="36" t="str">
        <f>#REF!</f>
        <v>0</v>
      </c>
      <c r="K11" s="38" t="str">
        <f>#REF!</f>
        <v>0</v>
      </c>
      <c r="L11" s="27"/>
    </row>
    <row r="12" spans="1:1026">
      <c r="A12" s="704" t="str">
        <f>#REF!</f>
        <v>0</v>
      </c>
      <c r="B12" s="705"/>
      <c r="C12" s="21" t="str">
        <f>#REF!</f>
        <v>0</v>
      </c>
      <c r="D12" s="20" t="str">
        <f>#REF!</f>
        <v>0</v>
      </c>
      <c r="E12" s="22" t="str">
        <f>#REF!</f>
        <v>0</v>
      </c>
      <c r="F12" s="85" t="str">
        <f>#REF!</f>
        <v>0</v>
      </c>
      <c r="G12" s="23" t="str">
        <f>ROUND(E12/F12,2)</f>
        <v>0</v>
      </c>
      <c r="H12" s="23" t="str">
        <f>#REF!</f>
        <v>0</v>
      </c>
      <c r="I12" s="23" t="str">
        <f>G12*H12</f>
        <v>0</v>
      </c>
      <c r="J12" s="37" t="str">
        <f>#REF!</f>
        <v>0</v>
      </c>
      <c r="K12" s="39" t="str">
        <f>#REF!</f>
        <v>0</v>
      </c>
      <c r="L12" s="27"/>
    </row>
    <row r="13" spans="1:1026">
      <c r="A13" s="704" t="str">
        <f>#REF!</f>
        <v>0</v>
      </c>
      <c r="B13" s="705"/>
      <c r="C13" s="21" t="str">
        <f>#REF!</f>
        <v>0</v>
      </c>
      <c r="D13" s="20" t="str">
        <f>#REF!</f>
        <v>0</v>
      </c>
      <c r="E13" s="22" t="str">
        <f>#REF!</f>
        <v>0</v>
      </c>
      <c r="F13" s="85" t="str">
        <f>#REF!</f>
        <v>0</v>
      </c>
      <c r="G13" s="23" t="str">
        <f>ROUND(E13/F13,2)</f>
        <v>0</v>
      </c>
      <c r="H13" s="23" t="str">
        <f>#REF!</f>
        <v>0</v>
      </c>
      <c r="I13" s="23" t="str">
        <f>G13*H13</f>
        <v>0</v>
      </c>
      <c r="J13" s="37" t="str">
        <f>#REF!</f>
        <v>0</v>
      </c>
      <c r="K13" s="39" t="str">
        <f>#REF!</f>
        <v>0</v>
      </c>
      <c r="L13" s="27"/>
    </row>
    <row r="14" spans="1:1026">
      <c r="A14" s="704" t="str">
        <f>#REF!</f>
        <v>0</v>
      </c>
      <c r="B14" s="705"/>
      <c r="C14" s="21" t="str">
        <f>#REF!</f>
        <v>0</v>
      </c>
      <c r="D14" s="20" t="str">
        <f>#REF!</f>
        <v>0</v>
      </c>
      <c r="E14" s="22" t="str">
        <f>#REF!</f>
        <v>0</v>
      </c>
      <c r="F14" s="85" t="str">
        <f>'Počet osob'!P104</f>
        <v>0</v>
      </c>
      <c r="G14" s="23" t="str">
        <f>ROUND(E14/F14,2)</f>
        <v>0</v>
      </c>
      <c r="H14" s="23" t="str">
        <f>LOOKUP('vstupní data'!B4,'Počet osob'!A:A,'Počet osob'!P:P)</f>
        <v>0</v>
      </c>
      <c r="I14" s="23" t="str">
        <f>G14*H14</f>
        <v>0</v>
      </c>
      <c r="J14" s="37" t="str">
        <f>#REF!</f>
        <v>0</v>
      </c>
      <c r="K14" s="40" t="str">
        <f>J14-I14</f>
        <v>0</v>
      </c>
      <c r="L14" s="27"/>
    </row>
    <row r="15" spans="1:1026" hidden="true">
      <c r="A15" s="704" t="str">
        <f>#REF!</f>
        <v>0</v>
      </c>
      <c r="B15" s="705"/>
      <c r="C15" s="21" t="str">
        <f>#REF!</f>
        <v>0</v>
      </c>
      <c r="D15" s="20" t="str">
        <f>#REF!</f>
        <v>0</v>
      </c>
      <c r="E15" s="22" t="str">
        <f>#REF!</f>
        <v>0</v>
      </c>
      <c r="F15" s="85" t="str">
        <f>#REF!</f>
        <v>0</v>
      </c>
      <c r="G15" s="23" t="str">
        <f>#REF!</f>
        <v>0</v>
      </c>
      <c r="H15" s="23" t="str">
        <f>#REF!</f>
        <v>0</v>
      </c>
      <c r="I15" s="23" t="str">
        <f>#REF!</f>
        <v>0</v>
      </c>
      <c r="J15" s="37" t="str">
        <f>#REF!</f>
        <v>0</v>
      </c>
      <c r="K15" s="40" t="str">
        <f>#REF!</f>
        <v>0</v>
      </c>
      <c r="L15" s="27"/>
    </row>
    <row r="16" spans="1:1026" hidden="true">
      <c r="A16" s="704" t="str">
        <f>#REF!</f>
        <v>0</v>
      </c>
      <c r="B16" s="705"/>
      <c r="C16" s="21" t="str">
        <f>#REF!</f>
        <v>0</v>
      </c>
      <c r="D16" s="20" t="str">
        <f>#REF!</f>
        <v>0</v>
      </c>
      <c r="E16" s="22" t="str">
        <f>#REF!</f>
        <v>0</v>
      </c>
      <c r="F16" s="85" t="str">
        <f>#REF!</f>
        <v>0</v>
      </c>
      <c r="G16" s="23" t="str">
        <f>#REF!</f>
        <v>0</v>
      </c>
      <c r="H16" s="23" t="str">
        <f>#REF!</f>
        <v>0</v>
      </c>
      <c r="I16" s="23" t="str">
        <f>#REF!</f>
        <v>0</v>
      </c>
      <c r="J16" s="37" t="str">
        <f>#REF!</f>
        <v>0</v>
      </c>
      <c r="K16" s="40" t="str">
        <f>#REF!</f>
        <v>0</v>
      </c>
      <c r="L16" s="27"/>
    </row>
    <row r="17" spans="1:1026" hidden="true">
      <c r="A17" s="704" t="str">
        <f>#REF!</f>
        <v>0</v>
      </c>
      <c r="B17" s="705"/>
      <c r="C17" s="21" t="str">
        <f>#REF!</f>
        <v>0</v>
      </c>
      <c r="D17" s="20" t="str">
        <f>#REF!</f>
        <v>0</v>
      </c>
      <c r="E17" s="22" t="str">
        <f>#REF!</f>
        <v>0</v>
      </c>
      <c r="F17" s="85" t="str">
        <f>#REF!</f>
        <v>0</v>
      </c>
      <c r="G17" s="23" t="str">
        <f>#REF!</f>
        <v>0</v>
      </c>
      <c r="H17" s="23" t="str">
        <f>#REF!</f>
        <v>0</v>
      </c>
      <c r="I17" s="23" t="str">
        <f>#REF!</f>
        <v>0</v>
      </c>
      <c r="J17" s="37" t="str">
        <f>#REF!</f>
        <v>0</v>
      </c>
      <c r="K17" s="40" t="str">
        <f>#REF!</f>
        <v>0</v>
      </c>
      <c r="L17" s="27"/>
    </row>
    <row r="18" spans="1:1026">
      <c r="A18" s="704" t="str">
        <f>#REF!</f>
        <v>0</v>
      </c>
      <c r="B18" s="705"/>
      <c r="C18" s="21" t="str">
        <f>#REF!</f>
        <v>0</v>
      </c>
      <c r="D18" s="20" t="str">
        <f>#REF!</f>
        <v>0</v>
      </c>
      <c r="E18" s="22" t="str">
        <f>'faktury za služby'!J42</f>
        <v>0</v>
      </c>
      <c r="F18" s="85" t="str">
        <f>'Počet osob'!Q104</f>
        <v>0</v>
      </c>
      <c r="G18" s="23" t="str">
        <f>ROUND(E18/F18,2)</f>
        <v>0</v>
      </c>
      <c r="H18" s="23" t="str">
        <f>#REF!</f>
        <v>0</v>
      </c>
      <c r="I18" s="23" t="str">
        <f>G18*H18</f>
        <v>0</v>
      </c>
      <c r="J18" s="37" t="str">
        <f>#REF!</f>
        <v>0</v>
      </c>
      <c r="K18" s="40" t="str">
        <f>#REF!</f>
        <v>0</v>
      </c>
      <c r="L18" s="27"/>
    </row>
    <row r="19" spans="1:1026" hidden="true">
      <c r="A19" s="706" t="str">
        <f>#REF!</f>
        <v>0</v>
      </c>
      <c r="B19" s="707"/>
      <c r="C19" s="21" t="str">
        <f>#REF!</f>
        <v>0</v>
      </c>
      <c r="D19" s="20" t="str">
        <f>#REF!</f>
        <v>0</v>
      </c>
      <c r="E19" s="22" t="str">
        <f>#REF!</f>
        <v>0</v>
      </c>
      <c r="F19" s="85" t="str">
        <f>#REF!</f>
        <v>0</v>
      </c>
      <c r="G19" s="23" t="str">
        <f>#REF!</f>
        <v>0</v>
      </c>
      <c r="H19" s="23" t="str">
        <f>#REF!</f>
        <v>0</v>
      </c>
      <c r="I19" s="23" t="str">
        <f>#REF!</f>
        <v>0</v>
      </c>
      <c r="J19" s="710" t="str">
        <f>#REF!</f>
        <v>0</v>
      </c>
      <c r="K19" s="698" t="str">
        <f>#REF!</f>
        <v>0</v>
      </c>
      <c r="L19" s="27"/>
    </row>
    <row r="20" spans="1:1026" hidden="true">
      <c r="A20" s="708"/>
      <c r="B20" s="709"/>
      <c r="C20" s="31" t="str">
        <f>#REF!</f>
        <v>0</v>
      </c>
      <c r="D20" s="83" t="str">
        <f>#REF!</f>
        <v>0</v>
      </c>
      <c r="E20" s="86" t="str">
        <f>#REF!</f>
        <v>0</v>
      </c>
      <c r="F20" s="85" t="str">
        <f>#REF!</f>
        <v>0</v>
      </c>
      <c r="G20" s="23" t="str">
        <f>#REF!</f>
        <v>0</v>
      </c>
      <c r="H20" s="23" t="str">
        <f>#REF!</f>
        <v>0</v>
      </c>
      <c r="I20" s="23" t="str">
        <f>#REF!</f>
        <v>0</v>
      </c>
      <c r="J20" s="711"/>
      <c r="K20" s="699"/>
      <c r="L20" s="27"/>
    </row>
    <row r="21" spans="1:1026" customHeight="1" ht="15.95">
      <c r="A21" s="714" t="str">
        <f>#REF!</f>
        <v>0</v>
      </c>
      <c r="B21" s="715"/>
      <c r="C21" s="73" t="str">
        <f>#REF!</f>
        <v>0</v>
      </c>
      <c r="D21" s="54" t="str">
        <f>#REF!</f>
        <v>0</v>
      </c>
      <c r="E21" s="74" t="str">
        <f>#REF!</f>
        <v>0</v>
      </c>
      <c r="F21" s="76" t="str">
        <f>#REF!</f>
        <v>0</v>
      </c>
      <c r="G21" s="76" t="str">
        <f>ROUND(E21/F21,2)</f>
        <v>0</v>
      </c>
      <c r="H21" s="76" t="str">
        <f>#REF!</f>
        <v>0</v>
      </c>
      <c r="I21" s="76" t="str">
        <f>G21*H21</f>
        <v>0</v>
      </c>
      <c r="J21" s="78" t="str">
        <f>#REF!</f>
        <v>0</v>
      </c>
      <c r="K21" s="91" t="str">
        <f>#REF!</f>
        <v>0</v>
      </c>
      <c r="L21" s="27"/>
    </row>
    <row r="22" spans="1:1026" customHeight="1" ht="16.5" hidden="true">
      <c r="A22" s="716" t="str">
        <f>#REF!</f>
        <v>0</v>
      </c>
      <c r="B22" s="717"/>
      <c r="C22" s="92" t="str">
        <f>#REF!</f>
        <v>0</v>
      </c>
      <c r="D22" s="75" t="str">
        <f>#REF!</f>
        <v>0</v>
      </c>
      <c r="E22" s="93" t="str">
        <f>#REF!</f>
        <v>0</v>
      </c>
      <c r="F22" s="75" t="str">
        <f>#REF!</f>
        <v>0</v>
      </c>
      <c r="G22" s="94" t="str">
        <f>#REF!</f>
        <v>0</v>
      </c>
      <c r="H22" s="77" t="str">
        <f>#REF!</f>
        <v>0</v>
      </c>
      <c r="I22" s="94" t="str">
        <f>#REF!</f>
        <v>0</v>
      </c>
      <c r="J22" s="95" t="str">
        <f>#REF!</f>
        <v>0</v>
      </c>
      <c r="K22" s="96" t="str">
        <f>#REF!</f>
        <v>0</v>
      </c>
      <c r="L22" s="27"/>
    </row>
    <row r="23" spans="1:1026" customHeight="1" ht="15.95">
      <c r="A23" s="718" t="str">
        <f>#REF!</f>
        <v>0</v>
      </c>
      <c r="B23" s="718"/>
      <c r="C23" s="718"/>
      <c r="D23" s="5"/>
      <c r="E23" s="24" t="str">
        <f>SUM(E11:E21)</f>
        <v>0</v>
      </c>
      <c r="F23" s="5"/>
      <c r="G23" s="719" t="str">
        <f>#REF!</f>
        <v>0</v>
      </c>
      <c r="H23" s="719"/>
      <c r="I23" s="24" t="str">
        <f>SUM(I11:I21)</f>
        <v>0</v>
      </c>
      <c r="J23" s="24" t="str">
        <f>SUM(J11:J21)</f>
        <v>0</v>
      </c>
      <c r="K23" s="174" t="str">
        <f>SUM(K11:K21)</f>
        <v>0</v>
      </c>
      <c r="L23" s="27"/>
    </row>
    <row r="24" spans="1:1026">
      <c r="A24" s="27"/>
      <c r="B24" s="27"/>
      <c r="C24" s="27"/>
      <c r="D24" s="27"/>
      <c r="E24" s="27"/>
      <c r="G24" s="718" t="str">
        <f>#REF!</f>
        <v>0</v>
      </c>
      <c r="H24" s="718"/>
      <c r="I24" s="718"/>
      <c r="J24" s="718"/>
      <c r="K24" s="41" t="str">
        <f>#REF!</f>
        <v>0</v>
      </c>
      <c r="L24" s="27"/>
    </row>
    <row r="25" spans="1:1026">
      <c r="A25" s="27"/>
      <c r="B25" s="27"/>
      <c r="C25" s="69"/>
      <c r="D25" s="5"/>
      <c r="E25" s="5"/>
      <c r="F25" s="5"/>
      <c r="G25" s="720" t="str">
        <f>#REF!</f>
        <v>0</v>
      </c>
      <c r="H25" s="720"/>
      <c r="I25" s="720"/>
      <c r="J25" s="720"/>
      <c r="K25" s="42" t="str">
        <f>K23+K24</f>
        <v>0</v>
      </c>
      <c r="L25" s="27"/>
    </row>
    <row r="26" spans="1:1026">
      <c r="A26" s="27"/>
      <c r="B26" s="27"/>
      <c r="C26" s="25"/>
      <c r="D26" s="5"/>
      <c r="E26" s="721" t="str">
        <f>#REF!</f>
        <v>0</v>
      </c>
      <c r="F26" s="721"/>
      <c r="G26" s="721"/>
      <c r="H26" s="721"/>
      <c r="I26" s="721"/>
      <c r="J26" s="721"/>
      <c r="K26" s="721"/>
      <c r="L26" s="27"/>
    </row>
    <row r="27" spans="1:1026">
      <c r="A27" s="27"/>
      <c r="B27" s="27"/>
      <c r="C27" s="25"/>
      <c r="D27" s="5"/>
      <c r="E27" s="61"/>
      <c r="F27" s="61"/>
      <c r="G27" s="61"/>
      <c r="H27" s="61"/>
      <c r="I27" s="61"/>
      <c r="J27" s="61"/>
      <c r="K27" s="61"/>
      <c r="L27" s="27"/>
    </row>
    <row r="28" spans="1:1026">
      <c r="A28" s="722" t="str">
        <f>#REF!</f>
        <v>0</v>
      </c>
      <c r="B28" s="723"/>
      <c r="C28" s="723"/>
      <c r="D28" s="723"/>
      <c r="E28" s="723"/>
      <c r="F28" s="723"/>
      <c r="G28" s="723"/>
      <c r="H28" s="723"/>
      <c r="I28" s="723"/>
      <c r="J28" s="723"/>
      <c r="K28" s="723"/>
      <c r="L28" s="724"/>
    </row>
    <row r="29" spans="1:1026">
      <c r="A29" s="63" t="str">
        <f>#REF!</f>
        <v>0</v>
      </c>
      <c r="B29" s="63" t="str">
        <f>#REF!</f>
        <v>0</v>
      </c>
      <c r="C29" s="63" t="str">
        <f>#REF!</f>
        <v>0</v>
      </c>
      <c r="D29" s="63" t="str">
        <f>#REF!</f>
        <v>0</v>
      </c>
      <c r="E29" s="63" t="str">
        <f>#REF!</f>
        <v>0</v>
      </c>
      <c r="F29" s="63" t="str">
        <f>#REF!</f>
        <v>0</v>
      </c>
      <c r="G29" s="63" t="str">
        <f>#REF!</f>
        <v>0</v>
      </c>
      <c r="H29" s="63" t="str">
        <f>#REF!</f>
        <v>0</v>
      </c>
      <c r="I29" s="63" t="str">
        <f>#REF!</f>
        <v>0</v>
      </c>
      <c r="J29" s="63" t="str">
        <f>#REF!</f>
        <v>0</v>
      </c>
      <c r="K29" s="63" t="str">
        <f>#REF!</f>
        <v>0</v>
      </c>
      <c r="L29" s="63" t="str">
        <f>#REF!</f>
        <v>0</v>
      </c>
    </row>
    <row r="30" spans="1:1026">
      <c r="A30" s="64" t="str">
        <f>#REF!</f>
        <v>0</v>
      </c>
      <c r="B30" s="64" t="str">
        <f>#REF!</f>
        <v>0</v>
      </c>
      <c r="C30" s="64" t="str">
        <f>#REF!</f>
        <v>0</v>
      </c>
      <c r="D30" s="64" t="str">
        <f>#REF!</f>
        <v>0</v>
      </c>
      <c r="E30" s="64" t="str">
        <f>#REF!</f>
        <v>0</v>
      </c>
      <c r="F30" s="64" t="str">
        <f>#REF!</f>
        <v>0</v>
      </c>
      <c r="G30" s="64" t="str">
        <f>#REF!</f>
        <v>0</v>
      </c>
      <c r="H30" s="64" t="str">
        <f>#REF!</f>
        <v>0</v>
      </c>
      <c r="I30" s="64" t="str">
        <f>#REF!</f>
        <v>0</v>
      </c>
      <c r="J30" s="64" t="str">
        <f>#REF!</f>
        <v>0</v>
      </c>
      <c r="K30" s="64" t="str">
        <f>#REF!</f>
        <v>0</v>
      </c>
      <c r="L30" s="64" t="str">
        <f>#REF!</f>
        <v>0</v>
      </c>
      <c r="N30" s="725"/>
      <c r="O30" s="725"/>
      <c r="P30" s="725"/>
      <c r="Q30" s="725"/>
    </row>
    <row r="31" spans="1:1026">
      <c r="A31" s="722" t="str">
        <f>#REF!</f>
        <v>0</v>
      </c>
      <c r="B31" s="723"/>
      <c r="C31" s="723"/>
      <c r="D31" s="723"/>
      <c r="E31" s="723"/>
      <c r="F31" s="723"/>
      <c r="G31" s="723"/>
      <c r="H31" s="723"/>
      <c r="I31" s="723"/>
      <c r="J31" s="723"/>
      <c r="K31" s="723"/>
      <c r="L31" s="724"/>
      <c r="N31" s="726"/>
      <c r="O31" s="726"/>
      <c r="P31" s="726"/>
      <c r="Q31" s="726"/>
    </row>
    <row r="32" spans="1:1026">
      <c r="A32" s="63" t="str">
        <f>#REF!</f>
        <v>0</v>
      </c>
      <c r="B32" s="63" t="str">
        <f>#REF!</f>
        <v>0</v>
      </c>
      <c r="C32" s="63" t="str">
        <f>#REF!</f>
        <v>0</v>
      </c>
      <c r="D32" s="63" t="str">
        <f>#REF!</f>
        <v>0</v>
      </c>
      <c r="E32" s="63" t="str">
        <f>#REF!</f>
        <v>0</v>
      </c>
      <c r="F32" s="63" t="str">
        <f>#REF!</f>
        <v>0</v>
      </c>
      <c r="G32" s="63" t="str">
        <f>#REF!</f>
        <v>0</v>
      </c>
      <c r="H32" s="63" t="str">
        <f>#REF!</f>
        <v>0</v>
      </c>
      <c r="I32" s="63" t="str">
        <f>#REF!</f>
        <v>0</v>
      </c>
      <c r="J32" s="63" t="str">
        <f>#REF!</f>
        <v>0</v>
      </c>
      <c r="K32" s="63" t="str">
        <f>#REF!</f>
        <v>0</v>
      </c>
      <c r="L32" s="63" t="str">
        <f>#REF!</f>
        <v>0</v>
      </c>
      <c r="N32" s="89"/>
      <c r="O32" s="89"/>
      <c r="P32" s="89"/>
      <c r="Q32" s="89"/>
    </row>
    <row r="33" spans="1:1026">
      <c r="A33" s="64" t="str">
        <f>#REF!</f>
        <v>0</v>
      </c>
      <c r="B33" s="64" t="str">
        <f>#REF!</f>
        <v>0</v>
      </c>
      <c r="C33" s="64" t="str">
        <f>#REF!</f>
        <v>0</v>
      </c>
      <c r="D33" s="64" t="str">
        <f>#REF!</f>
        <v>0</v>
      </c>
      <c r="E33" s="64" t="str">
        <f>#REF!</f>
        <v>0</v>
      </c>
      <c r="F33" s="64" t="str">
        <f>#REF!</f>
        <v>0</v>
      </c>
      <c r="G33" s="64" t="str">
        <f>#REF!</f>
        <v>0</v>
      </c>
      <c r="H33" s="64" t="str">
        <f>#REF!</f>
        <v>0</v>
      </c>
      <c r="I33" s="64" t="str">
        <f>#REF!</f>
        <v>0</v>
      </c>
      <c r="J33" s="64" t="str">
        <f>#REF!</f>
        <v>0</v>
      </c>
      <c r="K33" s="64" t="str">
        <f>#REF!</f>
        <v>0</v>
      </c>
      <c r="L33" s="64" t="str">
        <f>#REF!</f>
        <v>0</v>
      </c>
    </row>
    <row r="34" spans="1:1026">
      <c r="A34" s="712" t="str">
        <f>#REF!</f>
        <v>0</v>
      </c>
      <c r="B34" s="713"/>
      <c r="C34" s="62" t="str">
        <f>#REF!</f>
        <v>0</v>
      </c>
      <c r="D34" s="89"/>
      <c r="E34" s="61"/>
      <c r="F34" s="61"/>
      <c r="G34" s="61"/>
      <c r="H34" s="61"/>
      <c r="I34" s="61"/>
      <c r="J34" s="61"/>
      <c r="K34" s="61"/>
      <c r="L34" s="27"/>
    </row>
    <row r="35" spans="1:1026">
      <c r="A35" s="67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</row>
    <row r="36" spans="1:1026">
      <c r="A36" s="722" t="str">
        <f>#REF!</f>
        <v>0</v>
      </c>
      <c r="B36" s="723"/>
      <c r="C36" s="723"/>
      <c r="D36" s="723"/>
      <c r="E36" s="723"/>
      <c r="F36" s="723"/>
      <c r="G36" s="723"/>
      <c r="H36" s="723"/>
      <c r="I36" s="723"/>
      <c r="J36" s="723"/>
      <c r="K36" s="723"/>
      <c r="L36" s="724"/>
    </row>
    <row r="37" spans="1:1026" customHeight="1" ht="15.95">
      <c r="A37" s="729" t="str">
        <f>#REF!</f>
        <v>0</v>
      </c>
      <c r="B37" s="730"/>
      <c r="C37" s="730" t="str">
        <f>#REF!</f>
        <v>0</v>
      </c>
      <c r="D37" s="730"/>
      <c r="E37" s="730" t="str">
        <f>#REF!</f>
        <v>0</v>
      </c>
      <c r="F37" s="730"/>
      <c r="G37" s="730" t="str">
        <f>#REF!</f>
        <v>0</v>
      </c>
      <c r="H37" s="730"/>
      <c r="I37" s="730" t="str">
        <f>#REF!</f>
        <v>0</v>
      </c>
      <c r="J37" s="730"/>
      <c r="K37" s="730" t="str">
        <f>#REF!</f>
        <v>0</v>
      </c>
      <c r="L37" s="731"/>
    </row>
    <row r="38" spans="1:1026" customHeight="1" ht="15.95">
      <c r="A38" s="732" t="str">
        <f>#REF!</f>
        <v>0</v>
      </c>
      <c r="B38" s="733"/>
      <c r="C38" s="727" t="str">
        <f>#REF!</f>
        <v>0</v>
      </c>
      <c r="D38" s="728"/>
      <c r="E38" s="734" t="str">
        <f>#REF!</f>
        <v>0</v>
      </c>
      <c r="F38" s="734"/>
      <c r="G38" s="735" t="str">
        <f>#REF!</f>
        <v>0</v>
      </c>
      <c r="H38" s="736"/>
      <c r="I38" s="737" t="str">
        <f>#REF!</f>
        <v>0</v>
      </c>
      <c r="J38" s="737"/>
      <c r="K38" s="727" t="str">
        <f>#REF!</f>
        <v>0</v>
      </c>
      <c r="L38" s="728"/>
    </row>
    <row r="39" spans="1:1026">
      <c r="A39" s="741" t="str">
        <f>#REF!</f>
        <v>0</v>
      </c>
      <c r="B39" s="741"/>
      <c r="C39" s="741" t="str">
        <f>#REF!</f>
        <v>0</v>
      </c>
      <c r="D39" s="741"/>
      <c r="E39" s="741" t="str">
        <f>#REF!</f>
        <v>0</v>
      </c>
      <c r="F39" s="741"/>
      <c r="G39" s="742" t="str">
        <f>#REF!</f>
        <v>0</v>
      </c>
      <c r="H39" s="742"/>
      <c r="I39" s="742" t="str">
        <f>#REF!</f>
        <v>0</v>
      </c>
      <c r="J39" s="742"/>
      <c r="K39" s="743" t="str">
        <f>#REF!</f>
        <v>0</v>
      </c>
      <c r="L39" s="743"/>
    </row>
    <row r="40" spans="1:1026">
      <c r="A40" s="5"/>
      <c r="B40" s="5"/>
      <c r="C40" s="5"/>
      <c r="D40" s="5"/>
      <c r="E40" s="5"/>
      <c r="F40" s="5"/>
      <c r="G40" s="26"/>
      <c r="H40" s="5"/>
      <c r="I40" s="26"/>
      <c r="J40" s="5"/>
      <c r="K40" s="5"/>
      <c r="L40" s="27"/>
    </row>
    <row r="41" spans="1:1026" customHeight="1" ht="29.25">
      <c r="A41" s="738" t="str">
        <f>#REF!</f>
        <v>0</v>
      </c>
      <c r="B41" s="738"/>
      <c r="C41" s="738"/>
      <c r="D41" s="738"/>
      <c r="E41" s="738"/>
      <c r="F41" s="738"/>
      <c r="G41" s="738"/>
      <c r="H41" s="738"/>
      <c r="I41" s="738"/>
      <c r="J41" s="738"/>
      <c r="K41" s="738"/>
      <c r="L41" s="738"/>
    </row>
    <row r="42" spans="1:1026" customHeight="1" ht="29.25">
      <c r="A42" s="739" t="str">
        <f>#REF!</f>
        <v>0</v>
      </c>
      <c r="B42" s="739"/>
      <c r="C42" s="739"/>
      <c r="D42" s="739"/>
      <c r="E42" s="739"/>
      <c r="F42" s="739"/>
      <c r="G42" s="739"/>
      <c r="H42" s="739"/>
      <c r="I42" s="739"/>
      <c r="J42" s="739"/>
      <c r="K42" s="739"/>
      <c r="L42" s="739"/>
    </row>
    <row r="43" spans="1:1026" customHeight="1" ht="29.25">
      <c r="A43" s="738" t="str">
        <f>#REF!</f>
        <v>0</v>
      </c>
      <c r="B43" s="738"/>
      <c r="C43" s="738"/>
      <c r="D43" s="738"/>
      <c r="E43" s="738"/>
      <c r="F43" s="738"/>
      <c r="G43" s="738"/>
      <c r="H43" s="738"/>
      <c r="I43" s="738"/>
      <c r="J43" s="738"/>
      <c r="K43" s="738"/>
      <c r="L43" s="738"/>
    </row>
    <row r="44" spans="1:1026" customHeight="1" ht="29.25">
      <c r="A44" s="740" t="str">
        <f>#REF!</f>
        <v>0</v>
      </c>
      <c r="B44" s="740"/>
      <c r="C44" s="740"/>
      <c r="D44" s="740"/>
      <c r="E44" s="740"/>
      <c r="F44" s="740"/>
      <c r="G44" s="740"/>
      <c r="H44" s="740"/>
      <c r="I44" s="740"/>
      <c r="J44" s="740"/>
      <c r="K44" s="740"/>
      <c r="L44" s="74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1:L41"/>
    <mergeCell ref="A42:L42"/>
    <mergeCell ref="A43:L43"/>
    <mergeCell ref="A44:L44"/>
    <mergeCell ref="A39:B39"/>
    <mergeCell ref="C39:D39"/>
    <mergeCell ref="E39:F39"/>
    <mergeCell ref="G39:H39"/>
    <mergeCell ref="I39:J39"/>
    <mergeCell ref="K39:L39"/>
    <mergeCell ref="N30:Q30"/>
    <mergeCell ref="A31:L31"/>
    <mergeCell ref="N31:Q31"/>
    <mergeCell ref="K38:L38"/>
    <mergeCell ref="A36:L36"/>
    <mergeCell ref="A37:B37"/>
    <mergeCell ref="C37:D37"/>
    <mergeCell ref="E37:F37"/>
    <mergeCell ref="G37:H37"/>
    <mergeCell ref="I37:J37"/>
    <mergeCell ref="K37:L37"/>
    <mergeCell ref="A38:B38"/>
    <mergeCell ref="C38:D38"/>
    <mergeCell ref="E38:F38"/>
    <mergeCell ref="G38:H38"/>
    <mergeCell ref="I38:J38"/>
    <mergeCell ref="A34:B34"/>
    <mergeCell ref="A21:B21"/>
    <mergeCell ref="A22:B22"/>
    <mergeCell ref="A23:C23"/>
    <mergeCell ref="G23:H23"/>
    <mergeCell ref="G24:J24"/>
    <mergeCell ref="G25:J25"/>
    <mergeCell ref="E26:K26"/>
    <mergeCell ref="A28:L28"/>
    <mergeCell ref="K19:K20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20"/>
    <mergeCell ref="J19:J20"/>
    <mergeCell ref="A9:D9"/>
    <mergeCell ref="E9:G9"/>
    <mergeCell ref="H9:K9"/>
    <mergeCell ref="A1:C1"/>
    <mergeCell ref="A2:K2"/>
    <mergeCell ref="F4:G4"/>
    <mergeCell ref="F5:G5"/>
    <mergeCell ref="A7:K7"/>
  </mergeCells>
  <conditionalFormatting sqref="A34:C34">
    <cfRule type="cellIs" dxfId="0" priority="1" operator="equal">
      <formula>0</formula>
    </cfRule>
  </conditionalFormatting>
  <conditionalFormatting sqref="A28:L33">
    <cfRule type="cellIs" dxfId="0" priority="2" operator="equal">
      <formula>0</formula>
    </cfRule>
  </conditionalFormatting>
  <printOptions gridLines="false" gridLinesSet="true"/>
  <pageMargins left="0.25" right="0.25" top="0.24166666666667" bottom="0.75" header="0.51180555555555" footer="0.3"/>
  <pageSetup paperSize="9" orientation="landscape" scale="75" fitToHeight="1" fitToWidth="1"/>
  <headerFooter differentOddEven="false" differentFirst="false" scaleWithDoc="true" alignWithMargins="true">
    <oddHeader/>
    <oddFooter>&amp;L&amp;8datum:      15.4.2015
vystavil: Ing. Milan Kosť&amp;C&amp;8kancelar@adminreal.cz
mobil: 607 959 876&amp;R&amp;8www.onlinesprava.cz</oddFooter>
    <evenHeader/>
    <evenFooter/>
    <firstHeader/>
    <firstFooter/>
  </headerFooter>
  <drawing r:id="rId1"/>
  <legacyDrawing r:id="rId_comments_vml1"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32"/>
  <sheetViews>
    <sheetView tabSelected="0" workbookViewId="0" showGridLines="true" showRowColHeaders="1">
      <selection activeCell="A1" sqref="A1"/>
    </sheetView>
  </sheetViews>
  <sheetFormatPr defaultRowHeight="14.4" defaultColWidth="9.1328125" outlineLevelRow="0" outlineLevelCol="0"/>
  <cols>
    <col min="1" max="1" width="9.1328125" style="212"/>
    <col min="2" max="2" width="30.73046875" customWidth="true" style="173"/>
    <col min="3" max="3" width="32" customWidth="true" style="173"/>
    <col min="4" max="4" width="4.73046875" customWidth="true" style="212"/>
    <col min="5" max="5" width="12.59765625" customWidth="true" style="173"/>
    <col min="6" max="6" width="7.1328125" customWidth="true" style="212"/>
    <col min="7" max="7" width="11.86328125" customWidth="true" style="212"/>
    <col min="8" max="8" width="6" customWidth="true" style="212"/>
    <col min="9" max="9" width="48" customWidth="true" style="212"/>
    <col min="10" max="10" width="39.73046875" customWidth="true" style="212"/>
    <col min="11" max="11" width="16.1328125" customWidth="true" style="212"/>
    <col min="12" max="12" width="28.59765625" customWidth="true" style="0"/>
    <col min="13" max="13" width="15.1328125" customWidth="true" style="212"/>
    <col min="14" max="14" width="26" customWidth="true" style="173"/>
    <col min="15" max="15" width="10.86328125" customWidth="true" style="0"/>
    <col min="16" max="16" width="9.1328125" style="212"/>
  </cols>
  <sheetData>
    <row r="1" spans="1:16" s="237" customFormat="1">
      <c r="A1" s="834" t="s">
        <v>0</v>
      </c>
      <c r="B1" s="234" t="s">
        <v>1</v>
      </c>
      <c r="C1" s="234" t="s">
        <v>2</v>
      </c>
      <c r="D1" s="234" t="s">
        <v>3</v>
      </c>
      <c r="E1" s="234" t="s">
        <v>4</v>
      </c>
      <c r="F1" s="236" t="s">
        <v>5</v>
      </c>
      <c r="G1" s="234" t="s">
        <v>6</v>
      </c>
      <c r="H1" s="234" t="s">
        <v>7</v>
      </c>
      <c r="I1" s="234" t="s">
        <v>8</v>
      </c>
      <c r="J1" s="234" t="s">
        <v>9</v>
      </c>
      <c r="K1" s="236" t="s">
        <v>10</v>
      </c>
      <c r="L1" s="236" t="s">
        <v>11</v>
      </c>
      <c r="M1" s="234" t="s">
        <v>12</v>
      </c>
      <c r="N1" s="234" t="s">
        <v>13</v>
      </c>
      <c r="O1" s="234" t="s">
        <v>14</v>
      </c>
    </row>
    <row r="2" spans="1:16">
      <c r="B2" s="173" t="str">
        <f>Evidence!D2</f>
        <v>0</v>
      </c>
      <c r="C2" s="173" t="str">
        <f>Evidence!B2</f>
        <v>0</v>
      </c>
      <c r="E2" s="173" t="str">
        <f>Evidence!E2</f>
        <v>0</v>
      </c>
      <c r="I2" s="212" t="str">
        <f>Evidence!C2</f>
        <v>0</v>
      </c>
      <c r="J2" s="212" t="str">
        <f>dum_adresa</f>
        <v>0</v>
      </c>
      <c r="K2" s="235" t="str">
        <f>Evidence!A2</f>
        <v>0</v>
      </c>
      <c r="L2" s="212" t="str">
        <f>("C:\sprava\"&amp;SUBSTITUTE(K2,"/","")&amp;".pdf")</f>
        <v>0</v>
      </c>
      <c r="N2" s="173"/>
      <c r="O2" s="212"/>
    </row>
    <row r="3" spans="1:16">
      <c r="B3" s="173" t="str">
        <f>Evidence!D3</f>
        <v>0</v>
      </c>
      <c r="C3" s="173" t="str">
        <f>Evidence!B3</f>
        <v>0</v>
      </c>
      <c r="E3" s="173" t="str">
        <f>Evidence!E3</f>
        <v>0</v>
      </c>
      <c r="I3" s="212" t="str">
        <f>Evidence!C3</f>
        <v>0</v>
      </c>
      <c r="J3" s="212" t="str">
        <f>dum_adresa</f>
        <v>0</v>
      </c>
      <c r="K3" s="235" t="str">
        <f>Evidence!A3</f>
        <v>0</v>
      </c>
      <c r="L3" s="212" t="str">
        <f>("C:\sprava\"&amp;SUBSTITUTE(K3,"/","")&amp;".pdf")</f>
        <v>0</v>
      </c>
      <c r="N3" s="173" t="s">
        <v>15</v>
      </c>
      <c r="O3" s="212"/>
    </row>
    <row r="4" spans="1:16">
      <c r="B4" s="173" t="str">
        <f>Evidence!D4</f>
        <v>0</v>
      </c>
      <c r="C4" s="173" t="str">
        <f>Evidence!B4</f>
        <v>0</v>
      </c>
      <c r="E4" s="173" t="str">
        <f>Evidence!E4</f>
        <v>0</v>
      </c>
      <c r="I4" s="212" t="str">
        <f>Evidence!C4</f>
        <v>0</v>
      </c>
      <c r="J4" s="212" t="str">
        <f>dum_adresa</f>
        <v>0</v>
      </c>
      <c r="K4" s="235" t="str">
        <f>Evidence!A4</f>
        <v>0</v>
      </c>
      <c r="L4" s="212" t="str">
        <f>("C:\sprava\"&amp;SUBSTITUTE(K4,"/","")&amp;".pdf")</f>
        <v>0</v>
      </c>
      <c r="N4" s="173" t="s">
        <v>16</v>
      </c>
      <c r="O4" s="212"/>
    </row>
    <row r="5" spans="1:16">
      <c r="B5" s="173" t="str">
        <f>Evidence!D5</f>
        <v>0</v>
      </c>
      <c r="C5" s="173" t="str">
        <f>Evidence!B5</f>
        <v>0</v>
      </c>
      <c r="E5" s="173" t="str">
        <f>Evidence!E5</f>
        <v>0</v>
      </c>
      <c r="I5" s="212" t="str">
        <f>Evidence!C5</f>
        <v>0</v>
      </c>
      <c r="J5" s="212" t="str">
        <f>dum_adresa</f>
        <v>0</v>
      </c>
      <c r="K5" s="235" t="str">
        <f>Evidence!A5</f>
        <v>0</v>
      </c>
      <c r="L5" s="212" t="str">
        <f>("C:\sprava\"&amp;SUBSTITUTE(K5,"/","")&amp;".pdf")</f>
        <v>0</v>
      </c>
      <c r="N5" s="173" t="s">
        <v>17</v>
      </c>
      <c r="O5" s="212"/>
    </row>
    <row r="6" spans="1:16">
      <c r="B6" s="173" t="str">
        <f>Evidence!D6</f>
        <v>0</v>
      </c>
      <c r="C6" s="173" t="str">
        <f>Evidence!B6</f>
        <v>0</v>
      </c>
      <c r="E6" s="173" t="str">
        <f>Evidence!E6</f>
        <v>0</v>
      </c>
      <c r="I6" s="212" t="str">
        <f>Evidence!C6</f>
        <v>0</v>
      </c>
      <c r="J6" s="212" t="str">
        <f>dum_adresa</f>
        <v>0</v>
      </c>
      <c r="K6" s="235" t="str">
        <f>Evidence!A6</f>
        <v>0</v>
      </c>
      <c r="L6" s="212" t="str">
        <f>("C:\sprava\"&amp;SUBSTITUTE(K6,"/","")&amp;".pdf")</f>
        <v>0</v>
      </c>
      <c r="N6" s="173" t="s">
        <v>18</v>
      </c>
      <c r="O6" s="212"/>
    </row>
    <row r="7" spans="1:16">
      <c r="B7" s="173" t="str">
        <f>Evidence!D7</f>
        <v>0</v>
      </c>
      <c r="C7" s="173" t="str">
        <f>Evidence!B7</f>
        <v>0</v>
      </c>
      <c r="E7" s="173" t="str">
        <f>Evidence!E7</f>
        <v>0</v>
      </c>
      <c r="I7" s="212" t="str">
        <f>Evidence!C7</f>
        <v>0</v>
      </c>
      <c r="J7" s="212" t="str">
        <f>dum_adresa</f>
        <v>0</v>
      </c>
      <c r="K7" s="235" t="str">
        <f>Evidence!A7</f>
        <v>0</v>
      </c>
      <c r="L7" s="212" t="str">
        <f>("C:\sprava\"&amp;SUBSTITUTE(K7,"/","")&amp;".pdf")</f>
        <v>0</v>
      </c>
      <c r="N7" s="173" t="s">
        <v>19</v>
      </c>
      <c r="O7" s="212"/>
    </row>
    <row r="8" spans="1:16">
      <c r="B8" s="173" t="str">
        <f>Evidence!D8</f>
        <v>0</v>
      </c>
      <c r="C8" s="173" t="str">
        <f>Evidence!B8</f>
        <v>0</v>
      </c>
      <c r="E8" s="173" t="str">
        <f>Evidence!E8</f>
        <v>0</v>
      </c>
      <c r="I8" s="212" t="str">
        <f>Evidence!C8</f>
        <v>0</v>
      </c>
      <c r="J8" s="212" t="str">
        <f>dum_adresa</f>
        <v>0</v>
      </c>
      <c r="K8" s="235" t="str">
        <f>Evidence!A8</f>
        <v>0</v>
      </c>
      <c r="L8" s="212" t="str">
        <f>("C:\sprava\"&amp;SUBSTITUTE(K8,"/","")&amp;".pdf")</f>
        <v>0</v>
      </c>
      <c r="N8" s="173" t="s">
        <v>20</v>
      </c>
      <c r="O8" s="212"/>
    </row>
    <row r="9" spans="1:16">
      <c r="B9" s="173" t="str">
        <f>Evidence!D9</f>
        <v>0</v>
      </c>
      <c r="C9" s="173" t="str">
        <f>Evidence!B9</f>
        <v>0</v>
      </c>
      <c r="E9" s="173" t="str">
        <f>Evidence!E9</f>
        <v>0</v>
      </c>
      <c r="I9" s="212" t="str">
        <f>Evidence!C9</f>
        <v>0</v>
      </c>
      <c r="J9" s="212" t="str">
        <f>dum_adresa</f>
        <v>0</v>
      </c>
      <c r="K9" s="235" t="str">
        <f>Evidence!A9</f>
        <v>0</v>
      </c>
      <c r="L9" s="212" t="str">
        <f>("C:\sprava\"&amp;SUBSTITUTE(K9,"/","")&amp;".pdf")</f>
        <v>0</v>
      </c>
      <c r="N9" s="173" t="s">
        <v>17</v>
      </c>
      <c r="O9" s="212"/>
    </row>
    <row r="10" spans="1:16">
      <c r="B10" s="173" t="str">
        <f>Evidence!D10</f>
        <v>0</v>
      </c>
      <c r="C10" s="173" t="str">
        <f>Evidence!B10</f>
        <v>0</v>
      </c>
      <c r="E10" s="173" t="str">
        <f>Evidence!E10</f>
        <v>0</v>
      </c>
      <c r="I10" s="212" t="str">
        <f>Evidence!C10</f>
        <v>0</v>
      </c>
      <c r="J10" s="212" t="str">
        <f>dum_adresa</f>
        <v>0</v>
      </c>
      <c r="K10" s="235" t="str">
        <f>Evidence!A10</f>
        <v>0</v>
      </c>
      <c r="L10" s="212" t="str">
        <f>("C:\sprava\"&amp;SUBSTITUTE(K10,"/","")&amp;".pdf")</f>
        <v>0</v>
      </c>
      <c r="N10" s="173" t="s">
        <v>20</v>
      </c>
      <c r="O10" s="212"/>
    </row>
    <row r="11" spans="1:16">
      <c r="B11" s="173" t="str">
        <f>Evidence!D11</f>
        <v>0</v>
      </c>
      <c r="C11" s="173" t="str">
        <f>Evidence!B11</f>
        <v>0</v>
      </c>
      <c r="E11" s="173" t="str">
        <f>Evidence!E11</f>
        <v>0</v>
      </c>
      <c r="I11" s="212" t="str">
        <f>Evidence!C11</f>
        <v>0</v>
      </c>
      <c r="J11" s="212" t="str">
        <f>dum_adresa</f>
        <v>0</v>
      </c>
      <c r="K11" s="235" t="str">
        <f>Evidence!A11</f>
        <v>0</v>
      </c>
      <c r="L11" s="212" t="str">
        <f>("C:\sprava\"&amp;SUBSTITUTE(K11,"/","")&amp;".pdf")</f>
        <v>0</v>
      </c>
      <c r="N11" s="173" t="s">
        <v>15</v>
      </c>
      <c r="O11" s="212"/>
    </row>
    <row r="12" spans="1:16">
      <c r="B12" s="173" t="str">
        <f>Evidence!D12</f>
        <v>0</v>
      </c>
      <c r="C12" s="173" t="str">
        <f>Evidence!B12</f>
        <v>0</v>
      </c>
      <c r="E12" s="173" t="str">
        <f>Evidence!E12</f>
        <v>0</v>
      </c>
      <c r="I12" s="212" t="str">
        <f>Evidence!C12</f>
        <v>0</v>
      </c>
      <c r="J12" s="212" t="str">
        <f>dum_adresa</f>
        <v>0</v>
      </c>
      <c r="K12" s="235" t="str">
        <f>Evidence!A12</f>
        <v>0</v>
      </c>
      <c r="L12" s="212" t="str">
        <f>("C:\sprava\"&amp;SUBSTITUTE(K12,"/","")&amp;".pdf")</f>
        <v>0</v>
      </c>
      <c r="N12" s="173" t="s">
        <v>21</v>
      </c>
      <c r="O12" s="212"/>
    </row>
    <row r="13" spans="1:16">
      <c r="B13" s="173" t="str">
        <f>Evidence!D13</f>
        <v>0</v>
      </c>
      <c r="C13" s="173" t="str">
        <f>Evidence!B13</f>
        <v>0</v>
      </c>
      <c r="E13" s="173" t="str">
        <f>Evidence!E13</f>
        <v>0</v>
      </c>
      <c r="I13" s="212" t="str">
        <f>Evidence!C13</f>
        <v>0</v>
      </c>
      <c r="J13" s="212" t="str">
        <f>dum_adresa</f>
        <v>0</v>
      </c>
      <c r="K13" s="235" t="str">
        <f>Evidence!A13</f>
        <v>0</v>
      </c>
      <c r="L13" s="212" t="str">
        <f>("C:\sprava\"&amp;SUBSTITUTE(K13,"/","")&amp;".pdf")</f>
        <v>0</v>
      </c>
      <c r="N13" s="173" t="s">
        <v>15</v>
      </c>
      <c r="O13" s="212"/>
    </row>
    <row r="14" spans="1:16">
      <c r="B14" s="173" t="str">
        <f>Evidence!D14</f>
        <v>0</v>
      </c>
      <c r="C14" s="173" t="str">
        <f>Evidence!B14</f>
        <v>0</v>
      </c>
      <c r="E14" s="173" t="str">
        <f>Evidence!E14</f>
        <v>0</v>
      </c>
      <c r="I14" s="212" t="str">
        <f>Evidence!C14</f>
        <v>0</v>
      </c>
      <c r="J14" s="212" t="str">
        <f>dum_adresa</f>
        <v>0</v>
      </c>
      <c r="K14" s="235" t="str">
        <f>Evidence!A14</f>
        <v>0</v>
      </c>
      <c r="L14" s="212" t="str">
        <f>("C:\sprava\"&amp;SUBSTITUTE(K14,"/","")&amp;".pdf")</f>
        <v>0</v>
      </c>
      <c r="N14" s="173" t="s">
        <v>21</v>
      </c>
      <c r="O14" s="212"/>
    </row>
    <row r="15" spans="1:16">
      <c r="B15" s="173" t="str">
        <f>Evidence!D15</f>
        <v>0</v>
      </c>
      <c r="C15" s="173" t="str">
        <f>Evidence!B15</f>
        <v>0</v>
      </c>
      <c r="E15" s="173" t="str">
        <f>Evidence!E15</f>
        <v>0</v>
      </c>
      <c r="I15" s="212" t="str">
        <f>Evidence!C15</f>
        <v>0</v>
      </c>
      <c r="J15" s="212" t="str">
        <f>dum_adresa</f>
        <v>0</v>
      </c>
      <c r="K15" s="235" t="str">
        <f>Evidence!A15</f>
        <v>0</v>
      </c>
      <c r="L15" s="212" t="str">
        <f>("C:\sprava\"&amp;SUBSTITUTE(K15,"/","")&amp;".pdf")</f>
        <v>0</v>
      </c>
      <c r="N15" s="173" t="s">
        <v>22</v>
      </c>
      <c r="O15" s="212"/>
    </row>
    <row r="16" spans="1:16">
      <c r="B16" s="173" t="str">
        <f>Evidence!D16</f>
        <v>0</v>
      </c>
      <c r="C16" s="173" t="str">
        <f>Evidence!B16</f>
        <v>0</v>
      </c>
      <c r="E16" s="173" t="str">
        <f>Evidence!E16</f>
        <v>0</v>
      </c>
      <c r="I16" s="212" t="str">
        <f>Evidence!C16</f>
        <v>0</v>
      </c>
      <c r="J16" s="212" t="str">
        <f>dum_adresa</f>
        <v>0</v>
      </c>
      <c r="K16" s="235" t="str">
        <f>Evidence!A16</f>
        <v>0</v>
      </c>
      <c r="L16" s="212" t="str">
        <f>("C:\sprava\"&amp;SUBSTITUTE(K16,"/","")&amp;".pdf")</f>
        <v>0</v>
      </c>
      <c r="N16" s="173" t="s">
        <v>23</v>
      </c>
      <c r="O16" s="212"/>
    </row>
    <row r="17" spans="1:16">
      <c r="B17" s="173" t="str">
        <f>Evidence!D17</f>
        <v>0</v>
      </c>
      <c r="C17" s="173" t="str">
        <f>Evidence!B17</f>
        <v>0</v>
      </c>
      <c r="E17" s="173" t="str">
        <f>Evidence!E17</f>
        <v>0</v>
      </c>
      <c r="I17" s="212" t="str">
        <f>Evidence!C17</f>
        <v>0</v>
      </c>
      <c r="J17" s="212" t="str">
        <f>dum_adresa</f>
        <v>0</v>
      </c>
      <c r="K17" s="235" t="str">
        <f>Evidence!A17</f>
        <v>0</v>
      </c>
      <c r="L17" s="212" t="str">
        <f>("C:\sprava\"&amp;SUBSTITUTE(K17,"/","")&amp;".pdf")</f>
        <v>0</v>
      </c>
      <c r="N17" s="173" t="s">
        <v>24</v>
      </c>
      <c r="O17" s="212"/>
    </row>
    <row r="18" spans="1:16">
      <c r="B18" s="173" t="str">
        <f>Evidence!D18</f>
        <v>0</v>
      </c>
      <c r="C18" s="173" t="str">
        <f>Evidence!B18</f>
        <v>0</v>
      </c>
      <c r="E18" s="173" t="str">
        <f>Evidence!E18</f>
        <v>0</v>
      </c>
      <c r="I18" s="212" t="str">
        <f>Evidence!C18</f>
        <v>0</v>
      </c>
      <c r="J18" s="212" t="str">
        <f>dum_adresa</f>
        <v>0</v>
      </c>
      <c r="K18" s="235" t="str">
        <f>Evidence!A18</f>
        <v>0</v>
      </c>
      <c r="L18" s="212" t="str">
        <f>("C:\sprava\"&amp;SUBSTITUTE(K18,"/","")&amp;".pdf")</f>
        <v>0</v>
      </c>
      <c r="N18" s="173" t="s">
        <v>25</v>
      </c>
      <c r="O18" s="212"/>
    </row>
    <row r="19" spans="1:16">
      <c r="B19" s="173" t="str">
        <f>Evidence!D19</f>
        <v>0</v>
      </c>
      <c r="C19" s="173" t="str">
        <f>Evidence!B19</f>
        <v>0</v>
      </c>
      <c r="E19" s="173" t="str">
        <f>Evidence!E19</f>
        <v>0</v>
      </c>
      <c r="I19" s="212" t="str">
        <f>Evidence!C19</f>
        <v>0</v>
      </c>
      <c r="J19" s="212" t="str">
        <f>dum_adresa</f>
        <v>0</v>
      </c>
      <c r="K19" s="235" t="str">
        <f>Evidence!A19</f>
        <v>0</v>
      </c>
      <c r="L19" s="212" t="str">
        <f>("C:\sprava\"&amp;SUBSTITUTE(K19,"/","")&amp;".pdf")</f>
        <v>0</v>
      </c>
      <c r="N19" s="173" t="s">
        <v>26</v>
      </c>
      <c r="O19" s="212"/>
    </row>
    <row r="20" spans="1:16">
      <c r="B20" s="173" t="str">
        <f>Evidence!D20</f>
        <v>0</v>
      </c>
      <c r="C20" s="173" t="str">
        <f>Evidence!B20</f>
        <v>0</v>
      </c>
      <c r="E20" s="173" t="str">
        <f>Evidence!E20</f>
        <v>0</v>
      </c>
      <c r="I20" s="212" t="str">
        <f>Evidence!C20</f>
        <v>0</v>
      </c>
      <c r="J20" s="212" t="str">
        <f>dum_adresa</f>
        <v>0</v>
      </c>
      <c r="K20" s="235" t="str">
        <f>Evidence!A20</f>
        <v>0</v>
      </c>
      <c r="L20" s="212" t="str">
        <f>("C:\sprava\"&amp;SUBSTITUTE(K20,"/","")&amp;".pdf")</f>
        <v>0</v>
      </c>
      <c r="N20" s="173" t="s">
        <v>26</v>
      </c>
      <c r="O20" s="212"/>
    </row>
    <row r="21" spans="1:16">
      <c r="B21" s="173" t="str">
        <f>Evidence!D21</f>
        <v>0</v>
      </c>
      <c r="C21" s="173" t="str">
        <f>Evidence!B21</f>
        <v>0</v>
      </c>
      <c r="E21" s="173" t="str">
        <f>Evidence!E21</f>
        <v>0</v>
      </c>
      <c r="I21" s="212" t="str">
        <f>Evidence!C21</f>
        <v>0</v>
      </c>
      <c r="J21" s="212" t="str">
        <f>dum_adresa</f>
        <v>0</v>
      </c>
      <c r="K21" s="235" t="str">
        <f>Evidence!A21</f>
        <v>0</v>
      </c>
      <c r="L21" s="212" t="str">
        <f>("C:\sprava\"&amp;SUBSTITUTE(K21,"/","")&amp;".pdf")</f>
        <v>0</v>
      </c>
      <c r="N21" s="173" t="s">
        <v>27</v>
      </c>
      <c r="O21" s="212"/>
    </row>
    <row r="22" spans="1:16">
      <c r="B22" s="173" t="str">
        <f>Evidence!D22</f>
        <v>0</v>
      </c>
      <c r="C22" s="173" t="str">
        <f>Evidence!B22</f>
        <v>0</v>
      </c>
      <c r="E22" s="173" t="str">
        <f>Evidence!E22</f>
        <v>0</v>
      </c>
      <c r="I22" s="212" t="str">
        <f>Evidence!C22</f>
        <v>0</v>
      </c>
      <c r="J22" s="212" t="str">
        <f>dum_adresa</f>
        <v>0</v>
      </c>
      <c r="K22" s="235" t="str">
        <f>Evidence!A22</f>
        <v>0</v>
      </c>
      <c r="L22" s="212" t="str">
        <f>("C:\sprava\"&amp;SUBSTITUTE(K22,"/","")&amp;".pdf")</f>
        <v>0</v>
      </c>
      <c r="N22" s="173" t="s">
        <v>28</v>
      </c>
      <c r="O22" s="212"/>
    </row>
    <row r="23" spans="1:16">
      <c r="B23" s="173" t="str">
        <f>Evidence!D23</f>
        <v>0</v>
      </c>
      <c r="C23" s="173" t="str">
        <f>Evidence!B23</f>
        <v>0</v>
      </c>
      <c r="E23" s="173" t="str">
        <f>Evidence!E23</f>
        <v>0</v>
      </c>
      <c r="I23" s="212" t="str">
        <f>Evidence!C23</f>
        <v>0</v>
      </c>
      <c r="J23" s="212" t="str">
        <f>dum_adresa</f>
        <v>0</v>
      </c>
      <c r="K23" s="235" t="str">
        <f>Evidence!A23</f>
        <v>0</v>
      </c>
      <c r="L23" s="212" t="str">
        <f>("C:\sprava\"&amp;SUBSTITUTE(K23,"/","")&amp;".pdf")</f>
        <v>0</v>
      </c>
      <c r="N23" s="173" t="s">
        <v>29</v>
      </c>
      <c r="O23" s="212"/>
    </row>
    <row r="24" spans="1:16">
      <c r="B24" s="173" t="str">
        <f>Evidence!D24</f>
        <v>0</v>
      </c>
      <c r="C24" s="173" t="str">
        <f>Evidence!B24</f>
        <v>0</v>
      </c>
      <c r="E24" s="173" t="str">
        <f>Evidence!E24</f>
        <v>0</v>
      </c>
      <c r="I24" s="212" t="str">
        <f>Evidence!C24</f>
        <v>0</v>
      </c>
      <c r="J24" s="212" t="str">
        <f>dum_adresa</f>
        <v>0</v>
      </c>
      <c r="K24" s="235" t="str">
        <f>Evidence!A24</f>
        <v>0</v>
      </c>
      <c r="L24" s="212" t="str">
        <f>("C:\sprava\"&amp;SUBSTITUTE(K24,"/","")&amp;".pdf")</f>
        <v>0</v>
      </c>
      <c r="N24" s="173" t="s">
        <v>30</v>
      </c>
      <c r="O24" s="212"/>
    </row>
    <row r="25" spans="1:16">
      <c r="B25" s="173" t="str">
        <f>Evidence!D25</f>
        <v>0</v>
      </c>
      <c r="C25" s="173" t="str">
        <f>Evidence!B25</f>
        <v>0</v>
      </c>
      <c r="E25" s="173" t="str">
        <f>Evidence!E25</f>
        <v>0</v>
      </c>
      <c r="I25" s="212" t="str">
        <f>Evidence!C25</f>
        <v>0</v>
      </c>
      <c r="J25" s="212" t="str">
        <f>dum_adresa</f>
        <v>0</v>
      </c>
      <c r="K25" s="235" t="str">
        <f>Evidence!A25</f>
        <v>0</v>
      </c>
      <c r="L25" s="212" t="str">
        <f>("C:\sprava\"&amp;SUBSTITUTE(K25,"/","")&amp;".pdf")</f>
        <v>0</v>
      </c>
      <c r="N25" s="173" t="s">
        <v>15</v>
      </c>
      <c r="O25" s="212"/>
    </row>
    <row r="26" spans="1:16">
      <c r="B26" s="173" t="str">
        <f>Evidence!D26</f>
        <v>0</v>
      </c>
      <c r="C26" s="173" t="str">
        <f>Evidence!B26</f>
        <v>0</v>
      </c>
      <c r="E26" s="173" t="str">
        <f>Evidence!E26</f>
        <v>0</v>
      </c>
      <c r="I26" s="212" t="str">
        <f>Evidence!C26</f>
        <v>0</v>
      </c>
      <c r="J26" s="212" t="str">
        <f>dum_adresa</f>
        <v>0</v>
      </c>
      <c r="K26" s="235" t="str">
        <f>Evidence!A26</f>
        <v>0</v>
      </c>
      <c r="L26" s="212" t="str">
        <f>("C:\sprava\"&amp;SUBSTITUTE(K26,"/","")&amp;".pdf")</f>
        <v>0</v>
      </c>
      <c r="N26" s="173" t="s">
        <v>31</v>
      </c>
      <c r="O26" s="212"/>
    </row>
    <row r="27" spans="1:16">
      <c r="B27" s="173" t="str">
        <f>Evidence!D27</f>
        <v>0</v>
      </c>
      <c r="C27" s="173" t="str">
        <f>Evidence!B27</f>
        <v>0</v>
      </c>
      <c r="E27" s="173" t="str">
        <f>Evidence!E27</f>
        <v>0</v>
      </c>
      <c r="I27" s="212" t="str">
        <f>Evidence!C27</f>
        <v>0</v>
      </c>
      <c r="J27" s="212" t="str">
        <f>dum_adresa</f>
        <v>0</v>
      </c>
      <c r="K27" s="235" t="str">
        <f>Evidence!A27</f>
        <v>0</v>
      </c>
      <c r="L27" s="212" t="str">
        <f>("C:\sprava\"&amp;SUBSTITUTE(K27,"/","")&amp;".pdf")</f>
        <v>0</v>
      </c>
      <c r="N27" s="173" t="s">
        <v>20</v>
      </c>
      <c r="O27" s="212"/>
    </row>
    <row r="28" spans="1:16">
      <c r="B28" s="173" t="str">
        <f>Evidence!D28</f>
        <v>0</v>
      </c>
      <c r="C28" s="173" t="str">
        <f>Evidence!B28</f>
        <v>0</v>
      </c>
      <c r="E28" s="173" t="str">
        <f>Evidence!E28</f>
        <v>0</v>
      </c>
      <c r="I28" s="212" t="str">
        <f>Evidence!C28</f>
        <v>0</v>
      </c>
      <c r="J28" s="212" t="str">
        <f>dum_adresa</f>
        <v>0</v>
      </c>
      <c r="K28" s="235" t="str">
        <f>Evidence!A28</f>
        <v>0</v>
      </c>
      <c r="L28" s="212" t="str">
        <f>("C:\sprava\"&amp;SUBSTITUTE(K28,"/","")&amp;".pdf")</f>
        <v>0</v>
      </c>
      <c r="N28" s="173" t="s">
        <v>32</v>
      </c>
      <c r="O28" s="212"/>
    </row>
    <row r="29" spans="1:16">
      <c r="B29" s="173" t="str">
        <f>Evidence!D29</f>
        <v>0</v>
      </c>
      <c r="C29" s="173" t="str">
        <f>Evidence!B29</f>
        <v>0</v>
      </c>
      <c r="E29" s="173" t="str">
        <f>Evidence!E29</f>
        <v>0</v>
      </c>
      <c r="I29" s="212" t="str">
        <f>Evidence!C29</f>
        <v>0</v>
      </c>
      <c r="J29" s="212" t="str">
        <f>dum_adresa</f>
        <v>0</v>
      </c>
      <c r="K29" s="235" t="str">
        <f>Evidence!A29</f>
        <v>0</v>
      </c>
      <c r="L29" s="212" t="str">
        <f>("C:\sprava\"&amp;SUBSTITUTE(K29,"/","")&amp;".pdf")</f>
        <v>0</v>
      </c>
      <c r="N29" s="173" t="s">
        <v>32</v>
      </c>
      <c r="O29" s="212"/>
    </row>
    <row r="30" spans="1:16">
      <c r="B30" s="173" t="str">
        <f>Evidence!D30</f>
        <v>0</v>
      </c>
      <c r="C30" s="173" t="str">
        <f>Evidence!B30</f>
        <v>0</v>
      </c>
      <c r="E30" s="173" t="str">
        <f>Evidence!E30</f>
        <v>0</v>
      </c>
      <c r="I30" s="212" t="str">
        <f>Evidence!C30</f>
        <v>0</v>
      </c>
      <c r="J30" s="212" t="str">
        <f>dum_adresa</f>
        <v>0</v>
      </c>
      <c r="K30" s="235" t="str">
        <f>Evidence!A30</f>
        <v>0</v>
      </c>
      <c r="L30" s="212" t="str">
        <f>("C:\sprava\"&amp;SUBSTITUTE(K30,"/","")&amp;".pdf")</f>
        <v>0</v>
      </c>
      <c r="N30" s="173" t="s">
        <v>33</v>
      </c>
      <c r="O30" s="212"/>
    </row>
    <row r="31" spans="1:16">
      <c r="B31" s="173" t="str">
        <f>Evidence!D31</f>
        <v>0</v>
      </c>
      <c r="C31" s="173" t="str">
        <f>Evidence!B31</f>
        <v>0</v>
      </c>
      <c r="E31" s="173" t="str">
        <f>Evidence!E31</f>
        <v>0</v>
      </c>
      <c r="I31" s="212" t="str">
        <f>Evidence!C31</f>
        <v>0</v>
      </c>
      <c r="J31" s="212" t="str">
        <f>dum_adresa</f>
        <v>0</v>
      </c>
      <c r="K31" s="235" t="str">
        <f>Evidence!A31</f>
        <v>0</v>
      </c>
      <c r="L31" s="212" t="str">
        <f>("C:\sprava\"&amp;SUBSTITUTE(K31,"/","")&amp;".pdf")</f>
        <v>0</v>
      </c>
      <c r="N31" s="173" t="s">
        <v>34</v>
      </c>
      <c r="O31" s="212"/>
    </row>
    <row r="32" spans="1:16">
      <c r="B32" s="173" t="str">
        <f>Evidence!D32</f>
        <v>0</v>
      </c>
      <c r="C32" s="173" t="str">
        <f>Evidence!B32</f>
        <v>0</v>
      </c>
      <c r="E32" s="173" t="str">
        <f>Evidence!E32</f>
        <v>0</v>
      </c>
      <c r="I32" s="212" t="str">
        <f>Evidence!C32</f>
        <v>0</v>
      </c>
      <c r="J32" s="212" t="str">
        <f>dum_adresa</f>
        <v>0</v>
      </c>
      <c r="K32" s="235" t="str">
        <f>Evidence!A32</f>
        <v>0</v>
      </c>
      <c r="L32" s="212" t="str">
        <f>("C:\sprava\"&amp;SUBSTITUTE(K32,"/","")&amp;".pdf")</f>
        <v>0</v>
      </c>
      <c r="N32" s="173" t="s">
        <v>35</v>
      </c>
      <c r="O32" s="212"/>
    </row>
    <row r="33" spans="1:16">
      <c r="B33" s="173" t="str">
        <f>Evidence!D33</f>
        <v>0</v>
      </c>
      <c r="C33" s="173" t="str">
        <f>Evidence!B33</f>
        <v>0</v>
      </c>
      <c r="E33" s="173" t="str">
        <f>Evidence!E33</f>
        <v>0</v>
      </c>
      <c r="I33" s="212" t="str">
        <f>Evidence!C33</f>
        <v>0</v>
      </c>
      <c r="J33" s="212" t="str">
        <f>dum_adresa</f>
        <v>0</v>
      </c>
      <c r="K33" s="235" t="str">
        <f>Evidence!A33</f>
        <v>0</v>
      </c>
      <c r="L33" s="212" t="str">
        <f>("C:\sprava\"&amp;SUBSTITUTE(K33,"/","")&amp;".pdf")</f>
        <v>0</v>
      </c>
      <c r="N33" s="173" t="s">
        <v>36</v>
      </c>
      <c r="O33" s="212"/>
    </row>
    <row r="34" spans="1:16">
      <c r="B34" s="173" t="str">
        <f>Evidence!D34</f>
        <v>0</v>
      </c>
      <c r="C34" s="173" t="str">
        <f>Evidence!B34</f>
        <v>0</v>
      </c>
      <c r="E34" s="173" t="str">
        <f>Evidence!E34</f>
        <v>0</v>
      </c>
      <c r="I34" s="212" t="str">
        <f>Evidence!C34</f>
        <v>0</v>
      </c>
      <c r="J34" s="212" t="str">
        <f>dum_adresa</f>
        <v>0</v>
      </c>
      <c r="K34" s="235" t="str">
        <f>Evidence!A34</f>
        <v>0</v>
      </c>
      <c r="L34" s="212" t="str">
        <f>("C:\sprava\"&amp;SUBSTITUTE(K34,"/","")&amp;".pdf")</f>
        <v>0</v>
      </c>
      <c r="N34" s="173" t="s">
        <v>37</v>
      </c>
      <c r="O34" s="212"/>
    </row>
    <row r="35" spans="1:16">
      <c r="B35" s="173" t="str">
        <f>Evidence!D35</f>
        <v>0</v>
      </c>
      <c r="C35" s="173" t="str">
        <f>Evidence!B35</f>
        <v>0</v>
      </c>
      <c r="E35" s="173" t="str">
        <f>Evidence!E35</f>
        <v>0</v>
      </c>
      <c r="I35" s="212" t="str">
        <f>Evidence!C35</f>
        <v>0</v>
      </c>
      <c r="J35" s="212" t="str">
        <f>dum_adresa</f>
        <v>0</v>
      </c>
      <c r="K35" s="235" t="str">
        <f>Evidence!A35</f>
        <v>0</v>
      </c>
      <c r="L35" s="212" t="str">
        <f>("C:\sprava\"&amp;SUBSTITUTE(K35,"/","")&amp;".pdf")</f>
        <v>0</v>
      </c>
      <c r="N35" s="173" t="s">
        <v>38</v>
      </c>
      <c r="O35" s="212"/>
    </row>
    <row r="36" spans="1:16">
      <c r="B36" s="173" t="str">
        <f>Evidence!D36</f>
        <v>0</v>
      </c>
      <c r="C36" s="173" t="str">
        <f>Evidence!B36</f>
        <v>0</v>
      </c>
      <c r="E36" s="173" t="str">
        <f>Evidence!E36</f>
        <v>0</v>
      </c>
      <c r="I36" s="212" t="str">
        <f>Evidence!C36</f>
        <v>0</v>
      </c>
      <c r="J36" s="212" t="str">
        <f>dum_adresa</f>
        <v>0</v>
      </c>
      <c r="K36" s="235" t="str">
        <f>Evidence!A36</f>
        <v>0</v>
      </c>
      <c r="L36" s="212" t="str">
        <f>("C:\sprava\"&amp;SUBSTITUTE(K36,"/","")&amp;".pdf")</f>
        <v>0</v>
      </c>
      <c r="N36" s="173" t="s">
        <v>39</v>
      </c>
      <c r="O36" s="212"/>
    </row>
    <row r="37" spans="1:16">
      <c r="B37" s="173" t="str">
        <f>Evidence!D37</f>
        <v>0</v>
      </c>
      <c r="C37" s="173" t="str">
        <f>Evidence!B37</f>
        <v>0</v>
      </c>
      <c r="E37" s="173" t="str">
        <f>Evidence!E37</f>
        <v>0</v>
      </c>
      <c r="I37" s="212" t="str">
        <f>Evidence!C37</f>
        <v>0</v>
      </c>
      <c r="J37" s="212" t="str">
        <f>dum_adresa</f>
        <v>0</v>
      </c>
      <c r="K37" s="235" t="str">
        <f>Evidence!A37</f>
        <v>0</v>
      </c>
      <c r="L37" s="212" t="str">
        <f>("C:\sprava\"&amp;SUBSTITUTE(K37,"/","")&amp;".pdf")</f>
        <v>0</v>
      </c>
      <c r="N37" s="173" t="s">
        <v>40</v>
      </c>
      <c r="O37" s="212"/>
    </row>
    <row r="38" spans="1:16">
      <c r="B38" s="173" t="str">
        <f>Evidence!D38</f>
        <v>0</v>
      </c>
      <c r="C38" s="173" t="str">
        <f>Evidence!B38</f>
        <v>0</v>
      </c>
      <c r="E38" s="173" t="str">
        <f>Evidence!E38</f>
        <v>0</v>
      </c>
      <c r="I38" s="212" t="str">
        <f>Evidence!C38</f>
        <v>0</v>
      </c>
      <c r="J38" s="212" t="str">
        <f>dum_adresa</f>
        <v>0</v>
      </c>
      <c r="K38" s="235" t="str">
        <f>Evidence!A38</f>
        <v>0</v>
      </c>
      <c r="L38" s="212" t="str">
        <f>("C:\sprava\"&amp;SUBSTITUTE(K38,"/","")&amp;".pdf")</f>
        <v>0</v>
      </c>
      <c r="N38" s="173" t="s">
        <v>41</v>
      </c>
      <c r="O38" s="212"/>
    </row>
    <row r="39" spans="1:16">
      <c r="B39" s="173" t="str">
        <f>Evidence!D39</f>
        <v>0</v>
      </c>
      <c r="C39" s="173" t="str">
        <f>Evidence!B39</f>
        <v>0</v>
      </c>
      <c r="E39" s="173" t="str">
        <f>Evidence!E39</f>
        <v>0</v>
      </c>
      <c r="I39" s="212" t="str">
        <f>Evidence!C39</f>
        <v>0</v>
      </c>
      <c r="J39" s="212" t="str">
        <f>dum_adresa</f>
        <v>0</v>
      </c>
      <c r="K39" s="235" t="str">
        <f>Evidence!A39</f>
        <v>0</v>
      </c>
      <c r="L39" s="212" t="str">
        <f>("C:\sprava\"&amp;SUBSTITUTE(K39,"/","")&amp;".pdf")</f>
        <v>0</v>
      </c>
      <c r="N39" s="173" t="s">
        <v>42</v>
      </c>
      <c r="O39" s="212"/>
    </row>
    <row r="40" spans="1:16">
      <c r="B40" s="173" t="str">
        <f>Evidence!D40</f>
        <v>0</v>
      </c>
      <c r="C40" s="173" t="str">
        <f>Evidence!B40</f>
        <v>0</v>
      </c>
      <c r="E40" s="173" t="str">
        <f>Evidence!E40</f>
        <v>0</v>
      </c>
      <c r="I40" s="212" t="str">
        <f>Evidence!C40</f>
        <v>0</v>
      </c>
      <c r="J40" s="212" t="str">
        <f>dum_adresa</f>
        <v>0</v>
      </c>
      <c r="K40" s="235" t="str">
        <f>Evidence!A40</f>
        <v>0</v>
      </c>
      <c r="L40" s="212" t="str">
        <f>("C:\sprava\"&amp;SUBSTITUTE(K40,"/","")&amp;".pdf")</f>
        <v>0</v>
      </c>
      <c r="N40" s="173" t="s">
        <v>43</v>
      </c>
      <c r="O40" s="212"/>
    </row>
    <row r="41" spans="1:16">
      <c r="B41" s="173" t="str">
        <f>Evidence!D41</f>
        <v>0</v>
      </c>
      <c r="C41" s="173" t="str">
        <f>Evidence!B41</f>
        <v>0</v>
      </c>
      <c r="E41" s="173" t="str">
        <f>Evidence!E41</f>
        <v>0</v>
      </c>
      <c r="I41" s="212" t="str">
        <f>Evidence!C41</f>
        <v>0</v>
      </c>
      <c r="J41" s="212" t="str">
        <f>dum_adresa</f>
        <v>0</v>
      </c>
      <c r="K41" s="235" t="str">
        <f>Evidence!A41</f>
        <v>0</v>
      </c>
      <c r="L41" s="212" t="str">
        <f>("C:\sprava\"&amp;SUBSTITUTE(K41,"/","")&amp;".pdf")</f>
        <v>0</v>
      </c>
      <c r="N41" s="173" t="s">
        <v>32</v>
      </c>
      <c r="O41" s="212"/>
    </row>
    <row r="42" spans="1:16">
      <c r="B42" s="173" t="str">
        <f>Evidence!D42</f>
        <v>0</v>
      </c>
      <c r="C42" s="173" t="str">
        <f>Evidence!B42</f>
        <v>0</v>
      </c>
      <c r="E42" s="173" t="str">
        <f>Evidence!E42</f>
        <v>0</v>
      </c>
      <c r="I42" s="212" t="str">
        <f>Evidence!C42</f>
        <v>0</v>
      </c>
      <c r="J42" s="212" t="str">
        <f>dum_adresa</f>
        <v>0</v>
      </c>
      <c r="K42" s="235" t="str">
        <f>Evidence!A42</f>
        <v>0</v>
      </c>
      <c r="L42" s="212" t="str">
        <f>("C:\sprava\"&amp;SUBSTITUTE(K42,"/","")&amp;".pdf")</f>
        <v>0</v>
      </c>
      <c r="N42" s="173" t="s">
        <v>44</v>
      </c>
      <c r="O42" s="212"/>
    </row>
    <row r="43" spans="1:16">
      <c r="B43" s="173" t="str">
        <f>Evidence!D43</f>
        <v>0</v>
      </c>
      <c r="C43" s="173" t="str">
        <f>Evidence!B43</f>
        <v>0</v>
      </c>
      <c r="E43" s="173" t="str">
        <f>Evidence!E43</f>
        <v>0</v>
      </c>
      <c r="I43" s="212" t="str">
        <f>Evidence!C43</f>
        <v>0</v>
      </c>
      <c r="J43" s="212" t="str">
        <f>dum_adresa</f>
        <v>0</v>
      </c>
      <c r="K43" s="235" t="str">
        <f>Evidence!A43</f>
        <v>0</v>
      </c>
      <c r="L43" s="212" t="str">
        <f>("C:\sprava\"&amp;SUBSTITUTE(K43,"/","")&amp;".pdf")</f>
        <v>0</v>
      </c>
      <c r="N43" s="173" t="s">
        <v>20</v>
      </c>
      <c r="O43" s="212"/>
    </row>
    <row r="44" spans="1:16">
      <c r="B44" s="173" t="str">
        <f>Evidence!D44</f>
        <v>0</v>
      </c>
      <c r="C44" s="173" t="str">
        <f>Evidence!B44</f>
        <v>0</v>
      </c>
      <c r="E44" s="173" t="str">
        <f>Evidence!E44</f>
        <v>0</v>
      </c>
      <c r="I44" s="212" t="str">
        <f>Evidence!C44</f>
        <v>0</v>
      </c>
      <c r="J44" s="212" t="str">
        <f>dum_adresa</f>
        <v>0</v>
      </c>
      <c r="K44" s="235" t="str">
        <f>Evidence!A44</f>
        <v>0</v>
      </c>
      <c r="L44" s="212" t="str">
        <f>("C:\sprava\"&amp;SUBSTITUTE(K44,"/","")&amp;".pdf")</f>
        <v>0</v>
      </c>
      <c r="N44" s="173" t="s">
        <v>15</v>
      </c>
      <c r="O44" s="212"/>
    </row>
    <row r="45" spans="1:16">
      <c r="B45" s="173" t="str">
        <f>Evidence!D45</f>
        <v>0</v>
      </c>
      <c r="C45" s="173" t="str">
        <f>Evidence!B45</f>
        <v>0</v>
      </c>
      <c r="E45" s="173" t="str">
        <f>Evidence!E45</f>
        <v>0</v>
      </c>
      <c r="I45" s="212" t="str">
        <f>Evidence!C45</f>
        <v>0</v>
      </c>
      <c r="J45" s="212" t="str">
        <f>dum_adresa</f>
        <v>0</v>
      </c>
      <c r="K45" s="235" t="str">
        <f>Evidence!A45</f>
        <v>0</v>
      </c>
      <c r="L45" s="212" t="str">
        <f>("C:\sprava\"&amp;SUBSTITUTE(K45,"/","")&amp;".pdf")</f>
        <v>0</v>
      </c>
      <c r="N45" s="173" t="s">
        <v>17</v>
      </c>
      <c r="O45" s="212"/>
    </row>
    <row r="46" spans="1:16">
      <c r="B46" s="173" t="str">
        <f>Evidence!D46</f>
        <v>0</v>
      </c>
      <c r="C46" s="173" t="str">
        <f>Evidence!B46</f>
        <v>0</v>
      </c>
      <c r="E46" s="173" t="str">
        <f>Evidence!E46</f>
        <v>0</v>
      </c>
      <c r="I46" s="212" t="str">
        <f>Evidence!C46</f>
        <v>0</v>
      </c>
      <c r="J46" s="212" t="str">
        <f>dum_adresa</f>
        <v>0</v>
      </c>
      <c r="K46" s="235" t="str">
        <f>Evidence!A46</f>
        <v>0</v>
      </c>
      <c r="L46" s="212" t="str">
        <f>("C:\sprava\"&amp;SUBSTITUTE(K46,"/","")&amp;".pdf")</f>
        <v>0</v>
      </c>
      <c r="N46" s="173" t="s">
        <v>45</v>
      </c>
      <c r="O46" s="212"/>
    </row>
    <row r="47" spans="1:16">
      <c r="B47" s="173" t="str">
        <f>Evidence!D47</f>
        <v>0</v>
      </c>
      <c r="C47" s="173" t="str">
        <f>Evidence!B47</f>
        <v>0</v>
      </c>
      <c r="E47" s="173" t="str">
        <f>Evidence!E47</f>
        <v>0</v>
      </c>
      <c r="I47" s="212" t="str">
        <f>Evidence!C47</f>
        <v>0</v>
      </c>
      <c r="J47" s="212" t="str">
        <f>dum_adresa</f>
        <v>0</v>
      </c>
      <c r="K47" s="235" t="str">
        <f>Evidence!A47</f>
        <v>0</v>
      </c>
      <c r="L47" s="212" t="str">
        <f>("C:\sprava\"&amp;SUBSTITUTE(K47,"/","")&amp;".pdf")</f>
        <v>0</v>
      </c>
      <c r="N47" s="173" t="s">
        <v>46</v>
      </c>
      <c r="O47" s="212"/>
    </row>
    <row r="48" spans="1:16">
      <c r="B48" s="173" t="str">
        <f>Evidence!D48</f>
        <v>0</v>
      </c>
      <c r="C48" s="173" t="str">
        <f>Evidence!B48</f>
        <v>0</v>
      </c>
      <c r="E48" s="173" t="str">
        <f>Evidence!E48</f>
        <v>0</v>
      </c>
      <c r="I48" s="212" t="str">
        <f>Evidence!C48</f>
        <v>0</v>
      </c>
      <c r="J48" s="212" t="str">
        <f>dum_adresa</f>
        <v>0</v>
      </c>
      <c r="K48" s="235" t="str">
        <f>Evidence!A48</f>
        <v>0</v>
      </c>
      <c r="L48" s="212" t="str">
        <f>("C:\sprava\"&amp;SUBSTITUTE(K48,"/","")&amp;".pdf")</f>
        <v>0</v>
      </c>
      <c r="N48" s="173" t="s">
        <v>47</v>
      </c>
      <c r="O48" s="212"/>
    </row>
    <row r="49" spans="1:16">
      <c r="B49" s="173" t="str">
        <f>Evidence!D49</f>
        <v>0</v>
      </c>
      <c r="C49" s="173" t="str">
        <f>Evidence!B49</f>
        <v>0</v>
      </c>
      <c r="E49" s="173" t="str">
        <f>Evidence!E49</f>
        <v>0</v>
      </c>
      <c r="I49" s="212" t="str">
        <f>Evidence!C49</f>
        <v>0</v>
      </c>
      <c r="J49" s="212" t="str">
        <f>dum_adresa</f>
        <v>0</v>
      </c>
      <c r="K49" s="235" t="str">
        <f>Evidence!A49</f>
        <v>0</v>
      </c>
      <c r="L49" s="212" t="str">
        <f>("C:\sprava\"&amp;SUBSTITUTE(K49,"/","")&amp;".pdf")</f>
        <v>0</v>
      </c>
      <c r="N49" s="173" t="s">
        <v>48</v>
      </c>
      <c r="O49" s="212"/>
    </row>
    <row r="50" spans="1:16">
      <c r="B50" s="173" t="str">
        <f>Evidence!D50</f>
        <v>0</v>
      </c>
      <c r="C50" s="173" t="str">
        <f>Evidence!B50</f>
        <v>0</v>
      </c>
      <c r="E50" s="173" t="str">
        <f>Evidence!E50</f>
        <v>0</v>
      </c>
      <c r="I50" s="212" t="str">
        <f>Evidence!C50</f>
        <v>0</v>
      </c>
      <c r="J50" s="212" t="str">
        <f>dum_adresa</f>
        <v>0</v>
      </c>
      <c r="K50" s="235" t="str">
        <f>Evidence!A50</f>
        <v>0</v>
      </c>
      <c r="L50" s="212" t="str">
        <f>("C:\sprava\"&amp;SUBSTITUTE(K50,"/","")&amp;".pdf")</f>
        <v>0</v>
      </c>
      <c r="N50" s="173" t="s">
        <v>49</v>
      </c>
      <c r="O50" s="212"/>
    </row>
    <row r="51" spans="1:16">
      <c r="B51" s="173" t="str">
        <f>Evidence!D51</f>
        <v>0</v>
      </c>
      <c r="C51" s="173" t="str">
        <f>Evidence!B51</f>
        <v>0</v>
      </c>
      <c r="E51" s="173" t="str">
        <f>Evidence!E51</f>
        <v>0</v>
      </c>
      <c r="I51" s="212" t="str">
        <f>Evidence!C51</f>
        <v>0</v>
      </c>
      <c r="J51" s="212" t="str">
        <f>dum_adresa</f>
        <v>0</v>
      </c>
      <c r="K51" s="235" t="str">
        <f>Evidence!A51</f>
        <v>0</v>
      </c>
      <c r="L51" s="212" t="str">
        <f>("C:\sprava\"&amp;SUBSTITUTE(K51,"/","")&amp;".pdf")</f>
        <v>0</v>
      </c>
      <c r="N51" s="173" t="s">
        <v>15</v>
      </c>
      <c r="O51" s="212"/>
    </row>
    <row r="52" spans="1:16">
      <c r="B52" s="173" t="str">
        <f>Evidence!D52</f>
        <v>0</v>
      </c>
      <c r="C52" s="173" t="str">
        <f>Evidence!B52</f>
        <v>0</v>
      </c>
      <c r="E52" s="173" t="str">
        <f>Evidence!E52</f>
        <v>0</v>
      </c>
      <c r="I52" s="212" t="str">
        <f>Evidence!C52</f>
        <v>0</v>
      </c>
      <c r="J52" s="212" t="str">
        <f>dum_adresa</f>
        <v>0</v>
      </c>
      <c r="K52" s="235" t="str">
        <f>Evidence!A52</f>
        <v>0</v>
      </c>
      <c r="L52" s="212" t="str">
        <f>("C:\sprava\"&amp;SUBSTITUTE(K52,"/","")&amp;".pdf")</f>
        <v>0</v>
      </c>
      <c r="N52" s="173" t="s">
        <v>17</v>
      </c>
      <c r="O52" s="212"/>
    </row>
    <row r="53" spans="1:16">
      <c r="B53" s="173" t="str">
        <f>Evidence!D53</f>
        <v>0</v>
      </c>
      <c r="C53" s="173" t="str">
        <f>Evidence!B53</f>
        <v>0</v>
      </c>
      <c r="E53" s="173" t="str">
        <f>Evidence!E53</f>
        <v>0</v>
      </c>
      <c r="I53" s="212" t="str">
        <f>Evidence!C53</f>
        <v>0</v>
      </c>
      <c r="J53" s="212" t="str">
        <f>dum_adresa</f>
        <v>0</v>
      </c>
      <c r="K53" s="235" t="str">
        <f>Evidence!A53</f>
        <v>0</v>
      </c>
      <c r="L53" s="212" t="str">
        <f>("C:\sprava\"&amp;SUBSTITUTE(K53,"/","")&amp;".pdf")</f>
        <v>0</v>
      </c>
      <c r="N53" s="173" t="s">
        <v>15</v>
      </c>
      <c r="O53" s="212"/>
    </row>
    <row r="54" spans="1:16">
      <c r="B54" s="173" t="str">
        <f>Evidence!D54</f>
        <v>0</v>
      </c>
      <c r="C54" s="173" t="str">
        <f>Evidence!B54</f>
        <v>0</v>
      </c>
      <c r="E54" s="173" t="str">
        <f>Evidence!E54</f>
        <v>0</v>
      </c>
      <c r="I54" s="212" t="str">
        <f>Evidence!C54</f>
        <v>0</v>
      </c>
      <c r="J54" s="212" t="str">
        <f>dum_adresa</f>
        <v>0</v>
      </c>
      <c r="K54" s="235" t="str">
        <f>Evidence!A54</f>
        <v>0</v>
      </c>
      <c r="L54" s="212" t="str">
        <f>("C:\sprava\"&amp;SUBSTITUTE(K54,"/","")&amp;".pdf")</f>
        <v>0</v>
      </c>
      <c r="N54" s="173" t="s">
        <v>50</v>
      </c>
      <c r="O54" s="212"/>
    </row>
    <row r="55" spans="1:16">
      <c r="B55" s="173" t="str">
        <f>Evidence!D55</f>
        <v>0</v>
      </c>
      <c r="C55" s="173" t="str">
        <f>Evidence!B55</f>
        <v>0</v>
      </c>
      <c r="E55" s="173" t="str">
        <f>Evidence!E55</f>
        <v>0</v>
      </c>
      <c r="I55" s="212" t="str">
        <f>Evidence!C55</f>
        <v>0</v>
      </c>
      <c r="J55" s="212" t="str">
        <f>dum_adresa</f>
        <v>0</v>
      </c>
      <c r="K55" s="235" t="str">
        <f>Evidence!A55</f>
        <v>0</v>
      </c>
      <c r="L55" s="212" t="str">
        <f>("C:\sprava\"&amp;SUBSTITUTE(K55,"/","")&amp;".pdf")</f>
        <v>0</v>
      </c>
      <c r="N55" s="173" t="s">
        <v>51</v>
      </c>
      <c r="O55" s="212"/>
    </row>
    <row r="56" spans="1:16">
      <c r="B56" s="173" t="str">
        <f>Evidence!D56</f>
        <v>0</v>
      </c>
      <c r="C56" s="173" t="str">
        <f>Evidence!B56</f>
        <v>0</v>
      </c>
      <c r="E56" s="173" t="str">
        <f>Evidence!E56</f>
        <v>0</v>
      </c>
      <c r="I56" s="212" t="str">
        <f>Evidence!C56</f>
        <v>0</v>
      </c>
      <c r="J56" s="212" t="str">
        <f>dum_adresa</f>
        <v>0</v>
      </c>
      <c r="K56" s="235" t="str">
        <f>Evidence!A56</f>
        <v>0</v>
      </c>
      <c r="L56" s="212" t="str">
        <f>("C:\sprava\"&amp;SUBSTITUTE(K56,"/","")&amp;".pdf")</f>
        <v>0</v>
      </c>
      <c r="N56" s="173" t="s">
        <v>20</v>
      </c>
      <c r="O56" s="212"/>
    </row>
    <row r="57" spans="1:16">
      <c r="B57" s="173" t="str">
        <f>Evidence!D57</f>
        <v>0</v>
      </c>
      <c r="C57" s="173" t="str">
        <f>Evidence!B57</f>
        <v>0</v>
      </c>
      <c r="E57" s="173" t="str">
        <f>Evidence!E57</f>
        <v>0</v>
      </c>
      <c r="I57" s="212" t="str">
        <f>Evidence!C57</f>
        <v>0</v>
      </c>
      <c r="J57" s="212" t="str">
        <f>dum_adresa</f>
        <v>0</v>
      </c>
      <c r="K57" s="235" t="str">
        <f>Evidence!A57</f>
        <v>0</v>
      </c>
      <c r="L57" s="212" t="str">
        <f>("C:\sprava\"&amp;SUBSTITUTE(K57,"/","")&amp;".pdf")</f>
        <v>0</v>
      </c>
      <c r="N57" s="173" t="s">
        <v>15</v>
      </c>
      <c r="O57" s="212"/>
    </row>
    <row r="58" spans="1:16">
      <c r="B58" s="173" t="str">
        <f>Evidence!D58</f>
        <v>0</v>
      </c>
      <c r="C58" s="173" t="str">
        <f>Evidence!B58</f>
        <v>0</v>
      </c>
      <c r="E58" s="173" t="str">
        <f>Evidence!E58</f>
        <v>0</v>
      </c>
      <c r="I58" s="212" t="str">
        <f>Evidence!C58</f>
        <v>0</v>
      </c>
      <c r="J58" s="212" t="str">
        <f>dum_adresa</f>
        <v>0</v>
      </c>
      <c r="K58" s="235" t="str">
        <f>Evidence!A58</f>
        <v>0</v>
      </c>
      <c r="L58" s="212" t="str">
        <f>("C:\sprava\"&amp;SUBSTITUTE(K58,"/","")&amp;".pdf")</f>
        <v>0</v>
      </c>
      <c r="N58" s="173" t="s">
        <v>52</v>
      </c>
      <c r="O58" s="212"/>
    </row>
    <row r="59" spans="1:16">
      <c r="B59" s="173" t="str">
        <f>Evidence!D59</f>
        <v>0</v>
      </c>
      <c r="C59" s="173" t="str">
        <f>Evidence!B59</f>
        <v>0</v>
      </c>
      <c r="E59" s="173" t="str">
        <f>Evidence!E59</f>
        <v>0</v>
      </c>
      <c r="I59" s="212" t="str">
        <f>Evidence!C59</f>
        <v>0</v>
      </c>
      <c r="J59" s="212" t="str">
        <f>dum_adresa</f>
        <v>0</v>
      </c>
      <c r="K59" s="235" t="str">
        <f>Evidence!A59</f>
        <v>0</v>
      </c>
      <c r="L59" s="212" t="str">
        <f>("C:\sprava\"&amp;SUBSTITUTE(K59,"/","")&amp;".pdf")</f>
        <v>0</v>
      </c>
      <c r="N59" s="173" t="s">
        <v>15</v>
      </c>
      <c r="O59" s="212"/>
    </row>
    <row r="60" spans="1:16">
      <c r="B60" s="173" t="str">
        <f>Evidence!D60</f>
        <v>0</v>
      </c>
      <c r="C60" s="173" t="str">
        <f>Evidence!B60</f>
        <v>0</v>
      </c>
      <c r="E60" s="173" t="str">
        <f>Evidence!E60</f>
        <v>0</v>
      </c>
      <c r="I60" s="212" t="str">
        <f>Evidence!C60</f>
        <v>0</v>
      </c>
      <c r="J60" s="212" t="str">
        <f>dum_adresa</f>
        <v>0</v>
      </c>
      <c r="K60" s="235" t="str">
        <f>Evidence!A60</f>
        <v>0</v>
      </c>
      <c r="L60" s="212" t="str">
        <f>("C:\sprava\"&amp;SUBSTITUTE(K60,"/","")&amp;".pdf")</f>
        <v>0</v>
      </c>
      <c r="O60" s="212"/>
    </row>
    <row r="61" spans="1:16">
      <c r="B61" s="173" t="str">
        <f>Evidence!D61</f>
        <v>0</v>
      </c>
      <c r="C61" s="173" t="str">
        <f>Evidence!B61</f>
        <v>0</v>
      </c>
      <c r="E61" s="173" t="str">
        <f>Evidence!E61</f>
        <v>0</v>
      </c>
      <c r="I61" s="212" t="str">
        <f>Evidence!C61</f>
        <v>0</v>
      </c>
      <c r="J61" s="212" t="str">
        <f>dum_adresa</f>
        <v>0</v>
      </c>
      <c r="K61" s="235" t="str">
        <f>Evidence!A61</f>
        <v>0</v>
      </c>
      <c r="L61" s="212" t="str">
        <f>("C:\sprava\"&amp;SUBSTITUTE(K61,"/","")&amp;".pdf")</f>
        <v>0</v>
      </c>
      <c r="O61" s="212"/>
    </row>
    <row r="62" spans="1:16">
      <c r="B62" s="173" t="str">
        <f>Evidence!D62</f>
        <v>0</v>
      </c>
      <c r="C62" s="173" t="str">
        <f>Evidence!B62</f>
        <v>0</v>
      </c>
      <c r="E62" s="173" t="str">
        <f>Evidence!E62</f>
        <v>0</v>
      </c>
      <c r="I62" s="212" t="str">
        <f>Evidence!C62</f>
        <v>0</v>
      </c>
      <c r="J62" s="212" t="str">
        <f>dum_adresa</f>
        <v>0</v>
      </c>
      <c r="K62" s="235" t="str">
        <f>Evidence!A62</f>
        <v>0</v>
      </c>
      <c r="L62" s="212" t="str">
        <f>("C:\sprava\"&amp;SUBSTITUTE(K62,"/","")&amp;".pdf")</f>
        <v>0</v>
      </c>
      <c r="O62" s="212"/>
    </row>
    <row r="63" spans="1:16">
      <c r="B63" s="173" t="str">
        <f>Evidence!D63</f>
        <v>0</v>
      </c>
      <c r="C63" s="173" t="str">
        <f>Evidence!B63</f>
        <v>0</v>
      </c>
      <c r="E63" s="173" t="str">
        <f>Evidence!E63</f>
        <v>0</v>
      </c>
      <c r="I63" s="212" t="str">
        <f>Evidence!C63</f>
        <v>0</v>
      </c>
      <c r="J63" s="212" t="str">
        <f>dum_adresa</f>
        <v>0</v>
      </c>
      <c r="K63" s="235" t="str">
        <f>Evidence!A63</f>
        <v>0</v>
      </c>
      <c r="L63" s="212" t="str">
        <f>("C:\sprava\"&amp;SUBSTITUTE(K63,"/","")&amp;".pdf")</f>
        <v>0</v>
      </c>
      <c r="O63" s="212"/>
    </row>
    <row r="64" spans="1:16">
      <c r="B64" s="173" t="str">
        <f>Evidence!D64</f>
        <v>0</v>
      </c>
      <c r="C64" s="173" t="str">
        <f>Evidence!B64</f>
        <v>0</v>
      </c>
      <c r="E64" s="173" t="str">
        <f>Evidence!E64</f>
        <v>0</v>
      </c>
      <c r="I64" s="212" t="str">
        <f>Evidence!C64</f>
        <v>0</v>
      </c>
      <c r="J64" s="212" t="str">
        <f>dum_adresa</f>
        <v>0</v>
      </c>
      <c r="K64" s="235" t="str">
        <f>Evidence!A64</f>
        <v>0</v>
      </c>
      <c r="L64" s="212" t="str">
        <f>("C:\sprava\"&amp;SUBSTITUTE(K64,"/","")&amp;".pdf")</f>
        <v>0</v>
      </c>
      <c r="O64" s="212"/>
    </row>
    <row r="65" spans="1:16">
      <c r="B65" s="173" t="str">
        <f>Evidence!D65</f>
        <v>0</v>
      </c>
      <c r="C65" s="173" t="str">
        <f>Evidence!B65</f>
        <v>0</v>
      </c>
      <c r="E65" s="173" t="str">
        <f>Evidence!E65</f>
        <v>0</v>
      </c>
      <c r="I65" s="212" t="str">
        <f>Evidence!C65</f>
        <v>0</v>
      </c>
      <c r="J65" s="212" t="str">
        <f>dum_adresa</f>
        <v>0</v>
      </c>
      <c r="K65" s="235" t="str">
        <f>Evidence!A65</f>
        <v>0</v>
      </c>
      <c r="L65" s="212" t="str">
        <f>("C:\sprava\"&amp;SUBSTITUTE(K65,"/","")&amp;".pdf")</f>
        <v>0</v>
      </c>
      <c r="O65" s="212"/>
    </row>
    <row r="66" spans="1:16">
      <c r="B66" s="173" t="str">
        <f>Evidence!D66</f>
        <v>0</v>
      </c>
      <c r="C66" s="173" t="str">
        <f>Evidence!B66</f>
        <v>0</v>
      </c>
      <c r="E66" s="173" t="str">
        <f>Evidence!E66</f>
        <v>0</v>
      </c>
      <c r="I66" s="212" t="str">
        <f>Evidence!C66</f>
        <v>0</v>
      </c>
      <c r="J66" s="212" t="str">
        <f>dum_adresa</f>
        <v>0</v>
      </c>
      <c r="K66" s="235" t="str">
        <f>Evidence!A66</f>
        <v>0</v>
      </c>
      <c r="L66" s="212" t="str">
        <f>("C:\sprava\"&amp;SUBSTITUTE(K66,"/","")&amp;".pdf")</f>
        <v>0</v>
      </c>
      <c r="O66" s="212"/>
    </row>
    <row r="67" spans="1:16">
      <c r="B67" s="173" t="str">
        <f>Evidence!D67</f>
        <v>0</v>
      </c>
      <c r="C67" s="173" t="str">
        <f>Evidence!B67</f>
        <v>0</v>
      </c>
      <c r="E67" s="173" t="str">
        <f>Evidence!E67</f>
        <v>0</v>
      </c>
      <c r="I67" s="212" t="str">
        <f>Evidence!C67</f>
        <v>0</v>
      </c>
      <c r="J67" s="212" t="str">
        <f>dum_adresa</f>
        <v>0</v>
      </c>
      <c r="K67" s="235" t="str">
        <f>Evidence!A67</f>
        <v>0</v>
      </c>
      <c r="L67" s="212" t="str">
        <f>("C:\sprava\"&amp;SUBSTITUTE(K67,"/","")&amp;".pdf")</f>
        <v>0</v>
      </c>
      <c r="O67" s="212"/>
    </row>
    <row r="68" spans="1:16">
      <c r="B68" s="173" t="str">
        <f>Evidence!D68</f>
        <v>0</v>
      </c>
      <c r="C68" s="173" t="str">
        <f>Evidence!B68</f>
        <v>0</v>
      </c>
      <c r="E68" s="173" t="str">
        <f>Evidence!E68</f>
        <v>0</v>
      </c>
      <c r="I68" s="212" t="str">
        <f>Evidence!C68</f>
        <v>0</v>
      </c>
      <c r="J68" s="212" t="str">
        <f>dum_adresa</f>
        <v>0</v>
      </c>
      <c r="K68" s="235" t="str">
        <f>Evidence!A68</f>
        <v>0</v>
      </c>
      <c r="L68" s="212" t="str">
        <f>("C:\sprava\"&amp;SUBSTITUTE(K68,"/","")&amp;".pdf")</f>
        <v>0</v>
      </c>
      <c r="O68" s="212"/>
    </row>
    <row r="69" spans="1:16">
      <c r="B69" s="173" t="str">
        <f>Evidence!D69</f>
        <v>0</v>
      </c>
      <c r="C69" s="173" t="str">
        <f>Evidence!B69</f>
        <v>0</v>
      </c>
      <c r="E69" s="173" t="str">
        <f>Evidence!E69</f>
        <v>0</v>
      </c>
      <c r="I69" s="212" t="str">
        <f>Evidence!C69</f>
        <v>0</v>
      </c>
      <c r="J69" s="212" t="str">
        <f>dum_adresa</f>
        <v>0</v>
      </c>
      <c r="K69" s="235" t="str">
        <f>Evidence!A69</f>
        <v>0</v>
      </c>
      <c r="L69" s="212" t="str">
        <f>("C:\sprava\"&amp;SUBSTITUTE(K69,"/","")&amp;".pdf")</f>
        <v>0</v>
      </c>
      <c r="O69" s="212"/>
    </row>
    <row r="70" spans="1:16">
      <c r="B70" s="173" t="str">
        <f>Evidence!D70</f>
        <v>0</v>
      </c>
      <c r="C70" s="173" t="str">
        <f>Evidence!B70</f>
        <v>0</v>
      </c>
      <c r="E70" s="173" t="str">
        <f>Evidence!E70</f>
        <v>0</v>
      </c>
      <c r="I70" s="212" t="str">
        <f>Evidence!C70</f>
        <v>0</v>
      </c>
      <c r="J70" s="212" t="str">
        <f>dum_adresa</f>
        <v>0</v>
      </c>
      <c r="K70" s="235" t="str">
        <f>Evidence!A70</f>
        <v>0</v>
      </c>
      <c r="L70" s="212" t="str">
        <f>("C:\sprava\"&amp;SUBSTITUTE(K70,"/","")&amp;".pdf")</f>
        <v>0</v>
      </c>
      <c r="O70" s="212"/>
    </row>
    <row r="71" spans="1:16">
      <c r="B71" s="173" t="str">
        <f>Evidence!D71</f>
        <v>0</v>
      </c>
      <c r="C71" s="173" t="str">
        <f>Evidence!B71</f>
        <v>0</v>
      </c>
      <c r="E71" s="173" t="str">
        <f>Evidence!E71</f>
        <v>0</v>
      </c>
      <c r="I71" s="212" t="str">
        <f>Evidence!C71</f>
        <v>0</v>
      </c>
      <c r="J71" s="212" t="str">
        <f>dum_adresa</f>
        <v>0</v>
      </c>
      <c r="K71" s="235" t="str">
        <f>Evidence!A71</f>
        <v>0</v>
      </c>
      <c r="L71" s="212" t="str">
        <f>("C:\sprava\"&amp;SUBSTITUTE(K71,"/","")&amp;".pdf")</f>
        <v>0</v>
      </c>
      <c r="O71" s="212"/>
    </row>
    <row r="72" spans="1:16">
      <c r="B72" s="173" t="str">
        <f>Evidence!D72</f>
        <v>0</v>
      </c>
      <c r="C72" s="173" t="str">
        <f>Evidence!B72</f>
        <v>0</v>
      </c>
      <c r="E72" s="173" t="str">
        <f>Evidence!E72</f>
        <v>0</v>
      </c>
      <c r="I72" s="212" t="str">
        <f>Evidence!C72</f>
        <v>0</v>
      </c>
      <c r="J72" s="212" t="str">
        <f>dum_adresa</f>
        <v>0</v>
      </c>
      <c r="K72" s="235" t="str">
        <f>Evidence!A72</f>
        <v>0</v>
      </c>
      <c r="L72" s="212" t="str">
        <f>("C:\sprava\"&amp;SUBSTITUTE(K72,"/","")&amp;".pdf")</f>
        <v>0</v>
      </c>
      <c r="O72" s="212"/>
    </row>
    <row r="73" spans="1:16">
      <c r="B73" s="173" t="str">
        <f>Evidence!D73</f>
        <v>0</v>
      </c>
      <c r="C73" s="173" t="str">
        <f>Evidence!B73</f>
        <v>0</v>
      </c>
      <c r="E73" s="173" t="str">
        <f>Evidence!E73</f>
        <v>0</v>
      </c>
      <c r="I73" s="212" t="str">
        <f>Evidence!C73</f>
        <v>0</v>
      </c>
      <c r="J73" s="212" t="str">
        <f>dum_adresa</f>
        <v>0</v>
      </c>
      <c r="K73" s="235" t="str">
        <f>Evidence!A73</f>
        <v>0</v>
      </c>
      <c r="L73" s="212" t="str">
        <f>("C:\sprava\"&amp;SUBSTITUTE(K73,"/","")&amp;".pdf")</f>
        <v>0</v>
      </c>
      <c r="O73" s="212"/>
    </row>
    <row r="74" spans="1:16">
      <c r="B74" s="173" t="str">
        <f>Evidence!D74</f>
        <v>0</v>
      </c>
      <c r="C74" s="173" t="str">
        <f>Evidence!B74</f>
        <v>0</v>
      </c>
      <c r="E74" s="173" t="str">
        <f>Evidence!E74</f>
        <v>0</v>
      </c>
      <c r="I74" s="212" t="str">
        <f>Evidence!C74</f>
        <v>0</v>
      </c>
      <c r="J74" s="212" t="str">
        <f>dum_adresa</f>
        <v>0</v>
      </c>
      <c r="K74" s="235" t="str">
        <f>Evidence!A74</f>
        <v>0</v>
      </c>
      <c r="L74" s="212" t="str">
        <f>("C:\sprava\"&amp;SUBSTITUTE(K74,"/","")&amp;".pdf")</f>
        <v>0</v>
      </c>
      <c r="O74" s="212"/>
    </row>
    <row r="75" spans="1:16">
      <c r="B75" s="173" t="str">
        <f>Evidence!D75</f>
        <v>0</v>
      </c>
      <c r="C75" s="173" t="str">
        <f>Evidence!B75</f>
        <v>0</v>
      </c>
      <c r="E75" s="173" t="str">
        <f>Evidence!E75</f>
        <v>0</v>
      </c>
      <c r="I75" s="212" t="str">
        <f>Evidence!C75</f>
        <v>0</v>
      </c>
      <c r="J75" s="212" t="str">
        <f>dum_adresa</f>
        <v>0</v>
      </c>
      <c r="K75" s="235" t="str">
        <f>Evidence!A75</f>
        <v>0</v>
      </c>
      <c r="L75" s="212" t="str">
        <f>("C:\sprava\"&amp;SUBSTITUTE(K75,"/","")&amp;".pdf")</f>
        <v>0</v>
      </c>
      <c r="O75" s="212"/>
    </row>
    <row r="76" spans="1:16">
      <c r="B76" s="173" t="str">
        <f>Evidence!D76</f>
        <v>0</v>
      </c>
      <c r="C76" s="173" t="str">
        <f>Evidence!B76</f>
        <v>0</v>
      </c>
      <c r="E76" s="173" t="str">
        <f>Evidence!E76</f>
        <v>0</v>
      </c>
      <c r="I76" s="212" t="str">
        <f>Evidence!C76</f>
        <v>0</v>
      </c>
      <c r="J76" s="212" t="str">
        <f>dum_adresa</f>
        <v>0</v>
      </c>
      <c r="K76" s="235" t="str">
        <f>Evidence!A76</f>
        <v>0</v>
      </c>
      <c r="L76" s="212" t="str">
        <f>("C:\sprava\"&amp;SUBSTITUTE(K76,"/","")&amp;".pdf")</f>
        <v>0</v>
      </c>
      <c r="O76" s="212"/>
    </row>
    <row r="77" spans="1:16">
      <c r="B77" s="173" t="str">
        <f>Evidence!D77</f>
        <v>0</v>
      </c>
      <c r="C77" s="173" t="str">
        <f>Evidence!B77</f>
        <v>0</v>
      </c>
      <c r="E77" s="173" t="str">
        <f>Evidence!E77</f>
        <v>0</v>
      </c>
      <c r="I77" s="212" t="str">
        <f>Evidence!C77</f>
        <v>0</v>
      </c>
      <c r="J77" s="212" t="str">
        <f>dum_adresa</f>
        <v>0</v>
      </c>
      <c r="K77" s="235" t="str">
        <f>Evidence!A77</f>
        <v>0</v>
      </c>
      <c r="L77" s="212" t="str">
        <f>("C:\sprava\"&amp;SUBSTITUTE(K77,"/","")&amp;".pdf")</f>
        <v>0</v>
      </c>
      <c r="O77" s="212"/>
    </row>
    <row r="78" spans="1:16">
      <c r="B78" s="173" t="str">
        <f>Evidence!D78</f>
        <v>0</v>
      </c>
      <c r="C78" s="173" t="str">
        <f>Evidence!B78</f>
        <v>0</v>
      </c>
      <c r="E78" s="173" t="str">
        <f>Evidence!E78</f>
        <v>0</v>
      </c>
      <c r="I78" s="212" t="str">
        <f>Evidence!C78</f>
        <v>0</v>
      </c>
      <c r="J78" s="212" t="str">
        <f>dum_adresa</f>
        <v>0</v>
      </c>
      <c r="K78" s="235" t="str">
        <f>Evidence!A78</f>
        <v>0</v>
      </c>
      <c r="L78" s="212" t="str">
        <f>("C:\sprava\"&amp;SUBSTITUTE(K78,"/","")&amp;".pdf")</f>
        <v>0</v>
      </c>
      <c r="O78" s="212"/>
    </row>
    <row r="79" spans="1:16">
      <c r="B79" s="173" t="str">
        <f>Evidence!D79</f>
        <v>0</v>
      </c>
      <c r="C79" s="173" t="str">
        <f>Evidence!B79</f>
        <v>0</v>
      </c>
      <c r="E79" s="173" t="str">
        <f>Evidence!E79</f>
        <v>0</v>
      </c>
      <c r="I79" s="212" t="str">
        <f>Evidence!C79</f>
        <v>0</v>
      </c>
      <c r="J79" s="212" t="str">
        <f>dum_adresa</f>
        <v>0</v>
      </c>
      <c r="K79" s="235" t="str">
        <f>Evidence!A79</f>
        <v>0</v>
      </c>
      <c r="L79" s="212" t="str">
        <f>("C:\sprava\"&amp;SUBSTITUTE(K79,"/","")&amp;".pdf")</f>
        <v>0</v>
      </c>
      <c r="O79" s="212"/>
    </row>
    <row r="80" spans="1:16">
      <c r="B80" s="173" t="str">
        <f>Evidence!D80</f>
        <v>0</v>
      </c>
      <c r="C80" s="173" t="str">
        <f>Evidence!B80</f>
        <v>0</v>
      </c>
      <c r="E80" s="173" t="str">
        <f>Evidence!E80</f>
        <v>0</v>
      </c>
      <c r="I80" s="212" t="str">
        <f>Evidence!C80</f>
        <v>0</v>
      </c>
      <c r="J80" s="212" t="str">
        <f>dum_adresa</f>
        <v>0</v>
      </c>
      <c r="K80" s="235" t="str">
        <f>Evidence!A80</f>
        <v>0</v>
      </c>
      <c r="L80" s="212" t="str">
        <f>("C:\sprava\"&amp;SUBSTITUTE(K80,"/","")&amp;".pdf")</f>
        <v>0</v>
      </c>
      <c r="O80" s="212"/>
    </row>
    <row r="81" spans="1:16">
      <c r="B81" s="173" t="str">
        <f>Evidence!D81</f>
        <v>0</v>
      </c>
      <c r="C81" s="173" t="str">
        <f>Evidence!B81</f>
        <v>0</v>
      </c>
      <c r="E81" s="173" t="str">
        <f>Evidence!E81</f>
        <v>0</v>
      </c>
      <c r="I81" s="212" t="str">
        <f>Evidence!C81</f>
        <v>0</v>
      </c>
      <c r="J81" s="212" t="str">
        <f>dum_adresa</f>
        <v>0</v>
      </c>
      <c r="K81" s="235" t="str">
        <f>Evidence!A81</f>
        <v>0</v>
      </c>
      <c r="L81" s="212" t="str">
        <f>("C:\sprava\"&amp;SUBSTITUTE(K81,"/","")&amp;".pdf")</f>
        <v>0</v>
      </c>
      <c r="O81" s="212"/>
    </row>
    <row r="82" spans="1:16">
      <c r="B82" s="173" t="str">
        <f>Evidence!D82</f>
        <v>0</v>
      </c>
      <c r="C82" s="173" t="str">
        <f>Evidence!B82</f>
        <v>0</v>
      </c>
      <c r="E82" s="173" t="str">
        <f>Evidence!E82</f>
        <v>0</v>
      </c>
      <c r="I82" s="212" t="str">
        <f>Evidence!C82</f>
        <v>0</v>
      </c>
      <c r="J82" s="212" t="str">
        <f>dum_adresa</f>
        <v>0</v>
      </c>
      <c r="K82" s="235" t="str">
        <f>Evidence!A82</f>
        <v>0</v>
      </c>
      <c r="L82" s="212" t="str">
        <f>("C:\sprava\"&amp;SUBSTITUTE(K82,"/","")&amp;".pdf")</f>
        <v>0</v>
      </c>
      <c r="O82" s="212"/>
    </row>
    <row r="83" spans="1:16">
      <c r="B83" s="173" t="str">
        <f>Evidence!D83</f>
        <v>0</v>
      </c>
      <c r="C83" s="173" t="str">
        <f>Evidence!B83</f>
        <v>0</v>
      </c>
      <c r="E83" s="173" t="str">
        <f>Evidence!E83</f>
        <v>0</v>
      </c>
      <c r="I83" s="212" t="str">
        <f>Evidence!C83</f>
        <v>0</v>
      </c>
      <c r="J83" s="212" t="str">
        <f>dum_adresa</f>
        <v>0</v>
      </c>
      <c r="K83" s="235" t="str">
        <f>Evidence!A83</f>
        <v>0</v>
      </c>
      <c r="L83" s="212" t="str">
        <f>("C:\sprava\"&amp;SUBSTITUTE(K83,"/","")&amp;".pdf")</f>
        <v>0</v>
      </c>
      <c r="O83" s="212"/>
    </row>
    <row r="84" spans="1:16">
      <c r="B84" s="173" t="str">
        <f>Evidence!D84</f>
        <v>0</v>
      </c>
      <c r="C84" s="173" t="str">
        <f>Evidence!B84</f>
        <v>0</v>
      </c>
      <c r="E84" s="173" t="str">
        <f>Evidence!E84</f>
        <v>0</v>
      </c>
      <c r="I84" s="212" t="str">
        <f>Evidence!C84</f>
        <v>0</v>
      </c>
      <c r="J84" s="212" t="str">
        <f>dum_adresa</f>
        <v>0</v>
      </c>
      <c r="K84" s="235" t="str">
        <f>Evidence!A84</f>
        <v>0</v>
      </c>
      <c r="L84" s="212" t="str">
        <f>("C:\sprava\"&amp;SUBSTITUTE(K84,"/","")&amp;".pdf")</f>
        <v>0</v>
      </c>
      <c r="O84" s="212"/>
    </row>
    <row r="85" spans="1:16">
      <c r="B85" s="173" t="str">
        <f>Evidence!D85</f>
        <v>0</v>
      </c>
      <c r="C85" s="173" t="str">
        <f>Evidence!B85</f>
        <v>0</v>
      </c>
      <c r="E85" s="173" t="str">
        <f>Evidence!E85</f>
        <v>0</v>
      </c>
      <c r="I85" s="212" t="str">
        <f>Evidence!C85</f>
        <v>0</v>
      </c>
      <c r="J85" s="212" t="str">
        <f>dum_adresa</f>
        <v>0</v>
      </c>
      <c r="K85" s="235" t="str">
        <f>Evidence!A85</f>
        <v>0</v>
      </c>
      <c r="L85" s="212" t="str">
        <f>("C:\sprava\"&amp;SUBSTITUTE(K85,"/","")&amp;".pdf")</f>
        <v>0</v>
      </c>
      <c r="O85" s="212"/>
    </row>
    <row r="86" spans="1:16">
      <c r="B86" s="173" t="str">
        <f>Evidence!D86</f>
        <v>0</v>
      </c>
      <c r="C86" s="173" t="str">
        <f>Evidence!B86</f>
        <v>0</v>
      </c>
      <c r="E86" s="173" t="str">
        <f>Evidence!E86</f>
        <v>0</v>
      </c>
      <c r="I86" s="212" t="str">
        <f>Evidence!C86</f>
        <v>0</v>
      </c>
      <c r="J86" s="212" t="str">
        <f>dum_adresa</f>
        <v>0</v>
      </c>
      <c r="K86" s="235" t="str">
        <f>Evidence!A86</f>
        <v>0</v>
      </c>
      <c r="L86" s="212" t="str">
        <f>("C:\sprava\"&amp;SUBSTITUTE(K86,"/","")&amp;".pdf")</f>
        <v>0</v>
      </c>
      <c r="O86" s="212"/>
    </row>
    <row r="87" spans="1:16">
      <c r="B87" s="173" t="str">
        <f>Evidence!D87</f>
        <v>0</v>
      </c>
      <c r="C87" s="173" t="str">
        <f>Evidence!B87</f>
        <v>0</v>
      </c>
      <c r="E87" s="173" t="str">
        <f>Evidence!E87</f>
        <v>0</v>
      </c>
      <c r="I87" s="212" t="str">
        <f>Evidence!C87</f>
        <v>0</v>
      </c>
      <c r="J87" s="212" t="str">
        <f>dum_adresa</f>
        <v>0</v>
      </c>
      <c r="K87" s="235" t="str">
        <f>Evidence!A87</f>
        <v>0</v>
      </c>
      <c r="L87" s="212" t="str">
        <f>("C:\sprava\"&amp;SUBSTITUTE(K87,"/","")&amp;".pdf")</f>
        <v>0</v>
      </c>
      <c r="O87" s="212"/>
    </row>
    <row r="88" spans="1:16">
      <c r="B88" s="173" t="str">
        <f>Evidence!D88</f>
        <v>0</v>
      </c>
      <c r="C88" s="173" t="str">
        <f>Evidence!B88</f>
        <v>0</v>
      </c>
      <c r="E88" s="173" t="str">
        <f>Evidence!E88</f>
        <v>0</v>
      </c>
      <c r="I88" s="212" t="str">
        <f>Evidence!C88</f>
        <v>0</v>
      </c>
      <c r="J88" s="212" t="str">
        <f>dum_adresa</f>
        <v>0</v>
      </c>
      <c r="K88" s="235" t="str">
        <f>Evidence!A88</f>
        <v>0</v>
      </c>
      <c r="L88" s="212" t="str">
        <f>("C:\sprava\"&amp;SUBSTITUTE(K88,"/","")&amp;".pdf")</f>
        <v>0</v>
      </c>
      <c r="O88" s="212"/>
    </row>
    <row r="89" spans="1:16">
      <c r="B89" s="173" t="str">
        <f>Evidence!D89</f>
        <v>0</v>
      </c>
      <c r="C89" s="173" t="str">
        <f>Evidence!B89</f>
        <v>0</v>
      </c>
      <c r="E89" s="173" t="str">
        <f>Evidence!E89</f>
        <v>0</v>
      </c>
      <c r="I89" s="212" t="str">
        <f>Evidence!C89</f>
        <v>0</v>
      </c>
      <c r="J89" s="212" t="str">
        <f>dum_adresa</f>
        <v>0</v>
      </c>
      <c r="K89" s="235" t="str">
        <f>Evidence!A89</f>
        <v>0</v>
      </c>
      <c r="L89" s="212" t="str">
        <f>("C:\sprava\"&amp;SUBSTITUTE(K89,"/","")&amp;".pdf")</f>
        <v>0</v>
      </c>
      <c r="O89" s="212"/>
    </row>
    <row r="90" spans="1:16">
      <c r="B90" s="173" t="str">
        <f>Evidence!D90</f>
        <v>0</v>
      </c>
      <c r="C90" s="173" t="str">
        <f>Evidence!B90</f>
        <v>0</v>
      </c>
      <c r="E90" s="173" t="str">
        <f>Evidence!E90</f>
        <v>0</v>
      </c>
      <c r="I90" s="212" t="str">
        <f>Evidence!C90</f>
        <v>0</v>
      </c>
      <c r="J90" s="212" t="str">
        <f>dum_adresa</f>
        <v>0</v>
      </c>
      <c r="K90" s="235" t="str">
        <f>Evidence!A90</f>
        <v>0</v>
      </c>
      <c r="L90" s="212" t="str">
        <f>("C:\sprava\"&amp;SUBSTITUTE(K90,"/","")&amp;".pdf")</f>
        <v>0</v>
      </c>
      <c r="O90" s="212"/>
    </row>
    <row r="91" spans="1:16">
      <c r="B91" s="173" t="str">
        <f>Evidence!D91</f>
        <v>0</v>
      </c>
      <c r="C91" s="173" t="str">
        <f>Evidence!B91</f>
        <v>0</v>
      </c>
      <c r="E91" s="173" t="str">
        <f>Evidence!E91</f>
        <v>0</v>
      </c>
      <c r="I91" s="212" t="str">
        <f>Evidence!C91</f>
        <v>0</v>
      </c>
      <c r="J91" s="212" t="str">
        <f>dum_adresa</f>
        <v>0</v>
      </c>
      <c r="K91" s="235" t="str">
        <f>Evidence!A91</f>
        <v>0</v>
      </c>
      <c r="L91" s="212" t="str">
        <f>("C:\sprava\"&amp;SUBSTITUTE(K91,"/","")&amp;".pdf")</f>
        <v>0</v>
      </c>
      <c r="O91" s="212"/>
    </row>
    <row r="92" spans="1:16">
      <c r="B92" s="173" t="str">
        <f>Evidence!D92</f>
        <v>0</v>
      </c>
      <c r="C92" s="173" t="str">
        <f>Evidence!B92</f>
        <v>0</v>
      </c>
      <c r="E92" s="173" t="str">
        <f>Evidence!E92</f>
        <v>0</v>
      </c>
      <c r="I92" s="212" t="str">
        <f>Evidence!C92</f>
        <v>0</v>
      </c>
      <c r="J92" s="212" t="str">
        <f>dum_adresa</f>
        <v>0</v>
      </c>
      <c r="K92" s="235" t="str">
        <f>Evidence!A92</f>
        <v>0</v>
      </c>
      <c r="L92" s="212" t="str">
        <f>("C:\sprava\"&amp;SUBSTITUTE(K92,"/","")&amp;".pdf")</f>
        <v>0</v>
      </c>
      <c r="O92" s="212"/>
    </row>
    <row r="93" spans="1:16">
      <c r="B93" s="173" t="str">
        <f>Evidence!D93</f>
        <v>0</v>
      </c>
      <c r="C93" s="173" t="str">
        <f>Evidence!B93</f>
        <v>0</v>
      </c>
      <c r="E93" s="173" t="str">
        <f>Evidence!E93</f>
        <v>0</v>
      </c>
      <c r="I93" s="212" t="str">
        <f>Evidence!C93</f>
        <v>0</v>
      </c>
      <c r="J93" s="212" t="str">
        <f>dum_adresa</f>
        <v>0</v>
      </c>
      <c r="K93" s="235" t="str">
        <f>Evidence!A93</f>
        <v>0</v>
      </c>
      <c r="L93" s="212" t="str">
        <f>("C:\sprava\"&amp;SUBSTITUTE(K93,"/","")&amp;".pdf")</f>
        <v>0</v>
      </c>
      <c r="O93" s="212"/>
    </row>
    <row r="94" spans="1:16">
      <c r="B94" s="173" t="str">
        <f>Evidence!D94</f>
        <v>0</v>
      </c>
      <c r="C94" s="173" t="str">
        <f>Evidence!B94</f>
        <v>0</v>
      </c>
      <c r="E94" s="173" t="str">
        <f>Evidence!E94</f>
        <v>0</v>
      </c>
      <c r="I94" s="212" t="str">
        <f>Evidence!C94</f>
        <v>0</v>
      </c>
      <c r="J94" s="212" t="str">
        <f>dum_adresa</f>
        <v>0</v>
      </c>
      <c r="K94" s="235" t="str">
        <f>Evidence!A94</f>
        <v>0</v>
      </c>
      <c r="L94" s="212" t="str">
        <f>("C:\sprava\"&amp;SUBSTITUTE(K94,"/","")&amp;".pdf")</f>
        <v>0</v>
      </c>
      <c r="O94" s="212"/>
    </row>
    <row r="95" spans="1:16">
      <c r="B95" s="173" t="str">
        <f>Evidence!D95</f>
        <v>0</v>
      </c>
      <c r="C95" s="173" t="str">
        <f>Evidence!B95</f>
        <v>0</v>
      </c>
      <c r="E95" s="173" t="str">
        <f>Evidence!E95</f>
        <v>0</v>
      </c>
      <c r="I95" s="212" t="str">
        <f>Evidence!C95</f>
        <v>0</v>
      </c>
      <c r="J95" s="212" t="str">
        <f>dum_adresa</f>
        <v>0</v>
      </c>
      <c r="K95" s="235" t="str">
        <f>Evidence!A95</f>
        <v>0</v>
      </c>
      <c r="L95" s="212" t="str">
        <f>("C:\sprava\"&amp;SUBSTITUTE(K95,"/","")&amp;".pdf")</f>
        <v>0</v>
      </c>
      <c r="O95" s="212"/>
    </row>
    <row r="96" spans="1:16">
      <c r="B96" s="173" t="str">
        <f>Evidence!D96</f>
        <v>0</v>
      </c>
      <c r="C96" s="173" t="str">
        <f>Evidence!B96</f>
        <v>0</v>
      </c>
      <c r="E96" s="173" t="str">
        <f>Evidence!E96</f>
        <v>0</v>
      </c>
      <c r="I96" s="212" t="str">
        <f>Evidence!C96</f>
        <v>0</v>
      </c>
      <c r="J96" s="212" t="str">
        <f>dum_adresa</f>
        <v>0</v>
      </c>
      <c r="K96" s="235" t="str">
        <f>Evidence!A96</f>
        <v>0</v>
      </c>
      <c r="L96" s="212" t="str">
        <f>("C:\sprava\"&amp;SUBSTITUTE(K96,"/","")&amp;".pdf")</f>
        <v>0</v>
      </c>
      <c r="O96" s="212"/>
    </row>
    <row r="97" spans="1:16">
      <c r="B97" s="173" t="str">
        <f>Evidence!D97</f>
        <v>0</v>
      </c>
      <c r="C97" s="173" t="str">
        <f>Evidence!B97</f>
        <v>0</v>
      </c>
      <c r="E97" s="173" t="str">
        <f>Evidence!E97</f>
        <v>0</v>
      </c>
      <c r="I97" s="212" t="str">
        <f>Evidence!C97</f>
        <v>0</v>
      </c>
      <c r="J97" s="212" t="str">
        <f>dum_adresa</f>
        <v>0</v>
      </c>
      <c r="K97" s="235" t="str">
        <f>Evidence!A97</f>
        <v>0</v>
      </c>
      <c r="L97" s="212" t="str">
        <f>("C:\sprava\"&amp;SUBSTITUTE(K97,"/","")&amp;".pdf")</f>
        <v>0</v>
      </c>
      <c r="O97" s="212"/>
    </row>
    <row r="98" spans="1:16">
      <c r="B98" s="173" t="str">
        <f>Evidence!D98</f>
        <v>0</v>
      </c>
      <c r="C98" s="173" t="str">
        <f>Evidence!B98</f>
        <v>0</v>
      </c>
      <c r="E98" s="173" t="str">
        <f>Evidence!E98</f>
        <v>0</v>
      </c>
      <c r="I98" s="212" t="str">
        <f>Evidence!C98</f>
        <v>0</v>
      </c>
      <c r="J98" s="212" t="str">
        <f>dum_adresa</f>
        <v>0</v>
      </c>
      <c r="K98" s="235" t="str">
        <f>Evidence!A98</f>
        <v>0</v>
      </c>
      <c r="L98" s="212" t="str">
        <f>("C:\sprava\"&amp;SUBSTITUTE(K98,"/","")&amp;".pdf")</f>
        <v>0</v>
      </c>
      <c r="O98" s="212"/>
    </row>
    <row r="99" spans="1:16">
      <c r="B99" s="173" t="str">
        <f>Evidence!D99</f>
        <v>0</v>
      </c>
      <c r="C99" s="173" t="str">
        <f>Evidence!B99</f>
        <v>0</v>
      </c>
      <c r="E99" s="173" t="str">
        <f>Evidence!E99</f>
        <v>0</v>
      </c>
      <c r="I99" s="212" t="str">
        <f>Evidence!C99</f>
        <v>0</v>
      </c>
      <c r="J99" s="212" t="str">
        <f>dum_adresa</f>
        <v>0</v>
      </c>
      <c r="K99" s="235" t="str">
        <f>Evidence!A99</f>
        <v>0</v>
      </c>
      <c r="L99" s="212" t="str">
        <f>("C:\sprava\"&amp;SUBSTITUTE(K99,"/","")&amp;".pdf")</f>
        <v>0</v>
      </c>
      <c r="O99" s="212"/>
    </row>
    <row r="100" spans="1:16">
      <c r="B100" s="173" t="str">
        <f>Evidence!D100</f>
        <v>0</v>
      </c>
      <c r="C100" s="173" t="str">
        <f>Evidence!B100</f>
        <v>0</v>
      </c>
      <c r="E100" s="173" t="str">
        <f>Evidence!E100</f>
        <v>0</v>
      </c>
      <c r="I100" s="212" t="str">
        <f>Evidence!C100</f>
        <v>0</v>
      </c>
      <c r="J100" s="212" t="str">
        <f>dum_adresa</f>
        <v>0</v>
      </c>
      <c r="K100" s="235" t="str">
        <f>Evidence!A100</f>
        <v>0</v>
      </c>
      <c r="L100" s="212" t="str">
        <f>("C:\sprava\"&amp;SUBSTITUTE(K100,"/","")&amp;".pdf")</f>
        <v>0</v>
      </c>
      <c r="O100" s="212"/>
    </row>
    <row r="101" spans="1:16">
      <c r="B101" s="173" t="str">
        <f>Evidence!D101</f>
        <v>0</v>
      </c>
      <c r="C101" s="173" t="str">
        <f>Evidence!B101</f>
        <v>0</v>
      </c>
      <c r="E101" s="173" t="str">
        <f>Evidence!E101</f>
        <v>0</v>
      </c>
      <c r="I101" s="212" t="str">
        <f>Evidence!C101</f>
        <v>0</v>
      </c>
      <c r="J101" s="212" t="str">
        <f>dum_adresa</f>
        <v>0</v>
      </c>
      <c r="K101" s="235" t="str">
        <f>Evidence!A101</f>
        <v>0</v>
      </c>
      <c r="L101" s="212" t="str">
        <f>("C:\sprava\"&amp;SUBSTITUTE(K101,"/","")&amp;".pdf")</f>
        <v>0</v>
      </c>
      <c r="O101" s="212"/>
    </row>
    <row r="102" spans="1:16">
      <c r="B102" s="173" t="str">
        <f>Evidence!D102</f>
        <v>0</v>
      </c>
      <c r="C102" s="173" t="str">
        <f>Evidence!B102</f>
        <v>0</v>
      </c>
      <c r="E102" s="173" t="str">
        <f>Evidence!E102</f>
        <v>0</v>
      </c>
      <c r="I102" s="212" t="str">
        <f>Evidence!C102</f>
        <v>0</v>
      </c>
      <c r="J102" s="212" t="str">
        <f>dum_adresa</f>
        <v>0</v>
      </c>
      <c r="K102" s="235" t="str">
        <f>Evidence!A102</f>
        <v>0</v>
      </c>
      <c r="L102" s="212" t="str">
        <f>("C:\sprava\"&amp;SUBSTITUTE(K102,"/","")&amp;".pdf")</f>
        <v>0</v>
      </c>
      <c r="O102" s="212"/>
    </row>
    <row r="103" spans="1:16">
      <c r="B103" s="173" t="str">
        <f>Evidence!D103</f>
        <v>0</v>
      </c>
      <c r="C103" s="173" t="str">
        <f>Evidence!B103</f>
        <v>0</v>
      </c>
      <c r="E103" s="173" t="str">
        <f>Evidence!E103</f>
        <v>0</v>
      </c>
      <c r="I103" s="212" t="str">
        <f>Evidence!C103</f>
        <v>0</v>
      </c>
      <c r="J103" s="212" t="str">
        <f>dum_adresa</f>
        <v>0</v>
      </c>
      <c r="K103" s="235" t="str">
        <f>Evidence!A103</f>
        <v>0</v>
      </c>
      <c r="L103" s="212" t="str">
        <f>("C:\sprava\"&amp;SUBSTITUTE(K103,"/","")&amp;".pdf")</f>
        <v>0</v>
      </c>
      <c r="O103" s="212"/>
    </row>
    <row r="104" spans="1:16">
      <c r="B104" s="173" t="str">
        <f>Evidence!D104</f>
        <v>0</v>
      </c>
      <c r="C104" s="173" t="str">
        <f>Evidence!B104</f>
        <v>0</v>
      </c>
      <c r="E104" s="173" t="str">
        <f>Evidence!E104</f>
        <v>0</v>
      </c>
      <c r="I104" s="212" t="str">
        <f>Evidence!C104</f>
        <v>0</v>
      </c>
      <c r="J104" s="212" t="str">
        <f>dum_adresa</f>
        <v>0</v>
      </c>
      <c r="K104" s="235" t="str">
        <f>Evidence!A104</f>
        <v>0</v>
      </c>
      <c r="L104" s="212" t="str">
        <f>("C:\sprava\"&amp;SUBSTITUTE(K104,"/","")&amp;".pdf")</f>
        <v>0</v>
      </c>
      <c r="O104" s="212"/>
    </row>
    <row r="105" spans="1:16">
      <c r="B105" s="173" t="str">
        <f>Evidence!D105</f>
        <v>0</v>
      </c>
      <c r="C105" s="173" t="str">
        <f>Evidence!B105</f>
        <v>0</v>
      </c>
      <c r="E105" s="173" t="str">
        <f>Evidence!E105</f>
        <v>0</v>
      </c>
      <c r="I105" s="212" t="str">
        <f>Evidence!C105</f>
        <v>0</v>
      </c>
      <c r="J105" s="212" t="str">
        <f>dum_adresa</f>
        <v>0</v>
      </c>
      <c r="K105" s="235" t="str">
        <f>Evidence!A105</f>
        <v>0</v>
      </c>
      <c r="L105" s="212" t="str">
        <f>("C:\sprava\"&amp;SUBSTITUTE(K105,"/","")&amp;".pdf")</f>
        <v>0</v>
      </c>
      <c r="O105" s="212"/>
    </row>
    <row r="106" spans="1:16">
      <c r="B106" s="173" t="str">
        <f>Evidence!D106</f>
        <v>0</v>
      </c>
      <c r="C106" s="173" t="str">
        <f>Evidence!B106</f>
        <v>0</v>
      </c>
      <c r="E106" s="173" t="str">
        <f>Evidence!E106</f>
        <v>0</v>
      </c>
      <c r="I106" s="212" t="str">
        <f>Evidence!C106</f>
        <v>0</v>
      </c>
      <c r="J106" s="212" t="str">
        <f>dum_adresa</f>
        <v>0</v>
      </c>
      <c r="K106" s="235" t="str">
        <f>Evidence!A106</f>
        <v>0</v>
      </c>
      <c r="L106" s="212" t="str">
        <f>("C:\sprava\"&amp;SUBSTITUTE(K106,"/","")&amp;".pdf")</f>
        <v>0</v>
      </c>
      <c r="O106" s="212"/>
    </row>
    <row r="107" spans="1:16">
      <c r="B107" s="173" t="str">
        <f>Evidence!D107</f>
        <v>0</v>
      </c>
      <c r="C107" s="173" t="str">
        <f>Evidence!B107</f>
        <v>0</v>
      </c>
      <c r="E107" s="173" t="str">
        <f>Evidence!E107</f>
        <v>0</v>
      </c>
      <c r="I107" s="212" t="str">
        <f>Evidence!C107</f>
        <v>0</v>
      </c>
      <c r="J107" s="212" t="str">
        <f>dum_adresa</f>
        <v>0</v>
      </c>
      <c r="K107" s="235" t="str">
        <f>Evidence!A107</f>
        <v>0</v>
      </c>
      <c r="L107" s="212" t="str">
        <f>("C:\sprava\"&amp;SUBSTITUTE(K107,"/","")&amp;".pdf")</f>
        <v>0</v>
      </c>
      <c r="O107" s="212"/>
    </row>
    <row r="108" spans="1:16">
      <c r="B108" s="173" t="str">
        <f>Evidence!D108</f>
        <v>0</v>
      </c>
      <c r="C108" s="173" t="str">
        <f>Evidence!B108</f>
        <v>0</v>
      </c>
      <c r="E108" s="173" t="str">
        <f>Evidence!E108</f>
        <v>0</v>
      </c>
      <c r="I108" s="212" t="str">
        <f>Evidence!C108</f>
        <v>0</v>
      </c>
      <c r="J108" s="212" t="str">
        <f>dum_adresa</f>
        <v>0</v>
      </c>
      <c r="K108" s="235" t="str">
        <f>Evidence!A108</f>
        <v>0</v>
      </c>
      <c r="L108" s="212" t="str">
        <f>("C:\sprava\"&amp;SUBSTITUTE(K108,"/","")&amp;".pdf")</f>
        <v>0</v>
      </c>
      <c r="O108" s="212"/>
    </row>
    <row r="109" spans="1:16">
      <c r="B109" s="173" t="str">
        <f>Evidence!D109</f>
        <v>0</v>
      </c>
      <c r="C109" s="173" t="str">
        <f>Evidence!B109</f>
        <v>0</v>
      </c>
      <c r="E109" s="173" t="str">
        <f>Evidence!E109</f>
        <v>0</v>
      </c>
      <c r="I109" s="212" t="str">
        <f>Evidence!C109</f>
        <v>0</v>
      </c>
      <c r="J109" s="212" t="str">
        <f>dum_adresa</f>
        <v>0</v>
      </c>
      <c r="K109" s="235" t="str">
        <f>Evidence!A109</f>
        <v>0</v>
      </c>
      <c r="L109" s="212" t="str">
        <f>("C:\sprava\"&amp;SUBSTITUTE(K109,"/","")&amp;".pdf")</f>
        <v>0</v>
      </c>
      <c r="O109" s="212"/>
    </row>
    <row r="110" spans="1:16">
      <c r="B110" s="173" t="str">
        <f>Evidence!D110</f>
        <v>0</v>
      </c>
      <c r="C110" s="173" t="str">
        <f>Evidence!B110</f>
        <v>0</v>
      </c>
      <c r="E110" s="173" t="str">
        <f>Evidence!E110</f>
        <v>0</v>
      </c>
      <c r="I110" s="212" t="str">
        <f>Evidence!C110</f>
        <v>0</v>
      </c>
      <c r="J110" s="212" t="str">
        <f>dum_adresa</f>
        <v>0</v>
      </c>
      <c r="K110" s="235" t="str">
        <f>Evidence!A110</f>
        <v>0</v>
      </c>
      <c r="L110" s="212" t="str">
        <f>("C:\sprava\"&amp;SUBSTITUTE(K110,"/","")&amp;".pdf")</f>
        <v>0</v>
      </c>
      <c r="O110" s="212"/>
    </row>
    <row r="111" spans="1:16">
      <c r="B111" s="173" t="str">
        <f>Evidence!D111</f>
        <v>0</v>
      </c>
      <c r="C111" s="173" t="str">
        <f>Evidence!B111</f>
        <v>0</v>
      </c>
      <c r="E111" s="173" t="str">
        <f>Evidence!E111</f>
        <v>0</v>
      </c>
      <c r="I111" s="212" t="str">
        <f>Evidence!C111</f>
        <v>0</v>
      </c>
      <c r="J111" s="212" t="str">
        <f>dum_adresa</f>
        <v>0</v>
      </c>
      <c r="K111" s="235" t="str">
        <f>Evidence!A111</f>
        <v>0</v>
      </c>
      <c r="L111" s="212" t="str">
        <f>("C:\sprava\"&amp;SUBSTITUTE(K111,"/","")&amp;".pdf")</f>
        <v>0</v>
      </c>
      <c r="O111" s="212"/>
    </row>
    <row r="112" spans="1:16">
      <c r="B112" s="173" t="str">
        <f>Evidence!D112</f>
        <v>0</v>
      </c>
      <c r="C112" s="173" t="str">
        <f>Evidence!B112</f>
        <v>0</v>
      </c>
      <c r="E112" s="173" t="str">
        <f>Evidence!E112</f>
        <v>0</v>
      </c>
      <c r="I112" s="212" t="str">
        <f>Evidence!C112</f>
        <v>0</v>
      </c>
      <c r="J112" s="212" t="str">
        <f>dum_adresa</f>
        <v>0</v>
      </c>
      <c r="K112" s="235" t="str">
        <f>Evidence!A112</f>
        <v>0</v>
      </c>
      <c r="L112" s="212" t="str">
        <f>("C:\sprava\"&amp;SUBSTITUTE(K112,"/","")&amp;".pdf")</f>
        <v>0</v>
      </c>
      <c r="O112" s="212"/>
    </row>
    <row r="113" spans="1:16">
      <c r="B113" s="173" t="str">
        <f>Evidence!D113</f>
        <v>0</v>
      </c>
      <c r="C113" s="173" t="str">
        <f>Evidence!B113</f>
        <v>0</v>
      </c>
      <c r="E113" s="173" t="str">
        <f>Evidence!E113</f>
        <v>0</v>
      </c>
      <c r="I113" s="212" t="str">
        <f>Evidence!C113</f>
        <v>0</v>
      </c>
      <c r="J113" s="212" t="str">
        <f>dum_adresa</f>
        <v>0</v>
      </c>
      <c r="K113" s="235" t="str">
        <f>Evidence!A113</f>
        <v>0</v>
      </c>
      <c r="L113" s="212" t="str">
        <f>("C:\sprava\"&amp;SUBSTITUTE(K113,"/","")&amp;".pdf")</f>
        <v>0</v>
      </c>
      <c r="O113" s="212"/>
    </row>
    <row r="114" spans="1:16">
      <c r="B114" s="173" t="str">
        <f>Evidence!D114</f>
        <v>0</v>
      </c>
      <c r="C114" s="173" t="str">
        <f>Evidence!B114</f>
        <v>0</v>
      </c>
      <c r="E114" s="173" t="str">
        <f>Evidence!E114</f>
        <v>0</v>
      </c>
      <c r="I114" s="212" t="str">
        <f>Evidence!C114</f>
        <v>0</v>
      </c>
      <c r="J114" s="212" t="str">
        <f>dum_adresa</f>
        <v>0</v>
      </c>
      <c r="K114" s="235" t="str">
        <f>Evidence!A114</f>
        <v>0</v>
      </c>
      <c r="L114" s="212" t="str">
        <f>("C:\sprava\"&amp;SUBSTITUTE(K114,"/","")&amp;".pdf")</f>
        <v>0</v>
      </c>
      <c r="O114" s="212"/>
    </row>
    <row r="115" spans="1:16">
      <c r="B115" s="173" t="str">
        <f>Evidence!D115</f>
        <v>0</v>
      </c>
      <c r="C115" s="173" t="str">
        <f>Evidence!B115</f>
        <v>0</v>
      </c>
      <c r="E115" s="173" t="str">
        <f>Evidence!E115</f>
        <v>0</v>
      </c>
      <c r="I115" s="212" t="str">
        <f>Evidence!C115</f>
        <v>0</v>
      </c>
      <c r="J115" s="212" t="str">
        <f>dum_adresa</f>
        <v>0</v>
      </c>
      <c r="K115" s="235" t="str">
        <f>Evidence!A115</f>
        <v>0</v>
      </c>
      <c r="L115" s="212" t="str">
        <f>("C:\sprava\"&amp;SUBSTITUTE(K115,"/","")&amp;".pdf")</f>
        <v>0</v>
      </c>
      <c r="O115" s="212"/>
    </row>
    <row r="116" spans="1:16">
      <c r="B116" s="173" t="str">
        <f>Evidence!D116</f>
        <v>0</v>
      </c>
      <c r="C116" s="173" t="str">
        <f>Evidence!B116</f>
        <v>0</v>
      </c>
      <c r="E116" s="173" t="str">
        <f>Evidence!E116</f>
        <v>0</v>
      </c>
      <c r="I116" s="212" t="str">
        <f>Evidence!C116</f>
        <v>0</v>
      </c>
      <c r="J116" s="212" t="str">
        <f>dum_adresa</f>
        <v>0</v>
      </c>
      <c r="K116" s="235" t="str">
        <f>Evidence!A116</f>
        <v>0</v>
      </c>
      <c r="L116" s="212" t="str">
        <f>("C:\sprava\"&amp;SUBSTITUTE(K116,"/","")&amp;".pdf")</f>
        <v>0</v>
      </c>
      <c r="O116" s="212"/>
    </row>
    <row r="117" spans="1:16">
      <c r="B117" s="173" t="str">
        <f>Evidence!D117</f>
        <v>0</v>
      </c>
      <c r="C117" s="173" t="str">
        <f>Evidence!B117</f>
        <v>0</v>
      </c>
      <c r="E117" s="173" t="str">
        <f>Evidence!E117</f>
        <v>0</v>
      </c>
      <c r="I117" s="212" t="str">
        <f>Evidence!C117</f>
        <v>0</v>
      </c>
      <c r="J117" s="212" t="str">
        <f>dum_adresa</f>
        <v>0</v>
      </c>
      <c r="K117" s="235" t="str">
        <f>Evidence!A117</f>
        <v>0</v>
      </c>
      <c r="L117" s="212" t="str">
        <f>("C:\sprava\"&amp;SUBSTITUTE(K117,"/","")&amp;".pdf")</f>
        <v>0</v>
      </c>
      <c r="O117" s="212"/>
    </row>
    <row r="118" spans="1:16">
      <c r="B118" s="173" t="str">
        <f>Evidence!D118</f>
        <v>0</v>
      </c>
      <c r="C118" s="173" t="str">
        <f>Evidence!B118</f>
        <v>0</v>
      </c>
      <c r="E118" s="173" t="str">
        <f>Evidence!E118</f>
        <v>0</v>
      </c>
      <c r="I118" s="212" t="str">
        <f>Evidence!C118</f>
        <v>0</v>
      </c>
      <c r="J118" s="212" t="str">
        <f>dum_adresa</f>
        <v>0</v>
      </c>
      <c r="K118" s="235" t="str">
        <f>Evidence!A118</f>
        <v>0</v>
      </c>
      <c r="L118" s="212" t="str">
        <f>("C:\sprava\"&amp;SUBSTITUTE(K118,"/","")&amp;".pdf")</f>
        <v>0</v>
      </c>
      <c r="O118" s="212"/>
    </row>
    <row r="119" spans="1:16">
      <c r="B119" s="173" t="str">
        <f>Evidence!D119</f>
        <v>0</v>
      </c>
      <c r="C119" s="173" t="str">
        <f>Evidence!B119</f>
        <v>0</v>
      </c>
      <c r="E119" s="173" t="str">
        <f>Evidence!E119</f>
        <v>0</v>
      </c>
      <c r="I119" s="212" t="str">
        <f>Evidence!C119</f>
        <v>0</v>
      </c>
      <c r="J119" s="212" t="str">
        <f>dum_adresa</f>
        <v>0</v>
      </c>
      <c r="K119" s="235" t="str">
        <f>Evidence!A119</f>
        <v>0</v>
      </c>
      <c r="L119" s="212" t="str">
        <f>("C:\sprava\"&amp;SUBSTITUTE(K119,"/","")&amp;".pdf")</f>
        <v>0</v>
      </c>
      <c r="O119" s="212"/>
    </row>
    <row r="120" spans="1:16">
      <c r="B120" s="173" t="str">
        <f>Evidence!D120</f>
        <v>0</v>
      </c>
      <c r="C120" s="173" t="str">
        <f>Evidence!B120</f>
        <v>0</v>
      </c>
      <c r="E120" s="173" t="str">
        <f>Evidence!E120</f>
        <v>0</v>
      </c>
      <c r="I120" s="212" t="str">
        <f>Evidence!C120</f>
        <v>0</v>
      </c>
      <c r="J120" s="212" t="str">
        <f>dum_adresa</f>
        <v>0</v>
      </c>
      <c r="K120" s="235" t="str">
        <f>Evidence!A120</f>
        <v>0</v>
      </c>
      <c r="L120" s="212" t="str">
        <f>("C:\sprava\"&amp;SUBSTITUTE(K120,"/","")&amp;".pdf")</f>
        <v>0</v>
      </c>
      <c r="O120" s="212"/>
    </row>
    <row r="121" spans="1:16">
      <c r="B121" s="173" t="str">
        <f>Evidence!D121</f>
        <v>0</v>
      </c>
      <c r="C121" s="173" t="str">
        <f>Evidence!B121</f>
        <v>0</v>
      </c>
      <c r="E121" s="173" t="str">
        <f>Evidence!E121</f>
        <v>0</v>
      </c>
      <c r="I121" s="212" t="str">
        <f>Evidence!C121</f>
        <v>0</v>
      </c>
      <c r="J121" s="212" t="str">
        <f>dum_adresa</f>
        <v>0</v>
      </c>
      <c r="K121" s="235" t="str">
        <f>Evidence!A121</f>
        <v>0</v>
      </c>
      <c r="L121" s="212" t="str">
        <f>("C:\sprava\"&amp;SUBSTITUTE(K121,"/","")&amp;".pdf")</f>
        <v>0</v>
      </c>
      <c r="O121" s="212"/>
    </row>
    <row r="122" spans="1:16">
      <c r="B122" s="173" t="str">
        <f>Evidence!D122</f>
        <v>0</v>
      </c>
      <c r="C122" s="173" t="str">
        <f>Evidence!B122</f>
        <v>0</v>
      </c>
      <c r="E122" s="173" t="str">
        <f>Evidence!E122</f>
        <v>0</v>
      </c>
      <c r="I122" s="212" t="str">
        <f>Evidence!C122</f>
        <v>0</v>
      </c>
      <c r="J122" s="212" t="str">
        <f>dum_adresa</f>
        <v>0</v>
      </c>
      <c r="K122" s="235" t="str">
        <f>Evidence!A122</f>
        <v>0</v>
      </c>
      <c r="L122" s="212" t="str">
        <f>("C:\sprava\"&amp;SUBSTITUTE(K122,"/","")&amp;".pdf")</f>
        <v>0</v>
      </c>
      <c r="O122" s="212"/>
    </row>
    <row r="123" spans="1:16">
      <c r="B123" s="173" t="str">
        <f>Evidence!D123</f>
        <v>0</v>
      </c>
      <c r="C123" s="173" t="str">
        <f>Evidence!B123</f>
        <v>0</v>
      </c>
      <c r="E123" s="173" t="str">
        <f>Evidence!E123</f>
        <v>0</v>
      </c>
      <c r="I123" s="212" t="str">
        <f>Evidence!C123</f>
        <v>0</v>
      </c>
      <c r="J123" s="212" t="str">
        <f>dum_adresa</f>
        <v>0</v>
      </c>
      <c r="K123" s="235" t="str">
        <f>Evidence!A123</f>
        <v>0</v>
      </c>
      <c r="L123" s="212" t="str">
        <f>("C:\sprava\"&amp;SUBSTITUTE(K123,"/","")&amp;".pdf")</f>
        <v>0</v>
      </c>
      <c r="O123" s="212"/>
    </row>
    <row r="124" spans="1:16">
      <c r="B124" s="173" t="str">
        <f>Evidence!D124</f>
        <v>0</v>
      </c>
      <c r="C124" s="173" t="str">
        <f>Evidence!B124</f>
        <v>0</v>
      </c>
      <c r="E124" s="173" t="str">
        <f>Evidence!E124</f>
        <v>0</v>
      </c>
      <c r="I124" s="212" t="str">
        <f>Evidence!C124</f>
        <v>0</v>
      </c>
      <c r="J124" s="212" t="str">
        <f>dum_adresa</f>
        <v>0</v>
      </c>
      <c r="K124" s="235" t="str">
        <f>Evidence!A124</f>
        <v>0</v>
      </c>
      <c r="L124" s="212" t="str">
        <f>("C:\sprava\"&amp;SUBSTITUTE(K124,"/","")&amp;".pdf")</f>
        <v>0</v>
      </c>
      <c r="O124" s="212"/>
    </row>
    <row r="125" spans="1:16">
      <c r="B125" s="173" t="str">
        <f>Evidence!D125</f>
        <v>0</v>
      </c>
      <c r="C125" s="173" t="str">
        <f>Evidence!B125</f>
        <v>0</v>
      </c>
      <c r="E125" s="173" t="str">
        <f>Evidence!E125</f>
        <v>0</v>
      </c>
      <c r="I125" s="212" t="str">
        <f>Evidence!C125</f>
        <v>0</v>
      </c>
      <c r="J125" s="212" t="str">
        <f>dum_adresa</f>
        <v>0</v>
      </c>
      <c r="K125" s="235" t="str">
        <f>Evidence!A125</f>
        <v>0</v>
      </c>
      <c r="L125" s="212" t="str">
        <f>("C:\sprava\"&amp;SUBSTITUTE(K125,"/","")&amp;".pdf")</f>
        <v>0</v>
      </c>
      <c r="O125" s="212"/>
    </row>
    <row r="126" spans="1:16">
      <c r="B126" s="173" t="str">
        <f>Evidence!D126</f>
        <v>0</v>
      </c>
      <c r="C126" s="173" t="str">
        <f>Evidence!B126</f>
        <v>0</v>
      </c>
      <c r="E126" s="173" t="str">
        <f>Evidence!E126</f>
        <v>0</v>
      </c>
      <c r="I126" s="212" t="str">
        <f>Evidence!C126</f>
        <v>0</v>
      </c>
      <c r="J126" s="212" t="str">
        <f>dum_adresa</f>
        <v>0</v>
      </c>
      <c r="K126" s="235" t="str">
        <f>Evidence!A126</f>
        <v>0</v>
      </c>
      <c r="L126" s="212" t="str">
        <f>("C:\sprava\"&amp;SUBSTITUTE(K126,"/","")&amp;".pdf")</f>
        <v>0</v>
      </c>
      <c r="O126" s="212"/>
    </row>
    <row r="127" spans="1:16">
      <c r="B127" s="173" t="str">
        <f>Evidence!D127</f>
        <v>0</v>
      </c>
      <c r="C127" s="173" t="str">
        <f>Evidence!B127</f>
        <v>0</v>
      </c>
      <c r="E127" s="173" t="str">
        <f>Evidence!E127</f>
        <v>0</v>
      </c>
      <c r="I127" s="212" t="str">
        <f>Evidence!C127</f>
        <v>0</v>
      </c>
      <c r="J127" s="212" t="str">
        <f>dum_adresa</f>
        <v>0</v>
      </c>
      <c r="K127" s="235" t="str">
        <f>Evidence!A127</f>
        <v>0</v>
      </c>
      <c r="L127" s="212" t="str">
        <f>("C:\sprava\"&amp;SUBSTITUTE(K127,"/","")&amp;".pdf")</f>
        <v>0</v>
      </c>
      <c r="O127" s="212"/>
    </row>
    <row r="128" spans="1:16">
      <c r="B128" s="173" t="str">
        <f>Evidence!D128</f>
        <v>0</v>
      </c>
      <c r="C128" s="173" t="str">
        <f>Evidence!B128</f>
        <v>0</v>
      </c>
      <c r="E128" s="173" t="str">
        <f>Evidence!E128</f>
        <v>0</v>
      </c>
      <c r="I128" s="212" t="str">
        <f>Evidence!C128</f>
        <v>0</v>
      </c>
      <c r="J128" s="212" t="str">
        <f>dum_adresa</f>
        <v>0</v>
      </c>
      <c r="K128" s="235" t="str">
        <f>Evidence!A128</f>
        <v>0</v>
      </c>
      <c r="L128" s="212" t="str">
        <f>("C:\sprava\"&amp;SUBSTITUTE(K128,"/","")&amp;".pdf")</f>
        <v>0</v>
      </c>
      <c r="O128" s="212"/>
    </row>
    <row r="129" spans="1:16">
      <c r="B129" s="173" t="str">
        <f>Evidence!D129</f>
        <v>0</v>
      </c>
      <c r="C129" s="173" t="str">
        <f>Evidence!B129</f>
        <v>0</v>
      </c>
      <c r="E129" s="173" t="str">
        <f>Evidence!E129</f>
        <v>0</v>
      </c>
      <c r="I129" s="212" t="str">
        <f>Evidence!C129</f>
        <v>0</v>
      </c>
      <c r="J129" s="212" t="str">
        <f>dum_adresa</f>
        <v>0</v>
      </c>
      <c r="K129" s="235" t="str">
        <f>Evidence!A129</f>
        <v>0</v>
      </c>
      <c r="L129" s="212" t="str">
        <f>("C:\sprava\"&amp;SUBSTITUTE(K129,"/","")&amp;".pdf")</f>
        <v>0</v>
      </c>
      <c r="O129" s="212"/>
    </row>
    <row r="130" spans="1:16">
      <c r="B130" s="173" t="str">
        <f>Evidence!D130</f>
        <v>0</v>
      </c>
      <c r="C130" s="173" t="str">
        <f>Evidence!B130</f>
        <v>0</v>
      </c>
      <c r="E130" s="173" t="str">
        <f>Evidence!E130</f>
        <v>0</v>
      </c>
      <c r="I130" s="212" t="str">
        <f>Evidence!C130</f>
        <v>0</v>
      </c>
      <c r="J130" s="212" t="str">
        <f>dum_adresa</f>
        <v>0</v>
      </c>
      <c r="K130" s="235" t="str">
        <f>Evidence!A130</f>
        <v>0</v>
      </c>
      <c r="L130" s="212" t="str">
        <f>("C:\sprava\"&amp;SUBSTITUTE(K130,"/","")&amp;".pdf")</f>
        <v>0</v>
      </c>
      <c r="O130" s="212"/>
    </row>
    <row r="131" spans="1:16">
      <c r="B131" s="173" t="str">
        <f>Evidence!D131</f>
        <v>0</v>
      </c>
      <c r="C131" s="173" t="str">
        <f>Evidence!B131</f>
        <v>0</v>
      </c>
      <c r="E131" s="173" t="str">
        <f>Evidence!E131</f>
        <v>0</v>
      </c>
      <c r="I131" s="212" t="str">
        <f>Evidence!C131</f>
        <v>0</v>
      </c>
      <c r="J131" s="212" t="str">
        <f>dum_adresa</f>
        <v>0</v>
      </c>
      <c r="K131" s="235" t="str">
        <f>Evidence!A131</f>
        <v>0</v>
      </c>
      <c r="L131" s="212" t="str">
        <f>("C:\sprava\"&amp;SUBSTITUTE(K131,"/","")&amp;".pdf")</f>
        <v>0</v>
      </c>
      <c r="O131" s="212"/>
    </row>
    <row r="132" spans="1:16">
      <c r="B132" s="173" t="str">
        <f>Evidence!D132</f>
        <v>0</v>
      </c>
      <c r="C132" s="173" t="str">
        <f>Evidence!B132</f>
        <v>0</v>
      </c>
      <c r="E132" s="173" t="str">
        <f>Evidence!E132</f>
        <v>0</v>
      </c>
      <c r="I132" s="212" t="str">
        <f>Evidence!C132</f>
        <v>0</v>
      </c>
      <c r="J132" s="212" t="str">
        <f>dum_adresa</f>
        <v>0</v>
      </c>
      <c r="K132" s="235" t="str">
        <f>Evidence!A132</f>
        <v>0</v>
      </c>
      <c r="L132" s="212" t="str">
        <f>("C:\sprava\"&amp;SUBSTITUTE(K132,"/","")&amp;".pdf")</f>
        <v>0</v>
      </c>
      <c r="O132" s="212"/>
    </row>
    <row r="133" spans="1:16">
      <c r="B133" s="173" t="str">
        <f>Evidence!D133</f>
        <v>0</v>
      </c>
      <c r="C133" s="173" t="str">
        <f>Evidence!B133</f>
        <v>0</v>
      </c>
      <c r="E133" s="173" t="str">
        <f>Evidence!E133</f>
        <v>0</v>
      </c>
      <c r="I133" s="212" t="str">
        <f>Evidence!C133</f>
        <v>0</v>
      </c>
      <c r="J133" s="212" t="str">
        <f>dum_adresa</f>
        <v>0</v>
      </c>
      <c r="K133" s="235" t="str">
        <f>Evidence!A133</f>
        <v>0</v>
      </c>
      <c r="L133" s="212" t="str">
        <f>("C:\sprava\"&amp;SUBSTITUTE(K133,"/","")&amp;".pdf")</f>
        <v>0</v>
      </c>
      <c r="O133" s="212"/>
    </row>
    <row r="134" spans="1:16">
      <c r="B134" s="173" t="str">
        <f>Evidence!D134</f>
        <v>0</v>
      </c>
      <c r="C134" s="173" t="str">
        <f>Evidence!B134</f>
        <v>0</v>
      </c>
      <c r="E134" s="173" t="str">
        <f>Evidence!E134</f>
        <v>0</v>
      </c>
      <c r="I134" s="212" t="str">
        <f>Evidence!C134</f>
        <v>0</v>
      </c>
      <c r="J134" s="212" t="str">
        <f>dum_adresa</f>
        <v>0</v>
      </c>
      <c r="K134" s="235" t="str">
        <f>Evidence!A134</f>
        <v>0</v>
      </c>
      <c r="L134" s="212" t="str">
        <f>("C:\sprava\"&amp;SUBSTITUTE(K134,"/","")&amp;".pdf")</f>
        <v>0</v>
      </c>
      <c r="O134" s="212"/>
    </row>
    <row r="135" spans="1:16">
      <c r="B135" s="173" t="str">
        <f>Evidence!D135</f>
        <v>0</v>
      </c>
      <c r="C135" s="173" t="str">
        <f>Evidence!B135</f>
        <v>0</v>
      </c>
      <c r="E135" s="173" t="str">
        <f>Evidence!E135</f>
        <v>0</v>
      </c>
      <c r="I135" s="212" t="str">
        <f>Evidence!C135</f>
        <v>0</v>
      </c>
      <c r="J135" s="212" t="str">
        <f>dum_adresa</f>
        <v>0</v>
      </c>
      <c r="K135" s="235" t="str">
        <f>Evidence!A135</f>
        <v>0</v>
      </c>
      <c r="L135" s="212" t="str">
        <f>("C:\sprava\"&amp;SUBSTITUTE(K135,"/","")&amp;".pdf")</f>
        <v>0</v>
      </c>
      <c r="O135" s="212"/>
    </row>
    <row r="136" spans="1:16">
      <c r="B136" s="173" t="str">
        <f>Evidence!D136</f>
        <v>0</v>
      </c>
      <c r="C136" s="173" t="str">
        <f>Evidence!B136</f>
        <v>0</v>
      </c>
      <c r="E136" s="173" t="str">
        <f>Evidence!E136</f>
        <v>0</v>
      </c>
      <c r="I136" s="212" t="str">
        <f>Evidence!C136</f>
        <v>0</v>
      </c>
      <c r="J136" s="212" t="str">
        <f>dum_adresa</f>
        <v>0</v>
      </c>
      <c r="K136" s="235" t="str">
        <f>Evidence!A136</f>
        <v>0</v>
      </c>
      <c r="L136" s="212" t="str">
        <f>("C:\sprava\"&amp;SUBSTITUTE(K136,"/","")&amp;".pdf")</f>
        <v>0</v>
      </c>
      <c r="O136" s="212"/>
    </row>
    <row r="137" spans="1:16">
      <c r="B137" s="173" t="str">
        <f>Evidence!D137</f>
        <v>0</v>
      </c>
      <c r="C137" s="173" t="str">
        <f>Evidence!B137</f>
        <v>0</v>
      </c>
      <c r="E137" s="173" t="str">
        <f>Evidence!E137</f>
        <v>0</v>
      </c>
      <c r="I137" s="212" t="str">
        <f>Evidence!C137</f>
        <v>0</v>
      </c>
      <c r="J137" s="212" t="str">
        <f>dum_adresa</f>
        <v>0</v>
      </c>
      <c r="K137" s="235" t="str">
        <f>Evidence!A137</f>
        <v>0</v>
      </c>
      <c r="L137" s="212" t="str">
        <f>("C:\sprava\"&amp;SUBSTITUTE(K137,"/","")&amp;".pdf")</f>
        <v>0</v>
      </c>
      <c r="O137" s="212"/>
    </row>
    <row r="138" spans="1:16">
      <c r="B138" s="173" t="str">
        <f>Evidence!D138</f>
        <v>0</v>
      </c>
      <c r="C138" s="173" t="str">
        <f>Evidence!B138</f>
        <v>0</v>
      </c>
      <c r="E138" s="173" t="str">
        <f>Evidence!E138</f>
        <v>0</v>
      </c>
      <c r="I138" s="212" t="str">
        <f>Evidence!C138</f>
        <v>0</v>
      </c>
      <c r="J138" s="212" t="str">
        <f>dum_adresa</f>
        <v>0</v>
      </c>
      <c r="K138" s="235" t="str">
        <f>Evidence!A138</f>
        <v>0</v>
      </c>
      <c r="L138" s="212" t="str">
        <f>("C:\sprava\"&amp;SUBSTITUTE(K138,"/","")&amp;".pdf")</f>
        <v>0</v>
      </c>
      <c r="O138" s="212"/>
    </row>
    <row r="139" spans="1:16">
      <c r="B139" s="173" t="str">
        <f>Evidence!D139</f>
        <v>0</v>
      </c>
      <c r="C139" s="173" t="str">
        <f>Evidence!B139</f>
        <v>0</v>
      </c>
      <c r="E139" s="173" t="str">
        <f>Evidence!E139</f>
        <v>0</v>
      </c>
      <c r="I139" s="212" t="str">
        <f>Evidence!C139</f>
        <v>0</v>
      </c>
      <c r="J139" s="212" t="str">
        <f>dum_adresa</f>
        <v>0</v>
      </c>
      <c r="K139" s="235" t="str">
        <f>Evidence!A139</f>
        <v>0</v>
      </c>
      <c r="L139" s="212" t="str">
        <f>("C:\sprava\"&amp;SUBSTITUTE(K139,"/","")&amp;".pdf")</f>
        <v>0</v>
      </c>
      <c r="O139" s="212"/>
    </row>
    <row r="140" spans="1:16">
      <c r="B140" s="173" t="str">
        <f>Evidence!D140</f>
        <v>0</v>
      </c>
      <c r="C140" s="173" t="str">
        <f>Evidence!B140</f>
        <v>0</v>
      </c>
      <c r="E140" s="173" t="str">
        <f>Evidence!E140</f>
        <v>0</v>
      </c>
      <c r="I140" s="212" t="str">
        <f>Evidence!C140</f>
        <v>0</v>
      </c>
      <c r="J140" s="212" t="str">
        <f>dum_adresa</f>
        <v>0</v>
      </c>
      <c r="K140" s="235" t="str">
        <f>Evidence!A140</f>
        <v>0</v>
      </c>
      <c r="L140" s="212" t="str">
        <f>("C:\sprava\"&amp;SUBSTITUTE(K140,"/","")&amp;".pdf")</f>
        <v>0</v>
      </c>
      <c r="O140" s="212"/>
    </row>
    <row r="141" spans="1:16">
      <c r="B141" s="173" t="str">
        <f>Evidence!D141</f>
        <v>0</v>
      </c>
      <c r="C141" s="173" t="str">
        <f>Evidence!B141</f>
        <v>0</v>
      </c>
      <c r="E141" s="173" t="str">
        <f>Evidence!E141</f>
        <v>0</v>
      </c>
      <c r="I141" s="212" t="str">
        <f>Evidence!C141</f>
        <v>0</v>
      </c>
      <c r="J141" s="212" t="str">
        <f>dum_adresa</f>
        <v>0</v>
      </c>
      <c r="K141" s="235" t="str">
        <f>Evidence!A141</f>
        <v>0</v>
      </c>
      <c r="L141" s="212" t="str">
        <f>("C:\sprava\"&amp;SUBSTITUTE(K141,"/","")&amp;".pdf")</f>
        <v>0</v>
      </c>
      <c r="O141" s="212"/>
    </row>
    <row r="142" spans="1:16">
      <c r="B142" s="173" t="str">
        <f>Evidence!D142</f>
        <v>0</v>
      </c>
      <c r="C142" s="173" t="str">
        <f>Evidence!B142</f>
        <v>0</v>
      </c>
      <c r="E142" s="173" t="str">
        <f>Evidence!E142</f>
        <v>0</v>
      </c>
      <c r="I142" s="212" t="str">
        <f>Evidence!C142</f>
        <v>0</v>
      </c>
      <c r="J142" s="212" t="str">
        <f>dum_adresa</f>
        <v>0</v>
      </c>
      <c r="K142" s="235" t="str">
        <f>Evidence!A142</f>
        <v>0</v>
      </c>
      <c r="L142" s="212" t="str">
        <f>("C:\sprava\"&amp;SUBSTITUTE(K142,"/","")&amp;".pdf")</f>
        <v>0</v>
      </c>
      <c r="O142" s="212"/>
    </row>
    <row r="143" spans="1:16">
      <c r="B143" s="173" t="str">
        <f>Evidence!D143</f>
        <v>0</v>
      </c>
      <c r="C143" s="173" t="str">
        <f>Evidence!B143</f>
        <v>0</v>
      </c>
      <c r="E143" s="173" t="str">
        <f>Evidence!E143</f>
        <v>0</v>
      </c>
      <c r="I143" s="212" t="str">
        <f>Evidence!C143</f>
        <v>0</v>
      </c>
      <c r="J143" s="212" t="str">
        <f>dum_adresa</f>
        <v>0</v>
      </c>
      <c r="K143" s="235" t="str">
        <f>Evidence!A143</f>
        <v>0</v>
      </c>
      <c r="L143" s="212" t="str">
        <f>("C:\sprava\"&amp;SUBSTITUTE(K143,"/","")&amp;".pdf")</f>
        <v>0</v>
      </c>
      <c r="O143" s="212"/>
    </row>
    <row r="144" spans="1:16">
      <c r="B144" s="173" t="str">
        <f>Evidence!D144</f>
        <v>0</v>
      </c>
      <c r="C144" s="173" t="str">
        <f>Evidence!B144</f>
        <v>0</v>
      </c>
      <c r="E144" s="173" t="str">
        <f>Evidence!E144</f>
        <v>0</v>
      </c>
      <c r="I144" s="212" t="str">
        <f>Evidence!C144</f>
        <v>0</v>
      </c>
      <c r="J144" s="212" t="str">
        <f>dum_adresa</f>
        <v>0</v>
      </c>
      <c r="K144" s="235" t="str">
        <f>Evidence!A144</f>
        <v>0</v>
      </c>
      <c r="L144" s="212" t="str">
        <f>("C:\sprava\"&amp;SUBSTITUTE(K144,"/","")&amp;".pdf")</f>
        <v>0</v>
      </c>
      <c r="O144" s="212"/>
    </row>
    <row r="145" spans="1:16">
      <c r="B145" s="173" t="str">
        <f>Evidence!D145</f>
        <v>0</v>
      </c>
      <c r="C145" s="173" t="str">
        <f>Evidence!B145</f>
        <v>0</v>
      </c>
      <c r="E145" s="173" t="str">
        <f>Evidence!E145</f>
        <v>0</v>
      </c>
      <c r="I145" s="212" t="str">
        <f>Evidence!C145</f>
        <v>0</v>
      </c>
      <c r="J145" s="212" t="str">
        <f>dum_adresa</f>
        <v>0</v>
      </c>
      <c r="K145" s="235" t="str">
        <f>Evidence!A145</f>
        <v>0</v>
      </c>
      <c r="L145" s="212" t="str">
        <f>("C:\sprava\"&amp;SUBSTITUTE(K145,"/","")&amp;".pdf")</f>
        <v>0</v>
      </c>
      <c r="O145" s="212"/>
    </row>
    <row r="146" spans="1:16">
      <c r="B146" s="173" t="str">
        <f>Evidence!D146</f>
        <v>0</v>
      </c>
      <c r="C146" s="173" t="str">
        <f>Evidence!B146</f>
        <v>0</v>
      </c>
      <c r="E146" s="173" t="str">
        <f>Evidence!E146</f>
        <v>0</v>
      </c>
      <c r="I146" s="212" t="str">
        <f>Evidence!C146</f>
        <v>0</v>
      </c>
      <c r="J146" s="212" t="str">
        <f>dum_adresa</f>
        <v>0</v>
      </c>
      <c r="K146" s="235" t="str">
        <f>Evidence!A146</f>
        <v>0</v>
      </c>
      <c r="L146" s="212" t="str">
        <f>("C:\sprava\"&amp;SUBSTITUTE(K146,"/","")&amp;".pdf")</f>
        <v>0</v>
      </c>
      <c r="O146" s="212"/>
    </row>
    <row r="147" spans="1:16">
      <c r="B147" s="173" t="str">
        <f>Evidence!D147</f>
        <v>0</v>
      </c>
      <c r="C147" s="173" t="str">
        <f>Evidence!B147</f>
        <v>0</v>
      </c>
      <c r="E147" s="173" t="str">
        <f>Evidence!E147</f>
        <v>0</v>
      </c>
      <c r="I147" s="212" t="str">
        <f>Evidence!C147</f>
        <v>0</v>
      </c>
      <c r="J147" s="212" t="str">
        <f>dum_adresa</f>
        <v>0</v>
      </c>
      <c r="K147" s="235" t="str">
        <f>Evidence!A147</f>
        <v>0</v>
      </c>
      <c r="L147" s="212" t="str">
        <f>("C:\sprava\"&amp;SUBSTITUTE(K147,"/","")&amp;".pdf")</f>
        <v>0</v>
      </c>
      <c r="O147" s="212"/>
    </row>
    <row r="148" spans="1:16">
      <c r="B148" s="173" t="str">
        <f>Evidence!D148</f>
        <v>0</v>
      </c>
      <c r="C148" s="173" t="str">
        <f>Evidence!B148</f>
        <v>0</v>
      </c>
      <c r="E148" s="173" t="str">
        <f>Evidence!E148</f>
        <v>0</v>
      </c>
      <c r="I148" s="212" t="str">
        <f>Evidence!C148</f>
        <v>0</v>
      </c>
      <c r="J148" s="212" t="str">
        <f>dum_adresa</f>
        <v>0</v>
      </c>
      <c r="K148" s="235" t="str">
        <f>Evidence!A148</f>
        <v>0</v>
      </c>
      <c r="L148" s="212" t="str">
        <f>("C:\sprava\"&amp;SUBSTITUTE(K148,"/","")&amp;".pdf")</f>
        <v>0</v>
      </c>
      <c r="O148" s="212"/>
    </row>
    <row r="149" spans="1:16">
      <c r="B149" s="173" t="str">
        <f>Evidence!D149</f>
        <v>0</v>
      </c>
      <c r="C149" s="173" t="str">
        <f>Evidence!B149</f>
        <v>0</v>
      </c>
      <c r="E149" s="173" t="str">
        <f>Evidence!E149</f>
        <v>0</v>
      </c>
      <c r="I149" s="212" t="str">
        <f>Evidence!C149</f>
        <v>0</v>
      </c>
      <c r="J149" s="212" t="str">
        <f>dum_adresa</f>
        <v>0</v>
      </c>
      <c r="K149" s="235" t="str">
        <f>Evidence!A149</f>
        <v>0</v>
      </c>
      <c r="L149" s="212" t="str">
        <f>("C:\sprava\"&amp;SUBSTITUTE(K149,"/","")&amp;".pdf")</f>
        <v>0</v>
      </c>
      <c r="O149" s="212"/>
    </row>
    <row r="150" spans="1:16">
      <c r="B150" s="173" t="str">
        <f>Evidence!D150</f>
        <v>0</v>
      </c>
      <c r="C150" s="173" t="str">
        <f>Evidence!B150</f>
        <v>0</v>
      </c>
      <c r="E150" s="173" t="str">
        <f>Evidence!E150</f>
        <v>0</v>
      </c>
      <c r="I150" s="212" t="str">
        <f>Evidence!C150</f>
        <v>0</v>
      </c>
      <c r="J150" s="212" t="str">
        <f>dum_adresa</f>
        <v>0</v>
      </c>
      <c r="K150" s="235" t="str">
        <f>Evidence!A150</f>
        <v>0</v>
      </c>
      <c r="L150" s="212" t="str">
        <f>("C:\sprava\"&amp;SUBSTITUTE(K150,"/","")&amp;".pdf")</f>
        <v>0</v>
      </c>
      <c r="O150" s="212"/>
    </row>
    <row r="151" spans="1:16">
      <c r="B151" s="173" t="str">
        <f>Evidence!D151</f>
        <v>0</v>
      </c>
      <c r="C151" s="173" t="str">
        <f>Evidence!B151</f>
        <v>0</v>
      </c>
      <c r="E151" s="173" t="str">
        <f>Evidence!E151</f>
        <v>0</v>
      </c>
      <c r="I151" s="212" t="str">
        <f>Evidence!C151</f>
        <v>0</v>
      </c>
      <c r="J151" s="212" t="str">
        <f>dum_adresa</f>
        <v>0</v>
      </c>
      <c r="K151" s="235" t="str">
        <f>Evidence!A151</f>
        <v>0</v>
      </c>
      <c r="L151" s="212" t="str">
        <f>("C:\sprava\"&amp;SUBSTITUTE(K151,"/","")&amp;".pdf")</f>
        <v>0</v>
      </c>
      <c r="O151" s="212"/>
    </row>
    <row r="152" spans="1:16">
      <c r="B152" s="173" t="str">
        <f>Evidence!D152</f>
        <v>0</v>
      </c>
      <c r="C152" s="173" t="str">
        <f>Evidence!B152</f>
        <v>0</v>
      </c>
      <c r="E152" s="173" t="str">
        <f>Evidence!E152</f>
        <v>0</v>
      </c>
      <c r="I152" s="212" t="str">
        <f>Evidence!C152</f>
        <v>0</v>
      </c>
      <c r="J152" s="212" t="str">
        <f>dum_adresa</f>
        <v>0</v>
      </c>
      <c r="K152" s="235" t="str">
        <f>Evidence!A152</f>
        <v>0</v>
      </c>
      <c r="L152" s="212" t="str">
        <f>("C:\sprava\"&amp;SUBSTITUTE(K152,"/","")&amp;".pdf")</f>
        <v>0</v>
      </c>
      <c r="O152" s="212"/>
    </row>
    <row r="153" spans="1:16">
      <c r="B153" s="173" t="str">
        <f>Evidence!D153</f>
        <v>0</v>
      </c>
      <c r="C153" s="173" t="str">
        <f>Evidence!B153</f>
        <v>0</v>
      </c>
      <c r="E153" s="173" t="str">
        <f>Evidence!E153</f>
        <v>0</v>
      </c>
      <c r="I153" s="212" t="str">
        <f>Evidence!C153</f>
        <v>0</v>
      </c>
      <c r="J153" s="212" t="str">
        <f>dum_adresa</f>
        <v>0</v>
      </c>
      <c r="K153" s="235" t="str">
        <f>Evidence!A153</f>
        <v>0</v>
      </c>
      <c r="L153" s="212" t="str">
        <f>("C:\sprava\"&amp;SUBSTITUTE(K153,"/","")&amp;".pdf")</f>
        <v>0</v>
      </c>
      <c r="O153" s="212"/>
    </row>
    <row r="154" spans="1:16">
      <c r="B154" s="173" t="str">
        <f>Evidence!D154</f>
        <v>0</v>
      </c>
      <c r="C154" s="173" t="str">
        <f>Evidence!B154</f>
        <v>0</v>
      </c>
      <c r="E154" s="173" t="str">
        <f>Evidence!E154</f>
        <v>0</v>
      </c>
      <c r="I154" s="212" t="str">
        <f>Evidence!C154</f>
        <v>0</v>
      </c>
      <c r="J154" s="212" t="str">
        <f>dum_adresa</f>
        <v>0</v>
      </c>
      <c r="K154" s="235" t="str">
        <f>Evidence!A154</f>
        <v>0</v>
      </c>
      <c r="L154" s="212" t="str">
        <f>("C:\sprava\"&amp;SUBSTITUTE(K154,"/","")&amp;".pdf")</f>
        <v>0</v>
      </c>
      <c r="O154" s="212"/>
    </row>
    <row r="155" spans="1:16">
      <c r="B155" s="173" t="str">
        <f>Evidence!D155</f>
        <v>0</v>
      </c>
      <c r="C155" s="173" t="str">
        <f>Evidence!B155</f>
        <v>0</v>
      </c>
      <c r="E155" s="173" t="str">
        <f>Evidence!E155</f>
        <v>0</v>
      </c>
      <c r="I155" s="212" t="str">
        <f>Evidence!C155</f>
        <v>0</v>
      </c>
      <c r="J155" s="212" t="str">
        <f>dum_adresa</f>
        <v>0</v>
      </c>
      <c r="K155" s="235" t="str">
        <f>Evidence!A155</f>
        <v>0</v>
      </c>
      <c r="L155" s="212" t="str">
        <f>("C:\sprava\"&amp;SUBSTITUTE(K155,"/","")&amp;".pdf")</f>
        <v>0</v>
      </c>
      <c r="O155" s="212"/>
    </row>
    <row r="156" spans="1:16">
      <c r="B156" s="173" t="str">
        <f>Evidence!D156</f>
        <v>0</v>
      </c>
      <c r="C156" s="173" t="str">
        <f>Evidence!B156</f>
        <v>0</v>
      </c>
      <c r="E156" s="173" t="str">
        <f>Evidence!E156</f>
        <v>0</v>
      </c>
      <c r="I156" s="212" t="str">
        <f>Evidence!C156</f>
        <v>0</v>
      </c>
      <c r="J156" s="212" t="str">
        <f>dum_adresa</f>
        <v>0</v>
      </c>
      <c r="K156" s="235" t="str">
        <f>Evidence!A156</f>
        <v>0</v>
      </c>
      <c r="L156" s="212" t="str">
        <f>("C:\sprava\"&amp;SUBSTITUTE(K156,"/","")&amp;".pdf")</f>
        <v>0</v>
      </c>
      <c r="O156" s="212"/>
    </row>
    <row r="157" spans="1:16">
      <c r="B157" s="173" t="str">
        <f>Evidence!D157</f>
        <v>0</v>
      </c>
      <c r="C157" s="173" t="str">
        <f>Evidence!B157</f>
        <v>0</v>
      </c>
      <c r="E157" s="173" t="str">
        <f>Evidence!E157</f>
        <v>0</v>
      </c>
      <c r="I157" s="212" t="str">
        <f>Evidence!C157</f>
        <v>0</v>
      </c>
      <c r="J157" s="212" t="str">
        <f>dum_adresa</f>
        <v>0</v>
      </c>
      <c r="K157" s="235" t="str">
        <f>Evidence!A157</f>
        <v>0</v>
      </c>
      <c r="L157" s="212" t="str">
        <f>("C:\sprava\"&amp;SUBSTITUTE(K157,"/","")&amp;".pdf")</f>
        <v>0</v>
      </c>
      <c r="O157" s="212"/>
    </row>
    <row r="158" spans="1:16">
      <c r="B158" s="173" t="str">
        <f>Evidence!D158</f>
        <v>0</v>
      </c>
      <c r="C158" s="173" t="str">
        <f>Evidence!B158</f>
        <v>0</v>
      </c>
      <c r="E158" s="173" t="str">
        <f>Evidence!E158</f>
        <v>0</v>
      </c>
      <c r="I158" s="212" t="str">
        <f>Evidence!C158</f>
        <v>0</v>
      </c>
      <c r="J158" s="212" t="str">
        <f>dum_adresa</f>
        <v>0</v>
      </c>
      <c r="K158" s="235" t="str">
        <f>Evidence!A158</f>
        <v>0</v>
      </c>
      <c r="L158" s="212" t="str">
        <f>("C:\sprava\"&amp;SUBSTITUTE(K158,"/","")&amp;".pdf")</f>
        <v>0</v>
      </c>
      <c r="O158" s="212"/>
    </row>
    <row r="159" spans="1:16">
      <c r="B159" s="173" t="str">
        <f>Evidence!D159</f>
        <v>0</v>
      </c>
      <c r="C159" s="173" t="str">
        <f>Evidence!B159</f>
        <v>0</v>
      </c>
      <c r="E159" s="173" t="str">
        <f>Evidence!E159</f>
        <v>0</v>
      </c>
      <c r="I159" s="212" t="str">
        <f>Evidence!C159</f>
        <v>0</v>
      </c>
      <c r="J159" s="212" t="str">
        <f>dum_adresa</f>
        <v>0</v>
      </c>
      <c r="K159" s="235" t="str">
        <f>Evidence!A159</f>
        <v>0</v>
      </c>
      <c r="L159" s="212" t="str">
        <f>("C:\sprava\"&amp;SUBSTITUTE(K159,"/","")&amp;".pdf")</f>
        <v>0</v>
      </c>
      <c r="O159" s="212"/>
    </row>
    <row r="160" spans="1:16">
      <c r="B160" s="173" t="str">
        <f>Evidence!D160</f>
        <v>0</v>
      </c>
      <c r="C160" s="173" t="str">
        <f>Evidence!B160</f>
        <v>0</v>
      </c>
      <c r="E160" s="173" t="str">
        <f>Evidence!E160</f>
        <v>0</v>
      </c>
      <c r="I160" s="212" t="str">
        <f>Evidence!C160</f>
        <v>0</v>
      </c>
      <c r="J160" s="212" t="str">
        <f>dum_adresa</f>
        <v>0</v>
      </c>
      <c r="K160" s="235" t="str">
        <f>Evidence!A160</f>
        <v>0</v>
      </c>
      <c r="L160" s="212" t="str">
        <f>("C:\sprava\"&amp;SUBSTITUTE(K160,"/","")&amp;".pdf")</f>
        <v>0</v>
      </c>
      <c r="O160" s="212"/>
    </row>
    <row r="161" spans="1:16">
      <c r="B161" s="173" t="str">
        <f>Evidence!D161</f>
        <v>0</v>
      </c>
      <c r="C161" s="173" t="str">
        <f>Evidence!B161</f>
        <v>0</v>
      </c>
      <c r="E161" s="173" t="str">
        <f>Evidence!E161</f>
        <v>0</v>
      </c>
      <c r="I161" s="212" t="str">
        <f>Evidence!C161</f>
        <v>0</v>
      </c>
      <c r="J161" s="212" t="str">
        <f>dum_adresa</f>
        <v>0</v>
      </c>
      <c r="K161" s="235" t="str">
        <f>Evidence!A161</f>
        <v>0</v>
      </c>
      <c r="L161" s="212" t="str">
        <f>("C:\sprava\"&amp;SUBSTITUTE(K161,"/","")&amp;".pdf")</f>
        <v>0</v>
      </c>
      <c r="O161" s="212"/>
    </row>
    <row r="162" spans="1:16">
      <c r="B162" s="173" t="str">
        <f>Evidence!D162</f>
        <v>0</v>
      </c>
      <c r="C162" s="173" t="str">
        <f>Evidence!B162</f>
        <v>0</v>
      </c>
      <c r="E162" s="173" t="str">
        <f>Evidence!E162</f>
        <v>0</v>
      </c>
      <c r="I162" s="212" t="str">
        <f>Evidence!C162</f>
        <v>0</v>
      </c>
      <c r="J162" s="212" t="str">
        <f>dum_adresa</f>
        <v>0</v>
      </c>
      <c r="K162" s="235" t="str">
        <f>Evidence!A162</f>
        <v>0</v>
      </c>
      <c r="L162" s="212" t="str">
        <f>("C:\sprava\"&amp;SUBSTITUTE(K162,"/","")&amp;".pdf")</f>
        <v>0</v>
      </c>
      <c r="O162" s="212"/>
    </row>
    <row r="163" spans="1:16">
      <c r="B163" s="173" t="str">
        <f>Evidence!D163</f>
        <v>0</v>
      </c>
      <c r="C163" s="173" t="str">
        <f>Evidence!B163</f>
        <v>0</v>
      </c>
      <c r="E163" s="173" t="str">
        <f>Evidence!E163</f>
        <v>0</v>
      </c>
      <c r="I163" s="212" t="str">
        <f>Evidence!C163</f>
        <v>0</v>
      </c>
      <c r="J163" s="212" t="str">
        <f>dum_adresa</f>
        <v>0</v>
      </c>
      <c r="K163" s="235" t="str">
        <f>Evidence!A163</f>
        <v>0</v>
      </c>
      <c r="L163" s="212" t="str">
        <f>("C:\sprava\"&amp;SUBSTITUTE(K163,"/","")&amp;".pdf")</f>
        <v>0</v>
      </c>
      <c r="O163" s="212"/>
    </row>
    <row r="164" spans="1:16">
      <c r="B164" s="173" t="str">
        <f>Evidence!D164</f>
        <v>0</v>
      </c>
      <c r="C164" s="173" t="str">
        <f>Evidence!B164</f>
        <v>0</v>
      </c>
      <c r="E164" s="173" t="str">
        <f>Evidence!E164</f>
        <v>0</v>
      </c>
      <c r="I164" s="212" t="str">
        <f>Evidence!C164</f>
        <v>0</v>
      </c>
      <c r="J164" s="212" t="str">
        <f>dum_adresa</f>
        <v>0</v>
      </c>
      <c r="K164" s="235" t="str">
        <f>Evidence!A164</f>
        <v>0</v>
      </c>
      <c r="L164" s="212" t="str">
        <f>("C:\sprava\"&amp;SUBSTITUTE(K164,"/","")&amp;".pdf")</f>
        <v>0</v>
      </c>
      <c r="O164" s="212"/>
    </row>
    <row r="165" spans="1:16">
      <c r="B165" s="173" t="str">
        <f>Evidence!D165</f>
        <v>0</v>
      </c>
      <c r="C165" s="173" t="str">
        <f>Evidence!B165</f>
        <v>0</v>
      </c>
      <c r="E165" s="173" t="str">
        <f>Evidence!E165</f>
        <v>0</v>
      </c>
      <c r="I165" s="212" t="str">
        <f>Evidence!C165</f>
        <v>0</v>
      </c>
      <c r="J165" s="212" t="str">
        <f>dum_adresa</f>
        <v>0</v>
      </c>
      <c r="K165" s="235" t="str">
        <f>Evidence!A165</f>
        <v>0</v>
      </c>
      <c r="L165" s="212" t="str">
        <f>("C:\sprava\"&amp;SUBSTITUTE(K165,"/","")&amp;".pdf")</f>
        <v>0</v>
      </c>
      <c r="O165" s="212"/>
    </row>
    <row r="166" spans="1:16">
      <c r="B166" s="173" t="str">
        <f>Evidence!D166</f>
        <v>0</v>
      </c>
      <c r="C166" s="173" t="str">
        <f>Evidence!B166</f>
        <v>0</v>
      </c>
      <c r="E166" s="173" t="str">
        <f>Evidence!E166</f>
        <v>0</v>
      </c>
      <c r="I166" s="212" t="str">
        <f>Evidence!C166</f>
        <v>0</v>
      </c>
      <c r="J166" s="212" t="str">
        <f>dum_adresa</f>
        <v>0</v>
      </c>
      <c r="K166" s="235" t="str">
        <f>Evidence!A166</f>
        <v>0</v>
      </c>
      <c r="L166" s="212" t="str">
        <f>("C:\sprava\"&amp;SUBSTITUTE(K166,"/","")&amp;".pdf")</f>
        <v>0</v>
      </c>
      <c r="O166" s="212"/>
    </row>
    <row r="167" spans="1:16">
      <c r="B167" s="173" t="str">
        <f>Evidence!D167</f>
        <v>0</v>
      </c>
      <c r="C167" s="173" t="str">
        <f>Evidence!B167</f>
        <v>0</v>
      </c>
      <c r="E167" s="173" t="str">
        <f>Evidence!E167</f>
        <v>0</v>
      </c>
      <c r="I167" s="212" t="str">
        <f>Evidence!C167</f>
        <v>0</v>
      </c>
      <c r="J167" s="212" t="str">
        <f>dum_adresa</f>
        <v>0</v>
      </c>
      <c r="K167" s="235" t="str">
        <f>Evidence!A167</f>
        <v>0</v>
      </c>
      <c r="L167" s="212" t="str">
        <f>("C:\sprava\"&amp;SUBSTITUTE(K167,"/","")&amp;".pdf")</f>
        <v>0</v>
      </c>
      <c r="O167" s="212"/>
    </row>
    <row r="168" spans="1:16">
      <c r="B168" s="173" t="str">
        <f>Evidence!D168</f>
        <v>0</v>
      </c>
      <c r="C168" s="173" t="str">
        <f>Evidence!B168</f>
        <v>0</v>
      </c>
      <c r="E168" s="173" t="str">
        <f>Evidence!E168</f>
        <v>0</v>
      </c>
      <c r="I168" s="212" t="str">
        <f>Evidence!C168</f>
        <v>0</v>
      </c>
      <c r="J168" s="212" t="str">
        <f>dum_adresa</f>
        <v>0</v>
      </c>
      <c r="K168" s="235" t="str">
        <f>Evidence!A168</f>
        <v>0</v>
      </c>
      <c r="L168" s="212" t="str">
        <f>("C:\sprava\"&amp;SUBSTITUTE(K168,"/","")&amp;".pdf")</f>
        <v>0</v>
      </c>
      <c r="O168" s="212"/>
    </row>
    <row r="169" spans="1:16">
      <c r="B169" s="173" t="str">
        <f>Evidence!D169</f>
        <v>0</v>
      </c>
      <c r="C169" s="173" t="str">
        <f>Evidence!B169</f>
        <v>0</v>
      </c>
      <c r="E169" s="173" t="str">
        <f>Evidence!E169</f>
        <v>0</v>
      </c>
      <c r="I169" s="212" t="str">
        <f>Evidence!C169</f>
        <v>0</v>
      </c>
      <c r="J169" s="212" t="str">
        <f>dum_adresa</f>
        <v>0</v>
      </c>
      <c r="K169" s="235" t="str">
        <f>Evidence!A169</f>
        <v>0</v>
      </c>
      <c r="L169" s="212" t="str">
        <f>("C:\sprava\"&amp;SUBSTITUTE(K169,"/","")&amp;".pdf")</f>
        <v>0</v>
      </c>
      <c r="O169" s="212"/>
    </row>
    <row r="170" spans="1:16">
      <c r="B170" s="173" t="str">
        <f>Evidence!D170</f>
        <v>0</v>
      </c>
      <c r="C170" s="173" t="str">
        <f>Evidence!B170</f>
        <v>0</v>
      </c>
      <c r="E170" s="173" t="str">
        <f>Evidence!E170</f>
        <v>0</v>
      </c>
      <c r="I170" s="212" t="str">
        <f>Evidence!C170</f>
        <v>0</v>
      </c>
      <c r="J170" s="212" t="str">
        <f>dum_adresa</f>
        <v>0</v>
      </c>
      <c r="K170" s="235" t="str">
        <f>Evidence!A170</f>
        <v>0</v>
      </c>
      <c r="L170" s="212" t="str">
        <f>("C:\sprava\"&amp;SUBSTITUTE(K170,"/","")&amp;".pdf")</f>
        <v>0</v>
      </c>
      <c r="O170" s="212"/>
    </row>
    <row r="171" spans="1:16">
      <c r="B171" s="173" t="str">
        <f>Evidence!D171</f>
        <v>0</v>
      </c>
      <c r="C171" s="173" t="str">
        <f>Evidence!B171</f>
        <v>0</v>
      </c>
      <c r="E171" s="173" t="str">
        <f>Evidence!E171</f>
        <v>0</v>
      </c>
      <c r="I171" s="212" t="str">
        <f>Evidence!C171</f>
        <v>0</v>
      </c>
      <c r="J171" s="212" t="str">
        <f>dum_adresa</f>
        <v>0</v>
      </c>
      <c r="K171" s="235" t="str">
        <f>Evidence!A171</f>
        <v>0</v>
      </c>
      <c r="L171" s="212" t="str">
        <f>("C:\sprava\"&amp;SUBSTITUTE(K171,"/","")&amp;".pdf")</f>
        <v>0</v>
      </c>
      <c r="O171" s="212"/>
    </row>
    <row r="172" spans="1:16">
      <c r="B172" s="173" t="str">
        <f>Evidence!D172</f>
        <v>0</v>
      </c>
      <c r="C172" s="173" t="str">
        <f>Evidence!B172</f>
        <v>0</v>
      </c>
      <c r="E172" s="173" t="str">
        <f>Evidence!E172</f>
        <v>0</v>
      </c>
      <c r="I172" s="212" t="str">
        <f>Evidence!C172</f>
        <v>0</v>
      </c>
      <c r="J172" s="212" t="str">
        <f>dum_adresa</f>
        <v>0</v>
      </c>
      <c r="K172" s="235" t="str">
        <f>Evidence!A172</f>
        <v>0</v>
      </c>
      <c r="L172" s="212" t="str">
        <f>("C:\sprava\"&amp;SUBSTITUTE(K172,"/","")&amp;".pdf")</f>
        <v>0</v>
      </c>
      <c r="O172" s="212"/>
    </row>
    <row r="173" spans="1:16">
      <c r="B173" s="173" t="str">
        <f>Evidence!D173</f>
        <v>0</v>
      </c>
      <c r="C173" s="173" t="str">
        <f>Evidence!B173</f>
        <v>0</v>
      </c>
      <c r="E173" s="173" t="str">
        <f>Evidence!E173</f>
        <v>0</v>
      </c>
      <c r="I173" s="212" t="str">
        <f>Evidence!C173</f>
        <v>0</v>
      </c>
      <c r="J173" s="212" t="str">
        <f>dum_adresa</f>
        <v>0</v>
      </c>
      <c r="K173" s="235" t="str">
        <f>Evidence!A173</f>
        <v>0</v>
      </c>
      <c r="L173" s="212" t="str">
        <f>("C:\sprava\"&amp;SUBSTITUTE(K173,"/","")&amp;".pdf")</f>
        <v>0</v>
      </c>
      <c r="O173" s="212"/>
    </row>
    <row r="174" spans="1:16">
      <c r="B174" s="173" t="str">
        <f>Evidence!D174</f>
        <v>0</v>
      </c>
      <c r="C174" s="173" t="str">
        <f>Evidence!B174</f>
        <v>0</v>
      </c>
      <c r="E174" s="173" t="str">
        <f>Evidence!E174</f>
        <v>0</v>
      </c>
      <c r="I174" s="212" t="str">
        <f>Evidence!C174</f>
        <v>0</v>
      </c>
      <c r="J174" s="212" t="str">
        <f>dum_adresa</f>
        <v>0</v>
      </c>
      <c r="K174" s="235" t="str">
        <f>Evidence!A174</f>
        <v>0</v>
      </c>
      <c r="L174" s="212" t="str">
        <f>("C:\sprava\"&amp;SUBSTITUTE(K174,"/","")&amp;".pdf")</f>
        <v>0</v>
      </c>
      <c r="O174" s="212"/>
    </row>
    <row r="175" spans="1:16">
      <c r="B175" s="173" t="str">
        <f>Evidence!D175</f>
        <v>0</v>
      </c>
      <c r="C175" s="173" t="str">
        <f>Evidence!B175</f>
        <v>0</v>
      </c>
      <c r="E175" s="173" t="str">
        <f>Evidence!E175</f>
        <v>0</v>
      </c>
      <c r="I175" s="212" t="str">
        <f>Evidence!C175</f>
        <v>0</v>
      </c>
      <c r="J175" s="212" t="str">
        <f>dum_adresa</f>
        <v>0</v>
      </c>
      <c r="K175" s="235" t="str">
        <f>Evidence!A175</f>
        <v>0</v>
      </c>
      <c r="L175" s="212" t="str">
        <f>("C:\sprava\"&amp;SUBSTITUTE(K175,"/","")&amp;".pdf")</f>
        <v>0</v>
      </c>
      <c r="O175" s="212"/>
    </row>
    <row r="176" spans="1:16">
      <c r="B176" s="173" t="str">
        <f>Evidence!D176</f>
        <v>0</v>
      </c>
      <c r="C176" s="173" t="str">
        <f>Evidence!B176</f>
        <v>0</v>
      </c>
      <c r="E176" s="173" t="str">
        <f>Evidence!E176</f>
        <v>0</v>
      </c>
      <c r="I176" s="212" t="str">
        <f>Evidence!C176</f>
        <v>0</v>
      </c>
      <c r="J176" s="212" t="str">
        <f>dum_adresa</f>
        <v>0</v>
      </c>
      <c r="K176" s="235" t="str">
        <f>Evidence!A176</f>
        <v>0</v>
      </c>
      <c r="L176" s="212" t="str">
        <f>("C:\sprava\"&amp;SUBSTITUTE(K176,"/","")&amp;".pdf")</f>
        <v>0</v>
      </c>
      <c r="O176" s="212"/>
    </row>
    <row r="177" spans="1:16">
      <c r="B177" s="173" t="str">
        <f>Evidence!D177</f>
        <v>0</v>
      </c>
      <c r="C177" s="173" t="str">
        <f>Evidence!B177</f>
        <v>0</v>
      </c>
      <c r="E177" s="173" t="str">
        <f>Evidence!E177</f>
        <v>0</v>
      </c>
      <c r="I177" s="212" t="str">
        <f>Evidence!C177</f>
        <v>0</v>
      </c>
      <c r="J177" s="212" t="str">
        <f>dum_adresa</f>
        <v>0</v>
      </c>
      <c r="K177" s="235" t="str">
        <f>Evidence!A177</f>
        <v>0</v>
      </c>
      <c r="L177" s="212" t="str">
        <f>("C:\sprava\"&amp;SUBSTITUTE(K177,"/","")&amp;".pdf")</f>
        <v>0</v>
      </c>
      <c r="O177" s="212"/>
    </row>
    <row r="178" spans="1:16">
      <c r="B178" s="173" t="str">
        <f>Evidence!D178</f>
        <v>0</v>
      </c>
      <c r="C178" s="173" t="str">
        <f>Evidence!B178</f>
        <v>0</v>
      </c>
      <c r="E178" s="173" t="str">
        <f>Evidence!E178</f>
        <v>0</v>
      </c>
      <c r="I178" s="212" t="str">
        <f>Evidence!C178</f>
        <v>0</v>
      </c>
      <c r="J178" s="212" t="str">
        <f>dum_adresa</f>
        <v>0</v>
      </c>
      <c r="K178" s="235" t="str">
        <f>Evidence!A178</f>
        <v>0</v>
      </c>
      <c r="L178" s="212" t="str">
        <f>("C:\sprava\"&amp;SUBSTITUTE(K178,"/","")&amp;".pdf")</f>
        <v>0</v>
      </c>
      <c r="O178" s="212"/>
    </row>
    <row r="179" spans="1:16">
      <c r="B179" s="173" t="str">
        <f>Evidence!D179</f>
        <v>0</v>
      </c>
      <c r="C179" s="173" t="str">
        <f>Evidence!B179</f>
        <v>0</v>
      </c>
      <c r="E179" s="173" t="str">
        <f>Evidence!E179</f>
        <v>0</v>
      </c>
      <c r="I179" s="212" t="str">
        <f>Evidence!C179</f>
        <v>0</v>
      </c>
      <c r="J179" s="212" t="str">
        <f>dum_adresa</f>
        <v>0</v>
      </c>
      <c r="K179" s="235" t="str">
        <f>Evidence!A179</f>
        <v>0</v>
      </c>
      <c r="L179" s="212" t="str">
        <f>("C:\sprava\"&amp;SUBSTITUTE(K179,"/","")&amp;".pdf")</f>
        <v>0</v>
      </c>
      <c r="O179" s="212"/>
    </row>
    <row r="180" spans="1:16">
      <c r="B180" s="173" t="str">
        <f>Evidence!D180</f>
        <v>0</v>
      </c>
      <c r="C180" s="173" t="str">
        <f>Evidence!B180</f>
        <v>0</v>
      </c>
      <c r="E180" s="173" t="str">
        <f>Evidence!E180</f>
        <v>0</v>
      </c>
      <c r="I180" s="212" t="str">
        <f>Evidence!C180</f>
        <v>0</v>
      </c>
      <c r="J180" s="212" t="str">
        <f>dum_adresa</f>
        <v>0</v>
      </c>
      <c r="K180" s="235" t="str">
        <f>Evidence!A180</f>
        <v>0</v>
      </c>
      <c r="L180" s="212" t="str">
        <f>("C:\sprava\"&amp;SUBSTITUTE(K180,"/","")&amp;".pdf")</f>
        <v>0</v>
      </c>
      <c r="O180" s="212"/>
    </row>
    <row r="181" spans="1:16">
      <c r="B181" s="173" t="str">
        <f>Evidence!D181</f>
        <v>0</v>
      </c>
      <c r="C181" s="173" t="str">
        <f>Evidence!B181</f>
        <v>0</v>
      </c>
      <c r="E181" s="173" t="str">
        <f>Evidence!E181</f>
        <v>0</v>
      </c>
      <c r="I181" s="212" t="str">
        <f>Evidence!C181</f>
        <v>0</v>
      </c>
      <c r="J181" s="212" t="str">
        <f>dum_adresa</f>
        <v>0</v>
      </c>
      <c r="K181" s="235" t="str">
        <f>Evidence!A181</f>
        <v>0</v>
      </c>
      <c r="L181" s="212" t="str">
        <f>("C:\sprava\"&amp;SUBSTITUTE(K181,"/","")&amp;".pdf")</f>
        <v>0</v>
      </c>
      <c r="O181" s="212"/>
    </row>
    <row r="182" spans="1:16">
      <c r="B182" s="173" t="str">
        <f>Evidence!D182</f>
        <v>0</v>
      </c>
      <c r="C182" s="173" t="str">
        <f>Evidence!B182</f>
        <v>0</v>
      </c>
      <c r="E182" s="173" t="str">
        <f>Evidence!E182</f>
        <v>0</v>
      </c>
      <c r="I182" s="212" t="str">
        <f>Evidence!C182</f>
        <v>0</v>
      </c>
      <c r="J182" s="212" t="str">
        <f>dum_adresa</f>
        <v>0</v>
      </c>
      <c r="K182" s="235" t="str">
        <f>Evidence!A182</f>
        <v>0</v>
      </c>
      <c r="L182" s="212" t="str">
        <f>("C:\sprava\"&amp;SUBSTITUTE(K182,"/","")&amp;".pdf")</f>
        <v>0</v>
      </c>
      <c r="O182" s="212"/>
    </row>
    <row r="183" spans="1:16">
      <c r="B183" s="173" t="str">
        <f>Evidence!D183</f>
        <v>0</v>
      </c>
      <c r="C183" s="173" t="str">
        <f>Evidence!B183</f>
        <v>0</v>
      </c>
      <c r="E183" s="173" t="str">
        <f>Evidence!E183</f>
        <v>0</v>
      </c>
      <c r="I183" s="212" t="str">
        <f>Evidence!C183</f>
        <v>0</v>
      </c>
      <c r="J183" s="212" t="str">
        <f>dum_adresa</f>
        <v>0</v>
      </c>
      <c r="K183" s="235" t="str">
        <f>Evidence!A183</f>
        <v>0</v>
      </c>
      <c r="L183" s="212" t="str">
        <f>("C:\sprava\"&amp;SUBSTITUTE(K183,"/","")&amp;".pdf")</f>
        <v>0</v>
      </c>
      <c r="O183" s="212"/>
    </row>
    <row r="184" spans="1:16">
      <c r="B184" s="173" t="str">
        <f>Evidence!D184</f>
        <v>0</v>
      </c>
      <c r="C184" s="173" t="str">
        <f>Evidence!B184</f>
        <v>0</v>
      </c>
      <c r="E184" s="173" t="str">
        <f>Evidence!E184</f>
        <v>0</v>
      </c>
      <c r="I184" s="212" t="str">
        <f>Evidence!C184</f>
        <v>0</v>
      </c>
      <c r="J184" s="212" t="str">
        <f>dum_adresa</f>
        <v>0</v>
      </c>
      <c r="K184" s="235" t="str">
        <f>Evidence!A184</f>
        <v>0</v>
      </c>
      <c r="L184" s="212" t="str">
        <f>("C:\sprava\"&amp;SUBSTITUTE(K184,"/","")&amp;".pdf")</f>
        <v>0</v>
      </c>
      <c r="O184" s="212"/>
    </row>
    <row r="185" spans="1:16">
      <c r="B185" s="173" t="str">
        <f>Evidence!D185</f>
        <v>0</v>
      </c>
      <c r="C185" s="173" t="str">
        <f>Evidence!B185</f>
        <v>0</v>
      </c>
      <c r="E185" s="173" t="str">
        <f>Evidence!E185</f>
        <v>0</v>
      </c>
      <c r="I185" s="212" t="str">
        <f>Evidence!C185</f>
        <v>0</v>
      </c>
      <c r="J185" s="212" t="str">
        <f>dum_adresa</f>
        <v>0</v>
      </c>
      <c r="K185" s="235" t="str">
        <f>Evidence!A185</f>
        <v>0</v>
      </c>
      <c r="L185" s="212" t="str">
        <f>("C:\sprava\"&amp;SUBSTITUTE(K185,"/","")&amp;".pdf")</f>
        <v>0</v>
      </c>
      <c r="O185" s="212"/>
    </row>
    <row r="186" spans="1:16">
      <c r="B186" s="173" t="str">
        <f>Evidence!D186</f>
        <v>0</v>
      </c>
      <c r="C186" s="173" t="str">
        <f>Evidence!B186</f>
        <v>0</v>
      </c>
      <c r="E186" s="173" t="str">
        <f>Evidence!E186</f>
        <v>0</v>
      </c>
      <c r="I186" s="212" t="str">
        <f>Evidence!C186</f>
        <v>0</v>
      </c>
      <c r="J186" s="212" t="str">
        <f>dum_adresa</f>
        <v>0</v>
      </c>
      <c r="K186" s="235" t="str">
        <f>Evidence!A186</f>
        <v>0</v>
      </c>
      <c r="L186" s="212" t="str">
        <f>("C:\sprava\"&amp;SUBSTITUTE(K186,"/","")&amp;".pdf")</f>
        <v>0</v>
      </c>
      <c r="O186" s="212"/>
    </row>
    <row r="187" spans="1:16">
      <c r="B187" s="173" t="str">
        <f>Evidence!D187</f>
        <v>0</v>
      </c>
      <c r="C187" s="173" t="str">
        <f>Evidence!B187</f>
        <v>0</v>
      </c>
      <c r="E187" s="173" t="str">
        <f>Evidence!E187</f>
        <v>0</v>
      </c>
      <c r="I187" s="212" t="str">
        <f>Evidence!C187</f>
        <v>0</v>
      </c>
      <c r="J187" s="212" t="str">
        <f>dum_adresa</f>
        <v>0</v>
      </c>
      <c r="K187" s="235" t="str">
        <f>Evidence!A187</f>
        <v>0</v>
      </c>
      <c r="L187" s="212" t="str">
        <f>("C:\sprava\"&amp;SUBSTITUTE(K187,"/","")&amp;".pdf")</f>
        <v>0</v>
      </c>
      <c r="O187" s="212"/>
    </row>
    <row r="188" spans="1:16">
      <c r="B188" s="173" t="str">
        <f>Evidence!D188</f>
        <v>0</v>
      </c>
      <c r="C188" s="173" t="str">
        <f>Evidence!B188</f>
        <v>0</v>
      </c>
      <c r="E188" s="173" t="str">
        <f>Evidence!E188</f>
        <v>0</v>
      </c>
      <c r="I188" s="212" t="str">
        <f>Evidence!C188</f>
        <v>0</v>
      </c>
      <c r="J188" s="212" t="str">
        <f>dum_adresa</f>
        <v>0</v>
      </c>
      <c r="K188" s="235" t="str">
        <f>Evidence!A188</f>
        <v>0</v>
      </c>
      <c r="L188" s="212" t="str">
        <f>("C:\sprava\"&amp;SUBSTITUTE(K188,"/","")&amp;".pdf")</f>
        <v>0</v>
      </c>
      <c r="O188" s="212"/>
    </row>
    <row r="189" spans="1:16">
      <c r="B189" s="173" t="str">
        <f>Evidence!D189</f>
        <v>0</v>
      </c>
      <c r="C189" s="173" t="str">
        <f>Evidence!B189</f>
        <v>0</v>
      </c>
      <c r="E189" s="173" t="str">
        <f>Evidence!E189</f>
        <v>0</v>
      </c>
      <c r="I189" s="212" t="str">
        <f>Evidence!C189</f>
        <v>0</v>
      </c>
      <c r="J189" s="212" t="str">
        <f>dum_adresa</f>
        <v>0</v>
      </c>
      <c r="K189" s="235" t="str">
        <f>Evidence!A189</f>
        <v>0</v>
      </c>
      <c r="L189" s="212" t="str">
        <f>("C:\sprava\"&amp;SUBSTITUTE(K189,"/","")&amp;".pdf")</f>
        <v>0</v>
      </c>
      <c r="O189" s="212"/>
    </row>
    <row r="190" spans="1:16">
      <c r="B190" s="173" t="str">
        <f>Evidence!D190</f>
        <v>0</v>
      </c>
      <c r="C190" s="173" t="str">
        <f>Evidence!B190</f>
        <v>0</v>
      </c>
      <c r="E190" s="173" t="str">
        <f>Evidence!E190</f>
        <v>0</v>
      </c>
      <c r="I190" s="212" t="str">
        <f>Evidence!C190</f>
        <v>0</v>
      </c>
      <c r="J190" s="212" t="str">
        <f>dum_adresa</f>
        <v>0</v>
      </c>
      <c r="K190" s="235" t="str">
        <f>Evidence!A190</f>
        <v>0</v>
      </c>
      <c r="L190" s="212" t="str">
        <f>("C:\sprava\"&amp;SUBSTITUTE(K190,"/","")&amp;".pdf")</f>
        <v>0</v>
      </c>
      <c r="O190" s="212"/>
    </row>
    <row r="191" spans="1:16">
      <c r="B191" s="173" t="str">
        <f>Evidence!D191</f>
        <v>0</v>
      </c>
      <c r="C191" s="173" t="str">
        <f>Evidence!B191</f>
        <v>0</v>
      </c>
      <c r="E191" s="173" t="str">
        <f>Evidence!E191</f>
        <v>0</v>
      </c>
      <c r="I191" s="212" t="str">
        <f>Evidence!C191</f>
        <v>0</v>
      </c>
      <c r="J191" s="212" t="str">
        <f>dum_adresa</f>
        <v>0</v>
      </c>
      <c r="K191" s="235" t="str">
        <f>Evidence!A191</f>
        <v>0</v>
      </c>
      <c r="L191" s="212" t="str">
        <f>("C:\sprava\"&amp;SUBSTITUTE(K191,"/","")&amp;".pdf")</f>
        <v>0</v>
      </c>
      <c r="O191" s="212"/>
    </row>
    <row r="192" spans="1:16">
      <c r="B192" s="173" t="str">
        <f>Evidence!D192</f>
        <v>0</v>
      </c>
      <c r="C192" s="173" t="str">
        <f>Evidence!B192</f>
        <v>0</v>
      </c>
      <c r="E192" s="173" t="str">
        <f>Evidence!E192</f>
        <v>0</v>
      </c>
      <c r="I192" s="212" t="str">
        <f>Evidence!C192</f>
        <v>0</v>
      </c>
      <c r="J192" s="212" t="str">
        <f>dum_adresa</f>
        <v>0</v>
      </c>
      <c r="K192" s="235" t="str">
        <f>Evidence!A192</f>
        <v>0</v>
      </c>
      <c r="L192" s="212" t="str">
        <f>("C:\sprava\"&amp;SUBSTITUTE(K192,"/","")&amp;".pdf")</f>
        <v>0</v>
      </c>
      <c r="O192" s="212"/>
    </row>
    <row r="193" spans="1:16">
      <c r="B193" s="173" t="str">
        <f>Evidence!D193</f>
        <v>0</v>
      </c>
      <c r="C193" s="173" t="str">
        <f>Evidence!B193</f>
        <v>0</v>
      </c>
      <c r="E193" s="173" t="str">
        <f>Evidence!E193</f>
        <v>0</v>
      </c>
      <c r="I193" s="212" t="str">
        <f>Evidence!C193</f>
        <v>0</v>
      </c>
      <c r="J193" s="212" t="str">
        <f>dum_adresa</f>
        <v>0</v>
      </c>
      <c r="K193" s="235" t="str">
        <f>Evidence!A193</f>
        <v>0</v>
      </c>
      <c r="L193" s="212" t="str">
        <f>("C:\sprava\"&amp;SUBSTITUTE(K193,"/","")&amp;".pdf")</f>
        <v>0</v>
      </c>
      <c r="O193" s="212"/>
    </row>
    <row r="194" spans="1:16">
      <c r="B194" s="173" t="str">
        <f>Evidence!D194</f>
        <v>0</v>
      </c>
      <c r="C194" s="173" t="str">
        <f>Evidence!B194</f>
        <v>0</v>
      </c>
      <c r="E194" s="173" t="str">
        <f>Evidence!E194</f>
        <v>0</v>
      </c>
      <c r="I194" s="212" t="str">
        <f>Evidence!C194</f>
        <v>0</v>
      </c>
      <c r="J194" s="212" t="str">
        <f>dum_adresa</f>
        <v>0</v>
      </c>
      <c r="K194" s="235" t="str">
        <f>Evidence!A194</f>
        <v>0</v>
      </c>
      <c r="L194" s="212" t="str">
        <f>("C:\sprava\"&amp;SUBSTITUTE(K194,"/","")&amp;".pdf")</f>
        <v>0</v>
      </c>
      <c r="O194" s="212"/>
    </row>
    <row r="195" spans="1:16">
      <c r="B195" s="173" t="str">
        <f>Evidence!D195</f>
        <v>0</v>
      </c>
      <c r="C195" s="173" t="str">
        <f>Evidence!B195</f>
        <v>0</v>
      </c>
      <c r="E195" s="173" t="str">
        <f>Evidence!E195</f>
        <v>0</v>
      </c>
      <c r="I195" s="212" t="str">
        <f>Evidence!C195</f>
        <v>0</v>
      </c>
      <c r="J195" s="212" t="str">
        <f>dum_adresa</f>
        <v>0</v>
      </c>
      <c r="K195" s="235" t="str">
        <f>Evidence!A195</f>
        <v>0</v>
      </c>
      <c r="L195" s="212" t="str">
        <f>("C:\sprava\"&amp;SUBSTITUTE(K195,"/","")&amp;".pdf")</f>
        <v>0</v>
      </c>
      <c r="O195" s="212"/>
    </row>
    <row r="196" spans="1:16">
      <c r="B196" s="173" t="str">
        <f>Evidence!D196</f>
        <v>0</v>
      </c>
      <c r="C196" s="173" t="str">
        <f>Evidence!B196</f>
        <v>0</v>
      </c>
      <c r="E196" s="173" t="str">
        <f>Evidence!E196</f>
        <v>0</v>
      </c>
      <c r="I196" s="212" t="str">
        <f>Evidence!C196</f>
        <v>0</v>
      </c>
      <c r="J196" s="212" t="str">
        <f>dum_adresa</f>
        <v>0</v>
      </c>
      <c r="K196" s="235" t="str">
        <f>Evidence!A196</f>
        <v>0</v>
      </c>
      <c r="L196" s="212" t="str">
        <f>("C:\sprava\"&amp;SUBSTITUTE(K196,"/","")&amp;".pdf")</f>
        <v>0</v>
      </c>
      <c r="O196" s="212"/>
    </row>
    <row r="197" spans="1:16">
      <c r="B197" s="173" t="str">
        <f>Evidence!D197</f>
        <v>0</v>
      </c>
      <c r="C197" s="173" t="str">
        <f>Evidence!B197</f>
        <v>0</v>
      </c>
      <c r="E197" s="173" t="str">
        <f>Evidence!E197</f>
        <v>0</v>
      </c>
      <c r="I197" s="212" t="str">
        <f>Evidence!C197</f>
        <v>0</v>
      </c>
      <c r="J197" s="212" t="str">
        <f>dum_adresa</f>
        <v>0</v>
      </c>
      <c r="K197" s="235" t="str">
        <f>Evidence!A197</f>
        <v>0</v>
      </c>
      <c r="L197" s="212" t="str">
        <f>("C:\sprava\"&amp;SUBSTITUTE(K197,"/","")&amp;".pdf")</f>
        <v>0</v>
      </c>
      <c r="O197" s="212"/>
    </row>
    <row r="198" spans="1:16">
      <c r="B198" s="173" t="str">
        <f>Evidence!D198</f>
        <v>0</v>
      </c>
      <c r="C198" s="173" t="str">
        <f>Evidence!B198</f>
        <v>0</v>
      </c>
      <c r="E198" s="173" t="str">
        <f>Evidence!E198</f>
        <v>0</v>
      </c>
      <c r="I198" s="212" t="str">
        <f>Evidence!C198</f>
        <v>0</v>
      </c>
      <c r="J198" s="212" t="str">
        <f>dum_adresa</f>
        <v>0</v>
      </c>
      <c r="K198" s="235" t="str">
        <f>Evidence!A198</f>
        <v>0</v>
      </c>
      <c r="L198" s="212" t="str">
        <f>("C:\sprava\"&amp;SUBSTITUTE(K198,"/","")&amp;".pdf")</f>
        <v>0</v>
      </c>
      <c r="O198" s="212"/>
    </row>
    <row r="199" spans="1:16">
      <c r="B199" s="173" t="str">
        <f>Evidence!D199</f>
        <v>0</v>
      </c>
      <c r="C199" s="173" t="str">
        <f>Evidence!B199</f>
        <v>0</v>
      </c>
      <c r="E199" s="173" t="str">
        <f>Evidence!E199</f>
        <v>0</v>
      </c>
      <c r="I199" s="212" t="str">
        <f>Evidence!C199</f>
        <v>0</v>
      </c>
      <c r="J199" s="212" t="str">
        <f>dum_adresa</f>
        <v>0</v>
      </c>
      <c r="K199" s="235" t="str">
        <f>Evidence!A199</f>
        <v>0</v>
      </c>
      <c r="L199" s="212" t="str">
        <f>("C:\sprava\"&amp;SUBSTITUTE(K199,"/","")&amp;".pdf")</f>
        <v>0</v>
      </c>
      <c r="O199" s="212"/>
    </row>
    <row r="200" spans="1:16">
      <c r="B200" s="173" t="str">
        <f>Evidence!D200</f>
        <v>0</v>
      </c>
      <c r="C200" s="173" t="str">
        <f>Evidence!B200</f>
        <v>0</v>
      </c>
      <c r="E200" s="173" t="str">
        <f>Evidence!E200</f>
        <v>0</v>
      </c>
      <c r="I200" s="212" t="str">
        <f>Evidence!C200</f>
        <v>0</v>
      </c>
      <c r="J200" s="212" t="str">
        <f>dum_adresa</f>
        <v>0</v>
      </c>
      <c r="K200" s="235" t="str">
        <f>Evidence!A200</f>
        <v>0</v>
      </c>
      <c r="L200" s="212" t="str">
        <f>("C:\sprava\"&amp;SUBSTITUTE(K200,"/","")&amp;".pdf")</f>
        <v>0</v>
      </c>
      <c r="O200" s="212"/>
    </row>
    <row r="201" spans="1:16">
      <c r="B201" s="173" t="str">
        <f>Evidence!D201</f>
        <v>0</v>
      </c>
      <c r="C201" s="173" t="str">
        <f>Evidence!B201</f>
        <v>0</v>
      </c>
      <c r="E201" s="173" t="str">
        <f>Evidence!E201</f>
        <v>0</v>
      </c>
      <c r="I201" s="212" t="str">
        <f>Evidence!C201</f>
        <v>0</v>
      </c>
      <c r="J201" s="212" t="str">
        <f>dum_adresa</f>
        <v>0</v>
      </c>
      <c r="K201" s="235" t="str">
        <f>Evidence!A201</f>
        <v>0</v>
      </c>
      <c r="L201" s="212" t="str">
        <f>("C:\sprava\"&amp;SUBSTITUTE(K201,"/","")&amp;".pdf")</f>
        <v>0</v>
      </c>
      <c r="O201" s="212"/>
    </row>
    <row r="202" spans="1:16">
      <c r="B202" s="173" t="str">
        <f>Evidence!D202</f>
        <v>0</v>
      </c>
      <c r="C202" s="173" t="str">
        <f>Evidence!B202</f>
        <v>0</v>
      </c>
      <c r="E202" s="173" t="str">
        <f>Evidence!E202</f>
        <v>0</v>
      </c>
      <c r="I202" s="212" t="str">
        <f>Evidence!C202</f>
        <v>0</v>
      </c>
      <c r="J202" s="212" t="str">
        <f>dum_adresa</f>
        <v>0</v>
      </c>
      <c r="K202" s="235" t="str">
        <f>Evidence!A202</f>
        <v>0</v>
      </c>
      <c r="L202" s="212" t="str">
        <f>("C:\sprava\"&amp;SUBSTITUTE(K202,"/","")&amp;".pdf")</f>
        <v>0</v>
      </c>
      <c r="O202" s="212"/>
    </row>
    <row r="203" spans="1:16">
      <c r="B203" s="173" t="str">
        <f>Evidence!D203</f>
        <v>0</v>
      </c>
      <c r="C203" s="173" t="str">
        <f>Evidence!B203</f>
        <v>0</v>
      </c>
      <c r="E203" s="173" t="str">
        <f>Evidence!E203</f>
        <v>0</v>
      </c>
      <c r="I203" s="212" t="str">
        <f>Evidence!C203</f>
        <v>0</v>
      </c>
      <c r="J203" s="212" t="str">
        <f>dum_adresa</f>
        <v>0</v>
      </c>
      <c r="K203" s="235" t="str">
        <f>Evidence!A203</f>
        <v>0</v>
      </c>
      <c r="L203" s="212" t="str">
        <f>("C:\sprava\"&amp;SUBSTITUTE(K203,"/","")&amp;".pdf")</f>
        <v>0</v>
      </c>
      <c r="O203" s="212"/>
    </row>
    <row r="204" spans="1:16">
      <c r="B204" s="173" t="str">
        <f>Evidence!D204</f>
        <v>0</v>
      </c>
      <c r="C204" s="173" t="str">
        <f>Evidence!B204</f>
        <v>0</v>
      </c>
      <c r="E204" s="173" t="str">
        <f>Evidence!E204</f>
        <v>0</v>
      </c>
      <c r="I204" s="212" t="str">
        <f>Evidence!C204</f>
        <v>0</v>
      </c>
      <c r="J204" s="212" t="str">
        <f>dum_adresa</f>
        <v>0</v>
      </c>
      <c r="K204" s="235" t="str">
        <f>Evidence!A204</f>
        <v>0</v>
      </c>
      <c r="L204" s="212" t="str">
        <f>("C:\sprava\"&amp;SUBSTITUTE(K204,"/","")&amp;".pdf")</f>
        <v>0</v>
      </c>
      <c r="O204" s="212"/>
    </row>
    <row r="205" spans="1:16">
      <c r="B205" s="173" t="str">
        <f>Evidence!D205</f>
        <v>0</v>
      </c>
      <c r="C205" s="173" t="str">
        <f>Evidence!B205</f>
        <v>0</v>
      </c>
      <c r="E205" s="173" t="str">
        <f>Evidence!E205</f>
        <v>0</v>
      </c>
      <c r="I205" s="212" t="str">
        <f>Evidence!C205</f>
        <v>0</v>
      </c>
      <c r="J205" s="212" t="str">
        <f>dum_adresa</f>
        <v>0</v>
      </c>
      <c r="K205" s="235" t="str">
        <f>Evidence!A205</f>
        <v>0</v>
      </c>
      <c r="L205" s="212" t="str">
        <f>("C:\sprava\"&amp;SUBSTITUTE(K205,"/","")&amp;".pdf")</f>
        <v>0</v>
      </c>
      <c r="O205" s="212"/>
    </row>
    <row r="206" spans="1:16">
      <c r="B206" s="173" t="str">
        <f>Evidence!D206</f>
        <v>0</v>
      </c>
      <c r="C206" s="173" t="str">
        <f>Evidence!B206</f>
        <v>0</v>
      </c>
      <c r="E206" s="173" t="str">
        <f>Evidence!E206</f>
        <v>0</v>
      </c>
      <c r="I206" s="212" t="str">
        <f>Evidence!C206</f>
        <v>0</v>
      </c>
      <c r="J206" s="212" t="str">
        <f>dum_adresa</f>
        <v>0</v>
      </c>
      <c r="K206" s="235" t="str">
        <f>Evidence!A206</f>
        <v>0</v>
      </c>
      <c r="L206" s="212" t="str">
        <f>("C:\sprava\"&amp;SUBSTITUTE(K206,"/","")&amp;".pdf")</f>
        <v>0</v>
      </c>
      <c r="O206" s="212"/>
    </row>
    <row r="207" spans="1:16">
      <c r="B207" s="173" t="str">
        <f>Evidence!D207</f>
        <v>0</v>
      </c>
      <c r="C207" s="173" t="str">
        <f>Evidence!B207</f>
        <v>0</v>
      </c>
      <c r="E207" s="173" t="str">
        <f>Evidence!E207</f>
        <v>0</v>
      </c>
      <c r="I207" s="212" t="str">
        <f>Evidence!C207</f>
        <v>0</v>
      </c>
      <c r="J207" s="212" t="str">
        <f>dum_adresa</f>
        <v>0</v>
      </c>
      <c r="K207" s="235" t="str">
        <f>Evidence!A207</f>
        <v>0</v>
      </c>
      <c r="L207" s="212" t="str">
        <f>("C:\sprava\"&amp;SUBSTITUTE(K207,"/","")&amp;".pdf")</f>
        <v>0</v>
      </c>
      <c r="O207" s="212"/>
    </row>
    <row r="208" spans="1:16">
      <c r="B208" s="173" t="str">
        <f>Evidence!D208</f>
        <v>0</v>
      </c>
      <c r="C208" s="173" t="str">
        <f>Evidence!B208</f>
        <v>0</v>
      </c>
      <c r="E208" s="173" t="str">
        <f>Evidence!E208</f>
        <v>0</v>
      </c>
      <c r="I208" s="212" t="str">
        <f>Evidence!C208</f>
        <v>0</v>
      </c>
      <c r="J208" s="212" t="str">
        <f>dum_adresa</f>
        <v>0</v>
      </c>
      <c r="K208" s="235" t="str">
        <f>Evidence!A208</f>
        <v>0</v>
      </c>
      <c r="L208" s="212" t="str">
        <f>("C:\sprava\"&amp;SUBSTITUTE(K208,"/","")&amp;".pdf")</f>
        <v>0</v>
      </c>
      <c r="O208" s="212"/>
    </row>
    <row r="209" spans="1:16">
      <c r="B209" s="173" t="str">
        <f>Evidence!D209</f>
        <v>0</v>
      </c>
      <c r="C209" s="173" t="str">
        <f>Evidence!B209</f>
        <v>0</v>
      </c>
      <c r="E209" s="173" t="str">
        <f>Evidence!E209</f>
        <v>0</v>
      </c>
      <c r="I209" s="212" t="str">
        <f>Evidence!C209</f>
        <v>0</v>
      </c>
      <c r="J209" s="212" t="str">
        <f>dum_adresa</f>
        <v>0</v>
      </c>
      <c r="K209" s="235" t="str">
        <f>Evidence!A209</f>
        <v>0</v>
      </c>
      <c r="L209" s="212" t="str">
        <f>("C:\sprava\"&amp;SUBSTITUTE(K209,"/","")&amp;".pdf")</f>
        <v>0</v>
      </c>
      <c r="O209" s="212"/>
    </row>
    <row r="210" spans="1:16">
      <c r="B210" s="173" t="str">
        <f>Evidence!D210</f>
        <v>0</v>
      </c>
      <c r="C210" s="173" t="str">
        <f>Evidence!B210</f>
        <v>0</v>
      </c>
      <c r="E210" s="173" t="str">
        <f>Evidence!E210</f>
        <v>0</v>
      </c>
      <c r="I210" s="212" t="str">
        <f>Evidence!C210</f>
        <v>0</v>
      </c>
      <c r="J210" s="212" t="str">
        <f>dum_adresa</f>
        <v>0</v>
      </c>
      <c r="K210" s="235" t="str">
        <f>Evidence!A210</f>
        <v>0</v>
      </c>
      <c r="L210" s="212" t="str">
        <f>("C:\sprava\"&amp;SUBSTITUTE(K210,"/","")&amp;".pdf")</f>
        <v>0</v>
      </c>
      <c r="O210" s="212"/>
    </row>
    <row r="211" spans="1:16">
      <c r="B211" s="173" t="str">
        <f>Evidence!D211</f>
        <v>0</v>
      </c>
      <c r="C211" s="173" t="str">
        <f>Evidence!B211</f>
        <v>0</v>
      </c>
      <c r="E211" s="173" t="str">
        <f>Evidence!E211</f>
        <v>0</v>
      </c>
      <c r="I211" s="212" t="str">
        <f>Evidence!C211</f>
        <v>0</v>
      </c>
      <c r="J211" s="212" t="str">
        <f>dum_adresa</f>
        <v>0</v>
      </c>
      <c r="K211" s="235" t="str">
        <f>Evidence!A211</f>
        <v>0</v>
      </c>
      <c r="L211" s="212" t="str">
        <f>("C:\sprava\"&amp;SUBSTITUTE(K211,"/","")&amp;".pdf")</f>
        <v>0</v>
      </c>
      <c r="O211" s="212"/>
    </row>
    <row r="212" spans="1:16">
      <c r="B212" s="173" t="str">
        <f>Evidence!D212</f>
        <v>0</v>
      </c>
      <c r="C212" s="173" t="str">
        <f>Evidence!B212</f>
        <v>0</v>
      </c>
      <c r="E212" s="173" t="str">
        <f>Evidence!E212</f>
        <v>0</v>
      </c>
      <c r="I212" s="212" t="str">
        <f>Evidence!C212</f>
        <v>0</v>
      </c>
      <c r="J212" s="212" t="str">
        <f>dum_adresa</f>
        <v>0</v>
      </c>
      <c r="K212" s="235" t="str">
        <f>Evidence!A212</f>
        <v>0</v>
      </c>
      <c r="L212" s="212" t="str">
        <f>("C:\sprava\"&amp;SUBSTITUTE(K212,"/","")&amp;".pdf")</f>
        <v>0</v>
      </c>
      <c r="O212" s="212"/>
    </row>
    <row r="213" spans="1:16">
      <c r="B213" s="173" t="str">
        <f>Evidence!D213</f>
        <v>0</v>
      </c>
      <c r="C213" s="173" t="str">
        <f>Evidence!B213</f>
        <v>0</v>
      </c>
      <c r="E213" s="173" t="str">
        <f>Evidence!E213</f>
        <v>0</v>
      </c>
      <c r="I213" s="212" t="str">
        <f>Evidence!C213</f>
        <v>0</v>
      </c>
      <c r="J213" s="212" t="str">
        <f>dum_adresa</f>
        <v>0</v>
      </c>
      <c r="K213" s="235" t="str">
        <f>Evidence!A213</f>
        <v>0</v>
      </c>
      <c r="L213" s="212" t="str">
        <f>("C:\sprava\"&amp;SUBSTITUTE(K213,"/","")&amp;".pdf")</f>
        <v>0</v>
      </c>
      <c r="O213" s="212"/>
    </row>
    <row r="214" spans="1:16">
      <c r="B214" s="173" t="str">
        <f>Evidence!D214</f>
        <v>0</v>
      </c>
      <c r="C214" s="173" t="str">
        <f>Evidence!B214</f>
        <v>0</v>
      </c>
      <c r="E214" s="173" t="str">
        <f>Evidence!E214</f>
        <v>0</v>
      </c>
      <c r="I214" s="212" t="str">
        <f>Evidence!C214</f>
        <v>0</v>
      </c>
      <c r="J214" s="212" t="str">
        <f>dum_adresa</f>
        <v>0</v>
      </c>
      <c r="K214" s="235" t="str">
        <f>Evidence!A214</f>
        <v>0</v>
      </c>
      <c r="L214" s="212" t="str">
        <f>("C:\sprava\"&amp;SUBSTITUTE(K214,"/","")&amp;".pdf")</f>
        <v>0</v>
      </c>
      <c r="O214" s="212"/>
    </row>
    <row r="215" spans="1:16">
      <c r="B215" s="173" t="str">
        <f>Evidence!D215</f>
        <v>0</v>
      </c>
      <c r="C215" s="173" t="str">
        <f>Evidence!B215</f>
        <v>0</v>
      </c>
      <c r="E215" s="173" t="str">
        <f>Evidence!E215</f>
        <v>0</v>
      </c>
      <c r="I215" s="212" t="str">
        <f>Evidence!C215</f>
        <v>0</v>
      </c>
      <c r="J215" s="212" t="str">
        <f>dum_adresa</f>
        <v>0</v>
      </c>
      <c r="K215" s="235" t="str">
        <f>Evidence!A215</f>
        <v>0</v>
      </c>
      <c r="L215" s="212" t="str">
        <f>("C:\sprava\"&amp;SUBSTITUTE(K215,"/","")&amp;".pdf")</f>
        <v>0</v>
      </c>
      <c r="O215" s="212"/>
    </row>
    <row r="216" spans="1:16">
      <c r="B216" s="173" t="str">
        <f>Evidence!D216</f>
        <v>0</v>
      </c>
      <c r="C216" s="173" t="str">
        <f>Evidence!B216</f>
        <v>0</v>
      </c>
      <c r="E216" s="173" t="str">
        <f>Evidence!E216</f>
        <v>0</v>
      </c>
      <c r="I216" s="212" t="str">
        <f>Evidence!C216</f>
        <v>0</v>
      </c>
      <c r="J216" s="212" t="str">
        <f>dum_adresa</f>
        <v>0</v>
      </c>
      <c r="K216" s="235" t="str">
        <f>Evidence!A216</f>
        <v>0</v>
      </c>
      <c r="L216" s="212" t="str">
        <f>("C:\sprava\"&amp;SUBSTITUTE(K216,"/","")&amp;".pdf")</f>
        <v>0</v>
      </c>
      <c r="O216" s="212"/>
    </row>
    <row r="217" spans="1:16">
      <c r="B217" s="173" t="str">
        <f>Evidence!D217</f>
        <v>0</v>
      </c>
      <c r="C217" s="173" t="str">
        <f>Evidence!B217</f>
        <v>0</v>
      </c>
      <c r="E217" s="173" t="str">
        <f>Evidence!E217</f>
        <v>0</v>
      </c>
      <c r="I217" s="212" t="str">
        <f>Evidence!C217</f>
        <v>0</v>
      </c>
      <c r="J217" s="212" t="str">
        <f>dum_adresa</f>
        <v>0</v>
      </c>
      <c r="K217" s="235" t="str">
        <f>Evidence!A217</f>
        <v>0</v>
      </c>
      <c r="L217" s="212" t="str">
        <f>("C:\sprava\"&amp;SUBSTITUTE(K217,"/","")&amp;".pdf")</f>
        <v>0</v>
      </c>
      <c r="O217" s="212"/>
    </row>
    <row r="218" spans="1:16">
      <c r="B218" s="173" t="str">
        <f>Evidence!D218</f>
        <v>0</v>
      </c>
      <c r="C218" s="173" t="str">
        <f>Evidence!B218</f>
        <v>0</v>
      </c>
      <c r="E218" s="173" t="str">
        <f>Evidence!E218</f>
        <v>0</v>
      </c>
      <c r="I218" s="212" t="str">
        <f>Evidence!C218</f>
        <v>0</v>
      </c>
      <c r="J218" s="212" t="str">
        <f>dum_adresa</f>
        <v>0</v>
      </c>
      <c r="K218" s="235" t="str">
        <f>Evidence!A218</f>
        <v>0</v>
      </c>
      <c r="L218" s="212" t="str">
        <f>("C:\sprava\"&amp;SUBSTITUTE(K218,"/","")&amp;".pdf")</f>
        <v>0</v>
      </c>
      <c r="O218" s="212"/>
    </row>
    <row r="219" spans="1:16">
      <c r="B219" s="173" t="str">
        <f>Evidence!D219</f>
        <v>0</v>
      </c>
      <c r="C219" s="173" t="str">
        <f>Evidence!B219</f>
        <v>0</v>
      </c>
      <c r="E219" s="173" t="str">
        <f>Evidence!E219</f>
        <v>0</v>
      </c>
      <c r="I219" s="212" t="str">
        <f>Evidence!C219</f>
        <v>0</v>
      </c>
      <c r="J219" s="212" t="str">
        <f>dum_adresa</f>
        <v>0</v>
      </c>
      <c r="K219" s="235" t="str">
        <f>Evidence!A219</f>
        <v>0</v>
      </c>
      <c r="L219" s="212" t="str">
        <f>("C:\sprava\"&amp;SUBSTITUTE(K219,"/","")&amp;".pdf")</f>
        <v>0</v>
      </c>
      <c r="O219" s="212"/>
    </row>
    <row r="220" spans="1:16">
      <c r="B220" s="173" t="str">
        <f>Evidence!D220</f>
        <v>0</v>
      </c>
      <c r="C220" s="173" t="str">
        <f>Evidence!B220</f>
        <v>0</v>
      </c>
      <c r="E220" s="173" t="str">
        <f>Evidence!E220</f>
        <v>0</v>
      </c>
      <c r="I220" s="212" t="str">
        <f>Evidence!C220</f>
        <v>0</v>
      </c>
      <c r="J220" s="212" t="str">
        <f>dum_adresa</f>
        <v>0</v>
      </c>
      <c r="K220" s="235" t="str">
        <f>Evidence!A220</f>
        <v>0</v>
      </c>
      <c r="L220" s="212" t="str">
        <f>("C:\sprava\"&amp;SUBSTITUTE(K220,"/","")&amp;".pdf")</f>
        <v>0</v>
      </c>
      <c r="O220" s="212"/>
    </row>
    <row r="221" spans="1:16">
      <c r="B221" s="173" t="str">
        <f>Evidence!D221</f>
        <v>0</v>
      </c>
      <c r="C221" s="173" t="str">
        <f>Evidence!B221</f>
        <v>0</v>
      </c>
      <c r="E221" s="173" t="str">
        <f>Evidence!E221</f>
        <v>0</v>
      </c>
      <c r="I221" s="212" t="str">
        <f>Evidence!C221</f>
        <v>0</v>
      </c>
      <c r="J221" s="212" t="str">
        <f>dum_adresa</f>
        <v>0</v>
      </c>
      <c r="K221" s="235" t="str">
        <f>Evidence!A221</f>
        <v>0</v>
      </c>
      <c r="L221" s="212" t="str">
        <f>("C:\sprava\"&amp;SUBSTITUTE(K221,"/","")&amp;".pdf")</f>
        <v>0</v>
      </c>
      <c r="O221" s="212"/>
    </row>
    <row r="222" spans="1:16">
      <c r="B222" s="173" t="str">
        <f>Evidence!D222</f>
        <v>0</v>
      </c>
      <c r="C222" s="173" t="str">
        <f>Evidence!B222</f>
        <v>0</v>
      </c>
      <c r="E222" s="173" t="str">
        <f>Evidence!E222</f>
        <v>0</v>
      </c>
      <c r="I222" s="212" t="str">
        <f>Evidence!C222</f>
        <v>0</v>
      </c>
      <c r="J222" s="212" t="str">
        <f>dum_adresa</f>
        <v>0</v>
      </c>
      <c r="K222" s="235" t="str">
        <f>Evidence!A222</f>
        <v>0</v>
      </c>
      <c r="L222" s="212" t="str">
        <f>("C:\sprava\"&amp;SUBSTITUTE(K222,"/","")&amp;".pdf")</f>
        <v>0</v>
      </c>
      <c r="O222" s="212"/>
    </row>
    <row r="223" spans="1:16">
      <c r="B223" s="173" t="str">
        <f>Evidence!D223</f>
        <v>0</v>
      </c>
      <c r="C223" s="173" t="str">
        <f>Evidence!B223</f>
        <v>0</v>
      </c>
      <c r="E223" s="173" t="str">
        <f>Evidence!E223</f>
        <v>0</v>
      </c>
      <c r="I223" s="212" t="str">
        <f>Evidence!C223</f>
        <v>0</v>
      </c>
      <c r="J223" s="212" t="str">
        <f>dum_adresa</f>
        <v>0</v>
      </c>
      <c r="K223" s="235" t="str">
        <f>Evidence!A223</f>
        <v>0</v>
      </c>
      <c r="L223" s="212" t="str">
        <f>("C:\sprava\"&amp;SUBSTITUTE(K223,"/","")&amp;".pdf")</f>
        <v>0</v>
      </c>
      <c r="O223" s="212"/>
    </row>
    <row r="224" spans="1:16">
      <c r="B224" s="173" t="str">
        <f>Evidence!D224</f>
        <v>0</v>
      </c>
      <c r="C224" s="173" t="str">
        <f>Evidence!B224</f>
        <v>0</v>
      </c>
      <c r="E224" s="173" t="str">
        <f>Evidence!E224</f>
        <v>0</v>
      </c>
      <c r="I224" s="212" t="str">
        <f>Evidence!C224</f>
        <v>0</v>
      </c>
      <c r="J224" s="212" t="str">
        <f>dum_adresa</f>
        <v>0</v>
      </c>
      <c r="K224" s="235" t="str">
        <f>Evidence!A224</f>
        <v>0</v>
      </c>
      <c r="L224" s="212" t="str">
        <f>("C:\sprava\"&amp;SUBSTITUTE(K224,"/","")&amp;".pdf")</f>
        <v>0</v>
      </c>
      <c r="O224" s="212"/>
    </row>
    <row r="225" spans="1:16">
      <c r="B225" s="173" t="str">
        <f>Evidence!D225</f>
        <v>0</v>
      </c>
      <c r="C225" s="173" t="str">
        <f>Evidence!B225</f>
        <v>0</v>
      </c>
      <c r="E225" s="173" t="str">
        <f>Evidence!E225</f>
        <v>0</v>
      </c>
      <c r="I225" s="212" t="str">
        <f>Evidence!C225</f>
        <v>0</v>
      </c>
      <c r="J225" s="212" t="str">
        <f>dum_adresa</f>
        <v>0</v>
      </c>
      <c r="K225" s="235" t="str">
        <f>Evidence!A225</f>
        <v>0</v>
      </c>
      <c r="L225" s="212" t="str">
        <f>("C:\sprava\"&amp;SUBSTITUTE(K225,"/","")&amp;".pdf")</f>
        <v>0</v>
      </c>
      <c r="O225" s="212"/>
    </row>
    <row r="226" spans="1:16">
      <c r="B226" s="173" t="str">
        <f>Evidence!D226</f>
        <v>0</v>
      </c>
      <c r="C226" s="173" t="str">
        <f>Evidence!B226</f>
        <v>0</v>
      </c>
      <c r="E226" s="173" t="str">
        <f>Evidence!E226</f>
        <v>0</v>
      </c>
      <c r="I226" s="212" t="str">
        <f>Evidence!C226</f>
        <v>0</v>
      </c>
      <c r="J226" s="212" t="str">
        <f>dum_adresa</f>
        <v>0</v>
      </c>
      <c r="K226" s="235" t="str">
        <f>Evidence!A226</f>
        <v>0</v>
      </c>
      <c r="L226" s="212" t="str">
        <f>("C:\sprava\"&amp;SUBSTITUTE(K226,"/","")&amp;".pdf")</f>
        <v>0</v>
      </c>
      <c r="O226" s="212"/>
    </row>
    <row r="227" spans="1:16">
      <c r="B227" s="173" t="str">
        <f>Evidence!D227</f>
        <v>0</v>
      </c>
      <c r="C227" s="173" t="str">
        <f>Evidence!B227</f>
        <v>0</v>
      </c>
      <c r="E227" s="173" t="str">
        <f>Evidence!E227</f>
        <v>0</v>
      </c>
      <c r="I227" s="212" t="str">
        <f>Evidence!C227</f>
        <v>0</v>
      </c>
      <c r="J227" s="212" t="str">
        <f>dum_adresa</f>
        <v>0</v>
      </c>
      <c r="K227" s="235" t="str">
        <f>Evidence!A227</f>
        <v>0</v>
      </c>
      <c r="L227" s="212" t="str">
        <f>("C:\sprava\"&amp;SUBSTITUTE(K227,"/","")&amp;".pdf")</f>
        <v>0</v>
      </c>
      <c r="O227" s="212"/>
    </row>
    <row r="228" spans="1:16">
      <c r="B228" s="173" t="str">
        <f>Evidence!D228</f>
        <v>0</v>
      </c>
      <c r="C228" s="173" t="str">
        <f>Evidence!B228</f>
        <v>0</v>
      </c>
      <c r="E228" s="173" t="str">
        <f>Evidence!E228</f>
        <v>0</v>
      </c>
      <c r="I228" s="212" t="str">
        <f>Evidence!C228</f>
        <v>0</v>
      </c>
      <c r="J228" s="212" t="str">
        <f>dum_adresa</f>
        <v>0</v>
      </c>
      <c r="K228" s="235" t="str">
        <f>Evidence!A228</f>
        <v>0</v>
      </c>
      <c r="L228" s="212" t="str">
        <f>("C:\sprava\"&amp;SUBSTITUTE(K228,"/","")&amp;".pdf")</f>
        <v>0</v>
      </c>
      <c r="O228" s="212"/>
    </row>
    <row r="229" spans="1:16">
      <c r="B229" s="173" t="str">
        <f>Evidence!D229</f>
        <v>0</v>
      </c>
      <c r="C229" s="173" t="str">
        <f>Evidence!B229</f>
        <v>0</v>
      </c>
      <c r="E229" s="173" t="str">
        <f>Evidence!E229</f>
        <v>0</v>
      </c>
      <c r="I229" s="212" t="str">
        <f>Evidence!C229</f>
        <v>0</v>
      </c>
      <c r="J229" s="212" t="str">
        <f>dum_adresa</f>
        <v>0</v>
      </c>
      <c r="K229" s="235" t="str">
        <f>Evidence!A229</f>
        <v>0</v>
      </c>
      <c r="L229" s="212" t="str">
        <f>("C:\sprava\"&amp;SUBSTITUTE(K229,"/","")&amp;".pdf")</f>
        <v>0</v>
      </c>
      <c r="O229" s="212"/>
    </row>
    <row r="230" spans="1:16">
      <c r="B230" s="173" t="str">
        <f>Evidence!D230</f>
        <v>0</v>
      </c>
      <c r="C230" s="173" t="str">
        <f>Evidence!B230</f>
        <v>0</v>
      </c>
      <c r="E230" s="173" t="str">
        <f>Evidence!E230</f>
        <v>0</v>
      </c>
      <c r="I230" s="212" t="str">
        <f>Evidence!C230</f>
        <v>0</v>
      </c>
      <c r="J230" s="212" t="str">
        <f>dum_adresa</f>
        <v>0</v>
      </c>
      <c r="K230" s="235" t="str">
        <f>Evidence!A230</f>
        <v>0</v>
      </c>
      <c r="L230" s="212" t="str">
        <f>("C:\sprava\"&amp;SUBSTITUTE(K230,"/","")&amp;".pdf")</f>
        <v>0</v>
      </c>
      <c r="O230" s="212"/>
    </row>
    <row r="231" spans="1:16">
      <c r="B231" s="173" t="str">
        <f>Evidence!D231</f>
        <v>0</v>
      </c>
      <c r="C231" s="173" t="str">
        <f>Evidence!B231</f>
        <v>0</v>
      </c>
      <c r="E231" s="173" t="str">
        <f>Evidence!E231</f>
        <v>0</v>
      </c>
      <c r="I231" s="212" t="str">
        <f>Evidence!C231</f>
        <v>0</v>
      </c>
      <c r="J231" s="212" t="str">
        <f>dum_adresa</f>
        <v>0</v>
      </c>
      <c r="K231" s="235" t="str">
        <f>Evidence!A231</f>
        <v>0</v>
      </c>
      <c r="L231" s="212" t="str">
        <f>("C:\sprava\"&amp;SUBSTITUTE(K231,"/","")&amp;".pdf")</f>
        <v>0</v>
      </c>
      <c r="O231" s="212"/>
    </row>
    <row r="232" spans="1:16">
      <c r="B232" s="173" t="str">
        <f>Evidence!D232</f>
        <v>0</v>
      </c>
      <c r="C232" s="173" t="str">
        <f>Evidence!B232</f>
        <v>0</v>
      </c>
      <c r="E232" s="173" t="str">
        <f>Evidence!E232</f>
        <v>0</v>
      </c>
      <c r="I232" s="212" t="str">
        <f>Evidence!C232</f>
        <v>0</v>
      </c>
      <c r="J232" s="212" t="str">
        <f>dum_adresa</f>
        <v>0</v>
      </c>
      <c r="K232" s="235" t="str">
        <f>Evidence!A232</f>
        <v>0</v>
      </c>
      <c r="L232" s="212" t="str">
        <f>("C:\sprava\"&amp;SUBSTITUTE(K232,"/","")&amp;".pdf")</f>
        <v>0</v>
      </c>
      <c r="O232" s="21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A1" location="Seznam!A1"/>
  </hyperlinks>
  <printOptions gridLines="false" gridLinesSet="true"/>
  <pageMargins left="0.7" right="0.7" top="0.787401575" bottom="0.787401575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tabColor rgb="FFFFC000"/>
    <outlinePr summaryBelow="1" summaryRight="1"/>
    <pageSetUpPr fitToPage="1"/>
  </sheetPr>
  <dimension ref="A1:AMQ42"/>
  <sheetViews>
    <sheetView tabSelected="0" workbookViewId="0" zoomScale="90" zoomScaleNormal="90" showGridLines="true" showRowColHeaders="1">
      <pane xSplit="8" ySplit="9" topLeftCell="I10" activePane="bottomRight" state="frozen"/>
      <selection pane="topRight"/>
      <selection pane="bottomLeft"/>
      <selection pane="bottomRight" activeCell="D1" sqref="D1"/>
    </sheetView>
  </sheetViews>
  <sheetFormatPr defaultRowHeight="14.4" outlineLevelRow="0" outlineLevelCol="0"/>
  <cols>
    <col min="1" max="1" width="29.73046875" customWidth="true" style="2"/>
    <col min="2" max="2" width="20.265625" hidden="true" customWidth="true" style="2"/>
    <col min="3" max="3" width="17.73046875" customWidth="true" style="2"/>
    <col min="4" max="4" width="12.86328125" hidden="true" customWidth="true" style="2"/>
    <col min="5" max="5" width="12.3984375" hidden="true" customWidth="true" style="2"/>
    <col min="6" max="6" width="11.86328125" hidden="true" customWidth="true" style="2"/>
    <col min="7" max="7" width="13.1328125" hidden="true" customWidth="true" style="1"/>
    <col min="8" max="8" width="18.59765625" hidden="true" customWidth="true" style="2"/>
    <col min="9" max="9" width="18.59765625" customWidth="true" style="2"/>
    <col min="10" max="10" width="13.59765625" customWidth="true" style="1"/>
    <col min="11" max="11" width="14" customWidth="true" style="2"/>
    <col min="12" max="12" width="14" customWidth="true" style="2"/>
    <col min="13" max="13" width="17.59765625" customWidth="true" style="2"/>
    <col min="14" max="14" width="30.265625" customWidth="true" style="2"/>
    <col min="15" max="15" width="21" customWidth="true" style="2"/>
    <col min="16" max="16" width="24.59765625" customWidth="true" style="2"/>
    <col min="17" max="17" width="24.1328125" customWidth="true" style="5"/>
    <col min="18" max="18" width="9.1328125" customWidth="true" style="2"/>
    <col min="19" max="19" width="15.265625" customWidth="true" style="2"/>
    <col min="20" max="20" width="9.1328125" customWidth="true" style="2"/>
    <col min="21" max="21" width="15.73046875" customWidth="true" style="2"/>
    <col min="22" max="22" width="9.1328125" customWidth="true" style="2"/>
    <col min="23" max="23" width="9.1328125" customWidth="true" style="2"/>
    <col min="24" max="24" width="9.1328125" customWidth="true" style="2"/>
    <col min="25" max="25" width="9.1328125" customWidth="true" style="2"/>
    <col min="26" max="26" width="9.1328125" customWidth="true" style="2"/>
    <col min="27" max="27" width="9.1328125" customWidth="true" style="2"/>
    <col min="28" max="28" width="9.1328125" customWidth="true" style="2"/>
    <col min="29" max="29" width="9.1328125" customWidth="true" style="2"/>
    <col min="30" max="30" width="35.73046875" customWidth="true" style="2"/>
    <col min="31" max="31" width="9.1328125" customWidth="true" style="2"/>
    <col min="32" max="32" width="9.1328125" customWidth="true" style="2"/>
    <col min="33" max="33" width="9.1328125" customWidth="true" style="2"/>
    <col min="34" max="34" width="9.1328125" customWidth="true" style="2"/>
    <col min="35" max="35" width="9.1328125" customWidth="true" style="2"/>
    <col min="36" max="36" width="9.1328125" customWidth="true" style="2"/>
    <col min="37" max="37" width="9.1328125" customWidth="true" style="2"/>
    <col min="38" max="38" width="9.1328125" customWidth="true" style="2"/>
    <col min="39" max="39" width="9.1328125" customWidth="true" style="2"/>
    <col min="40" max="40" width="9.1328125" customWidth="true" style="2"/>
    <col min="41" max="41" width="9.1328125" customWidth="true" style="2"/>
    <col min="42" max="42" width="9.1328125" customWidth="true" style="2"/>
    <col min="43" max="43" width="9.1328125" customWidth="true" style="2"/>
    <col min="44" max="44" width="9.1328125" customWidth="true" style="2"/>
    <col min="45" max="45" width="9.1328125" customWidth="true" style="2"/>
    <col min="46" max="46" width="9.1328125" customWidth="true" style="2"/>
    <col min="47" max="47" width="9.1328125" customWidth="true" style="2"/>
    <col min="48" max="48" width="9.1328125" customWidth="true" style="2"/>
    <col min="49" max="49" width="9.1328125" customWidth="true" style="2"/>
    <col min="50" max="50" width="9.1328125" customWidth="true" style="2"/>
    <col min="51" max="51" width="9.1328125" customWidth="true" style="2"/>
    <col min="52" max="52" width="9.1328125" customWidth="true" style="2"/>
    <col min="53" max="53" width="9.1328125" customWidth="true" style="2"/>
    <col min="54" max="54" width="9.1328125" customWidth="true" style="2"/>
    <col min="55" max="55" width="9.1328125" customWidth="true" style="2"/>
    <col min="56" max="56" width="9.1328125" customWidth="true" style="2"/>
    <col min="57" max="57" width="9.1328125" customWidth="true" style="2"/>
    <col min="58" max="58" width="9.1328125" customWidth="true" style="2"/>
    <col min="59" max="59" width="9.1328125" customWidth="true" style="2"/>
    <col min="60" max="60" width="9.1328125" customWidth="true" style="2"/>
    <col min="61" max="61" width="9.1328125" customWidth="true" style="2"/>
    <col min="62" max="62" width="9.1328125" customWidth="true" style="2"/>
    <col min="63" max="63" width="9.1328125" customWidth="true" style="2"/>
    <col min="64" max="64" width="9.1328125" customWidth="true" style="2"/>
    <col min="65" max="65" width="9.1328125" customWidth="true" style="2"/>
    <col min="66" max="66" width="9.1328125" customWidth="true" style="2"/>
    <col min="67" max="67" width="9.1328125" customWidth="true" style="2"/>
    <col min="68" max="68" width="9.1328125" customWidth="true" style="2"/>
    <col min="69" max="69" width="9.1328125" customWidth="true" style="2"/>
    <col min="70" max="70" width="9.1328125" customWidth="true" style="2"/>
    <col min="71" max="71" width="9.1328125" customWidth="true" style="2"/>
    <col min="72" max="72" width="9.1328125" customWidth="true" style="2"/>
    <col min="73" max="73" width="9.1328125" customWidth="true" style="2"/>
    <col min="74" max="74" width="9.1328125" customWidth="true" style="2"/>
    <col min="75" max="75" width="9.1328125" customWidth="true" style="2"/>
    <col min="76" max="76" width="9.1328125" customWidth="true" style="2"/>
    <col min="77" max="77" width="9.1328125" customWidth="true" style="2"/>
    <col min="78" max="78" width="9.1328125" customWidth="true" style="2"/>
    <col min="79" max="79" width="9.1328125" customWidth="true" style="2"/>
    <col min="80" max="80" width="9.1328125" customWidth="true" style="2"/>
    <col min="81" max="81" width="9.1328125" customWidth="true" style="2"/>
    <col min="82" max="82" width="9.1328125" customWidth="true" style="2"/>
    <col min="83" max="83" width="9.1328125" customWidth="true" style="2"/>
    <col min="84" max="84" width="9.1328125" customWidth="true" style="2"/>
    <col min="85" max="85" width="9.1328125" customWidth="true" style="2"/>
    <col min="86" max="86" width="9.1328125" customWidth="true" style="2"/>
    <col min="87" max="87" width="9.1328125" customWidth="true" style="2"/>
    <col min="88" max="88" width="9.1328125" customWidth="true" style="2"/>
    <col min="89" max="89" width="9.1328125" customWidth="true" style="2"/>
    <col min="90" max="90" width="9.1328125" customWidth="true" style="2"/>
    <col min="91" max="91" width="9.1328125" customWidth="true" style="2"/>
    <col min="92" max="92" width="9.1328125" customWidth="true" style="2"/>
    <col min="93" max="93" width="9.1328125" customWidth="true" style="2"/>
    <col min="94" max="94" width="9.1328125" customWidth="true" style="2"/>
    <col min="95" max="95" width="9.1328125" customWidth="true" style="2"/>
    <col min="96" max="96" width="9.1328125" customWidth="true" style="2"/>
    <col min="97" max="97" width="9.1328125" customWidth="true" style="2"/>
    <col min="98" max="98" width="9.1328125" customWidth="true" style="2"/>
    <col min="99" max="99" width="9.1328125" customWidth="true" style="2"/>
    <col min="100" max="100" width="9.1328125" customWidth="true" style="2"/>
    <col min="101" max="101" width="9.1328125" customWidth="true" style="2"/>
    <col min="102" max="102" width="9.1328125" customWidth="true" style="2"/>
    <col min="103" max="103" width="9.1328125" customWidth="true" style="2"/>
    <col min="104" max="104" width="9.1328125" customWidth="true" style="2"/>
    <col min="105" max="105" width="9.1328125" customWidth="true" style="2"/>
    <col min="106" max="106" width="9.1328125" customWidth="true" style="2"/>
    <col min="107" max="107" width="9.1328125" customWidth="true" style="2"/>
    <col min="108" max="108" width="9.1328125" customWidth="true" style="2"/>
    <col min="109" max="109" width="9.1328125" customWidth="true" style="2"/>
    <col min="110" max="110" width="9.1328125" customWidth="true" style="2"/>
    <col min="111" max="111" width="9.1328125" customWidth="true" style="2"/>
    <col min="112" max="112" width="9.1328125" customWidth="true" style="2"/>
    <col min="113" max="113" width="9.1328125" customWidth="true" style="2"/>
    <col min="114" max="114" width="9.1328125" customWidth="true" style="2"/>
    <col min="115" max="115" width="9.1328125" customWidth="true" style="2"/>
    <col min="116" max="116" width="9.1328125" customWidth="true" style="2"/>
    <col min="117" max="117" width="9.1328125" customWidth="true" style="2"/>
    <col min="118" max="118" width="9.1328125" customWidth="true" style="2"/>
    <col min="119" max="119" width="9.1328125" customWidth="true" style="2"/>
    <col min="120" max="120" width="9.1328125" customWidth="true" style="2"/>
    <col min="121" max="121" width="9.1328125" customWidth="true" style="2"/>
    <col min="122" max="122" width="9.1328125" customWidth="true" style="2"/>
    <col min="123" max="123" width="9.1328125" customWidth="true" style="2"/>
    <col min="124" max="124" width="9.1328125" customWidth="true" style="2"/>
    <col min="125" max="125" width="9.1328125" customWidth="true" style="2"/>
    <col min="126" max="126" width="9.1328125" customWidth="true" style="2"/>
    <col min="127" max="127" width="9.1328125" customWidth="true" style="2"/>
    <col min="128" max="128" width="9.1328125" customWidth="true" style="2"/>
    <col min="129" max="129" width="9.1328125" customWidth="true" style="2"/>
    <col min="130" max="130" width="9.1328125" customWidth="true" style="2"/>
    <col min="131" max="131" width="9.1328125" customWidth="true" style="2"/>
    <col min="132" max="132" width="9.1328125" customWidth="true" style="2"/>
    <col min="133" max="133" width="9.1328125" customWidth="true" style="2"/>
    <col min="134" max="134" width="9.1328125" customWidth="true" style="2"/>
    <col min="135" max="135" width="9.1328125" customWidth="true" style="2"/>
    <col min="136" max="136" width="9.1328125" customWidth="true" style="2"/>
    <col min="137" max="137" width="9.1328125" customWidth="true" style="2"/>
    <col min="138" max="138" width="9.1328125" customWidth="true" style="2"/>
    <col min="139" max="139" width="9.1328125" customWidth="true" style="2"/>
    <col min="140" max="140" width="9.1328125" customWidth="true" style="2"/>
    <col min="141" max="141" width="9.1328125" customWidth="true" style="2"/>
    <col min="142" max="142" width="9.1328125" customWidth="true" style="2"/>
    <col min="143" max="143" width="9.1328125" customWidth="true" style="2"/>
    <col min="144" max="144" width="9.1328125" customWidth="true" style="2"/>
    <col min="145" max="145" width="9.1328125" customWidth="true" style="2"/>
    <col min="146" max="146" width="9.1328125" customWidth="true" style="2"/>
    <col min="147" max="147" width="9.1328125" customWidth="true" style="2"/>
    <col min="148" max="148" width="9.1328125" customWidth="true" style="2"/>
    <col min="149" max="149" width="9.1328125" customWidth="true" style="2"/>
    <col min="150" max="150" width="9.1328125" customWidth="true" style="2"/>
    <col min="151" max="151" width="9.1328125" customWidth="true" style="2"/>
    <col min="152" max="152" width="9.1328125" customWidth="true" style="2"/>
    <col min="153" max="153" width="9.1328125" customWidth="true" style="2"/>
    <col min="154" max="154" width="9.1328125" customWidth="true" style="2"/>
    <col min="155" max="155" width="9.1328125" customWidth="true" style="2"/>
    <col min="156" max="156" width="9.1328125" customWidth="true" style="2"/>
    <col min="157" max="157" width="9.1328125" customWidth="true" style="2"/>
    <col min="158" max="158" width="9.1328125" customWidth="true" style="2"/>
    <col min="159" max="159" width="9.1328125" customWidth="true" style="2"/>
    <col min="160" max="160" width="9.1328125" customWidth="true" style="2"/>
    <col min="161" max="161" width="9.1328125" customWidth="true" style="2"/>
    <col min="162" max="162" width="9.1328125" customWidth="true" style="2"/>
    <col min="163" max="163" width="9.1328125" customWidth="true" style="2"/>
    <col min="164" max="164" width="9.1328125" customWidth="true" style="2"/>
    <col min="165" max="165" width="9.1328125" customWidth="true" style="2"/>
    <col min="166" max="166" width="9.1328125" customWidth="true" style="2"/>
    <col min="167" max="167" width="9.1328125" customWidth="true" style="2"/>
    <col min="168" max="168" width="9.1328125" customWidth="true" style="2"/>
    <col min="169" max="169" width="9.1328125" customWidth="true" style="2"/>
    <col min="170" max="170" width="9.1328125" customWidth="true" style="2"/>
    <col min="171" max="171" width="9.1328125" customWidth="true" style="2"/>
    <col min="172" max="172" width="9.1328125" customWidth="true" style="2"/>
    <col min="173" max="173" width="9.1328125" customWidth="true" style="2"/>
    <col min="174" max="174" width="9.1328125" customWidth="true" style="2"/>
    <col min="175" max="175" width="9.1328125" customWidth="true" style="2"/>
    <col min="176" max="176" width="9.1328125" customWidth="true" style="2"/>
    <col min="177" max="177" width="9.1328125" customWidth="true" style="2"/>
    <col min="178" max="178" width="9.1328125" customWidth="true" style="2"/>
    <col min="179" max="179" width="9.1328125" customWidth="true" style="2"/>
    <col min="180" max="180" width="9.1328125" customWidth="true" style="2"/>
    <col min="181" max="181" width="9.1328125" customWidth="true" style="2"/>
    <col min="182" max="182" width="9.1328125" customWidth="true" style="2"/>
    <col min="183" max="183" width="9.1328125" customWidth="true" style="2"/>
    <col min="184" max="184" width="9.1328125" customWidth="true" style="2"/>
    <col min="185" max="185" width="9.1328125" customWidth="true" style="2"/>
    <col min="186" max="186" width="9.1328125" customWidth="true" style="2"/>
    <col min="187" max="187" width="9.1328125" customWidth="true" style="2"/>
    <col min="188" max="188" width="9.1328125" customWidth="true" style="2"/>
    <col min="189" max="189" width="9.1328125" customWidth="true" style="2"/>
    <col min="190" max="190" width="9.1328125" customWidth="true" style="2"/>
    <col min="191" max="191" width="9.1328125" customWidth="true" style="2"/>
    <col min="192" max="192" width="9.1328125" customWidth="true" style="2"/>
    <col min="193" max="193" width="9.1328125" customWidth="true" style="2"/>
    <col min="194" max="194" width="9.1328125" customWidth="true" style="2"/>
    <col min="195" max="195" width="9.1328125" customWidth="true" style="2"/>
    <col min="196" max="196" width="9.1328125" customWidth="true" style="2"/>
    <col min="197" max="197" width="9.1328125" customWidth="true" style="2"/>
    <col min="198" max="198" width="9.1328125" customWidth="true" style="2"/>
    <col min="199" max="199" width="9.1328125" customWidth="true" style="2"/>
    <col min="200" max="200" width="9.1328125" customWidth="true" style="2"/>
    <col min="201" max="201" width="9.1328125" customWidth="true" style="2"/>
    <col min="202" max="202" width="9.1328125" customWidth="true" style="2"/>
    <col min="203" max="203" width="9.1328125" customWidth="true" style="2"/>
    <col min="204" max="204" width="9.1328125" customWidth="true" style="2"/>
    <col min="205" max="205" width="9.1328125" customWidth="true" style="2"/>
    <col min="206" max="206" width="9.1328125" customWidth="true" style="2"/>
    <col min="207" max="207" width="9.1328125" customWidth="true" style="2"/>
    <col min="208" max="208" width="9.1328125" customWidth="true" style="2"/>
    <col min="209" max="209" width="9.1328125" customWidth="true" style="2"/>
    <col min="210" max="210" width="9.1328125" customWidth="true" style="2"/>
    <col min="211" max="211" width="9.1328125" customWidth="true" style="2"/>
    <col min="212" max="212" width="9.1328125" customWidth="true" style="2"/>
    <col min="213" max="213" width="9.1328125" customWidth="true" style="2"/>
    <col min="214" max="214" width="9.1328125" customWidth="true" style="2"/>
    <col min="215" max="215" width="9.1328125" customWidth="true" style="2"/>
    <col min="216" max="216" width="9.1328125" customWidth="true" style="2"/>
    <col min="217" max="217" width="9.1328125" customWidth="true" style="2"/>
    <col min="218" max="218" width="9.1328125" customWidth="true" style="2"/>
    <col min="219" max="219" width="9.1328125" customWidth="true" style="2"/>
    <col min="220" max="220" width="9.1328125" customWidth="true" style="2"/>
    <col min="221" max="221" width="9.1328125" customWidth="true" style="2"/>
    <col min="222" max="222" width="9.1328125" customWidth="true" style="2"/>
    <col min="223" max="223" width="9.1328125" customWidth="true" style="2"/>
    <col min="224" max="224" width="9.1328125" customWidth="true" style="2"/>
    <col min="225" max="225" width="9.1328125" customWidth="true" style="2"/>
    <col min="226" max="226" width="9.1328125" customWidth="true" style="2"/>
    <col min="227" max="227" width="9.1328125" customWidth="true" style="2"/>
    <col min="228" max="228" width="9.1328125" customWidth="true" style="2"/>
    <col min="229" max="229" width="9.1328125" customWidth="true" style="2"/>
    <col min="230" max="230" width="9.1328125" customWidth="true" style="2"/>
    <col min="231" max="231" width="9.1328125" customWidth="true" style="2"/>
    <col min="232" max="232" width="9.1328125" customWidth="true" style="2"/>
    <col min="233" max="233" width="9.1328125" customWidth="true" style="2"/>
    <col min="234" max="234" width="9.1328125" customWidth="true" style="2"/>
    <col min="235" max="235" width="9.1328125" customWidth="true" style="2"/>
    <col min="236" max="236" width="9.1328125" customWidth="true" style="2"/>
    <col min="237" max="237" width="9.1328125" customWidth="true" style="2"/>
    <col min="238" max="238" width="9.1328125" customWidth="true" style="2"/>
    <col min="239" max="239" width="9.1328125" customWidth="true" style="2"/>
    <col min="240" max="240" width="9.1328125" customWidth="true" style="2"/>
    <col min="241" max="241" width="9.1328125" customWidth="true" style="2"/>
    <col min="242" max="242" width="9.1328125" customWidth="true" style="2"/>
    <col min="243" max="243" width="9.1328125" customWidth="true" style="2"/>
    <col min="244" max="244" width="9.1328125" customWidth="true" style="2"/>
    <col min="245" max="245" width="9.1328125" customWidth="true" style="2"/>
    <col min="246" max="246" width="9.1328125" customWidth="true" style="2"/>
    <col min="247" max="247" width="9.1328125" customWidth="true" style="2"/>
    <col min="248" max="248" width="9.1328125" customWidth="true" style="2"/>
    <col min="249" max="249" width="9.1328125" customWidth="true" style="2"/>
    <col min="250" max="250" width="9.1328125" customWidth="true" style="2"/>
    <col min="251" max="251" width="9.1328125" customWidth="true" style="2"/>
    <col min="252" max="252" width="9.1328125" customWidth="true" style="2"/>
    <col min="253" max="253" width="9.1328125" customWidth="true" style="2"/>
    <col min="254" max="254" width="9.1328125" customWidth="true" style="2"/>
    <col min="255" max="255" width="9.1328125" customWidth="true" style="2"/>
    <col min="256" max="256" width="9.1328125" customWidth="true" style="2"/>
    <col min="257" max="257" width="9.1328125" customWidth="true" style="2"/>
    <col min="258" max="258" width="9.1328125" customWidth="true" style="2"/>
    <col min="259" max="259" width="9.1328125" customWidth="true" style="2"/>
    <col min="260" max="260" width="9.1328125" customWidth="true" style="2"/>
    <col min="261" max="261" width="9.1328125" customWidth="true" style="2"/>
    <col min="262" max="262" width="9.1328125" customWidth="true" style="2"/>
    <col min="263" max="263" width="9.1328125" customWidth="true" style="2"/>
    <col min="264" max="264" width="9.1328125" customWidth="true" style="2"/>
    <col min="265" max="265" width="9.1328125" customWidth="true" style="2"/>
    <col min="266" max="266" width="9.1328125" customWidth="true" style="2"/>
    <col min="267" max="267" width="9.1328125" customWidth="true" style="2"/>
    <col min="268" max="268" width="9.1328125" customWidth="true" style="2"/>
    <col min="269" max="269" width="9.1328125" customWidth="true" style="2"/>
    <col min="270" max="270" width="9.1328125" customWidth="true" style="2"/>
    <col min="271" max="271" width="9.1328125" customWidth="true" style="2"/>
    <col min="272" max="272" width="9.1328125" customWidth="true" style="2"/>
    <col min="273" max="273" width="9.1328125" customWidth="true" style="2"/>
    <col min="274" max="274" width="9.1328125" customWidth="true" style="2"/>
    <col min="275" max="275" width="9.1328125" customWidth="true" style="2"/>
    <col min="276" max="276" width="9.1328125" customWidth="true" style="2"/>
    <col min="277" max="277" width="9.1328125" customWidth="true" style="2"/>
    <col min="278" max="278" width="9.1328125" customWidth="true" style="2"/>
    <col min="279" max="279" width="9.1328125" customWidth="true" style="2"/>
    <col min="280" max="280" width="9.1328125" customWidth="true" style="2"/>
    <col min="281" max="281" width="9.1328125" customWidth="true" style="2"/>
    <col min="282" max="282" width="9.1328125" customWidth="true" style="2"/>
    <col min="283" max="283" width="9.1328125" customWidth="true" style="2"/>
    <col min="284" max="284" width="9.1328125" customWidth="true" style="2"/>
    <col min="285" max="285" width="9.1328125" customWidth="true" style="2"/>
    <col min="286" max="286" width="9.1328125" customWidth="true" style="2"/>
    <col min="287" max="287" width="9.1328125" customWidth="true" style="2"/>
    <col min="288" max="288" width="9.1328125" customWidth="true" style="2"/>
    <col min="289" max="289" width="9.1328125" customWidth="true" style="2"/>
    <col min="290" max="290" width="9.1328125" customWidth="true" style="2"/>
    <col min="291" max="291" width="9.1328125" customWidth="true" style="2"/>
    <col min="292" max="292" width="9.1328125" customWidth="true" style="2"/>
    <col min="293" max="293" width="9.1328125" customWidth="true" style="2"/>
    <col min="294" max="294" width="9.1328125" customWidth="true" style="2"/>
    <col min="295" max="295" width="9.1328125" customWidth="true" style="2"/>
    <col min="296" max="296" width="9.1328125" customWidth="true" style="2"/>
    <col min="297" max="297" width="9.1328125" customWidth="true" style="2"/>
    <col min="298" max="298" width="9.1328125" customWidth="true" style="2"/>
    <col min="299" max="299" width="9.1328125" customWidth="true" style="2"/>
    <col min="300" max="300" width="9.1328125" customWidth="true" style="2"/>
    <col min="301" max="301" width="9.1328125" customWidth="true" style="2"/>
    <col min="302" max="302" width="9.1328125" customWidth="true" style="2"/>
    <col min="303" max="303" width="9.1328125" customWidth="true" style="2"/>
    <col min="304" max="304" width="9.1328125" customWidth="true" style="2"/>
    <col min="305" max="305" width="9.1328125" customWidth="true" style="2"/>
    <col min="306" max="306" width="9.1328125" customWidth="true" style="2"/>
    <col min="307" max="307" width="9.1328125" customWidth="true" style="2"/>
    <col min="308" max="308" width="9.1328125" customWidth="true" style="2"/>
    <col min="309" max="309" width="9.1328125" customWidth="true" style="2"/>
    <col min="310" max="310" width="9.1328125" customWidth="true" style="2"/>
    <col min="311" max="311" width="9.1328125" customWidth="true" style="2"/>
    <col min="312" max="312" width="9.1328125" customWidth="true" style="2"/>
    <col min="313" max="313" width="9.1328125" customWidth="true" style="2"/>
    <col min="314" max="314" width="9.1328125" customWidth="true" style="2"/>
    <col min="315" max="315" width="9.1328125" customWidth="true" style="2"/>
    <col min="316" max="316" width="9.1328125" customWidth="true" style="2"/>
    <col min="317" max="317" width="9.1328125" customWidth="true" style="2"/>
    <col min="318" max="318" width="9.1328125" customWidth="true" style="2"/>
    <col min="319" max="319" width="9.1328125" customWidth="true" style="2"/>
    <col min="320" max="320" width="9.1328125" customWidth="true" style="2"/>
    <col min="321" max="321" width="9.1328125" customWidth="true" style="2"/>
    <col min="322" max="322" width="9.1328125" customWidth="true" style="2"/>
    <col min="323" max="323" width="9.1328125" customWidth="true" style="2"/>
    <col min="324" max="324" width="9.1328125" customWidth="true" style="2"/>
    <col min="325" max="325" width="9.1328125" customWidth="true" style="2"/>
    <col min="326" max="326" width="9.1328125" customWidth="true" style="2"/>
    <col min="327" max="327" width="9.1328125" customWidth="true" style="2"/>
    <col min="328" max="328" width="9.1328125" customWidth="true" style="2"/>
    <col min="329" max="329" width="9.1328125" customWidth="true" style="2"/>
    <col min="330" max="330" width="9.1328125" customWidth="true" style="2"/>
    <col min="331" max="331" width="9.1328125" customWidth="true" style="2"/>
    <col min="332" max="332" width="9.1328125" customWidth="true" style="2"/>
    <col min="333" max="333" width="9.1328125" customWidth="true" style="2"/>
    <col min="334" max="334" width="9.1328125" customWidth="true" style="2"/>
    <col min="335" max="335" width="9.1328125" customWidth="true" style="2"/>
    <col min="336" max="336" width="9.1328125" customWidth="true" style="2"/>
    <col min="337" max="337" width="9.1328125" customWidth="true" style="2"/>
    <col min="338" max="338" width="9.1328125" customWidth="true" style="2"/>
    <col min="339" max="339" width="9.1328125" customWidth="true" style="2"/>
    <col min="340" max="340" width="9.1328125" customWidth="true" style="2"/>
    <col min="341" max="341" width="9.1328125" customWidth="true" style="2"/>
    <col min="342" max="342" width="9.1328125" customWidth="true" style="2"/>
    <col min="343" max="343" width="9.1328125" customWidth="true" style="2"/>
    <col min="344" max="344" width="9.1328125" customWidth="true" style="2"/>
    <col min="345" max="345" width="9.1328125" customWidth="true" style="2"/>
    <col min="346" max="346" width="9.1328125" customWidth="true" style="2"/>
    <col min="347" max="347" width="9.1328125" customWidth="true" style="2"/>
    <col min="348" max="348" width="9.1328125" customWidth="true" style="2"/>
    <col min="349" max="349" width="9.1328125" customWidth="true" style="2"/>
    <col min="350" max="350" width="9.1328125" customWidth="true" style="2"/>
    <col min="351" max="351" width="9.1328125" customWidth="true" style="2"/>
    <col min="352" max="352" width="9.1328125" customWidth="true" style="2"/>
    <col min="353" max="353" width="9.1328125" customWidth="true" style="2"/>
    <col min="354" max="354" width="9.1328125" customWidth="true" style="2"/>
    <col min="355" max="355" width="9.1328125" customWidth="true" style="2"/>
    <col min="356" max="356" width="9.1328125" customWidth="true" style="2"/>
    <col min="357" max="357" width="9.1328125" customWidth="true" style="2"/>
    <col min="358" max="358" width="9.1328125" customWidth="true" style="2"/>
    <col min="359" max="359" width="9.1328125" customWidth="true" style="2"/>
    <col min="360" max="360" width="9.1328125" customWidth="true" style="2"/>
    <col min="361" max="361" width="9.1328125" customWidth="true" style="2"/>
    <col min="362" max="362" width="9.1328125" customWidth="true" style="2"/>
    <col min="363" max="363" width="9.1328125" customWidth="true" style="2"/>
    <col min="364" max="364" width="9.1328125" customWidth="true" style="2"/>
    <col min="365" max="365" width="9.1328125" customWidth="true" style="2"/>
    <col min="366" max="366" width="9.1328125" customWidth="true" style="2"/>
    <col min="367" max="367" width="9.1328125" customWidth="true" style="2"/>
    <col min="368" max="368" width="9.1328125" customWidth="true" style="2"/>
    <col min="369" max="369" width="9.1328125" customWidth="true" style="2"/>
    <col min="370" max="370" width="9.1328125" customWidth="true" style="2"/>
    <col min="371" max="371" width="9.1328125" customWidth="true" style="2"/>
    <col min="372" max="372" width="9.1328125" customWidth="true" style="2"/>
    <col min="373" max="373" width="9.1328125" customWidth="true" style="2"/>
    <col min="374" max="374" width="9.1328125" customWidth="true" style="2"/>
    <col min="375" max="375" width="9.1328125" customWidth="true" style="2"/>
    <col min="376" max="376" width="9.1328125" customWidth="true" style="2"/>
    <col min="377" max="377" width="9.1328125" customWidth="true" style="2"/>
    <col min="378" max="378" width="9.1328125" customWidth="true" style="2"/>
    <col min="379" max="379" width="9.1328125" customWidth="true" style="2"/>
    <col min="380" max="380" width="9.1328125" customWidth="true" style="2"/>
    <col min="381" max="381" width="9.1328125" customWidth="true" style="2"/>
    <col min="382" max="382" width="9.1328125" customWidth="true" style="2"/>
    <col min="383" max="383" width="9.1328125" customWidth="true" style="2"/>
    <col min="384" max="384" width="9.1328125" customWidth="true" style="2"/>
    <col min="385" max="385" width="9.1328125" customWidth="true" style="2"/>
    <col min="386" max="386" width="9.1328125" customWidth="true" style="2"/>
    <col min="387" max="387" width="9.1328125" customWidth="true" style="2"/>
    <col min="388" max="388" width="9.1328125" customWidth="true" style="2"/>
    <col min="389" max="389" width="9.1328125" customWidth="true" style="2"/>
    <col min="390" max="390" width="9.1328125" customWidth="true" style="2"/>
    <col min="391" max="391" width="9.1328125" customWidth="true" style="2"/>
    <col min="392" max="392" width="9.1328125" customWidth="true" style="2"/>
    <col min="393" max="393" width="9.1328125" customWidth="true" style="2"/>
    <col min="394" max="394" width="9.1328125" customWidth="true" style="2"/>
    <col min="395" max="395" width="9.1328125" customWidth="true" style="2"/>
    <col min="396" max="396" width="9.1328125" customWidth="true" style="2"/>
    <col min="397" max="397" width="9.1328125" customWidth="true" style="2"/>
    <col min="398" max="398" width="9.1328125" customWidth="true" style="2"/>
    <col min="399" max="399" width="9.1328125" customWidth="true" style="2"/>
    <col min="400" max="400" width="9.1328125" customWidth="true" style="2"/>
    <col min="401" max="401" width="9.1328125" customWidth="true" style="2"/>
    <col min="402" max="402" width="9.1328125" customWidth="true" style="2"/>
    <col min="403" max="403" width="9.1328125" customWidth="true" style="2"/>
    <col min="404" max="404" width="9.1328125" customWidth="true" style="2"/>
    <col min="405" max="405" width="9.1328125" customWidth="true" style="2"/>
    <col min="406" max="406" width="9.1328125" customWidth="true" style="2"/>
    <col min="407" max="407" width="9.1328125" customWidth="true" style="2"/>
    <col min="408" max="408" width="9.1328125" customWidth="true" style="2"/>
    <col min="409" max="409" width="9.1328125" customWidth="true" style="2"/>
    <col min="410" max="410" width="9.1328125" customWidth="true" style="2"/>
    <col min="411" max="411" width="9.1328125" customWidth="true" style="2"/>
    <col min="412" max="412" width="9.1328125" customWidth="true" style="2"/>
    <col min="413" max="413" width="9.1328125" customWidth="true" style="2"/>
    <col min="414" max="414" width="9.1328125" customWidth="true" style="2"/>
    <col min="415" max="415" width="9.1328125" customWidth="true" style="2"/>
    <col min="416" max="416" width="9.1328125" customWidth="true" style="2"/>
    <col min="417" max="417" width="9.1328125" customWidth="true" style="2"/>
    <col min="418" max="418" width="9.1328125" customWidth="true" style="2"/>
    <col min="419" max="419" width="9.1328125" customWidth="true" style="2"/>
    <col min="420" max="420" width="9.1328125" customWidth="true" style="2"/>
    <col min="421" max="421" width="9.1328125" customWidth="true" style="2"/>
    <col min="422" max="422" width="9.1328125" customWidth="true" style="2"/>
    <col min="423" max="423" width="9.1328125" customWidth="true" style="2"/>
    <col min="424" max="424" width="9.1328125" customWidth="true" style="2"/>
    <col min="425" max="425" width="9.1328125" customWidth="true" style="2"/>
    <col min="426" max="426" width="9.1328125" customWidth="true" style="2"/>
    <col min="427" max="427" width="9.1328125" customWidth="true" style="2"/>
    <col min="428" max="428" width="9.1328125" customWidth="true" style="2"/>
    <col min="429" max="429" width="9.1328125" customWidth="true" style="2"/>
    <col min="430" max="430" width="9.1328125" customWidth="true" style="2"/>
    <col min="431" max="431" width="9.1328125" customWidth="true" style="2"/>
    <col min="432" max="432" width="9.1328125" customWidth="true" style="2"/>
    <col min="433" max="433" width="9.1328125" customWidth="true" style="2"/>
    <col min="434" max="434" width="9.1328125" customWidth="true" style="2"/>
    <col min="435" max="435" width="9.1328125" customWidth="true" style="2"/>
    <col min="436" max="436" width="9.1328125" customWidth="true" style="2"/>
    <col min="437" max="437" width="9.1328125" customWidth="true" style="2"/>
    <col min="438" max="438" width="9.1328125" customWidth="true" style="2"/>
    <col min="439" max="439" width="9.1328125" customWidth="true" style="2"/>
    <col min="440" max="440" width="9.1328125" customWidth="true" style="2"/>
    <col min="441" max="441" width="9.1328125" customWidth="true" style="2"/>
    <col min="442" max="442" width="9.1328125" customWidth="true" style="2"/>
    <col min="443" max="443" width="9.1328125" customWidth="true" style="2"/>
    <col min="444" max="444" width="9.1328125" customWidth="true" style="2"/>
    <col min="445" max="445" width="9.1328125" customWidth="true" style="2"/>
    <col min="446" max="446" width="9.1328125" customWidth="true" style="2"/>
    <col min="447" max="447" width="9.1328125" customWidth="true" style="2"/>
    <col min="448" max="448" width="9.1328125" customWidth="true" style="2"/>
    <col min="449" max="449" width="9.1328125" customWidth="true" style="2"/>
    <col min="450" max="450" width="9.1328125" customWidth="true" style="2"/>
    <col min="451" max="451" width="9.1328125" customWidth="true" style="2"/>
    <col min="452" max="452" width="9.1328125" customWidth="true" style="2"/>
    <col min="453" max="453" width="9.1328125" customWidth="true" style="2"/>
    <col min="454" max="454" width="9.1328125" customWidth="true" style="2"/>
    <col min="455" max="455" width="9.1328125" customWidth="true" style="2"/>
    <col min="456" max="456" width="9.1328125" customWidth="true" style="2"/>
    <col min="457" max="457" width="9.1328125" customWidth="true" style="2"/>
    <col min="458" max="458" width="9.1328125" customWidth="true" style="2"/>
    <col min="459" max="459" width="9.1328125" customWidth="true" style="2"/>
    <col min="460" max="460" width="9.1328125" customWidth="true" style="2"/>
    <col min="461" max="461" width="9.1328125" customWidth="true" style="2"/>
    <col min="462" max="462" width="9.1328125" customWidth="true" style="2"/>
    <col min="463" max="463" width="9.1328125" customWidth="true" style="2"/>
    <col min="464" max="464" width="9.1328125" customWidth="true" style="2"/>
    <col min="465" max="465" width="9.1328125" customWidth="true" style="2"/>
    <col min="466" max="466" width="9.1328125" customWidth="true" style="2"/>
    <col min="467" max="467" width="9.1328125" customWidth="true" style="2"/>
    <col min="468" max="468" width="9.1328125" customWidth="true" style="2"/>
    <col min="469" max="469" width="9.1328125" customWidth="true" style="2"/>
    <col min="470" max="470" width="9.1328125" customWidth="true" style="2"/>
    <col min="471" max="471" width="9.1328125" customWidth="true" style="2"/>
    <col min="472" max="472" width="9.1328125" customWidth="true" style="2"/>
    <col min="473" max="473" width="9.1328125" customWidth="true" style="2"/>
    <col min="474" max="474" width="9.1328125" customWidth="true" style="2"/>
    <col min="475" max="475" width="9.1328125" customWidth="true" style="2"/>
    <col min="476" max="476" width="9.1328125" customWidth="true" style="2"/>
    <col min="477" max="477" width="9.1328125" customWidth="true" style="2"/>
    <col min="478" max="478" width="9.1328125" customWidth="true" style="2"/>
    <col min="479" max="479" width="9.1328125" customWidth="true" style="2"/>
    <col min="480" max="480" width="9.1328125" customWidth="true" style="2"/>
    <col min="481" max="481" width="9.1328125" customWidth="true" style="2"/>
    <col min="482" max="482" width="9.1328125" customWidth="true" style="2"/>
    <col min="483" max="483" width="9.1328125" customWidth="true" style="2"/>
    <col min="484" max="484" width="9.1328125" customWidth="true" style="2"/>
    <col min="485" max="485" width="9.1328125" customWidth="true" style="2"/>
    <col min="486" max="486" width="9.1328125" customWidth="true" style="2"/>
    <col min="487" max="487" width="9.1328125" customWidth="true" style="2"/>
    <col min="488" max="488" width="9.1328125" customWidth="true" style="2"/>
    <col min="489" max="489" width="9.1328125" customWidth="true" style="2"/>
    <col min="490" max="490" width="9.1328125" customWidth="true" style="2"/>
    <col min="491" max="491" width="9.1328125" customWidth="true" style="2"/>
    <col min="492" max="492" width="9.1328125" customWidth="true" style="2"/>
    <col min="493" max="493" width="9.1328125" customWidth="true" style="2"/>
    <col min="494" max="494" width="9.1328125" customWidth="true" style="2"/>
    <col min="495" max="495" width="9.1328125" customWidth="true" style="2"/>
    <col min="496" max="496" width="9.1328125" customWidth="true" style="2"/>
    <col min="497" max="497" width="9.1328125" customWidth="true" style="2"/>
    <col min="498" max="498" width="9.1328125" customWidth="true" style="2"/>
    <col min="499" max="499" width="9.1328125" customWidth="true" style="2"/>
    <col min="500" max="500" width="9.1328125" customWidth="true" style="2"/>
    <col min="501" max="501" width="9.1328125" customWidth="true" style="2"/>
    <col min="502" max="502" width="9.1328125" customWidth="true" style="2"/>
    <col min="503" max="503" width="9.1328125" customWidth="true" style="2"/>
    <col min="504" max="504" width="9.1328125" customWidth="true" style="2"/>
    <col min="505" max="505" width="9.1328125" customWidth="true" style="2"/>
    <col min="506" max="506" width="9.1328125" customWidth="true" style="2"/>
    <col min="507" max="507" width="9.1328125" customWidth="true" style="2"/>
    <col min="508" max="508" width="9.1328125" customWidth="true" style="2"/>
    <col min="509" max="509" width="9.1328125" customWidth="true" style="2"/>
    <col min="510" max="510" width="9.1328125" customWidth="true" style="2"/>
    <col min="511" max="511" width="9.1328125" customWidth="true" style="2"/>
    <col min="512" max="512" width="9.1328125" customWidth="true" style="2"/>
    <col min="513" max="513" width="9.1328125" customWidth="true" style="2"/>
    <col min="514" max="514" width="9.1328125" customWidth="true" style="2"/>
    <col min="515" max="515" width="9.1328125" customWidth="true" style="2"/>
    <col min="516" max="516" width="9.1328125" customWidth="true" style="2"/>
    <col min="517" max="517" width="9.1328125" customWidth="true" style="2"/>
    <col min="518" max="518" width="9.1328125" customWidth="true" style="2"/>
    <col min="519" max="519" width="9.1328125" customWidth="true" style="2"/>
    <col min="520" max="520" width="9.1328125" customWidth="true" style="2"/>
    <col min="521" max="521" width="9.1328125" customWidth="true" style="2"/>
    <col min="522" max="522" width="9.1328125" customWidth="true" style="2"/>
    <col min="523" max="523" width="9.1328125" customWidth="true" style="2"/>
    <col min="524" max="524" width="9.1328125" customWidth="true" style="2"/>
    <col min="525" max="525" width="9.1328125" customWidth="true" style="2"/>
    <col min="526" max="526" width="9.1328125" customWidth="true" style="2"/>
    <col min="527" max="527" width="9.1328125" customWidth="true" style="2"/>
    <col min="528" max="528" width="9.1328125" customWidth="true" style="2"/>
    <col min="529" max="529" width="9.1328125" customWidth="true" style="2"/>
    <col min="530" max="530" width="9.1328125" customWidth="true" style="2"/>
    <col min="531" max="531" width="9.1328125" customWidth="true" style="2"/>
    <col min="532" max="532" width="9.1328125" customWidth="true" style="2"/>
    <col min="533" max="533" width="9.1328125" customWidth="true" style="2"/>
    <col min="534" max="534" width="9.1328125" customWidth="true" style="2"/>
    <col min="535" max="535" width="9.1328125" customWidth="true" style="2"/>
    <col min="536" max="536" width="9.1328125" customWidth="true" style="2"/>
    <col min="537" max="537" width="9.1328125" customWidth="true" style="2"/>
    <col min="538" max="538" width="9.1328125" customWidth="true" style="2"/>
    <col min="539" max="539" width="9.1328125" customWidth="true" style="2"/>
    <col min="540" max="540" width="9.1328125" customWidth="true" style="2"/>
    <col min="541" max="541" width="9.1328125" customWidth="true" style="2"/>
    <col min="542" max="542" width="9.1328125" customWidth="true" style="2"/>
    <col min="543" max="543" width="9.1328125" customWidth="true" style="2"/>
    <col min="544" max="544" width="9.1328125" customWidth="true" style="2"/>
    <col min="545" max="545" width="9.1328125" customWidth="true" style="2"/>
    <col min="546" max="546" width="9.1328125" customWidth="true" style="2"/>
    <col min="547" max="547" width="9.1328125" customWidth="true" style="2"/>
    <col min="548" max="548" width="9.1328125" customWidth="true" style="2"/>
    <col min="549" max="549" width="9.1328125" customWidth="true" style="2"/>
    <col min="550" max="550" width="9.1328125" customWidth="true" style="2"/>
    <col min="551" max="551" width="9.1328125" customWidth="true" style="2"/>
    <col min="552" max="552" width="9.1328125" customWidth="true" style="2"/>
    <col min="553" max="553" width="9.1328125" customWidth="true" style="2"/>
    <col min="554" max="554" width="9.1328125" customWidth="true" style="2"/>
    <col min="555" max="555" width="9.1328125" customWidth="true" style="2"/>
    <col min="556" max="556" width="9.1328125" customWidth="true" style="2"/>
    <col min="557" max="557" width="9.1328125" customWidth="true" style="2"/>
    <col min="558" max="558" width="9.1328125" customWidth="true" style="2"/>
    <col min="559" max="559" width="9.1328125" customWidth="true" style="2"/>
    <col min="560" max="560" width="9.1328125" customWidth="true" style="2"/>
    <col min="561" max="561" width="9.1328125" customWidth="true" style="2"/>
    <col min="562" max="562" width="9.1328125" customWidth="true" style="2"/>
    <col min="563" max="563" width="9.1328125" customWidth="true" style="2"/>
    <col min="564" max="564" width="9.1328125" customWidth="true" style="2"/>
    <col min="565" max="565" width="9.1328125" customWidth="true" style="2"/>
    <col min="566" max="566" width="9.1328125" customWidth="true" style="2"/>
    <col min="567" max="567" width="9.1328125" customWidth="true" style="2"/>
    <col min="568" max="568" width="9.1328125" customWidth="true" style="2"/>
    <col min="569" max="569" width="9.1328125" customWidth="true" style="2"/>
    <col min="570" max="570" width="9.1328125" customWidth="true" style="2"/>
    <col min="571" max="571" width="9.1328125" customWidth="true" style="2"/>
    <col min="572" max="572" width="9.1328125" customWidth="true" style="2"/>
    <col min="573" max="573" width="9.1328125" customWidth="true" style="2"/>
    <col min="574" max="574" width="9.1328125" customWidth="true" style="2"/>
    <col min="575" max="575" width="9.1328125" customWidth="true" style="2"/>
    <col min="576" max="576" width="9.1328125" customWidth="true" style="2"/>
    <col min="577" max="577" width="9.1328125" customWidth="true" style="2"/>
    <col min="578" max="578" width="9.1328125" customWidth="true" style="2"/>
    <col min="579" max="579" width="9.1328125" customWidth="true" style="2"/>
    <col min="580" max="580" width="9.1328125" customWidth="true" style="2"/>
    <col min="581" max="581" width="9.1328125" customWidth="true" style="2"/>
    <col min="582" max="582" width="9.1328125" customWidth="true" style="2"/>
    <col min="583" max="583" width="9.1328125" customWidth="true" style="2"/>
    <col min="584" max="584" width="9.1328125" customWidth="true" style="2"/>
    <col min="585" max="585" width="9.1328125" customWidth="true" style="2"/>
    <col min="586" max="586" width="9.1328125" customWidth="true" style="2"/>
    <col min="587" max="587" width="9.1328125" customWidth="true" style="2"/>
    <col min="588" max="588" width="9.1328125" customWidth="true" style="2"/>
    <col min="589" max="589" width="9.1328125" customWidth="true" style="2"/>
    <col min="590" max="590" width="9.1328125" customWidth="true" style="2"/>
    <col min="591" max="591" width="9.1328125" customWidth="true" style="2"/>
    <col min="592" max="592" width="9.1328125" customWidth="true" style="2"/>
    <col min="593" max="593" width="9.1328125" customWidth="true" style="2"/>
    <col min="594" max="594" width="9.1328125" customWidth="true" style="2"/>
    <col min="595" max="595" width="9.1328125" customWidth="true" style="2"/>
    <col min="596" max="596" width="9.1328125" customWidth="true" style="2"/>
    <col min="597" max="597" width="9.1328125" customWidth="true" style="2"/>
    <col min="598" max="598" width="9.1328125" customWidth="true" style="2"/>
    <col min="599" max="599" width="9.1328125" customWidth="true" style="2"/>
    <col min="600" max="600" width="9.1328125" customWidth="true" style="2"/>
    <col min="601" max="601" width="9.1328125" customWidth="true" style="2"/>
    <col min="602" max="602" width="9.1328125" customWidth="true" style="2"/>
    <col min="603" max="603" width="9.1328125" customWidth="true" style="2"/>
    <col min="604" max="604" width="9.1328125" customWidth="true" style="2"/>
    <col min="605" max="605" width="9.1328125" customWidth="true" style="2"/>
    <col min="606" max="606" width="9.1328125" customWidth="true" style="2"/>
    <col min="607" max="607" width="9.1328125" customWidth="true" style="2"/>
    <col min="608" max="608" width="9.1328125" customWidth="true" style="2"/>
    <col min="609" max="609" width="9.1328125" customWidth="true" style="2"/>
    <col min="610" max="610" width="9.1328125" customWidth="true" style="2"/>
    <col min="611" max="611" width="9.1328125" customWidth="true" style="2"/>
    <col min="612" max="612" width="9.1328125" customWidth="true" style="2"/>
    <col min="613" max="613" width="9.1328125" customWidth="true" style="2"/>
    <col min="614" max="614" width="9.1328125" customWidth="true" style="2"/>
    <col min="615" max="615" width="9.1328125" customWidth="true" style="2"/>
    <col min="616" max="616" width="9.1328125" customWidth="true" style="2"/>
    <col min="617" max="617" width="9.1328125" customWidth="true" style="2"/>
    <col min="618" max="618" width="9.1328125" customWidth="true" style="2"/>
    <col min="619" max="619" width="9.1328125" customWidth="true" style="2"/>
    <col min="620" max="620" width="9.1328125" customWidth="true" style="2"/>
    <col min="621" max="621" width="9.1328125" customWidth="true" style="2"/>
    <col min="622" max="622" width="9.1328125" customWidth="true" style="2"/>
    <col min="623" max="623" width="9.1328125" customWidth="true" style="2"/>
    <col min="624" max="624" width="9.1328125" customWidth="true" style="2"/>
    <col min="625" max="625" width="9.1328125" customWidth="true" style="2"/>
    <col min="626" max="626" width="9.1328125" customWidth="true" style="2"/>
    <col min="627" max="627" width="9.1328125" customWidth="true" style="2"/>
    <col min="628" max="628" width="9.1328125" customWidth="true" style="2"/>
    <col min="629" max="629" width="9.1328125" customWidth="true" style="2"/>
    <col min="630" max="630" width="9.1328125" customWidth="true" style="2"/>
    <col min="631" max="631" width="9.1328125" customWidth="true" style="2"/>
    <col min="632" max="632" width="9.1328125" customWidth="true" style="2"/>
    <col min="633" max="633" width="9.1328125" customWidth="true" style="2"/>
    <col min="634" max="634" width="9.1328125" customWidth="true" style="2"/>
    <col min="635" max="635" width="9.1328125" customWidth="true" style="2"/>
    <col min="636" max="636" width="9.1328125" customWidth="true" style="2"/>
    <col min="637" max="637" width="9.1328125" customWidth="true" style="2"/>
    <col min="638" max="638" width="9.1328125" customWidth="true" style="2"/>
    <col min="639" max="639" width="9.1328125" customWidth="true" style="2"/>
    <col min="640" max="640" width="9.1328125" customWidth="true" style="2"/>
    <col min="641" max="641" width="9.1328125" customWidth="true" style="2"/>
    <col min="642" max="642" width="9.1328125" customWidth="true" style="2"/>
    <col min="643" max="643" width="9.1328125" customWidth="true" style="2"/>
    <col min="644" max="644" width="9.1328125" customWidth="true" style="2"/>
    <col min="645" max="645" width="9.1328125" customWidth="true" style="2"/>
    <col min="646" max="646" width="9.1328125" customWidth="true" style="2"/>
    <col min="647" max="647" width="9.1328125" customWidth="true" style="2"/>
    <col min="648" max="648" width="9.1328125" customWidth="true" style="2"/>
    <col min="649" max="649" width="9.1328125" customWidth="true" style="2"/>
    <col min="650" max="650" width="9.1328125" customWidth="true" style="2"/>
    <col min="651" max="651" width="9.1328125" customWidth="true" style="2"/>
    <col min="652" max="652" width="9.1328125" customWidth="true" style="2"/>
    <col min="653" max="653" width="9.1328125" customWidth="true" style="2"/>
    <col min="654" max="654" width="9.1328125" customWidth="true" style="2"/>
    <col min="655" max="655" width="9.1328125" customWidth="true" style="2"/>
    <col min="656" max="656" width="9.1328125" customWidth="true" style="2"/>
    <col min="657" max="657" width="9.1328125" customWidth="true" style="2"/>
    <col min="658" max="658" width="9.1328125" customWidth="true" style="2"/>
    <col min="659" max="659" width="9.1328125" customWidth="true" style="2"/>
    <col min="660" max="660" width="9.1328125" customWidth="true" style="2"/>
    <col min="661" max="661" width="9.1328125" customWidth="true" style="2"/>
    <col min="662" max="662" width="9.1328125" customWidth="true" style="2"/>
    <col min="663" max="663" width="9.1328125" customWidth="true" style="2"/>
    <col min="664" max="664" width="9.1328125" customWidth="true" style="2"/>
    <col min="665" max="665" width="9.1328125" customWidth="true" style="2"/>
    <col min="666" max="666" width="9.1328125" customWidth="true" style="2"/>
    <col min="667" max="667" width="9.1328125" customWidth="true" style="2"/>
    <col min="668" max="668" width="9.1328125" customWidth="true" style="2"/>
    <col min="669" max="669" width="9.1328125" customWidth="true" style="2"/>
    <col min="670" max="670" width="9.1328125" customWidth="true" style="2"/>
    <col min="671" max="671" width="9.1328125" customWidth="true" style="2"/>
    <col min="672" max="672" width="9.1328125" customWidth="true" style="2"/>
    <col min="673" max="673" width="9.1328125" customWidth="true" style="2"/>
    <col min="674" max="674" width="9.1328125" customWidth="true" style="2"/>
    <col min="675" max="675" width="9.1328125" customWidth="true" style="2"/>
    <col min="676" max="676" width="9.1328125" customWidth="true" style="2"/>
    <col min="677" max="677" width="9.1328125" customWidth="true" style="2"/>
    <col min="678" max="678" width="9.1328125" customWidth="true" style="2"/>
    <col min="679" max="679" width="9.1328125" customWidth="true" style="2"/>
    <col min="680" max="680" width="9.1328125" customWidth="true" style="2"/>
    <col min="681" max="681" width="9.1328125" customWidth="true" style="2"/>
    <col min="682" max="682" width="9.1328125" customWidth="true" style="2"/>
    <col min="683" max="683" width="9.1328125" customWidth="true" style="2"/>
    <col min="684" max="684" width="9.1328125" customWidth="true" style="2"/>
    <col min="685" max="685" width="9.1328125" customWidth="true" style="2"/>
    <col min="686" max="686" width="9.1328125" customWidth="true" style="2"/>
    <col min="687" max="687" width="9.1328125" customWidth="true" style="2"/>
    <col min="688" max="688" width="9.1328125" customWidth="true" style="2"/>
    <col min="689" max="689" width="9.1328125" customWidth="true" style="2"/>
    <col min="690" max="690" width="9.1328125" customWidth="true" style="2"/>
    <col min="691" max="691" width="9.1328125" customWidth="true" style="2"/>
    <col min="692" max="692" width="9.1328125" customWidth="true" style="2"/>
    <col min="693" max="693" width="9.1328125" customWidth="true" style="2"/>
    <col min="694" max="694" width="9.1328125" customWidth="true" style="2"/>
    <col min="695" max="695" width="9.1328125" customWidth="true" style="2"/>
    <col min="696" max="696" width="9.1328125" customWidth="true" style="2"/>
    <col min="697" max="697" width="9.1328125" customWidth="true" style="2"/>
    <col min="698" max="698" width="9.1328125" customWidth="true" style="2"/>
    <col min="699" max="699" width="9.1328125" customWidth="true" style="2"/>
    <col min="700" max="700" width="9.1328125" customWidth="true" style="2"/>
    <col min="701" max="701" width="9.1328125" customWidth="true" style="2"/>
    <col min="702" max="702" width="9.1328125" customWidth="true" style="2"/>
    <col min="703" max="703" width="9.1328125" customWidth="true" style="2"/>
    <col min="704" max="704" width="9.1328125" customWidth="true" style="2"/>
    <col min="705" max="705" width="9.1328125" customWidth="true" style="2"/>
    <col min="706" max="706" width="9.1328125" customWidth="true" style="2"/>
    <col min="707" max="707" width="9.1328125" customWidth="true" style="2"/>
    <col min="708" max="708" width="9.1328125" customWidth="true" style="2"/>
    <col min="709" max="709" width="9.1328125" customWidth="true" style="2"/>
    <col min="710" max="710" width="9.1328125" customWidth="true" style="2"/>
    <col min="711" max="711" width="9.1328125" customWidth="true" style="2"/>
    <col min="712" max="712" width="9.1328125" customWidth="true" style="2"/>
    <col min="713" max="713" width="9.1328125" customWidth="true" style="2"/>
    <col min="714" max="714" width="9.1328125" customWidth="true" style="2"/>
    <col min="715" max="715" width="9.1328125" customWidth="true" style="2"/>
    <col min="716" max="716" width="9.1328125" customWidth="true" style="2"/>
    <col min="717" max="717" width="9.1328125" customWidth="true" style="2"/>
    <col min="718" max="718" width="9.1328125" customWidth="true" style="2"/>
    <col min="719" max="719" width="9.1328125" customWidth="true" style="2"/>
    <col min="720" max="720" width="9.1328125" customWidth="true" style="2"/>
    <col min="721" max="721" width="9.1328125" customWidth="true" style="2"/>
    <col min="722" max="722" width="9.1328125" customWidth="true" style="2"/>
    <col min="723" max="723" width="9.1328125" customWidth="true" style="2"/>
    <col min="724" max="724" width="9.1328125" customWidth="true" style="2"/>
    <col min="725" max="725" width="9.1328125" customWidth="true" style="2"/>
    <col min="726" max="726" width="9.1328125" customWidth="true" style="2"/>
    <col min="727" max="727" width="9.1328125" customWidth="true" style="2"/>
    <col min="728" max="728" width="9.1328125" customWidth="true" style="2"/>
    <col min="729" max="729" width="9.1328125" customWidth="true" style="2"/>
    <col min="730" max="730" width="9.1328125" customWidth="true" style="2"/>
    <col min="731" max="731" width="9.1328125" customWidth="true" style="2"/>
    <col min="732" max="732" width="9.1328125" customWidth="true" style="2"/>
    <col min="733" max="733" width="9.1328125" customWidth="true" style="2"/>
    <col min="734" max="734" width="9.1328125" customWidth="true" style="2"/>
    <col min="735" max="735" width="9.1328125" customWidth="true" style="2"/>
    <col min="736" max="736" width="9.1328125" customWidth="true" style="2"/>
    <col min="737" max="737" width="9.1328125" customWidth="true" style="2"/>
    <col min="738" max="738" width="9.1328125" customWidth="true" style="2"/>
    <col min="739" max="739" width="9.1328125" customWidth="true" style="2"/>
    <col min="740" max="740" width="9.1328125" customWidth="true" style="2"/>
    <col min="741" max="741" width="9.1328125" customWidth="true" style="2"/>
    <col min="742" max="742" width="9.1328125" customWidth="true" style="2"/>
    <col min="743" max="743" width="9.1328125" customWidth="true" style="2"/>
    <col min="744" max="744" width="9.1328125" customWidth="true" style="2"/>
    <col min="745" max="745" width="9.1328125" customWidth="true" style="2"/>
    <col min="746" max="746" width="9.1328125" customWidth="true" style="2"/>
    <col min="747" max="747" width="9.1328125" customWidth="true" style="2"/>
    <col min="748" max="748" width="9.1328125" customWidth="true" style="2"/>
    <col min="749" max="749" width="9.1328125" customWidth="true" style="2"/>
    <col min="750" max="750" width="9.1328125" customWidth="true" style="2"/>
    <col min="751" max="751" width="9.1328125" customWidth="true" style="2"/>
    <col min="752" max="752" width="9.1328125" customWidth="true" style="2"/>
    <col min="753" max="753" width="9.1328125" customWidth="true" style="2"/>
    <col min="754" max="754" width="9.1328125" customWidth="true" style="2"/>
    <col min="755" max="755" width="9.1328125" customWidth="true" style="2"/>
    <col min="756" max="756" width="9.1328125" customWidth="true" style="2"/>
    <col min="757" max="757" width="9.1328125" customWidth="true" style="2"/>
    <col min="758" max="758" width="9.1328125" customWidth="true" style="2"/>
    <col min="759" max="759" width="9.1328125" customWidth="true" style="2"/>
    <col min="760" max="760" width="9.1328125" customWidth="true" style="2"/>
    <col min="761" max="761" width="9.1328125" customWidth="true" style="2"/>
    <col min="762" max="762" width="9.1328125" customWidth="true" style="2"/>
    <col min="763" max="763" width="9.1328125" customWidth="true" style="2"/>
    <col min="764" max="764" width="9.1328125" customWidth="true" style="2"/>
    <col min="765" max="765" width="9.1328125" customWidth="true" style="2"/>
    <col min="766" max="766" width="9.1328125" customWidth="true" style="2"/>
    <col min="767" max="767" width="9.1328125" customWidth="true" style="2"/>
    <col min="768" max="768" width="9.1328125" customWidth="true" style="2"/>
    <col min="769" max="769" width="9.1328125" customWidth="true" style="2"/>
    <col min="770" max="770" width="9.1328125" customWidth="true" style="2"/>
    <col min="771" max="771" width="9.1328125" customWidth="true" style="2"/>
    <col min="772" max="772" width="9.1328125" customWidth="true" style="2"/>
    <col min="773" max="773" width="9.1328125" customWidth="true" style="2"/>
    <col min="774" max="774" width="9.1328125" customWidth="true" style="2"/>
    <col min="775" max="775" width="9.1328125" customWidth="true" style="2"/>
    <col min="776" max="776" width="9.1328125" customWidth="true" style="2"/>
    <col min="777" max="777" width="9.1328125" customWidth="true" style="2"/>
    <col min="778" max="778" width="9.1328125" customWidth="true" style="2"/>
    <col min="779" max="779" width="9.1328125" customWidth="true" style="2"/>
    <col min="780" max="780" width="9.1328125" customWidth="true" style="2"/>
    <col min="781" max="781" width="9.1328125" customWidth="true" style="2"/>
    <col min="782" max="782" width="9.1328125" customWidth="true" style="2"/>
    <col min="783" max="783" width="9.1328125" customWidth="true" style="2"/>
    <col min="784" max="784" width="9.1328125" customWidth="true" style="2"/>
    <col min="785" max="785" width="9.1328125" customWidth="true" style="2"/>
    <col min="786" max="786" width="9.1328125" customWidth="true" style="2"/>
    <col min="787" max="787" width="9.1328125" customWidth="true" style="2"/>
    <col min="788" max="788" width="9.1328125" customWidth="true" style="2"/>
    <col min="789" max="789" width="9.1328125" customWidth="true" style="2"/>
    <col min="790" max="790" width="9.1328125" customWidth="true" style="2"/>
    <col min="791" max="791" width="9.1328125" customWidth="true" style="2"/>
    <col min="792" max="792" width="9.1328125" customWidth="true" style="2"/>
    <col min="793" max="793" width="9.1328125" customWidth="true" style="2"/>
    <col min="794" max="794" width="9.1328125" customWidth="true" style="2"/>
    <col min="795" max="795" width="9.1328125" customWidth="true" style="2"/>
    <col min="796" max="796" width="9.1328125" customWidth="true" style="2"/>
    <col min="797" max="797" width="9.1328125" customWidth="true" style="2"/>
    <col min="798" max="798" width="9.1328125" customWidth="true" style="2"/>
    <col min="799" max="799" width="9.1328125" customWidth="true" style="2"/>
    <col min="800" max="800" width="9.1328125" customWidth="true" style="2"/>
    <col min="801" max="801" width="9.1328125" customWidth="true" style="2"/>
    <col min="802" max="802" width="9.1328125" customWidth="true" style="2"/>
    <col min="803" max="803" width="9.1328125" customWidth="true" style="2"/>
    <col min="804" max="804" width="9.1328125" customWidth="true" style="2"/>
    <col min="805" max="805" width="9.1328125" customWidth="true" style="2"/>
    <col min="806" max="806" width="9.1328125" customWidth="true" style="2"/>
    <col min="807" max="807" width="9.1328125" customWidth="true" style="2"/>
    <col min="808" max="808" width="9.1328125" customWidth="true" style="2"/>
    <col min="809" max="809" width="9.1328125" customWidth="true" style="2"/>
    <col min="810" max="810" width="9.1328125" customWidth="true" style="2"/>
    <col min="811" max="811" width="9.1328125" customWidth="true" style="2"/>
    <col min="812" max="812" width="9.1328125" customWidth="true" style="2"/>
    <col min="813" max="813" width="9.1328125" customWidth="true" style="2"/>
    <col min="814" max="814" width="9.1328125" customWidth="true" style="2"/>
    <col min="815" max="815" width="9.1328125" customWidth="true" style="2"/>
    <col min="816" max="816" width="9.1328125" customWidth="true" style="2"/>
    <col min="817" max="817" width="9.1328125" customWidth="true" style="2"/>
    <col min="818" max="818" width="9.1328125" customWidth="true" style="2"/>
    <col min="819" max="819" width="9.1328125" customWidth="true" style="2"/>
    <col min="820" max="820" width="9.1328125" customWidth="true" style="2"/>
    <col min="821" max="821" width="9.1328125" customWidth="true" style="2"/>
    <col min="822" max="822" width="9.1328125" customWidth="true" style="2"/>
    <col min="823" max="823" width="9.1328125" customWidth="true" style="2"/>
    <col min="824" max="824" width="9.1328125" customWidth="true" style="2"/>
    <col min="825" max="825" width="9.1328125" customWidth="true" style="2"/>
    <col min="826" max="826" width="9.1328125" customWidth="true" style="2"/>
    <col min="827" max="827" width="9.1328125" customWidth="true" style="2"/>
    <col min="828" max="828" width="9.1328125" customWidth="true" style="2"/>
    <col min="829" max="829" width="9.1328125" customWidth="true" style="2"/>
    <col min="830" max="830" width="9.1328125" customWidth="true" style="2"/>
    <col min="831" max="831" width="9.1328125" customWidth="true" style="2"/>
    <col min="832" max="832" width="9.1328125" customWidth="true" style="2"/>
    <col min="833" max="833" width="9.1328125" customWidth="true" style="2"/>
    <col min="834" max="834" width="9.1328125" customWidth="true" style="2"/>
    <col min="835" max="835" width="9.1328125" customWidth="true" style="2"/>
    <col min="836" max="836" width="9.1328125" customWidth="true" style="2"/>
    <col min="837" max="837" width="9.1328125" customWidth="true" style="2"/>
    <col min="838" max="838" width="9.1328125" customWidth="true" style="2"/>
    <col min="839" max="839" width="9.1328125" customWidth="true" style="2"/>
    <col min="840" max="840" width="9.1328125" customWidth="true" style="2"/>
    <col min="841" max="841" width="9.1328125" customWidth="true" style="2"/>
    <col min="842" max="842" width="9.1328125" customWidth="true" style="2"/>
    <col min="843" max="843" width="9.1328125" customWidth="true" style="2"/>
    <col min="844" max="844" width="9.1328125" customWidth="true" style="2"/>
    <col min="845" max="845" width="9.1328125" customWidth="true" style="2"/>
    <col min="846" max="846" width="9.1328125" customWidth="true" style="2"/>
    <col min="847" max="847" width="9.1328125" customWidth="true" style="2"/>
    <col min="848" max="848" width="9.1328125" customWidth="true" style="2"/>
    <col min="849" max="849" width="9.1328125" customWidth="true" style="2"/>
    <col min="850" max="850" width="9.1328125" customWidth="true" style="2"/>
    <col min="851" max="851" width="9.1328125" customWidth="true" style="2"/>
    <col min="852" max="852" width="9.1328125" customWidth="true" style="2"/>
    <col min="853" max="853" width="9.1328125" customWidth="true" style="2"/>
    <col min="854" max="854" width="9.1328125" customWidth="true" style="2"/>
    <col min="855" max="855" width="9.1328125" customWidth="true" style="2"/>
    <col min="856" max="856" width="9.1328125" customWidth="true" style="2"/>
    <col min="857" max="857" width="9.1328125" customWidth="true" style="2"/>
    <col min="858" max="858" width="9.1328125" customWidth="true" style="2"/>
    <col min="859" max="859" width="9.1328125" customWidth="true" style="2"/>
    <col min="860" max="860" width="9.1328125" customWidth="true" style="2"/>
    <col min="861" max="861" width="9.1328125" customWidth="true" style="2"/>
    <col min="862" max="862" width="9.1328125" customWidth="true" style="2"/>
    <col min="863" max="863" width="9.1328125" customWidth="true" style="2"/>
    <col min="864" max="864" width="9.1328125" customWidth="true" style="2"/>
    <col min="865" max="865" width="9.1328125" customWidth="true" style="2"/>
    <col min="866" max="866" width="9.1328125" customWidth="true" style="2"/>
    <col min="867" max="867" width="9.1328125" customWidth="true" style="2"/>
    <col min="868" max="868" width="9.1328125" customWidth="true" style="2"/>
    <col min="869" max="869" width="9.1328125" customWidth="true" style="2"/>
    <col min="870" max="870" width="9.1328125" customWidth="true" style="2"/>
    <col min="871" max="871" width="9.1328125" customWidth="true" style="2"/>
    <col min="872" max="872" width="9.1328125" customWidth="true" style="2"/>
    <col min="873" max="873" width="9.1328125" customWidth="true" style="2"/>
    <col min="874" max="874" width="9.1328125" customWidth="true" style="2"/>
    <col min="875" max="875" width="9.1328125" customWidth="true" style="2"/>
    <col min="876" max="876" width="9.1328125" customWidth="true" style="2"/>
    <col min="877" max="877" width="9.1328125" customWidth="true" style="2"/>
    <col min="878" max="878" width="9.1328125" customWidth="true" style="2"/>
    <col min="879" max="879" width="9.1328125" customWidth="true" style="2"/>
    <col min="880" max="880" width="9.1328125" customWidth="true" style="2"/>
    <col min="881" max="881" width="9.1328125" customWidth="true" style="2"/>
    <col min="882" max="882" width="9.1328125" customWidth="true" style="2"/>
    <col min="883" max="883" width="9.1328125" customWidth="true" style="2"/>
    <col min="884" max="884" width="9.1328125" customWidth="true" style="2"/>
    <col min="885" max="885" width="9.1328125" customWidth="true" style="2"/>
    <col min="886" max="886" width="9.1328125" customWidth="true" style="2"/>
    <col min="887" max="887" width="9.1328125" customWidth="true" style="2"/>
    <col min="888" max="888" width="9.1328125" customWidth="true" style="2"/>
    <col min="889" max="889" width="9.1328125" customWidth="true" style="2"/>
    <col min="890" max="890" width="9.1328125" customWidth="true" style="2"/>
    <col min="891" max="891" width="9.1328125" customWidth="true" style="2"/>
    <col min="892" max="892" width="9.1328125" customWidth="true" style="2"/>
    <col min="893" max="893" width="9.1328125" customWidth="true" style="2"/>
    <col min="894" max="894" width="9.1328125" customWidth="true" style="2"/>
    <col min="895" max="895" width="9.1328125" customWidth="true" style="2"/>
    <col min="896" max="896" width="9.1328125" customWidth="true" style="2"/>
    <col min="897" max="897" width="9.1328125" customWidth="true" style="2"/>
    <col min="898" max="898" width="9.1328125" customWidth="true" style="2"/>
    <col min="899" max="899" width="9.1328125" customWidth="true" style="2"/>
    <col min="900" max="900" width="9.1328125" customWidth="true" style="2"/>
    <col min="901" max="901" width="9.1328125" customWidth="true" style="2"/>
    <col min="902" max="902" width="9.1328125" customWidth="true" style="2"/>
    <col min="903" max="903" width="9.1328125" customWidth="true" style="2"/>
    <col min="904" max="904" width="9.1328125" customWidth="true" style="2"/>
    <col min="905" max="905" width="9.1328125" customWidth="true" style="2"/>
    <col min="906" max="906" width="9.1328125" customWidth="true" style="2"/>
    <col min="907" max="907" width="9.1328125" customWidth="true" style="2"/>
    <col min="908" max="908" width="9.1328125" customWidth="true" style="2"/>
    <col min="909" max="909" width="9.1328125" customWidth="true" style="2"/>
    <col min="910" max="910" width="9.1328125" customWidth="true" style="2"/>
    <col min="911" max="911" width="9.1328125" customWidth="true" style="2"/>
    <col min="912" max="912" width="9.1328125" customWidth="true" style="2"/>
    <col min="913" max="913" width="9.1328125" customWidth="true" style="2"/>
    <col min="914" max="914" width="9.1328125" customWidth="true" style="2"/>
    <col min="915" max="915" width="9.1328125" customWidth="true" style="2"/>
    <col min="916" max="916" width="9.1328125" customWidth="true" style="2"/>
    <col min="917" max="917" width="9.1328125" customWidth="true" style="2"/>
    <col min="918" max="918" width="9.1328125" customWidth="true" style="2"/>
    <col min="919" max="919" width="9.1328125" customWidth="true" style="2"/>
    <col min="920" max="920" width="9.1328125" customWidth="true" style="2"/>
    <col min="921" max="921" width="9.1328125" customWidth="true" style="2"/>
    <col min="922" max="922" width="9.1328125" customWidth="true" style="2"/>
    <col min="923" max="923" width="9.1328125" customWidth="true" style="2"/>
    <col min="924" max="924" width="9.1328125" customWidth="true" style="2"/>
    <col min="925" max="925" width="9.1328125" customWidth="true" style="2"/>
    <col min="926" max="926" width="9.1328125" customWidth="true" style="2"/>
    <col min="927" max="927" width="9.1328125" customWidth="true" style="2"/>
    <col min="928" max="928" width="9.1328125" customWidth="true" style="2"/>
    <col min="929" max="929" width="9.1328125" customWidth="true" style="2"/>
    <col min="930" max="930" width="9.1328125" customWidth="true" style="2"/>
    <col min="931" max="931" width="9.1328125" customWidth="true" style="2"/>
    <col min="932" max="932" width="9.1328125" customWidth="true" style="2"/>
    <col min="933" max="933" width="9.1328125" customWidth="true" style="2"/>
    <col min="934" max="934" width="9.1328125" customWidth="true" style="2"/>
    <col min="935" max="935" width="9.1328125" customWidth="true" style="2"/>
    <col min="936" max="936" width="9.1328125" customWidth="true" style="2"/>
    <col min="937" max="937" width="9.1328125" customWidth="true" style="2"/>
    <col min="938" max="938" width="9.1328125" customWidth="true" style="2"/>
    <col min="939" max="939" width="9.1328125" customWidth="true" style="2"/>
    <col min="940" max="940" width="9.1328125" customWidth="true" style="2"/>
    <col min="941" max="941" width="9.1328125" customWidth="true" style="2"/>
    <col min="942" max="942" width="9.1328125" customWidth="true" style="2"/>
    <col min="943" max="943" width="9.1328125" customWidth="true" style="2"/>
    <col min="944" max="944" width="9.1328125" customWidth="true" style="2"/>
    <col min="945" max="945" width="9.1328125" customWidth="true" style="2"/>
    <col min="946" max="946" width="9.1328125" customWidth="true" style="2"/>
    <col min="947" max="947" width="9.1328125" customWidth="true" style="2"/>
    <col min="948" max="948" width="9.1328125" customWidth="true" style="2"/>
    <col min="949" max="949" width="9.1328125" customWidth="true" style="2"/>
    <col min="950" max="950" width="9.1328125" customWidth="true" style="2"/>
    <col min="951" max="951" width="9.1328125" customWidth="true" style="2"/>
    <col min="952" max="952" width="9.1328125" customWidth="true" style="2"/>
    <col min="953" max="953" width="9.1328125" customWidth="true" style="2"/>
    <col min="954" max="954" width="9.1328125" customWidth="true" style="2"/>
    <col min="955" max="955" width="9.1328125" customWidth="true" style="2"/>
    <col min="956" max="956" width="9.1328125" customWidth="true" style="2"/>
    <col min="957" max="957" width="9.1328125" customWidth="true" style="2"/>
    <col min="958" max="958" width="9.1328125" customWidth="true" style="2"/>
    <col min="959" max="959" width="9.1328125" customWidth="true" style="2"/>
    <col min="960" max="960" width="9.1328125" customWidth="true" style="2"/>
    <col min="961" max="961" width="9.1328125" customWidth="true" style="2"/>
    <col min="962" max="962" width="9.1328125" customWidth="true" style="2"/>
    <col min="963" max="963" width="9.1328125" customWidth="true" style="2"/>
    <col min="964" max="964" width="9.1328125" customWidth="true" style="2"/>
    <col min="965" max="965" width="9.1328125" customWidth="true" style="2"/>
    <col min="966" max="966" width="9.1328125" customWidth="true" style="2"/>
    <col min="967" max="967" width="9.1328125" customWidth="true" style="2"/>
    <col min="968" max="968" width="9.1328125" customWidth="true" style="2"/>
    <col min="969" max="969" width="9.1328125" customWidth="true" style="2"/>
    <col min="970" max="970" width="9.1328125" customWidth="true" style="2"/>
    <col min="971" max="971" width="9.1328125" customWidth="true" style="2"/>
    <col min="972" max="972" width="9.1328125" customWidth="true" style="2"/>
    <col min="973" max="973" width="9.1328125" customWidth="true" style="2"/>
    <col min="974" max="974" width="9.1328125" customWidth="true" style="2"/>
    <col min="975" max="975" width="9.1328125" customWidth="true" style="2"/>
    <col min="976" max="976" width="9.1328125" customWidth="true" style="2"/>
    <col min="977" max="977" width="9.1328125" customWidth="true" style="2"/>
    <col min="978" max="978" width="9.1328125" customWidth="true" style="2"/>
    <col min="979" max="979" width="9.1328125" customWidth="true" style="2"/>
    <col min="980" max="980" width="9.1328125" customWidth="true" style="2"/>
    <col min="981" max="981" width="9.1328125" customWidth="true" style="2"/>
    <col min="982" max="982" width="9.1328125" customWidth="true" style="2"/>
    <col min="983" max="983" width="9.1328125" customWidth="true" style="2"/>
    <col min="984" max="984" width="9.1328125" customWidth="true" style="2"/>
    <col min="985" max="985" width="9.1328125" customWidth="true" style="2"/>
    <col min="986" max="986" width="9.1328125" customWidth="true" style="2"/>
    <col min="987" max="987" width="9.1328125" customWidth="true" style="2"/>
    <col min="988" max="988" width="9.1328125" customWidth="true" style="2"/>
    <col min="989" max="989" width="9.1328125" customWidth="true" style="2"/>
    <col min="990" max="990" width="9.1328125" customWidth="true" style="2"/>
    <col min="991" max="991" width="9.1328125" customWidth="true" style="2"/>
    <col min="992" max="992" width="9.1328125" customWidth="true" style="2"/>
    <col min="993" max="993" width="9.1328125" customWidth="true" style="2"/>
    <col min="994" max="994" width="9.1328125" customWidth="true" style="2"/>
    <col min="995" max="995" width="9.1328125" customWidth="true" style="2"/>
    <col min="996" max="996" width="9.1328125" customWidth="true" style="2"/>
    <col min="997" max="997" width="9.1328125" customWidth="true" style="2"/>
    <col min="998" max="998" width="9.1328125" customWidth="true" style="2"/>
    <col min="999" max="999" width="9.1328125" customWidth="true" style="2"/>
    <col min="1000" max="1000" width="9.1328125" customWidth="true" style="2"/>
    <col min="1001" max="1001" width="9.1328125" customWidth="true" style="2"/>
    <col min="1002" max="1002" width="9.1328125" customWidth="true" style="2"/>
    <col min="1003" max="1003" width="9.1328125" customWidth="true" style="2"/>
    <col min="1004" max="1004" width="9.1328125" customWidth="true" style="2"/>
    <col min="1005" max="1005" width="9.1328125" customWidth="true" style="2"/>
    <col min="1006" max="1006" width="9.1328125" customWidth="true" style="2"/>
    <col min="1007" max="1007" width="9.1328125" customWidth="true" style="2"/>
    <col min="1008" max="1008" width="9.1328125" customWidth="true" style="2"/>
    <col min="1009" max="1009" width="9.1328125" customWidth="true" style="2"/>
    <col min="1010" max="1010" width="9.1328125" customWidth="true" style="2"/>
    <col min="1011" max="1011" width="9.1328125" customWidth="true" style="2"/>
    <col min="1012" max="1012" width="9.1328125" customWidth="true" style="2"/>
    <col min="1013" max="1013" width="9.1328125" customWidth="true" style="2"/>
    <col min="1014" max="1014" width="9.1328125" customWidth="true" style="2"/>
    <col min="1015" max="1015" width="9.1328125" customWidth="true" style="2"/>
    <col min="1016" max="1016" width="9.1328125" customWidth="true" style="2"/>
    <col min="1017" max="1017" width="9.1328125" customWidth="true" style="2"/>
    <col min="1018" max="1018" width="9.1328125" customWidth="true" style="2"/>
    <col min="1019" max="1019" width="9.1328125" customWidth="true" style="2"/>
    <col min="1020" max="1020" width="9.1328125" customWidth="true" style="2"/>
    <col min="1021" max="1021" width="9.1328125" customWidth="true" style="2"/>
    <col min="1022" max="1022" width="9.1328125" customWidth="true" style="2"/>
    <col min="1023" max="1023" width="9.1328125" customWidth="true" style="2"/>
    <col min="1024" max="1024" width="9.1328125" customWidth="true" style="2"/>
    <col min="1025" max="1025" width="9.1328125" customWidth="true" style="2"/>
    <col min="1026" max="1026" width="9.1328125" customWidth="true" style="2"/>
    <col min="1027" max="1027" width="9.1328125" customWidth="true" style="2"/>
    <col min="1028" max="1028" width="9.1328125" customWidth="true" style="2"/>
    <col min="1029" max="1029" width="9.1328125" customWidth="true" style="2"/>
    <col min="1030" max="1030" width="9.1328125" customWidth="true" style="2"/>
    <col min="1031" max="1031" width="9.1328125" customWidth="true" style="0"/>
  </cols>
  <sheetData>
    <row r="1" spans="1:1031" customHeight="1" ht="16.5">
      <c r="A1" s="749" t="s">
        <v>53</v>
      </c>
      <c r="B1" s="749"/>
      <c r="C1" s="749"/>
      <c r="D1" s="749"/>
      <c r="E1" s="749"/>
      <c r="F1" s="749"/>
      <c r="G1" s="749"/>
      <c r="H1" s="749"/>
      <c r="I1" s="749"/>
      <c r="J1" s="749"/>
      <c r="K1" s="749"/>
      <c r="L1" s="421"/>
      <c r="M1" s="421"/>
      <c r="N1" s="421"/>
      <c r="O1" s="421"/>
      <c r="P1" s="2"/>
    </row>
    <row r="2" spans="1:1031" customHeight="1" ht="18.75">
      <c r="A2" s="3" t="str">
        <f>'vstupní data'!B5</f>
        <v>0</v>
      </c>
      <c r="C2" s="4"/>
      <c r="E2" s="27"/>
      <c r="F2" s="27"/>
      <c r="G2" s="27"/>
      <c r="H2" s="27"/>
      <c r="I2" s="27"/>
      <c r="J2" s="27"/>
      <c r="P2" s="5"/>
      <c r="Q2" s="80"/>
      <c r="U2" s="188"/>
      <c r="V2" s="189"/>
    </row>
    <row r="3" spans="1:1031">
      <c r="A3" s="6" t="s">
        <v>54</v>
      </c>
      <c r="B3" s="27"/>
      <c r="C3" s="7" t="str">
        <f>dum_adresa</f>
        <v>0</v>
      </c>
      <c r="F3" s="696" t="s">
        <v>55</v>
      </c>
      <c r="G3" s="696"/>
      <c r="H3" s="7" t="str">
        <f>'vstupní data'!B7</f>
        <v>0</v>
      </c>
      <c r="I3" s="7"/>
      <c r="K3" s="87" t="s">
        <v>56</v>
      </c>
      <c r="L3" s="87"/>
      <c r="M3" s="87"/>
      <c r="N3" s="87"/>
      <c r="O3" s="87"/>
      <c r="P3" s="7" t="str">
        <f>'vstupní data'!B4</f>
        <v>0</v>
      </c>
      <c r="Q3" s="80"/>
      <c r="U3" s="188"/>
      <c r="V3" s="190"/>
    </row>
    <row r="4" spans="1:1031" customHeight="1" ht="15">
      <c r="A4" s="6" t="s">
        <v>57</v>
      </c>
      <c r="B4" s="27"/>
      <c r="C4" s="6" t="str">
        <f>'vstupní data'!B22</f>
        <v>0</v>
      </c>
      <c r="D4" s="9"/>
      <c r="E4" s="696" t="s">
        <v>58</v>
      </c>
      <c r="F4" s="696"/>
      <c r="G4" s="696"/>
      <c r="H4" s="6" t="str">
        <f>'vstupní data'!B6</f>
        <v>0</v>
      </c>
      <c r="I4" s="6"/>
      <c r="K4" s="87" t="s">
        <v>59</v>
      </c>
      <c r="L4" s="87"/>
      <c r="M4" s="87"/>
      <c r="N4" s="87"/>
      <c r="O4" s="87"/>
      <c r="P4" s="209" t="str">
        <f>IF('vstupní data'!D15="první část roku",'vstupní data'!E17,'vstupní data'!H17)</f>
        <v>0</v>
      </c>
      <c r="Q4" s="80"/>
      <c r="U4" s="188"/>
      <c r="V4" s="750"/>
      <c r="W4" s="750"/>
      <c r="X4" s="750"/>
      <c r="Y4" s="750"/>
      <c r="Z4" s="750"/>
      <c r="AA4" s="750"/>
      <c r="AB4" s="750"/>
      <c r="AC4" s="750"/>
      <c r="AD4" s="750"/>
    </row>
    <row r="5" spans="1:1031" customHeight="1" ht="9.2">
      <c r="A5" s="9"/>
      <c r="C5" s="10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80"/>
      <c r="U5" s="189"/>
      <c r="V5" s="750"/>
      <c r="W5" s="750"/>
      <c r="X5" s="750"/>
      <c r="Y5" s="750"/>
      <c r="Z5" s="750"/>
      <c r="AA5" s="750"/>
      <c r="AB5" s="750"/>
      <c r="AC5" s="750"/>
      <c r="AD5" s="750"/>
    </row>
    <row r="6" spans="1:1031" customHeight="1" ht="60.75">
      <c r="A6" s="835" t="s">
        <v>60</v>
      </c>
      <c r="B6" s="621"/>
      <c r="C6" s="621"/>
      <c r="D6" s="621"/>
      <c r="E6" s="621"/>
      <c r="F6" s="621"/>
      <c r="G6" s="621"/>
      <c r="H6" s="621"/>
      <c r="I6" s="621"/>
      <c r="J6" s="621"/>
      <c r="K6" s="621"/>
      <c r="L6" s="621"/>
      <c r="M6" s="621"/>
      <c r="N6" s="621"/>
      <c r="O6" s="626" t="s">
        <v>61</v>
      </c>
      <c r="P6" s="623" t="str">
        <f>IF(P7 &gt; 0, "Navýšení předpisu o částku", "Snížení předpisu o částku")</f>
        <v>0</v>
      </c>
      <c r="Q6" s="628" t="s">
        <v>62</v>
      </c>
      <c r="S6" s="411"/>
      <c r="V6" s="750"/>
      <c r="W6" s="750"/>
      <c r="X6" s="750"/>
      <c r="Y6" s="750"/>
      <c r="Z6" s="750"/>
      <c r="AA6" s="750"/>
      <c r="AB6" s="750"/>
      <c r="AC6" s="750"/>
      <c r="AD6" s="750"/>
    </row>
    <row r="7" spans="1:1031" customHeight="1" ht="19.5">
      <c r="A7" s="68"/>
      <c r="B7" s="68"/>
      <c r="C7" s="68"/>
      <c r="D7" s="68"/>
      <c r="E7" s="11"/>
      <c r="F7" s="11"/>
      <c r="G7" s="11"/>
      <c r="H7" s="11"/>
      <c r="I7" s="11"/>
      <c r="J7" s="11"/>
      <c r="K7" s="11"/>
      <c r="L7" s="11"/>
      <c r="M7" s="11"/>
      <c r="N7" s="571"/>
      <c r="O7" s="624" t="str">
        <f>'vstupní data'!AJ30</f>
        <v>0</v>
      </c>
      <c r="P7" s="624" t="str">
        <f>IF(Q7=0, IF(A38&gt;0, -ROUND((A38*0.95)/VD_počet_měsíců_úžívání, 0), -ROUND((A38*1.05)/VD_počet_měsíců_úžívání, 0)), Q7)</f>
        <v>0</v>
      </c>
      <c r="Q7" s="625">
        <v>5</v>
      </c>
      <c r="R7" s="607" t="s">
        <v>63</v>
      </c>
      <c r="S7" s="493"/>
      <c r="V7" s="750"/>
      <c r="W7" s="750"/>
      <c r="X7" s="750"/>
      <c r="Y7" s="750"/>
      <c r="Z7" s="750"/>
      <c r="AA7" s="750"/>
      <c r="AB7" s="750"/>
      <c r="AC7" s="750"/>
      <c r="AD7" s="750"/>
    </row>
    <row r="8" spans="1:1031">
      <c r="A8" s="751"/>
      <c r="B8" s="751"/>
      <c r="C8" s="751"/>
      <c r="D8" s="751"/>
      <c r="E8" s="752" t="s">
        <v>64</v>
      </c>
      <c r="F8" s="752"/>
      <c r="G8" s="752"/>
      <c r="H8" s="752" t="s">
        <v>65</v>
      </c>
      <c r="I8" s="752"/>
      <c r="J8" s="752"/>
      <c r="K8" s="752"/>
      <c r="L8" s="752"/>
      <c r="M8" s="752"/>
      <c r="N8" s="752"/>
      <c r="O8" s="752"/>
      <c r="P8" s="752"/>
      <c r="Q8" s="80"/>
      <c r="V8" s="750"/>
      <c r="W8" s="750"/>
      <c r="X8" s="750"/>
      <c r="Y8" s="750"/>
      <c r="Z8" s="750"/>
      <c r="AA8" s="750"/>
      <c r="AB8" s="750"/>
      <c r="AC8" s="750"/>
      <c r="AD8" s="750"/>
    </row>
    <row r="9" spans="1:1031" customHeight="1" ht="45.75" s="501" customFormat="1">
      <c r="A9" s="494" t="s">
        <v>66</v>
      </c>
      <c r="B9" s="495" t="s">
        <v>67</v>
      </c>
      <c r="C9" s="496" t="s">
        <v>68</v>
      </c>
      <c r="D9" s="496" t="s">
        <v>69</v>
      </c>
      <c r="E9" s="497" t="s">
        <v>70</v>
      </c>
      <c r="F9" s="496" t="s">
        <v>71</v>
      </c>
      <c r="G9" s="498" t="s">
        <v>72</v>
      </c>
      <c r="H9" s="497" t="s">
        <v>73</v>
      </c>
      <c r="I9" s="496" t="s">
        <v>74</v>
      </c>
      <c r="J9" s="498" t="s">
        <v>75</v>
      </c>
      <c r="K9" s="502" t="s">
        <v>76</v>
      </c>
      <c r="L9" s="622" t="s">
        <v>77</v>
      </c>
      <c r="M9" s="502" t="s">
        <v>78</v>
      </c>
      <c r="N9" s="585" t="s">
        <v>79</v>
      </c>
      <c r="O9" s="627" t="s">
        <v>80</v>
      </c>
      <c r="P9" s="585" t="s">
        <v>81</v>
      </c>
      <c r="Q9" s="499" t="s">
        <v>82</v>
      </c>
      <c r="R9" s="190"/>
      <c r="S9" s="190"/>
      <c r="T9" s="190"/>
      <c r="U9" s="190"/>
      <c r="V9" s="750"/>
      <c r="W9" s="750"/>
      <c r="X9" s="750"/>
      <c r="Y9" s="750"/>
      <c r="Z9" s="750"/>
      <c r="AA9" s="750"/>
      <c r="AB9" s="750"/>
      <c r="AC9" s="750"/>
      <c r="AD9" s="750"/>
    </row>
    <row r="10" spans="1:1031" customHeight="1" ht="15.95">
      <c r="A10" s="403" t="str">
        <f>Faktury!A4</f>
        <v>0</v>
      </c>
      <c r="B10" s="243"/>
      <c r="C10" s="618" t="str">
        <f>Faktury!C4</f>
        <v>0</v>
      </c>
      <c r="D10" s="16" t="str">
        <f>Faktury!D4</f>
        <v>0</v>
      </c>
      <c r="E10" s="18" t="str">
        <f>Faktury!E4</f>
        <v>0</v>
      </c>
      <c r="F10" s="18" t="str">
        <f>Faktury!F4</f>
        <v>0</v>
      </c>
      <c r="G10" s="18" t="str">
        <f>Faktury!G4</f>
        <v>0</v>
      </c>
      <c r="H10" s="18" t="str">
        <f>Faktury!H4</f>
        <v>0</v>
      </c>
      <c r="I10" s="18" t="str">
        <f>'Vyúčtování byt - 1.část'!J10</f>
        <v>0</v>
      </c>
      <c r="J10" s="18" t="str">
        <f>Faktury!I4</f>
        <v>0</v>
      </c>
      <c r="K10" s="614" t="str">
        <f>IF(J10=0,0,J10*(100+Q10)/100)</f>
        <v>0</v>
      </c>
      <c r="L10" s="612" t="str">
        <f>'Vyúčtování byt - 1.část'!K10</f>
        <v>0</v>
      </c>
      <c r="M10" s="614" t="str">
        <f>ROUND(I10/VD_počet_měsíců_úžívání,2)</f>
        <v>0</v>
      </c>
      <c r="N10" s="615" t="str">
        <f>IF(C10="počet osob", CEILING(K10/'vstupní data'!$AJ$31/VD_počet_měsíců_úžívání*($O$7*12), 10), ROUNDUP(K10/VD_počet_měsíců_úžívání, -1))</f>
        <v>0</v>
      </c>
      <c r="O10" s="612" t="str">
        <f>CEILING(K10/'vstupní data'!$AJ$31/VD_počet_měsíců_úžívání*($O$7*12),10)</f>
        <v>0</v>
      </c>
      <c r="P10" s="616" t="str">
        <f>ROUND(MAX(0,I10/VD_počet_měsíců_úžívání-IF($P$7&gt;0,L10/VD_počet_měsíců_úžívání*1.05,L10/VD_počet_měsíců_úžívání*0.95)),0)</f>
        <v>0</v>
      </c>
      <c r="Q10" s="396">
        <v>0</v>
      </c>
      <c r="V10" s="750"/>
      <c r="W10" s="750"/>
      <c r="X10" s="750"/>
      <c r="Y10" s="750"/>
      <c r="Z10" s="750"/>
      <c r="AA10" s="750"/>
      <c r="AB10" s="750"/>
      <c r="AC10" s="750"/>
      <c r="AD10" s="750"/>
    </row>
    <row r="11" spans="1:1031" customHeight="1" ht="18">
      <c r="A11" s="199" t="str">
        <f>Faktury!A5</f>
        <v>0</v>
      </c>
      <c r="B11" s="244"/>
      <c r="C11" s="191" t="str">
        <f>Faktury!C5</f>
        <v>0</v>
      </c>
      <c r="D11" s="20" t="str">
        <f>Faktury!D5</f>
        <v>0</v>
      </c>
      <c r="E11" s="22" t="str">
        <f>Faktury!E5</f>
        <v>0</v>
      </c>
      <c r="F11" s="22" t="str">
        <f>Faktury!F5</f>
        <v>0</v>
      </c>
      <c r="G11" s="22" t="str">
        <f>Faktury!G5</f>
        <v>0</v>
      </c>
      <c r="H11" s="22" t="str">
        <f>Faktury!H5</f>
        <v>0</v>
      </c>
      <c r="I11" s="22" t="str">
        <f>'Vyúčtování byt - 1.část'!J11</f>
        <v>0</v>
      </c>
      <c r="J11" s="22" t="str">
        <f>Faktury!I5</f>
        <v>0</v>
      </c>
      <c r="K11" s="612" t="str">
        <f>IF(J11=0,0,J11*(100+Q11)/100)</f>
        <v>0</v>
      </c>
      <c r="L11" s="612" t="str">
        <f>'Vyúčtování byt - 1.část'!K11</f>
        <v>0</v>
      </c>
      <c r="M11" s="612" t="str">
        <f>ROUND(I11/VD_počet_měsíců_úžívání,2)</f>
        <v>0</v>
      </c>
      <c r="N11" s="616" t="str">
        <f>IF(C11="počet osob", CEILING(K11/'vstupní data'!$AJ$31/VD_počet_měsíců_úžívání*($O$7*12), 10), ROUNDUP(K11/VD_počet_měsíců_úžívání, -1))</f>
        <v>0</v>
      </c>
      <c r="O11" s="612" t="str">
        <f>CEILING(K11/'vstupní data'!$AJ$31/VD_počet_měsíců_úžívání*($O$7*12),10)</f>
        <v>0</v>
      </c>
      <c r="P11" s="616" t="str">
        <f>ROUND(MAX(0,I11/VD_počet_měsíců_úžívání-IF($P$7&gt;0,L11/VD_počet_měsíců_úžívání*1.05,L11/VD_počet_měsíců_úžívání*0.95)),0)</f>
        <v>0</v>
      </c>
      <c r="Q11" s="396">
        <v>0</v>
      </c>
      <c r="V11" s="750"/>
      <c r="W11" s="750"/>
      <c r="X11" s="750"/>
      <c r="Y11" s="750"/>
      <c r="Z11" s="750"/>
      <c r="AA11" s="750"/>
      <c r="AB11" s="750"/>
      <c r="AC11" s="750"/>
      <c r="AD11" s="750"/>
    </row>
    <row r="12" spans="1:1031" customHeight="1" ht="18">
      <c r="A12" s="199" t="str">
        <f>Faktury!A6</f>
        <v>0</v>
      </c>
      <c r="B12" s="247"/>
      <c r="C12" s="191" t="str">
        <f>Faktury!C6</f>
        <v>0</v>
      </c>
      <c r="D12" s="20" t="str">
        <f>Faktury!D6</f>
        <v>0</v>
      </c>
      <c r="E12" s="22" t="str">
        <f>Faktury!E6</f>
        <v>0</v>
      </c>
      <c r="F12" s="22" t="str">
        <f>Faktury!F6</f>
        <v>0</v>
      </c>
      <c r="G12" s="22" t="str">
        <f>Faktury!G6</f>
        <v>0</v>
      </c>
      <c r="H12" s="22" t="str">
        <f>Faktury!H6</f>
        <v>0</v>
      </c>
      <c r="I12" s="22" t="str">
        <f>'Vyúčtování byt - 1.část'!J12</f>
        <v>0</v>
      </c>
      <c r="J12" s="22" t="str">
        <f>Faktury!I6</f>
        <v>0</v>
      </c>
      <c r="K12" s="612" t="str">
        <f>IF(J12=0,0,J12*(100+Q12)/100)</f>
        <v>0</v>
      </c>
      <c r="L12" s="612" t="str">
        <f>'Vyúčtování byt - 1.část'!K12</f>
        <v>0</v>
      </c>
      <c r="M12" s="612" t="str">
        <f>ROUND(I12/VD_počet_měsíců_úžívání,2)</f>
        <v>0</v>
      </c>
      <c r="N12" s="616" t="str">
        <f>IF(C12="počet osob", CEILING(K12/'vstupní data'!$AJ$31/VD_počet_měsíců_úžívání*($O$7*12), 10), ROUNDUP(K12/VD_počet_měsíců_úžívání, -1))</f>
        <v>0</v>
      </c>
      <c r="O12" s="612" t="str">
        <f>CEILING(K12/'vstupní data'!$AJ$31/VD_počet_měsíců_úžívání*($O$7*12),10)</f>
        <v>0</v>
      </c>
      <c r="P12" s="616" t="str">
        <f>ROUND(MAX(0,I12/VD_počet_měsíců_úžívání-IF($P$7&gt;0,L12/VD_počet_měsíců_úžívání*1.05,L12/VD_počet_měsíců_úžívání*0.95)),0)</f>
        <v>0</v>
      </c>
      <c r="Q12" s="396">
        <v>0</v>
      </c>
      <c r="V12" s="192"/>
      <c r="W12" s="192"/>
      <c r="X12" s="192"/>
      <c r="Y12" s="192"/>
      <c r="Z12" s="192"/>
      <c r="AA12" s="192"/>
      <c r="AB12" s="192"/>
      <c r="AC12" s="192"/>
      <c r="AD12" s="192"/>
    </row>
    <row r="13" spans="1:1031" customHeight="1" ht="18">
      <c r="A13" s="199" t="str">
        <f>Faktury!A7</f>
        <v>0</v>
      </c>
      <c r="B13" s="244"/>
      <c r="C13" s="191" t="str">
        <f>Faktury!C7</f>
        <v>0</v>
      </c>
      <c r="D13" s="20" t="str">
        <f>Faktury!D7</f>
        <v>0</v>
      </c>
      <c r="E13" s="22" t="str">
        <f>Faktury!E7</f>
        <v>0</v>
      </c>
      <c r="F13" s="22" t="str">
        <f>Faktury!F7</f>
        <v>0</v>
      </c>
      <c r="G13" s="22" t="str">
        <f>Faktury!G7</f>
        <v>0</v>
      </c>
      <c r="H13" s="22" t="str">
        <f>Faktury!H7</f>
        <v>0</v>
      </c>
      <c r="I13" s="22" t="str">
        <f>'Vyúčtování byt - 1.část'!J13</f>
        <v>0</v>
      </c>
      <c r="J13" s="22" t="str">
        <f>Faktury!I7</f>
        <v>0</v>
      </c>
      <c r="K13" s="612" t="str">
        <f>IF(J13=0,0,J13*(100+Q13)/100)</f>
        <v>0</v>
      </c>
      <c r="L13" s="612" t="str">
        <f>'Vyúčtování byt - 1.část'!K13</f>
        <v>0</v>
      </c>
      <c r="M13" s="612" t="str">
        <f>ROUND(I13/VD_počet_měsíců_úžívání,2)</f>
        <v>0</v>
      </c>
      <c r="N13" s="616" t="str">
        <f>IF(C13="počet osob", CEILING(K13/'vstupní data'!$AJ$31/VD_počet_měsíců_úžívání*($O$7*12), 10), ROUNDUP(K13/VD_počet_měsíců_úžívání, -1))</f>
        <v>0</v>
      </c>
      <c r="O13" s="612" t="str">
        <f>CEILING(K13/'vstupní data'!$AJ$31/VD_počet_měsíců_úžívání*($O$7*12),10)</f>
        <v>0</v>
      </c>
      <c r="P13" s="616" t="str">
        <f>ROUND(MAX(0,I13/VD_počet_měsíců_úžívání-IF($P$7&gt;0,L13/VD_počet_měsíců_úžívání*1.05,L13/VD_počet_měsíců_úžívání*0.95)),0)</f>
        <v>0</v>
      </c>
      <c r="Q13" s="396">
        <v>0</v>
      </c>
      <c r="V13" s="192"/>
      <c r="W13" s="192"/>
      <c r="X13" s="192"/>
      <c r="Y13" s="192"/>
      <c r="Z13" s="192"/>
      <c r="AA13" s="192"/>
      <c r="AB13" s="192"/>
      <c r="AC13" s="192"/>
      <c r="AD13" s="192"/>
    </row>
    <row r="14" spans="1:1031" customHeight="1" ht="15">
      <c r="A14" s="199" t="str">
        <f>Faktury!A17</f>
        <v>0</v>
      </c>
      <c r="B14" s="244"/>
      <c r="C14" s="191" t="str">
        <f>Faktury!C17</f>
        <v>0</v>
      </c>
      <c r="D14" s="20" t="str">
        <f>Faktury!D17</f>
        <v>0</v>
      </c>
      <c r="E14" s="22" t="str">
        <f>Faktury!E17</f>
        <v>0</v>
      </c>
      <c r="F14" s="22" t="str">
        <f>Faktury!F17</f>
        <v>0</v>
      </c>
      <c r="G14" s="22" t="str">
        <f>Faktury!G17</f>
        <v>0</v>
      </c>
      <c r="H14" s="22" t="str">
        <f>Faktury!H17</f>
        <v>0</v>
      </c>
      <c r="I14" s="22" t="str">
        <f>'Vyúčtování byt - 1.část'!J14</f>
        <v>0</v>
      </c>
      <c r="J14" s="22" t="str">
        <f>Faktury!I17</f>
        <v>0</v>
      </c>
      <c r="K14" s="612" t="str">
        <f>IF(J14=0,0,J14*(100+Q14)/100)</f>
        <v>0</v>
      </c>
      <c r="L14" s="612" t="str">
        <f>'Vyúčtování byt - 1.část'!K14</f>
        <v>0</v>
      </c>
      <c r="M14" s="612" t="str">
        <f>ROUND(I14/VD_počet_měsíců_úžívání,2)</f>
        <v>0</v>
      </c>
      <c r="N14" s="616" t="str">
        <f>IF(C14="počet osob", CEILING(K14/'vstupní data'!$AJ$31/VD_počet_měsíců_úžívání*($O$7*12), 10), ROUNDUP(K14/VD_počet_měsíců_úžívání, -1))</f>
        <v>0</v>
      </c>
      <c r="O14" s="612" t="str">
        <f>CEILING(K14/'vstupní data'!$AJ$31/VD_počet_měsíců_úžívání*($O$7*12),10)</f>
        <v>0</v>
      </c>
      <c r="P14" s="616" t="str">
        <f>ROUND(MAX(0,I14/VD_počet_měsíců_úžívání-IF($P$7&gt;0,L14/VD_počet_měsíců_úžívání*1.05,L14/VD_počet_měsíců_úžívání*0.95)),0)</f>
        <v>0</v>
      </c>
      <c r="Q14" s="396">
        <v>0</v>
      </c>
      <c r="AA14" s="192"/>
      <c r="AB14" s="192"/>
      <c r="AC14" s="192"/>
      <c r="AD14" s="192"/>
    </row>
    <row r="15" spans="1:1031" customHeight="1" ht="18">
      <c r="A15" s="199" t="str">
        <f>Faktury!A12</f>
        <v>0</v>
      </c>
      <c r="B15" s="244"/>
      <c r="C15" s="191" t="str">
        <f>Faktury!C12</f>
        <v>0</v>
      </c>
      <c r="D15" s="20" t="str">
        <f>Faktury!D12</f>
        <v>0</v>
      </c>
      <c r="E15" s="22" t="str">
        <f>Faktury!E12</f>
        <v>0</v>
      </c>
      <c r="F15" s="22" t="str">
        <f>Faktury!F12</f>
        <v>0</v>
      </c>
      <c r="G15" s="22" t="str">
        <f>Faktury!G12</f>
        <v>0</v>
      </c>
      <c r="H15" s="22" t="str">
        <f>Faktury!H12</f>
        <v>0</v>
      </c>
      <c r="I15" s="22" t="str">
        <f>'Vyúčtování byt - 1.část'!J15</f>
        <v>0</v>
      </c>
      <c r="J15" s="22" t="str">
        <f>Faktury!I12</f>
        <v>0</v>
      </c>
      <c r="K15" s="612" t="str">
        <f>IF(J15=0,0,J15*(100+Q15)/100)</f>
        <v>0</v>
      </c>
      <c r="L15" s="612" t="str">
        <f>'Vyúčtování byt - 1.část'!K15</f>
        <v>0</v>
      </c>
      <c r="M15" s="612" t="str">
        <f>ROUND(I15/VD_počet_měsíců_úžívání,2)</f>
        <v>0</v>
      </c>
      <c r="N15" s="616" t="str">
        <f>IF(C15="počet osob", CEILING(K15/'vstupní data'!$AJ$31/VD_počet_měsíců_úžívání*($O$7*12), 10), ROUNDUP(K15/VD_počet_měsíců_úžívání, -1))</f>
        <v>0</v>
      </c>
      <c r="O15" s="612" t="str">
        <f>CEILING(K15/'vstupní data'!$AJ$31/VD_počet_měsíců_úžívání*($O$7*12),10)</f>
        <v>0</v>
      </c>
      <c r="P15" s="616" t="str">
        <f>ROUND(MAX(0,I15/VD_počet_měsíců_úžívání-IF($P$7&gt;0,L15/VD_počet_měsíců_úžívání*1.05,L15/VD_počet_měsíců_úžívání*0.95)),0)</f>
        <v>0</v>
      </c>
      <c r="Q15" s="396">
        <v>0</v>
      </c>
      <c r="AA15" s="192"/>
      <c r="AB15" s="192"/>
      <c r="AC15" s="192"/>
      <c r="AD15" s="192"/>
    </row>
    <row r="16" spans="1:1031" customHeight="1" ht="18">
      <c r="A16" s="199" t="str">
        <f>Faktury!A9</f>
        <v>0</v>
      </c>
      <c r="B16" s="244"/>
      <c r="C16" s="191" t="str">
        <f>Faktury!C9</f>
        <v>0</v>
      </c>
      <c r="D16" s="20" t="str">
        <f>Faktury!D9</f>
        <v>0</v>
      </c>
      <c r="E16" s="22" t="str">
        <f>Faktury!E9</f>
        <v>0</v>
      </c>
      <c r="F16" s="22" t="str">
        <f>Faktury!F9</f>
        <v>0</v>
      </c>
      <c r="G16" s="22" t="str">
        <f>Faktury!G9</f>
        <v>0</v>
      </c>
      <c r="H16" s="22" t="str">
        <f>Faktury!H9</f>
        <v>0</v>
      </c>
      <c r="I16" s="22" t="str">
        <f>'Vyúčtování byt - 1.část'!J16</f>
        <v>0</v>
      </c>
      <c r="J16" s="22" t="str">
        <f>Faktury!I9</f>
        <v>0</v>
      </c>
      <c r="K16" s="612" t="str">
        <f>IF(J16=0,0,J16*(100+Q16)/100)</f>
        <v>0</v>
      </c>
      <c r="L16" s="612" t="str">
        <f>'Vyúčtování byt - 1.část'!K16</f>
        <v>0</v>
      </c>
      <c r="M16" s="612" t="str">
        <f>ROUND(I16/VD_počet_měsíců_úžívání,2)</f>
        <v>0</v>
      </c>
      <c r="N16" s="616" t="str">
        <f>IF(C16="počet osob", CEILING(K16/'vstupní data'!$AJ$31/VD_počet_měsíců_úžívání*($O$7*12), 10), ROUNDUP(K16/VD_počet_měsíců_úžívání, -1))</f>
        <v>0</v>
      </c>
      <c r="O16" s="612" t="str">
        <f>CEILING(K16/'vstupní data'!$AJ$31/VD_počet_měsíců_úžívání*($O$7*12),10)</f>
        <v>0</v>
      </c>
      <c r="P16" s="616" t="str">
        <f>ROUND(MAX(0,I16/VD_počet_měsíců_úžívání-IF($P$7&gt;0,L16/VD_počet_měsíců_úžívání*1.05,L16/VD_počet_měsíců_úžívání*0.95)),0)</f>
        <v>0</v>
      </c>
      <c r="Q16" s="396">
        <v>0</v>
      </c>
      <c r="AA16" s="192"/>
      <c r="AB16" s="192"/>
      <c r="AC16" s="192"/>
      <c r="AD16" s="192"/>
    </row>
    <row r="17" spans="1:1031" customHeight="1" ht="18">
      <c r="A17" s="199" t="str">
        <f>Faktury!A2</f>
        <v>0</v>
      </c>
      <c r="B17" s="247"/>
      <c r="C17" s="191" t="str">
        <f>Faktury!C2</f>
        <v>0</v>
      </c>
      <c r="D17" s="20" t="str">
        <f>Faktury!D2</f>
        <v>0</v>
      </c>
      <c r="E17" s="20" t="str">
        <f>Faktury!E2</f>
        <v>0</v>
      </c>
      <c r="F17" s="20" t="str">
        <f>Faktury!F2</f>
        <v>0</v>
      </c>
      <c r="G17" s="20" t="str">
        <f>Faktury!G2</f>
        <v>0</v>
      </c>
      <c r="H17" s="20" t="str">
        <f>Faktury!H2</f>
        <v>0</v>
      </c>
      <c r="I17" s="22" t="str">
        <f>'Vyúčtování byt - 1.část'!J17</f>
        <v>0</v>
      </c>
      <c r="J17" s="20" t="str">
        <f>Faktury!I2</f>
        <v>0</v>
      </c>
      <c r="K17" s="612" t="str">
        <f>IF(J17=0,0,J17*(100+Q17)/100)</f>
        <v>0</v>
      </c>
      <c r="L17" s="612" t="str">
        <f>'Vyúčtování byt - 1.část'!K17</f>
        <v>0</v>
      </c>
      <c r="M17" s="612" t="str">
        <f>ROUND(I17/VD_počet_měsíců_úžívání,2)</f>
        <v>0</v>
      </c>
      <c r="N17" s="616" t="str">
        <f>IF(C17="počet osob", CEILING(K17/'vstupní data'!$AJ$31/VD_počet_měsíců_úžívání*($O$7*12), 10), ROUNDUP(K17/VD_počet_měsíců_úžívání, -1))</f>
        <v>0</v>
      </c>
      <c r="O17" s="612" t="str">
        <f>CEILING(K17/'vstupní data'!$AJ$31/VD_počet_měsíců_úžívání*($O$7*12),10)</f>
        <v>0</v>
      </c>
      <c r="P17" s="616" t="str">
        <f>ROUND(MAX(0,I17/VD_počet_měsíců_úžívání-IF($P$7&gt;0,L17/VD_počet_měsíců_úžívání*1.05,L17/VD_počet_měsíců_úžívání*0.95)),0)</f>
        <v>0</v>
      </c>
      <c r="Q17" s="396">
        <v>0</v>
      </c>
    </row>
    <row r="18" spans="1:1031" customHeight="1" ht="18">
      <c r="A18" s="199" t="str">
        <f>Faktury!A3</f>
        <v>0</v>
      </c>
      <c r="B18" s="244"/>
      <c r="C18" s="191" t="str">
        <f>Faktury!C3</f>
        <v>0</v>
      </c>
      <c r="D18" s="20" t="str">
        <f>Faktury!D3</f>
        <v>0</v>
      </c>
      <c r="E18" s="22" t="str">
        <f>Faktury!E3</f>
        <v>0</v>
      </c>
      <c r="F18" s="22" t="str">
        <f>Faktury!F3</f>
        <v>0</v>
      </c>
      <c r="G18" s="22" t="str">
        <f>Faktury!G3</f>
        <v>0</v>
      </c>
      <c r="H18" s="22" t="str">
        <f>Faktury!H3</f>
        <v>0</v>
      </c>
      <c r="I18" s="22" t="str">
        <f>'Vyúčtování byt - 1.část'!J18</f>
        <v>0</v>
      </c>
      <c r="J18" s="22" t="str">
        <f>Faktury!I3</f>
        <v>0</v>
      </c>
      <c r="K18" s="612" t="str">
        <f>IF(J18=0,0,J18*(100+Q18)/100)</f>
        <v>0</v>
      </c>
      <c r="L18" s="612" t="str">
        <f>'Vyúčtování byt - 1.část'!K18</f>
        <v>0</v>
      </c>
      <c r="M18" s="612" t="str">
        <f>ROUND(I18/VD_počet_měsíců_úžívání,2)</f>
        <v>0</v>
      </c>
      <c r="N18" s="616" t="str">
        <f>IF(C18="počet osob", CEILING(K18/'vstupní data'!$AJ$31/VD_počet_měsíců_úžívání*($O$7*12), 10), ROUNDUP(K18/VD_počet_měsíců_úžívání, -1))</f>
        <v>0</v>
      </c>
      <c r="O18" s="612" t="str">
        <f>CEILING(K18/'vstupní data'!$AJ$31/VD_počet_měsíců_úžívání*($O$7*12),10)</f>
        <v>0</v>
      </c>
      <c r="P18" s="616" t="str">
        <f>ROUND(MAX(0,I18/VD_počet_měsíců_úžívání-IF($P$7&gt;0,L18/VD_počet_měsíců_úžívání*1.05,L18/VD_počet_měsíců_úžívání*0.95)),0)</f>
        <v>0</v>
      </c>
      <c r="Q18" s="396">
        <v>0</v>
      </c>
    </row>
    <row r="19" spans="1:1031" customHeight="1" ht="18">
      <c r="A19" s="404" t="str">
        <f>Faktury!A19</f>
        <v>0</v>
      </c>
      <c r="B19" s="260"/>
      <c r="C19" s="191" t="str">
        <f>Faktury!C19</f>
        <v>0</v>
      </c>
      <c r="D19" s="20" t="str">
        <f>Faktury!D19</f>
        <v>0</v>
      </c>
      <c r="E19" s="22" t="str">
        <f>Faktury!E19</f>
        <v>0</v>
      </c>
      <c r="F19" s="22" t="str">
        <f>Faktury!F19</f>
        <v>0</v>
      </c>
      <c r="G19" s="22" t="str">
        <f>Faktury!G19</f>
        <v>0</v>
      </c>
      <c r="H19" s="22" t="str">
        <f>Faktury!H19</f>
        <v>0</v>
      </c>
      <c r="I19" s="22" t="str">
        <f>'Vyúčtování byt - 1.část'!J19</f>
        <v>0</v>
      </c>
      <c r="J19" s="22" t="str">
        <f>Faktury!I19</f>
        <v>0</v>
      </c>
      <c r="K19" s="612" t="str">
        <f>IF(J19=0,0,J19*(100+Q19)/100)</f>
        <v>0</v>
      </c>
      <c r="L19" s="612" t="str">
        <f>'Vyúčtování byt - 1.část'!K19</f>
        <v>0</v>
      </c>
      <c r="M19" s="612" t="str">
        <f>ROUND(I19/VD_počet_měsíců_úžívání,2)</f>
        <v>0</v>
      </c>
      <c r="N19" s="616" t="str">
        <f>IF(C19="počet osob", CEILING(K19/'vstupní data'!$AJ$31/VD_počet_měsíců_úžívání*($O$7*12), 10), ROUNDUP(K19/VD_počet_měsíců_úžívání, -1))</f>
        <v>0</v>
      </c>
      <c r="O19" s="612" t="str">
        <f>CEILING(K19/'vstupní data'!$AJ$31/VD_počet_měsíců_úžívání*($O$7*12),10)</f>
        <v>0</v>
      </c>
      <c r="P19" s="616" t="str">
        <f>ROUND(MAX(0,I19/VD_počet_měsíců_úžívání-IF($P$7&gt;0,L19/VD_počet_měsíců_úžívání*1.05,L19/VD_počet_měsíců_úžívání*0.95)),0)</f>
        <v>0</v>
      </c>
      <c r="Q19" s="396">
        <v>0</v>
      </c>
    </row>
    <row r="20" spans="1:1031" customHeight="1" ht="18">
      <c r="A20" s="405" t="str">
        <f>Faktury!A18</f>
        <v>0</v>
      </c>
      <c r="B20" s="245"/>
      <c r="C20" s="191" t="str">
        <f>Faktury!C18</f>
        <v>0</v>
      </c>
      <c r="D20" s="20" t="str">
        <f>Faktury!D18</f>
        <v>0</v>
      </c>
      <c r="E20" s="22" t="str">
        <f>Faktury!E18</f>
        <v>0</v>
      </c>
      <c r="F20" s="22" t="str">
        <f>Faktury!F18</f>
        <v>0</v>
      </c>
      <c r="G20" s="22" t="str">
        <f>Faktury!G18</f>
        <v>0</v>
      </c>
      <c r="H20" s="22" t="str">
        <f>Faktury!H18</f>
        <v>0</v>
      </c>
      <c r="I20" s="22" t="str">
        <f>'Vyúčtování byt - 1.část'!J20</f>
        <v>0</v>
      </c>
      <c r="J20" s="22" t="str">
        <f>Faktury!I18</f>
        <v>0</v>
      </c>
      <c r="K20" s="612" t="str">
        <f>IF(J20=0,0,J20*(100+Q20)/100)</f>
        <v>0</v>
      </c>
      <c r="L20" s="612" t="str">
        <f>'Vyúčtování byt - 1.část'!K20</f>
        <v>0</v>
      </c>
      <c r="M20" s="612" t="str">
        <f>ROUND(I20/VD_počet_měsíců_úžívání,2)</f>
        <v>0</v>
      </c>
      <c r="N20" s="616" t="str">
        <f>IF(C20="počet osob", CEILING(K20/'vstupní data'!$AJ$31/VD_počet_měsíců_úžívání*($O$7*12), 10), ROUNDUP(K20/VD_počet_měsíců_úžívání, -1))</f>
        <v>0</v>
      </c>
      <c r="O20" s="612" t="str">
        <f>CEILING(K20/'vstupní data'!$AJ$31/VD_počet_měsíců_úžívání*($O$7*12),10)</f>
        <v>0</v>
      </c>
      <c r="P20" s="616" t="str">
        <f>ROUND(MAX(0,I20/VD_počet_měsíců_úžívání-IF($P$7&gt;0,L20/VD_počet_měsíců_úžívání*1.05,L20/VD_počet_měsíců_úžívání*0.95)),0)</f>
        <v>0</v>
      </c>
      <c r="Q20" s="396">
        <v>0</v>
      </c>
    </row>
    <row r="21" spans="1:1031" customHeight="1" ht="18">
      <c r="A21" s="199" t="str">
        <f>Faktury!A10</f>
        <v>0</v>
      </c>
      <c r="B21" s="244"/>
      <c r="C21" s="191" t="str">
        <f>Faktury!C10</f>
        <v>0</v>
      </c>
      <c r="D21" s="20" t="str">
        <f>Faktury!D10</f>
        <v>0</v>
      </c>
      <c r="E21" s="22" t="str">
        <f>Faktury!E10</f>
        <v>0</v>
      </c>
      <c r="F21" s="20" t="str">
        <f>Faktury!F10</f>
        <v>0</v>
      </c>
      <c r="G21" s="20" t="str">
        <f>Faktury!G10</f>
        <v>0</v>
      </c>
      <c r="H21" s="20" t="str">
        <f>Faktury!H10</f>
        <v>0</v>
      </c>
      <c r="I21" s="22" t="str">
        <f>'Vyúčtování byt - 1.část'!J21</f>
        <v>0</v>
      </c>
      <c r="J21" s="20" t="str">
        <f>Faktury!I10</f>
        <v>0</v>
      </c>
      <c r="K21" s="612" t="str">
        <f>IF(J21=0,0,J21*(100+Q21)/100)</f>
        <v>0</v>
      </c>
      <c r="L21" s="612" t="str">
        <f>'Vyúčtování byt - 1.část'!K21</f>
        <v>0</v>
      </c>
      <c r="M21" s="612" t="str">
        <f>ROUND(I21/VD_počet_měsíců_úžívání,2)</f>
        <v>0</v>
      </c>
      <c r="N21" s="616" t="str">
        <f>IF(C21="počet osob", CEILING(K21/'vstupní data'!$AJ$31/VD_počet_měsíců_úžívání*($O$7*12), 10), ROUNDUP(K21/VD_počet_měsíců_úžívání, -1))</f>
        <v>0</v>
      </c>
      <c r="O21" s="612" t="str">
        <f>CEILING(K21/'vstupní data'!$AJ$31/VD_počet_měsíců_úžívání*($O$7*12),10)</f>
        <v>0</v>
      </c>
      <c r="P21" s="616" t="str">
        <f>ROUND(MAX(0,I21/VD_počet_měsíců_úžívání-IF($P$7&gt;0,L21/VD_počet_měsíců_úžívání*1.05,L21/VD_počet_měsíců_úžívání*0.95)),0)</f>
        <v>0</v>
      </c>
      <c r="Q21" s="396">
        <v>0</v>
      </c>
    </row>
    <row r="22" spans="1:1031" customHeight="1" ht="18">
      <c r="A22" s="406" t="str">
        <f>Faktury!A8</f>
        <v>0</v>
      </c>
      <c r="B22" s="70"/>
      <c r="C22" s="191" t="str">
        <f>Faktury!C8</f>
        <v>0</v>
      </c>
      <c r="D22" s="20" t="str">
        <f>Faktury!D8</f>
        <v>0</v>
      </c>
      <c r="E22" s="22" t="str">
        <f>Faktury!E8</f>
        <v>0</v>
      </c>
      <c r="F22" s="22" t="str">
        <f>Faktury!F8</f>
        <v>0</v>
      </c>
      <c r="G22" s="22" t="str">
        <f>Faktury!G8</f>
        <v>0</v>
      </c>
      <c r="H22" s="22" t="str">
        <f>Faktury!H8</f>
        <v>0</v>
      </c>
      <c r="I22" s="22" t="str">
        <f>'Vyúčtování byt - 1.část'!J22</f>
        <v>0</v>
      </c>
      <c r="J22" s="22" t="str">
        <f>Faktury!I8</f>
        <v>0</v>
      </c>
      <c r="K22" s="612" t="str">
        <f>IF(J22=0,0,J22*(100+Q22)/100)</f>
        <v>0</v>
      </c>
      <c r="L22" s="612" t="str">
        <f>'Vyúčtování byt - 1.část'!K22</f>
        <v>0</v>
      </c>
      <c r="M22" s="612" t="str">
        <f>ROUND(I22/VD_počet_měsíců_úžívání,2)</f>
        <v>0</v>
      </c>
      <c r="N22" s="616" t="str">
        <f>IF(C22="počet osob", CEILING(K22/'vstupní data'!$AJ$31/VD_počet_měsíců_úžívání*($O$7*12), 10), ROUNDUP(K22/VD_počet_měsíců_úžívání, -1))</f>
        <v>0</v>
      </c>
      <c r="O22" s="612" t="str">
        <f>CEILING(K22/'vstupní data'!$AJ$31/VD_počet_měsíců_úžívání*($O$7*12),10)</f>
        <v>0</v>
      </c>
      <c r="P22" s="616" t="str">
        <f>ROUND(MAX(0,I22/VD_počet_měsíců_úžívání-IF($P$7&gt;0,L22/VD_počet_měsíců_úžívání*1.05,L22/VD_počet_měsíců_úžívání*0.95)),0)</f>
        <v>0</v>
      </c>
      <c r="Q22" s="396">
        <v>0</v>
      </c>
    </row>
    <row r="23" spans="1:1031" customHeight="1" ht="18">
      <c r="A23" s="199" t="str">
        <f>Faktury!A16</f>
        <v>0</v>
      </c>
      <c r="B23" s="244"/>
      <c r="C23" s="191" t="str">
        <f>Faktury!C16</f>
        <v>0</v>
      </c>
      <c r="D23" s="20" t="str">
        <f>Faktury!D16</f>
        <v>0</v>
      </c>
      <c r="E23" s="22" t="str">
        <f>Faktury!E16</f>
        <v>0</v>
      </c>
      <c r="F23" s="22" t="str">
        <f>Faktury!F16</f>
        <v>0</v>
      </c>
      <c r="G23" s="22" t="str">
        <f>Faktury!G16</f>
        <v>0</v>
      </c>
      <c r="H23" s="22" t="str">
        <f>Faktury!H16</f>
        <v>0</v>
      </c>
      <c r="I23" s="22" t="str">
        <f>'Vyúčtování byt - 1.část'!J23</f>
        <v>0</v>
      </c>
      <c r="J23" s="22" t="str">
        <f>Faktury!I16</f>
        <v>0</v>
      </c>
      <c r="K23" s="612" t="str">
        <f>IF(J23=0,0,J23*(100+Q23)/100)</f>
        <v>0</v>
      </c>
      <c r="L23" s="612" t="str">
        <f>'Vyúčtování byt - 1.část'!K23</f>
        <v>0</v>
      </c>
      <c r="M23" s="612" t="str">
        <f>ROUND(I23/VD_počet_měsíců_úžívání,2)</f>
        <v>0</v>
      </c>
      <c r="N23" s="616" t="str">
        <f>IF(C23="počet osob", CEILING(K23/'vstupní data'!$AJ$31/VD_počet_měsíců_úžívání*($O$7*12), 10), ROUNDUP(K23/VD_počet_měsíců_úžívání, -1))</f>
        <v>0</v>
      </c>
      <c r="O23" s="612" t="str">
        <f>CEILING(K23/'vstupní data'!$AJ$31/VD_počet_měsíců_úžívání*($O$7*12),10)</f>
        <v>0</v>
      </c>
      <c r="P23" s="616" t="str">
        <f>ROUND(MAX(0,I23/VD_počet_měsíců_úžívání-IF($P$7&gt;0,L23/VD_počet_měsíců_úžívání*1.05,L23/VD_počet_měsíců_úžívání*0.95)),0)</f>
        <v>0</v>
      </c>
      <c r="Q23" s="396">
        <v>0</v>
      </c>
    </row>
    <row r="24" spans="1:1031" customHeight="1" ht="18">
      <c r="A24" s="407" t="str">
        <f>Faktury!A22</f>
        <v>0</v>
      </c>
      <c r="B24" s="392"/>
      <c r="C24" s="191" t="str">
        <f>Faktury!C22</f>
        <v>0</v>
      </c>
      <c r="D24" s="20" t="str">
        <f>Faktury!D22</f>
        <v>0</v>
      </c>
      <c r="E24" s="20" t="str">
        <f>Faktury!E22</f>
        <v>0</v>
      </c>
      <c r="F24" s="20" t="str">
        <f>Faktury!F22</f>
        <v>0</v>
      </c>
      <c r="G24" s="20" t="str">
        <f>Faktury!G22</f>
        <v>0</v>
      </c>
      <c r="H24" s="20" t="str">
        <f>Faktury!H22</f>
        <v>0</v>
      </c>
      <c r="I24" s="22" t="str">
        <f>'Vyúčtování byt - 1.část'!J24</f>
        <v>0</v>
      </c>
      <c r="J24" s="20" t="str">
        <f>Faktury!I22</f>
        <v>0</v>
      </c>
      <c r="K24" s="612" t="str">
        <f>IF(J24=0,0,J24*(100+Q24)/100)</f>
        <v>0</v>
      </c>
      <c r="L24" s="612" t="str">
        <f>'Vyúčtování byt - 1.část'!K24</f>
        <v>0</v>
      </c>
      <c r="M24" s="612" t="str">
        <f>ROUND(I24/VD_počet_měsíců_úžívání,2)</f>
        <v>0</v>
      </c>
      <c r="N24" s="616" t="str">
        <f>IF(C24="počet osob", CEILING(K24/'vstupní data'!$AJ$31/VD_počet_měsíců_úžívání*($O$7*12), 10), ROUNDUP(K24/VD_počet_měsíců_úžívání, -1))</f>
        <v>0</v>
      </c>
      <c r="O24" s="612" t="str">
        <f>CEILING(K24/'vstupní data'!$AJ$31/VD_počet_měsíců_úžívání*($O$7*12),10)</f>
        <v>0</v>
      </c>
      <c r="P24" s="616" t="str">
        <f>ROUND(MAX(0,I24/VD_počet_měsíců_úžívání-IF($P$7&gt;0,L24/VD_počet_měsíců_úžívání*1.05,L24/VD_počet_měsíců_úžívání*0.95)),0)</f>
        <v>0</v>
      </c>
      <c r="Q24" s="396">
        <v>0</v>
      </c>
    </row>
    <row r="25" spans="1:1031" customHeight="1" ht="18">
      <c r="A25" s="199" t="str">
        <f>Faktury!A23</f>
        <v>0</v>
      </c>
      <c r="B25" s="393"/>
      <c r="C25" s="191" t="str">
        <f>Faktury!C23</f>
        <v>0</v>
      </c>
      <c r="D25" s="20" t="str">
        <f>Faktury!D23</f>
        <v>0</v>
      </c>
      <c r="E25" s="20" t="str">
        <f>Faktury!E23</f>
        <v>0</v>
      </c>
      <c r="F25" s="20" t="str">
        <f>Faktury!F23</f>
        <v>0</v>
      </c>
      <c r="G25" s="20" t="str">
        <f>Faktury!G23</f>
        <v>0</v>
      </c>
      <c r="H25" s="20" t="str">
        <f>Faktury!H23</f>
        <v>0</v>
      </c>
      <c r="I25" s="22" t="str">
        <f>'Vyúčtování byt - 1.část'!J25</f>
        <v>0</v>
      </c>
      <c r="J25" s="20" t="str">
        <f>Faktury!I23</f>
        <v>0</v>
      </c>
      <c r="K25" s="612" t="str">
        <f>IF(J25=0,0,J25*(100+Q25)/100)</f>
        <v>0</v>
      </c>
      <c r="L25" s="612" t="str">
        <f>'Vyúčtování byt - 1.část'!K25</f>
        <v>0</v>
      </c>
      <c r="M25" s="612" t="str">
        <f>ROUND(I25/VD_počet_měsíců_úžívání,2)</f>
        <v>0</v>
      </c>
      <c r="N25" s="616" t="str">
        <f>IF(C25="počet osob", CEILING(K25/'vstupní data'!$AJ$31/VD_počet_měsíců_úžívání*($O$7*12), 10), ROUNDUP(K25/VD_počet_měsíců_úžívání, -1))</f>
        <v>0</v>
      </c>
      <c r="O25" s="612" t="str">
        <f>CEILING(K25/'vstupní data'!$AJ$31/VD_počet_měsíců_úžívání*($O$7*12),10)</f>
        <v>0</v>
      </c>
      <c r="P25" s="616" t="str">
        <f>ROUND(MAX(0,I25/VD_počet_měsíců_úžívání-IF($P$7&gt;0,L25/VD_počet_měsíců_úžívání*1.05,L25/VD_počet_měsíců_úžívání*0.95)),0)</f>
        <v>0</v>
      </c>
      <c r="Q25" s="396">
        <v>0</v>
      </c>
    </row>
    <row r="26" spans="1:1031" customHeight="1" ht="18">
      <c r="A26" s="199" t="str">
        <f>Faktury!A15</f>
        <v>0</v>
      </c>
      <c r="B26" s="244"/>
      <c r="C26" s="191" t="str">
        <f>Faktury!C15</f>
        <v>0</v>
      </c>
      <c r="D26" s="20" t="str">
        <f>Faktury!D15</f>
        <v>0</v>
      </c>
      <c r="E26" s="22" t="str">
        <f>Faktury!E15</f>
        <v>0</v>
      </c>
      <c r="F26" s="22" t="str">
        <f>Faktury!F15</f>
        <v>0</v>
      </c>
      <c r="G26" s="22" t="str">
        <f>Faktury!G15</f>
        <v>0</v>
      </c>
      <c r="H26" s="22" t="str">
        <f>Faktury!H15</f>
        <v>0</v>
      </c>
      <c r="I26" s="22" t="str">
        <f>'Vyúčtování byt - 1.část'!J26</f>
        <v>0</v>
      </c>
      <c r="J26" s="22" t="str">
        <f>Faktury!I15</f>
        <v>0</v>
      </c>
      <c r="K26" s="612" t="str">
        <f>IF(J26=0,0,J26*(100+Q26)/100)</f>
        <v>0</v>
      </c>
      <c r="L26" s="612" t="str">
        <f>'Vyúčtování byt - 1.část'!K26</f>
        <v>0</v>
      </c>
      <c r="M26" s="612" t="str">
        <f>ROUND(I26/VD_počet_měsíců_úžívání,2)</f>
        <v>0</v>
      </c>
      <c r="N26" s="616" t="str">
        <f>IF(C26="počet osob", CEILING(K26/'vstupní data'!$AJ$31/VD_počet_měsíců_úžívání*($O$7*12), 10), ROUNDUP(K26/VD_počet_měsíců_úžívání, -1))</f>
        <v>0</v>
      </c>
      <c r="O26" s="612" t="str">
        <f>CEILING(K26/'vstupní data'!$AJ$31/VD_počet_měsíců_úžívání*($O$7*12),10)</f>
        <v>0</v>
      </c>
      <c r="P26" s="616" t="str">
        <f>ROUND(MAX(0,I26/VD_počet_měsíců_úžívání-IF($P$7&gt;0,L26/VD_počet_měsíců_úžívání*1.05,L26/VD_počet_měsíců_úžívání*0.95)),0)</f>
        <v>0</v>
      </c>
      <c r="Q26" s="396">
        <v>0</v>
      </c>
    </row>
    <row r="27" spans="1:1031" customHeight="1" ht="18">
      <c r="A27" s="199" t="str">
        <f>Faktury!A13</f>
        <v>0</v>
      </c>
      <c r="B27" s="244"/>
      <c r="C27" s="191" t="str">
        <f>Faktury!C13</f>
        <v>0</v>
      </c>
      <c r="D27" s="20" t="str">
        <f>Faktury!D13</f>
        <v>0</v>
      </c>
      <c r="E27" s="22" t="str">
        <f>Faktury!E13</f>
        <v>0</v>
      </c>
      <c r="F27" s="22" t="str">
        <f>Faktury!F13</f>
        <v>0</v>
      </c>
      <c r="G27" s="22" t="str">
        <f>Faktury!G13</f>
        <v>0</v>
      </c>
      <c r="H27" s="22" t="str">
        <f>Faktury!H13</f>
        <v>0</v>
      </c>
      <c r="I27" s="22" t="str">
        <f>'Vyúčtování byt - 1.část'!J27</f>
        <v>0</v>
      </c>
      <c r="J27" s="22" t="str">
        <f>Faktury!I13</f>
        <v>0</v>
      </c>
      <c r="K27" s="612" t="str">
        <f>IF(J27=0,0,J27*(100+Q27)/100)</f>
        <v>0</v>
      </c>
      <c r="L27" s="612" t="str">
        <f>'Vyúčtování byt - 1.část'!K27</f>
        <v>0</v>
      </c>
      <c r="M27" s="612" t="str">
        <f>ROUND(I27/VD_počet_měsíců_úžívání,2)</f>
        <v>0</v>
      </c>
      <c r="N27" s="616" t="str">
        <f>IF(C27="počet osob", CEILING(K27/'vstupní data'!$AJ$31/VD_počet_měsíců_úžívání*($O$7*12), 10), ROUNDUP(K27/VD_počet_měsíců_úžívání, -1))</f>
        <v>0</v>
      </c>
      <c r="O27" s="612" t="str">
        <f>CEILING(K27/'vstupní data'!$AJ$31/VD_počet_měsíců_úžívání*($O$7*12),10)</f>
        <v>0</v>
      </c>
      <c r="P27" s="616" t="str">
        <f>ROUND(MAX(0,I27/VD_počet_měsíců_úžívání-IF($P$7&gt;0,L27/VD_počet_měsíců_úžívání*1.05,L27/VD_počet_měsíců_úžívání*0.95)),0)</f>
        <v>0</v>
      </c>
      <c r="Q27" s="396">
        <v>0</v>
      </c>
    </row>
    <row r="28" spans="1:1031" customHeight="1" ht="18">
      <c r="A28" s="199" t="str">
        <f>Faktury!A14</f>
        <v>0</v>
      </c>
      <c r="B28" s="244"/>
      <c r="C28" s="191" t="str">
        <f>Faktury!C14</f>
        <v>0</v>
      </c>
      <c r="D28" s="20" t="str">
        <f>Faktury!D14</f>
        <v>0</v>
      </c>
      <c r="E28" s="22" t="str">
        <f>Faktury!E14</f>
        <v>0</v>
      </c>
      <c r="F28" s="22" t="str">
        <f>Faktury!F14</f>
        <v>0</v>
      </c>
      <c r="G28" s="22" t="str">
        <f>Faktury!G14</f>
        <v>0</v>
      </c>
      <c r="H28" s="22" t="str">
        <f>Faktury!H14</f>
        <v>0</v>
      </c>
      <c r="I28" s="22" t="str">
        <f>'Vyúčtování byt - 1.část'!J28</f>
        <v>0</v>
      </c>
      <c r="J28" s="22" t="str">
        <f>Faktury!I14</f>
        <v>0</v>
      </c>
      <c r="K28" s="612" t="str">
        <f>IF(J28=0,0,J28*(100+Q28)/100)</f>
        <v>0</v>
      </c>
      <c r="L28" s="612" t="str">
        <f>'Vyúčtování byt - 1.část'!K28</f>
        <v>0</v>
      </c>
      <c r="M28" s="612" t="str">
        <f>ROUND(I28/VD_počet_měsíců_úžívání,2)</f>
        <v>0</v>
      </c>
      <c r="N28" s="616" t="str">
        <f>IF(C28="počet osob", CEILING(K28/'vstupní data'!$AJ$31/VD_počet_měsíců_úžívání*($O$7*12), 10), ROUNDUP(K28/VD_počet_měsíců_úžívání, -1))</f>
        <v>0</v>
      </c>
      <c r="O28" s="612" t="str">
        <f>CEILING(K28/'vstupní data'!$AJ$31/VD_počet_měsíců_úžívání*($O$7*12),10)</f>
        <v>0</v>
      </c>
      <c r="P28" s="616" t="str">
        <f>ROUND(MAX(0,I28/VD_počet_měsíců_úžívání-IF($P$7&gt;0,L28/VD_počet_měsíců_úžívání*1.05,L28/VD_počet_měsíců_úžívání*0.95)),0)</f>
        <v>0</v>
      </c>
      <c r="Q28" s="396">
        <v>0</v>
      </c>
    </row>
    <row r="29" spans="1:1031" customHeight="1" ht="15.95">
      <c r="A29" s="338" t="str">
        <f>Faktury!A11</f>
        <v>0</v>
      </c>
      <c r="B29" s="248"/>
      <c r="C29" s="619" t="str">
        <f>Faktury!C11</f>
        <v>0</v>
      </c>
      <c r="D29" s="83" t="str">
        <f>Faktury!D11</f>
        <v>0</v>
      </c>
      <c r="E29" s="86" t="str">
        <f>Faktury!E11</f>
        <v>0</v>
      </c>
      <c r="F29" s="86" t="str">
        <f>Faktury!F11</f>
        <v>0</v>
      </c>
      <c r="G29" s="86" t="str">
        <f>Faktury!G11</f>
        <v>0</v>
      </c>
      <c r="H29" s="86" t="str">
        <f>Faktury!H11</f>
        <v>0</v>
      </c>
      <c r="I29" s="22" t="str">
        <f>'Vyúčtování byt - 1.část'!J29</f>
        <v>0</v>
      </c>
      <c r="J29" s="86" t="str">
        <f>Faktury!I11</f>
        <v>0</v>
      </c>
      <c r="K29" s="612" t="str">
        <f>IF(J29=0,0,J29*(100+Q29)/100)</f>
        <v>0</v>
      </c>
      <c r="L29" s="612" t="str">
        <f>'Vyúčtování byt - 1.část'!K29</f>
        <v>0</v>
      </c>
      <c r="M29" s="612" t="str">
        <f>ROUND(I29/VD_počet_měsíců_úžívání,2)</f>
        <v>0</v>
      </c>
      <c r="N29" s="616" t="str">
        <f>IF(C29="počet osob", CEILING(K29/'vstupní data'!$AJ$31/VD_počet_měsíců_úžívání*($O$7*12), 10), ROUNDUP(K29/VD_počet_měsíců_úžívání, -1))</f>
        <v>0</v>
      </c>
      <c r="O29" s="612" t="str">
        <f>CEILING(K29/'vstupní data'!$AJ$31/VD_počet_měsíců_úžívání*($O$7*12),10)</f>
        <v>0</v>
      </c>
      <c r="P29" s="616" t="str">
        <f>ROUND(MAX(0,I29/VD_počet_měsíců_úžívání-IF($P$7&gt;0,L29/VD_počet_měsíců_úžívání*1.05,L29/VD_počet_měsíců_úžívání*0.95)),0)</f>
        <v>0</v>
      </c>
      <c r="Q29" s="396">
        <v>0</v>
      </c>
    </row>
    <row r="30" spans="1:1031" customHeight="1" ht="15.95">
      <c r="A30" s="746" t="s">
        <v>83</v>
      </c>
      <c r="B30" s="746"/>
      <c r="C30" s="746"/>
      <c r="D30" s="399"/>
      <c r="E30" s="400" t="str">
        <f>SUM(E10:E29)</f>
        <v>0</v>
      </c>
      <c r="F30" s="399"/>
      <c r="G30" s="719" t="s">
        <v>84</v>
      </c>
      <c r="H30" s="719"/>
      <c r="I30" s="401" t="str">
        <f>SUM(I10:I29)</f>
        <v>0</v>
      </c>
      <c r="J30" s="401" t="str">
        <f>SUM(J10:J29)</f>
        <v>0</v>
      </c>
      <c r="K30" s="613" t="str">
        <f>SUM(K10:K29)</f>
        <v>0</v>
      </c>
      <c r="L30" s="613"/>
      <c r="M30" s="613" t="str">
        <f>SUM(M10:M29)</f>
        <v>0</v>
      </c>
      <c r="N30" s="410" t="str">
        <f>SUM(N10:N29)</f>
        <v>0</v>
      </c>
      <c r="O30" s="613"/>
      <c r="P30" s="613" t="str">
        <f>SUM(P10:P29)</f>
        <v>0</v>
      </c>
      <c r="Q30" s="80"/>
    </row>
    <row r="31" spans="1:1031" customHeight="1" ht="15">
      <c r="A31" s="27"/>
      <c r="B31" s="27"/>
      <c r="C31" s="27"/>
      <c r="D31" s="27"/>
      <c r="E31" s="27"/>
      <c r="G31" s="747" t="s">
        <v>85</v>
      </c>
      <c r="H31" s="747"/>
      <c r="I31" s="747"/>
      <c r="J31" s="747"/>
      <c r="K31" s="747"/>
      <c r="L31" s="455"/>
      <c r="M31" s="317" t="str">
        <f>M30+A36/VD_počet_měsíců_úžívání</f>
        <v>0</v>
      </c>
      <c r="N31" s="440" t="str">
        <f>N30+A36/VD_počet_měsíců_úžívání</f>
        <v>0</v>
      </c>
      <c r="O31" s="630" t="s">
        <v>86</v>
      </c>
      <c r="P31" s="632" t="str">
        <f>ROUND(P30-M30,0)</f>
        <v>0</v>
      </c>
      <c r="Q31" s="745" t="s">
        <v>87</v>
      </c>
      <c r="R31" s="745"/>
      <c r="S31" s="745"/>
    </row>
    <row r="32" spans="1:1031" customHeight="1" ht="18">
      <c r="A32" s="27"/>
      <c r="B32" s="27"/>
      <c r="C32" s="27"/>
      <c r="D32" s="27"/>
      <c r="E32" s="27"/>
      <c r="G32" s="718"/>
      <c r="H32" s="718"/>
      <c r="I32" s="718"/>
      <c r="J32" s="718"/>
      <c r="K32" s="718"/>
      <c r="L32" s="70"/>
      <c r="M32" s="70"/>
      <c r="N32" s="70"/>
      <c r="O32" s="631" t="s">
        <v>88</v>
      </c>
      <c r="P32" s="633" t="str">
        <f>P31-P7</f>
        <v>0</v>
      </c>
      <c r="Q32" s="745"/>
      <c r="R32" s="745"/>
      <c r="S32" s="745"/>
    </row>
    <row r="33" spans="1:1031" customHeight="1" ht="21">
      <c r="A33" s="291" t="s">
        <v>89</v>
      </c>
      <c r="C33" s="69"/>
      <c r="D33" s="5"/>
      <c r="E33" s="5"/>
      <c r="F33" s="5"/>
      <c r="G33" s="748"/>
      <c r="H33" s="748"/>
      <c r="I33" s="748"/>
      <c r="J33" s="748"/>
      <c r="K33" s="748"/>
      <c r="L33" s="422"/>
      <c r="M33" s="422"/>
      <c r="N33" s="422"/>
      <c r="O33" s="422"/>
      <c r="P33" s="365"/>
      <c r="Q33" s="745"/>
      <c r="R33" s="745"/>
      <c r="S33" s="745"/>
    </row>
    <row r="34" spans="1:1031" customHeight="1" ht="17.25">
      <c r="A34" s="63" t="str">
        <f>'Vyúčtování byt - 1.část'!A35</f>
        <v>0</v>
      </c>
      <c r="C34" s="25"/>
      <c r="D34" s="5"/>
      <c r="G34" s="2"/>
      <c r="J34" s="2"/>
      <c r="Q34" s="80"/>
    </row>
    <row r="35" spans="1:1031">
      <c r="A35" s="291" t="s">
        <v>90</v>
      </c>
      <c r="B35" s="27"/>
      <c r="C35" s="25"/>
      <c r="D35" s="5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80"/>
    </row>
    <row r="36" spans="1:1031">
      <c r="A36" s="316" t="str">
        <f>'Vyúčtování byt - 1.část'!B35</f>
        <v>0</v>
      </c>
      <c r="K36" s="744" t="s">
        <v>91</v>
      </c>
      <c r="L36" s="744"/>
      <c r="M36" s="744"/>
      <c r="N36" s="744"/>
      <c r="O36" s="744"/>
    </row>
    <row r="37" spans="1:1031">
      <c r="A37" s="291" t="s">
        <v>92</v>
      </c>
      <c r="K37" s="2" t="s">
        <v>93</v>
      </c>
      <c r="M37" s="604" t="str">
        <f>M31</f>
        <v>0</v>
      </c>
      <c r="N37" s="605" t="s">
        <v>94</v>
      </c>
      <c r="O37" s="606"/>
    </row>
    <row r="38" spans="1:1031" customHeight="1" ht="18">
      <c r="A38" s="629" t="str">
        <f>ROUND('Vyúčtování byt - 1.část'!K31,0)</f>
        <v>0</v>
      </c>
      <c r="K38" s="607" t="s">
        <v>95</v>
      </c>
      <c r="L38" s="607"/>
      <c r="M38" s="617" t="str">
        <f>N31</f>
        <v>0</v>
      </c>
    </row>
    <row r="39" spans="1:1031">
      <c r="K39" s="607" t="s">
        <v>86</v>
      </c>
      <c r="L39" s="607"/>
      <c r="M39" s="611" t="str">
        <f>M38-M37</f>
        <v>0</v>
      </c>
      <c r="N39" s="610" t="str">
        <f>M39*VD_počet_měsíců_úžívání+'Vyúčtování byt - 1.část'!VB_preplatky_celkem</f>
        <v>0</v>
      </c>
      <c r="O39" s="2" t="s">
        <v>96</v>
      </c>
    </row>
    <row r="40" spans="1:1031">
      <c r="K40" s="609" t="s">
        <v>97</v>
      </c>
      <c r="L40" s="609"/>
      <c r="M40" s="604" t="str">
        <f>J30</f>
        <v>0</v>
      </c>
    </row>
    <row r="41" spans="1:1031">
      <c r="K41" s="609" t="s">
        <v>98</v>
      </c>
      <c r="L41" s="609"/>
      <c r="M41" s="604" t="str">
        <f>N30*VD_počet_měsíců_úžívání</f>
        <v>0</v>
      </c>
    </row>
    <row r="42" spans="1:1031">
      <c r="K42" s="609" t="s">
        <v>99</v>
      </c>
      <c r="L42" s="609"/>
      <c r="M42" s="608" t="str">
        <f>M41-M40</f>
        <v>0</v>
      </c>
      <c r="N42" s="607" t="s">
        <v>100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K1"/>
    <mergeCell ref="F3:G3"/>
    <mergeCell ref="E4:G4"/>
    <mergeCell ref="V4:AD11"/>
    <mergeCell ref="A8:D8"/>
    <mergeCell ref="E8:G8"/>
    <mergeCell ref="H8:P8"/>
    <mergeCell ref="K36:O36"/>
    <mergeCell ref="Q31:S33"/>
    <mergeCell ref="A30:C30"/>
    <mergeCell ref="G30:H30"/>
    <mergeCell ref="G31:K31"/>
    <mergeCell ref="G32:K32"/>
    <mergeCell ref="G33:K33"/>
  </mergeCells>
  <hyperlinks>
    <hyperlink ref="A6" location="Seznam!A1"/>
  </hyperlinks>
  <printOptions gridLines="false" gridLinesSet="true" horizontalCentered="true" verticalCentered="true"/>
  <pageMargins left="0.23622047244094" right="0.23622047244094" top="0.23622047244094" bottom="0.51181102362205" header="0.51181102362205" footer="0.31496062992126"/>
  <pageSetup paperSize="9" orientation="landscape" scale="59" fitToHeight="1" fitToWidth="1"/>
  <headerFooter differentOddEven="false" differentFirst="false" scaleWithDoc="true" alignWithMargins="true">
    <oddHeader/>
    <oddFooter>&amp;L&amp;8datum:      &amp;D
vystavil: AdminReal s.r.o.&amp;C&amp;8info@adminreal.cz
mobil: 607 959 876&amp;R&amp;8www.adminreal.cz
www.onlinesprava.cz</oddFooter>
    <evenHeader/>
    <evenFooter/>
    <firstHeader/>
    <first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tabColor rgb="FFFFFF00"/>
    <outlinePr summaryBelow="1" summaryRight="1"/>
  </sheetPr>
  <dimension ref="A1:G11"/>
  <sheetViews>
    <sheetView tabSelected="0" workbookViewId="0" zoomScale="205" zoomScaleNormal="205" showGridLines="true" showRowColHeaders="1">
      <selection activeCell="A1" sqref="A1"/>
    </sheetView>
  </sheetViews>
  <sheetFormatPr defaultRowHeight="14.4" outlineLevelRow="0" outlineLevelCol="0"/>
  <cols>
    <col min="1" max="1" width="23.265625" customWidth="true" style="0"/>
    <col min="2" max="2" width="17.59765625" customWidth="true" style="0"/>
    <col min="3" max="3" width="21.73046875" customWidth="true" style="0"/>
    <col min="4" max="4" width="15.86328125" customWidth="true" style="0"/>
    <col min="5" max="5" width="18.86328125" customWidth="true" style="0"/>
    <col min="7" max="7" width="23.3984375" customWidth="true" style="0"/>
  </cols>
  <sheetData>
    <row r="1" spans="1:7" customHeight="1" ht="21">
      <c r="A1" s="753" t="s">
        <v>60</v>
      </c>
      <c r="B1" s="753"/>
      <c r="C1" s="753"/>
      <c r="D1" s="753"/>
      <c r="E1" s="753"/>
    </row>
    <row r="2" spans="1:7">
      <c r="A2" s="263" t="s">
        <v>101</v>
      </c>
      <c r="B2" s="263" t="s">
        <v>102</v>
      </c>
      <c r="C2" s="263" t="s">
        <v>103</v>
      </c>
      <c r="D2" s="263" t="s">
        <v>104</v>
      </c>
      <c r="E2" s="263" t="s">
        <v>91</v>
      </c>
    </row>
    <row r="3" spans="1:7">
      <c r="A3" s="601" t="s">
        <v>105</v>
      </c>
      <c r="B3" s="601" t="s">
        <v>106</v>
      </c>
      <c r="C3" s="262" t="s">
        <v>107</v>
      </c>
      <c r="D3" s="262" t="s">
        <v>108</v>
      </c>
      <c r="E3" s="691" t="s">
        <v>109</v>
      </c>
    </row>
    <row r="4" spans="1:7">
      <c r="A4" s="601" t="s">
        <v>110</v>
      </c>
      <c r="B4" s="601" t="s">
        <v>111</v>
      </c>
      <c r="C4" s="262" t="s">
        <v>112</v>
      </c>
      <c r="D4" s="262" t="s">
        <v>113</v>
      </c>
    </row>
    <row r="5" spans="1:7">
      <c r="A5" s="262" t="s">
        <v>114</v>
      </c>
      <c r="B5" s="601" t="s">
        <v>115</v>
      </c>
      <c r="C5" s="262" t="s">
        <v>116</v>
      </c>
      <c r="D5" s="262" t="s">
        <v>117</v>
      </c>
    </row>
    <row r="6" spans="1:7">
      <c r="A6" s="262" t="s">
        <v>118</v>
      </c>
      <c r="B6" s="601" t="s">
        <v>119</v>
      </c>
      <c r="C6" s="602" t="s">
        <v>120</v>
      </c>
    </row>
    <row r="7" spans="1:7">
      <c r="A7" s="262" t="s">
        <v>121</v>
      </c>
      <c r="B7" s="262" t="s">
        <v>122</v>
      </c>
    </row>
    <row r="8" spans="1:7">
      <c r="A8" s="262" t="s">
        <v>123</v>
      </c>
      <c r="B8" s="601" t="s">
        <v>124</v>
      </c>
    </row>
    <row r="9" spans="1:7">
      <c r="A9" s="601" t="s">
        <v>125</v>
      </c>
      <c r="B9" s="262" t="s">
        <v>126</v>
      </c>
    </row>
    <row r="10" spans="1:7">
      <c r="A10" s="601" t="s">
        <v>127</v>
      </c>
      <c r="B10" s="262" t="s">
        <v>128</v>
      </c>
    </row>
    <row r="11" spans="1:7">
      <c r="A11" s="60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hyperlinks>
    <hyperlink ref="B6" location="Elektroměry!A1"/>
    <hyperlink ref="A4" location="'Vyúčtování byt - 1.část'!A1"/>
    <hyperlink ref="D5" location="'Odečty formular'!A1"/>
    <hyperlink ref="A6" location="'prijem SVJ bez vydaju'!A1"/>
    <hyperlink ref="A5" location="'prijem SVJ'!A1"/>
    <hyperlink ref="C5" location="'Přeplatky nedoplatky'!A1"/>
    <hyperlink ref="B7" location="Výtahy!A1"/>
    <hyperlink ref="B8" location="'Počet osob'!A1"/>
    <hyperlink ref="C4" location="Uhrady!A1"/>
    <hyperlink ref="B5" location="Teplo!A1"/>
    <hyperlink ref="A7" location="'Náklady na dům'!A1"/>
    <hyperlink ref="B10" location="'faktury za služby'!A1"/>
    <hyperlink ref="B9" location="'Předpis po mesici'!A1"/>
    <hyperlink ref="C3" location="EVIDENCE"/>
    <hyperlink ref="B4" location="'Vodoměry SV'!A1"/>
    <hyperlink ref="B3" location="'Vodoměry TUV'!A1"/>
    <hyperlink ref="D3" location="EXPORT_PRO_SEND_MAIL"/>
    <hyperlink ref="A3" location="'vstupní data'!A1"/>
    <hyperlink ref="D4" location="BYTOVE_DOMY"/>
    <hyperlink ref="C6" location="'Zálohy byt - měsíčně'!VYUCTOVANI"/>
    <hyperlink ref="E3" location="Výpočet!A1"/>
    <hyperlink ref="A9" location="Parametry!A1"/>
    <hyperlink ref="A8" location="'Vyúčtování byt - 1.část'!A1"/>
    <hyperlink ref="A10" location="Faktury!A2"/>
  </hyperlinks>
  <printOptions gridLines="false" gridLinesSet="true"/>
  <pageMargins left="0.7" right="0.7" top="0.787401575" bottom="0.7874015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tabColor rgb="FFFFC000"/>
    <outlinePr summaryBelow="1" summaryRight="1"/>
    <pageSetUpPr fitToPage="1"/>
  </sheetPr>
  <dimension ref="A1:AML63"/>
  <sheetViews>
    <sheetView tabSelected="0" workbookViewId="0" zoomScale="85" zoomScaleNormal="85" showGridLines="true" showRowColHeaders="1">
      <selection activeCell="M2" sqref="M2"/>
    </sheetView>
  </sheetViews>
  <sheetFormatPr defaultRowHeight="14.4" outlineLevelRow="0" outlineLevelCol="0"/>
  <cols>
    <col min="1" max="1" width="17.73046875" customWidth="true" style="2"/>
    <col min="2" max="2" width="20.265625" customWidth="true" style="2"/>
    <col min="3" max="3" width="19.86328125" customWidth="true" style="2"/>
    <col min="4" max="4" width="12.86328125" customWidth="true" style="2"/>
    <col min="5" max="5" width="12.3984375" customWidth="true" style="2"/>
    <col min="6" max="6" width="11.86328125" customWidth="true" style="2"/>
    <col min="7" max="7" width="13.1328125" customWidth="true" style="1"/>
    <col min="8" max="8" width="18.59765625" customWidth="true" style="2"/>
    <col min="9" max="9" width="13.59765625" customWidth="true" style="1"/>
    <col min="10" max="10" width="14" customWidth="true" style="2"/>
    <col min="11" max="11" width="19.1328125" customWidth="true" style="2"/>
    <col min="12" max="12" width="13" customWidth="true" style="2"/>
    <col min="13" max="13" width="9.1328125" customWidth="true" style="2"/>
    <col min="14" max="14" width="9.1328125" customWidth="true" style="2"/>
    <col min="15" max="15" width="9.1328125" customWidth="true" style="2"/>
    <col min="16" max="16" width="15.73046875" customWidth="true" style="2"/>
    <col min="17" max="17" width="20.73046875" customWidth="true" style="2"/>
    <col min="18" max="18" width="9.1328125" customWidth="true" style="2"/>
    <col min="19" max="19" width="9.1328125" customWidth="true" style="2"/>
    <col min="20" max="20" width="9.1328125" customWidth="true" style="2"/>
    <col min="21" max="21" width="9.1328125" customWidth="true" style="2"/>
    <col min="22" max="22" width="9.1328125" customWidth="true" style="2"/>
    <col min="23" max="23" width="100.73046875" customWidth="true" style="2"/>
    <col min="24" max="24" width="9.1328125" customWidth="true" style="2"/>
    <col min="25" max="25" width="35.73046875" customWidth="true" style="2"/>
    <col min="26" max="26" width="9.1328125" customWidth="true" style="2"/>
    <col min="27" max="27" width="9.1328125" customWidth="true" style="2"/>
    <col min="28" max="28" width="9.1328125" customWidth="true" style="2"/>
    <col min="29" max="29" width="9.1328125" customWidth="true" style="2"/>
    <col min="30" max="30" width="9.1328125" customWidth="true" style="2"/>
    <col min="31" max="31" width="9.1328125" customWidth="true" style="2"/>
    <col min="32" max="32" width="9.1328125" customWidth="true" style="2"/>
    <col min="33" max="33" width="9.1328125" customWidth="true" style="2"/>
    <col min="34" max="34" width="9.1328125" customWidth="true" style="2"/>
    <col min="35" max="35" width="9.1328125" customWidth="true" style="2"/>
    <col min="36" max="36" width="9.1328125" customWidth="true" style="2"/>
    <col min="37" max="37" width="9.1328125" customWidth="true" style="2"/>
    <col min="38" max="38" width="9.1328125" customWidth="true" style="2"/>
    <col min="39" max="39" width="9.1328125" customWidth="true" style="2"/>
    <col min="40" max="40" width="9.1328125" customWidth="true" style="2"/>
    <col min="41" max="41" width="9.1328125" customWidth="true" style="2"/>
    <col min="42" max="42" width="9.1328125" customWidth="true" style="2"/>
    <col min="43" max="43" width="9.1328125" customWidth="true" style="2"/>
    <col min="44" max="44" width="9.1328125" customWidth="true" style="2"/>
    <col min="45" max="45" width="9.1328125" customWidth="true" style="2"/>
    <col min="46" max="46" width="9.1328125" customWidth="true" style="2"/>
    <col min="47" max="47" width="9.1328125" customWidth="true" style="2"/>
    <col min="48" max="48" width="9.1328125" customWidth="true" style="2"/>
    <col min="49" max="49" width="9.1328125" customWidth="true" style="2"/>
    <col min="50" max="50" width="9.1328125" customWidth="true" style="2"/>
    <col min="51" max="51" width="9.1328125" customWidth="true" style="2"/>
    <col min="52" max="52" width="9.1328125" customWidth="true" style="2"/>
    <col min="53" max="53" width="9.1328125" customWidth="true" style="2"/>
    <col min="54" max="54" width="9.1328125" customWidth="true" style="2"/>
    <col min="55" max="55" width="9.1328125" customWidth="true" style="2"/>
    <col min="56" max="56" width="9.1328125" customWidth="true" style="2"/>
    <col min="57" max="57" width="9.1328125" customWidth="true" style="2"/>
    <col min="58" max="58" width="9.1328125" customWidth="true" style="2"/>
    <col min="59" max="59" width="9.1328125" customWidth="true" style="2"/>
    <col min="60" max="60" width="9.1328125" customWidth="true" style="2"/>
    <col min="61" max="61" width="9.1328125" customWidth="true" style="2"/>
    <col min="62" max="62" width="9.1328125" customWidth="true" style="2"/>
    <col min="63" max="63" width="9.1328125" customWidth="true" style="2"/>
    <col min="64" max="64" width="9.1328125" customWidth="true" style="2"/>
    <col min="65" max="65" width="9.1328125" customWidth="true" style="2"/>
    <col min="66" max="66" width="9.1328125" customWidth="true" style="2"/>
    <col min="67" max="67" width="9.1328125" customWidth="true" style="2"/>
    <col min="68" max="68" width="9.1328125" customWidth="true" style="2"/>
    <col min="69" max="69" width="9.1328125" customWidth="true" style="2"/>
    <col min="70" max="70" width="9.1328125" customWidth="true" style="2"/>
    <col min="71" max="71" width="9.1328125" customWidth="true" style="2"/>
    <col min="72" max="72" width="9.1328125" customWidth="true" style="2"/>
    <col min="73" max="73" width="9.1328125" customWidth="true" style="2"/>
    <col min="74" max="74" width="9.1328125" customWidth="true" style="2"/>
    <col min="75" max="75" width="9.1328125" customWidth="true" style="2"/>
    <col min="76" max="76" width="9.1328125" customWidth="true" style="2"/>
    <col min="77" max="77" width="9.1328125" customWidth="true" style="2"/>
    <col min="78" max="78" width="9.1328125" customWidth="true" style="2"/>
    <col min="79" max="79" width="9.1328125" customWidth="true" style="2"/>
    <col min="80" max="80" width="9.1328125" customWidth="true" style="2"/>
    <col min="81" max="81" width="9.1328125" customWidth="true" style="2"/>
    <col min="82" max="82" width="9.1328125" customWidth="true" style="2"/>
    <col min="83" max="83" width="9.1328125" customWidth="true" style="2"/>
    <col min="84" max="84" width="9.1328125" customWidth="true" style="2"/>
    <col min="85" max="85" width="9.1328125" customWidth="true" style="2"/>
    <col min="86" max="86" width="9.1328125" customWidth="true" style="2"/>
    <col min="87" max="87" width="9.1328125" customWidth="true" style="2"/>
    <col min="88" max="88" width="9.1328125" customWidth="true" style="2"/>
    <col min="89" max="89" width="9.1328125" customWidth="true" style="2"/>
    <col min="90" max="90" width="9.1328125" customWidth="true" style="2"/>
    <col min="91" max="91" width="9.1328125" customWidth="true" style="2"/>
    <col min="92" max="92" width="9.1328125" customWidth="true" style="2"/>
    <col min="93" max="93" width="9.1328125" customWidth="true" style="2"/>
    <col min="94" max="94" width="9.1328125" customWidth="true" style="2"/>
    <col min="95" max="95" width="9.1328125" customWidth="true" style="2"/>
    <col min="96" max="96" width="9.1328125" customWidth="true" style="2"/>
    <col min="97" max="97" width="9.1328125" customWidth="true" style="2"/>
    <col min="98" max="98" width="9.1328125" customWidth="true" style="2"/>
    <col min="99" max="99" width="9.1328125" customWidth="true" style="2"/>
    <col min="100" max="100" width="9.1328125" customWidth="true" style="2"/>
    <col min="101" max="101" width="9.1328125" customWidth="true" style="2"/>
    <col min="102" max="102" width="9.1328125" customWidth="true" style="2"/>
    <col min="103" max="103" width="9.1328125" customWidth="true" style="2"/>
    <col min="104" max="104" width="9.1328125" customWidth="true" style="2"/>
    <col min="105" max="105" width="9.1328125" customWidth="true" style="2"/>
    <col min="106" max="106" width="9.1328125" customWidth="true" style="2"/>
    <col min="107" max="107" width="9.1328125" customWidth="true" style="2"/>
    <col min="108" max="108" width="9.1328125" customWidth="true" style="2"/>
    <col min="109" max="109" width="9.1328125" customWidth="true" style="2"/>
    <col min="110" max="110" width="9.1328125" customWidth="true" style="2"/>
    <col min="111" max="111" width="9.1328125" customWidth="true" style="2"/>
    <col min="112" max="112" width="9.1328125" customWidth="true" style="2"/>
    <col min="113" max="113" width="9.1328125" customWidth="true" style="2"/>
    <col min="114" max="114" width="9.1328125" customWidth="true" style="2"/>
    <col min="115" max="115" width="9.1328125" customWidth="true" style="2"/>
    <col min="116" max="116" width="9.1328125" customWidth="true" style="2"/>
    <col min="117" max="117" width="9.1328125" customWidth="true" style="2"/>
    <col min="118" max="118" width="9.1328125" customWidth="true" style="2"/>
    <col min="119" max="119" width="9.1328125" customWidth="true" style="2"/>
    <col min="120" max="120" width="9.1328125" customWidth="true" style="2"/>
    <col min="121" max="121" width="9.1328125" customWidth="true" style="2"/>
    <col min="122" max="122" width="9.1328125" customWidth="true" style="2"/>
    <col min="123" max="123" width="9.1328125" customWidth="true" style="2"/>
    <col min="124" max="124" width="9.1328125" customWidth="true" style="2"/>
    <col min="125" max="125" width="9.1328125" customWidth="true" style="2"/>
    <col min="126" max="126" width="9.1328125" customWidth="true" style="2"/>
    <col min="127" max="127" width="9.1328125" customWidth="true" style="2"/>
    <col min="128" max="128" width="9.1328125" customWidth="true" style="2"/>
    <col min="129" max="129" width="9.1328125" customWidth="true" style="2"/>
    <col min="130" max="130" width="9.1328125" customWidth="true" style="2"/>
    <col min="131" max="131" width="9.1328125" customWidth="true" style="2"/>
    <col min="132" max="132" width="9.1328125" customWidth="true" style="2"/>
    <col min="133" max="133" width="9.1328125" customWidth="true" style="2"/>
    <col min="134" max="134" width="9.1328125" customWidth="true" style="2"/>
    <col min="135" max="135" width="9.1328125" customWidth="true" style="2"/>
    <col min="136" max="136" width="9.1328125" customWidth="true" style="2"/>
    <col min="137" max="137" width="9.1328125" customWidth="true" style="2"/>
    <col min="138" max="138" width="9.1328125" customWidth="true" style="2"/>
    <col min="139" max="139" width="9.1328125" customWidth="true" style="2"/>
    <col min="140" max="140" width="9.1328125" customWidth="true" style="2"/>
    <col min="141" max="141" width="9.1328125" customWidth="true" style="2"/>
    <col min="142" max="142" width="9.1328125" customWidth="true" style="2"/>
    <col min="143" max="143" width="9.1328125" customWidth="true" style="2"/>
    <col min="144" max="144" width="9.1328125" customWidth="true" style="2"/>
    <col min="145" max="145" width="9.1328125" customWidth="true" style="2"/>
    <col min="146" max="146" width="9.1328125" customWidth="true" style="2"/>
    <col min="147" max="147" width="9.1328125" customWidth="true" style="2"/>
    <col min="148" max="148" width="9.1328125" customWidth="true" style="2"/>
    <col min="149" max="149" width="9.1328125" customWidth="true" style="2"/>
    <col min="150" max="150" width="9.1328125" customWidth="true" style="2"/>
    <col min="151" max="151" width="9.1328125" customWidth="true" style="2"/>
    <col min="152" max="152" width="9.1328125" customWidth="true" style="2"/>
    <col min="153" max="153" width="9.1328125" customWidth="true" style="2"/>
    <col min="154" max="154" width="9.1328125" customWidth="true" style="2"/>
    <col min="155" max="155" width="9.1328125" customWidth="true" style="2"/>
    <col min="156" max="156" width="9.1328125" customWidth="true" style="2"/>
    <col min="157" max="157" width="9.1328125" customWidth="true" style="2"/>
    <col min="158" max="158" width="9.1328125" customWidth="true" style="2"/>
    <col min="159" max="159" width="9.1328125" customWidth="true" style="2"/>
    <col min="160" max="160" width="9.1328125" customWidth="true" style="2"/>
    <col min="161" max="161" width="9.1328125" customWidth="true" style="2"/>
    <col min="162" max="162" width="9.1328125" customWidth="true" style="2"/>
    <col min="163" max="163" width="9.1328125" customWidth="true" style="2"/>
    <col min="164" max="164" width="9.1328125" customWidth="true" style="2"/>
    <col min="165" max="165" width="9.1328125" customWidth="true" style="2"/>
    <col min="166" max="166" width="9.1328125" customWidth="true" style="2"/>
    <col min="167" max="167" width="9.1328125" customWidth="true" style="2"/>
    <col min="168" max="168" width="9.1328125" customWidth="true" style="2"/>
    <col min="169" max="169" width="9.1328125" customWidth="true" style="2"/>
    <col min="170" max="170" width="9.1328125" customWidth="true" style="2"/>
    <col min="171" max="171" width="9.1328125" customWidth="true" style="2"/>
    <col min="172" max="172" width="9.1328125" customWidth="true" style="2"/>
    <col min="173" max="173" width="9.1328125" customWidth="true" style="2"/>
    <col min="174" max="174" width="9.1328125" customWidth="true" style="2"/>
    <col min="175" max="175" width="9.1328125" customWidth="true" style="2"/>
    <col min="176" max="176" width="9.1328125" customWidth="true" style="2"/>
    <col min="177" max="177" width="9.1328125" customWidth="true" style="2"/>
    <col min="178" max="178" width="9.1328125" customWidth="true" style="2"/>
    <col min="179" max="179" width="9.1328125" customWidth="true" style="2"/>
    <col min="180" max="180" width="9.1328125" customWidth="true" style="2"/>
    <col min="181" max="181" width="9.1328125" customWidth="true" style="2"/>
    <col min="182" max="182" width="9.1328125" customWidth="true" style="2"/>
    <col min="183" max="183" width="9.1328125" customWidth="true" style="2"/>
    <col min="184" max="184" width="9.1328125" customWidth="true" style="2"/>
    <col min="185" max="185" width="9.1328125" customWidth="true" style="2"/>
    <col min="186" max="186" width="9.1328125" customWidth="true" style="2"/>
    <col min="187" max="187" width="9.1328125" customWidth="true" style="2"/>
    <col min="188" max="188" width="9.1328125" customWidth="true" style="2"/>
    <col min="189" max="189" width="9.1328125" customWidth="true" style="2"/>
    <col min="190" max="190" width="9.1328125" customWidth="true" style="2"/>
    <col min="191" max="191" width="9.1328125" customWidth="true" style="2"/>
    <col min="192" max="192" width="9.1328125" customWidth="true" style="2"/>
    <col min="193" max="193" width="9.1328125" customWidth="true" style="2"/>
    <col min="194" max="194" width="9.1328125" customWidth="true" style="2"/>
    <col min="195" max="195" width="9.1328125" customWidth="true" style="2"/>
    <col min="196" max="196" width="9.1328125" customWidth="true" style="2"/>
    <col min="197" max="197" width="9.1328125" customWidth="true" style="2"/>
    <col min="198" max="198" width="9.1328125" customWidth="true" style="2"/>
    <col min="199" max="199" width="9.1328125" customWidth="true" style="2"/>
    <col min="200" max="200" width="9.1328125" customWidth="true" style="2"/>
    <col min="201" max="201" width="9.1328125" customWidth="true" style="2"/>
    <col min="202" max="202" width="9.1328125" customWidth="true" style="2"/>
    <col min="203" max="203" width="9.1328125" customWidth="true" style="2"/>
    <col min="204" max="204" width="9.1328125" customWidth="true" style="2"/>
    <col min="205" max="205" width="9.1328125" customWidth="true" style="2"/>
    <col min="206" max="206" width="9.1328125" customWidth="true" style="2"/>
    <col min="207" max="207" width="9.1328125" customWidth="true" style="2"/>
    <col min="208" max="208" width="9.1328125" customWidth="true" style="2"/>
    <col min="209" max="209" width="9.1328125" customWidth="true" style="2"/>
    <col min="210" max="210" width="9.1328125" customWidth="true" style="2"/>
    <col min="211" max="211" width="9.1328125" customWidth="true" style="2"/>
    <col min="212" max="212" width="9.1328125" customWidth="true" style="2"/>
    <col min="213" max="213" width="9.1328125" customWidth="true" style="2"/>
    <col min="214" max="214" width="9.1328125" customWidth="true" style="2"/>
    <col min="215" max="215" width="9.1328125" customWidth="true" style="2"/>
    <col min="216" max="216" width="9.1328125" customWidth="true" style="2"/>
    <col min="217" max="217" width="9.1328125" customWidth="true" style="2"/>
    <col min="218" max="218" width="9.1328125" customWidth="true" style="2"/>
    <col min="219" max="219" width="9.1328125" customWidth="true" style="2"/>
    <col min="220" max="220" width="9.1328125" customWidth="true" style="2"/>
    <col min="221" max="221" width="9.1328125" customWidth="true" style="2"/>
    <col min="222" max="222" width="9.1328125" customWidth="true" style="2"/>
    <col min="223" max="223" width="9.1328125" customWidth="true" style="2"/>
    <col min="224" max="224" width="9.1328125" customWidth="true" style="2"/>
    <col min="225" max="225" width="9.1328125" customWidth="true" style="2"/>
    <col min="226" max="226" width="9.1328125" customWidth="true" style="2"/>
    <col min="227" max="227" width="9.1328125" customWidth="true" style="2"/>
    <col min="228" max="228" width="9.1328125" customWidth="true" style="2"/>
    <col min="229" max="229" width="9.1328125" customWidth="true" style="2"/>
    <col min="230" max="230" width="9.1328125" customWidth="true" style="2"/>
    <col min="231" max="231" width="9.1328125" customWidth="true" style="2"/>
    <col min="232" max="232" width="9.1328125" customWidth="true" style="2"/>
    <col min="233" max="233" width="9.1328125" customWidth="true" style="2"/>
    <col min="234" max="234" width="9.1328125" customWidth="true" style="2"/>
    <col min="235" max="235" width="9.1328125" customWidth="true" style="2"/>
    <col min="236" max="236" width="9.1328125" customWidth="true" style="2"/>
    <col min="237" max="237" width="9.1328125" customWidth="true" style="2"/>
    <col min="238" max="238" width="9.1328125" customWidth="true" style="2"/>
    <col min="239" max="239" width="9.1328125" customWidth="true" style="2"/>
    <col min="240" max="240" width="9.1328125" customWidth="true" style="2"/>
    <col min="241" max="241" width="9.1328125" customWidth="true" style="2"/>
    <col min="242" max="242" width="9.1328125" customWidth="true" style="2"/>
    <col min="243" max="243" width="9.1328125" customWidth="true" style="2"/>
    <col min="244" max="244" width="9.1328125" customWidth="true" style="2"/>
    <col min="245" max="245" width="9.1328125" customWidth="true" style="2"/>
    <col min="246" max="246" width="9.1328125" customWidth="true" style="2"/>
    <col min="247" max="247" width="9.1328125" customWidth="true" style="2"/>
    <col min="248" max="248" width="9.1328125" customWidth="true" style="2"/>
    <col min="249" max="249" width="9.1328125" customWidth="true" style="2"/>
    <col min="250" max="250" width="9.1328125" customWidth="true" style="2"/>
    <col min="251" max="251" width="9.1328125" customWidth="true" style="2"/>
    <col min="252" max="252" width="9.1328125" customWidth="true" style="2"/>
    <col min="253" max="253" width="9.1328125" customWidth="true" style="2"/>
    <col min="254" max="254" width="9.1328125" customWidth="true" style="2"/>
    <col min="255" max="255" width="9.1328125" customWidth="true" style="2"/>
    <col min="256" max="256" width="9.1328125" customWidth="true" style="2"/>
    <col min="257" max="257" width="9.1328125" customWidth="true" style="2"/>
    <col min="258" max="258" width="9.1328125" customWidth="true" style="2"/>
    <col min="259" max="259" width="9.1328125" customWidth="true" style="2"/>
    <col min="260" max="260" width="9.1328125" customWidth="true" style="2"/>
    <col min="261" max="261" width="9.1328125" customWidth="true" style="2"/>
    <col min="262" max="262" width="9.1328125" customWidth="true" style="2"/>
    <col min="263" max="263" width="9.1328125" customWidth="true" style="2"/>
    <col min="264" max="264" width="9.1328125" customWidth="true" style="2"/>
    <col min="265" max="265" width="9.1328125" customWidth="true" style="2"/>
    <col min="266" max="266" width="9.1328125" customWidth="true" style="2"/>
    <col min="267" max="267" width="9.1328125" customWidth="true" style="2"/>
    <col min="268" max="268" width="9.1328125" customWidth="true" style="2"/>
    <col min="269" max="269" width="9.1328125" customWidth="true" style="2"/>
    <col min="270" max="270" width="9.1328125" customWidth="true" style="2"/>
    <col min="271" max="271" width="9.1328125" customWidth="true" style="2"/>
    <col min="272" max="272" width="9.1328125" customWidth="true" style="2"/>
    <col min="273" max="273" width="9.1328125" customWidth="true" style="2"/>
    <col min="274" max="274" width="9.1328125" customWidth="true" style="2"/>
    <col min="275" max="275" width="9.1328125" customWidth="true" style="2"/>
    <col min="276" max="276" width="9.1328125" customWidth="true" style="2"/>
    <col min="277" max="277" width="9.1328125" customWidth="true" style="2"/>
    <col min="278" max="278" width="9.1328125" customWidth="true" style="2"/>
    <col min="279" max="279" width="9.1328125" customWidth="true" style="2"/>
    <col min="280" max="280" width="9.1328125" customWidth="true" style="2"/>
    <col min="281" max="281" width="9.1328125" customWidth="true" style="2"/>
    <col min="282" max="282" width="9.1328125" customWidth="true" style="2"/>
    <col min="283" max="283" width="9.1328125" customWidth="true" style="2"/>
    <col min="284" max="284" width="9.1328125" customWidth="true" style="2"/>
    <col min="285" max="285" width="9.1328125" customWidth="true" style="2"/>
    <col min="286" max="286" width="9.1328125" customWidth="true" style="2"/>
    <col min="287" max="287" width="9.1328125" customWidth="true" style="2"/>
    <col min="288" max="288" width="9.1328125" customWidth="true" style="2"/>
    <col min="289" max="289" width="9.1328125" customWidth="true" style="2"/>
    <col min="290" max="290" width="9.1328125" customWidth="true" style="2"/>
    <col min="291" max="291" width="9.1328125" customWidth="true" style="2"/>
    <col min="292" max="292" width="9.1328125" customWidth="true" style="2"/>
    <col min="293" max="293" width="9.1328125" customWidth="true" style="2"/>
    <col min="294" max="294" width="9.1328125" customWidth="true" style="2"/>
    <col min="295" max="295" width="9.1328125" customWidth="true" style="2"/>
    <col min="296" max="296" width="9.1328125" customWidth="true" style="2"/>
    <col min="297" max="297" width="9.1328125" customWidth="true" style="2"/>
    <col min="298" max="298" width="9.1328125" customWidth="true" style="2"/>
    <col min="299" max="299" width="9.1328125" customWidth="true" style="2"/>
    <col min="300" max="300" width="9.1328125" customWidth="true" style="2"/>
    <col min="301" max="301" width="9.1328125" customWidth="true" style="2"/>
    <col min="302" max="302" width="9.1328125" customWidth="true" style="2"/>
    <col min="303" max="303" width="9.1328125" customWidth="true" style="2"/>
    <col min="304" max="304" width="9.1328125" customWidth="true" style="2"/>
    <col min="305" max="305" width="9.1328125" customWidth="true" style="2"/>
    <col min="306" max="306" width="9.1328125" customWidth="true" style="2"/>
    <col min="307" max="307" width="9.1328125" customWidth="true" style="2"/>
    <col min="308" max="308" width="9.1328125" customWidth="true" style="2"/>
    <col min="309" max="309" width="9.1328125" customWidth="true" style="2"/>
    <col min="310" max="310" width="9.1328125" customWidth="true" style="2"/>
    <col min="311" max="311" width="9.1328125" customWidth="true" style="2"/>
    <col min="312" max="312" width="9.1328125" customWidth="true" style="2"/>
    <col min="313" max="313" width="9.1328125" customWidth="true" style="2"/>
    <col min="314" max="314" width="9.1328125" customWidth="true" style="2"/>
    <col min="315" max="315" width="9.1328125" customWidth="true" style="2"/>
    <col min="316" max="316" width="9.1328125" customWidth="true" style="2"/>
    <col min="317" max="317" width="9.1328125" customWidth="true" style="2"/>
    <col min="318" max="318" width="9.1328125" customWidth="true" style="2"/>
    <col min="319" max="319" width="9.1328125" customWidth="true" style="2"/>
    <col min="320" max="320" width="9.1328125" customWidth="true" style="2"/>
    <col min="321" max="321" width="9.1328125" customWidth="true" style="2"/>
    <col min="322" max="322" width="9.1328125" customWidth="true" style="2"/>
    <col min="323" max="323" width="9.1328125" customWidth="true" style="2"/>
    <col min="324" max="324" width="9.1328125" customWidth="true" style="2"/>
    <col min="325" max="325" width="9.1328125" customWidth="true" style="2"/>
    <col min="326" max="326" width="9.1328125" customWidth="true" style="2"/>
    <col min="327" max="327" width="9.1328125" customWidth="true" style="2"/>
    <col min="328" max="328" width="9.1328125" customWidth="true" style="2"/>
    <col min="329" max="329" width="9.1328125" customWidth="true" style="2"/>
    <col min="330" max="330" width="9.1328125" customWidth="true" style="2"/>
    <col min="331" max="331" width="9.1328125" customWidth="true" style="2"/>
    <col min="332" max="332" width="9.1328125" customWidth="true" style="2"/>
    <col min="333" max="333" width="9.1328125" customWidth="true" style="2"/>
    <col min="334" max="334" width="9.1328125" customWidth="true" style="2"/>
    <col min="335" max="335" width="9.1328125" customWidth="true" style="2"/>
    <col min="336" max="336" width="9.1328125" customWidth="true" style="2"/>
    <col min="337" max="337" width="9.1328125" customWidth="true" style="2"/>
    <col min="338" max="338" width="9.1328125" customWidth="true" style="2"/>
    <col min="339" max="339" width="9.1328125" customWidth="true" style="2"/>
    <col min="340" max="340" width="9.1328125" customWidth="true" style="2"/>
    <col min="341" max="341" width="9.1328125" customWidth="true" style="2"/>
    <col min="342" max="342" width="9.1328125" customWidth="true" style="2"/>
    <col min="343" max="343" width="9.1328125" customWidth="true" style="2"/>
    <col min="344" max="344" width="9.1328125" customWidth="true" style="2"/>
    <col min="345" max="345" width="9.1328125" customWidth="true" style="2"/>
    <col min="346" max="346" width="9.1328125" customWidth="true" style="2"/>
    <col min="347" max="347" width="9.1328125" customWidth="true" style="2"/>
    <col min="348" max="348" width="9.1328125" customWidth="true" style="2"/>
    <col min="349" max="349" width="9.1328125" customWidth="true" style="2"/>
    <col min="350" max="350" width="9.1328125" customWidth="true" style="2"/>
    <col min="351" max="351" width="9.1328125" customWidth="true" style="2"/>
    <col min="352" max="352" width="9.1328125" customWidth="true" style="2"/>
    <col min="353" max="353" width="9.1328125" customWidth="true" style="2"/>
    <col min="354" max="354" width="9.1328125" customWidth="true" style="2"/>
    <col min="355" max="355" width="9.1328125" customWidth="true" style="2"/>
    <col min="356" max="356" width="9.1328125" customWidth="true" style="2"/>
    <col min="357" max="357" width="9.1328125" customWidth="true" style="2"/>
    <col min="358" max="358" width="9.1328125" customWidth="true" style="2"/>
    <col min="359" max="359" width="9.1328125" customWidth="true" style="2"/>
    <col min="360" max="360" width="9.1328125" customWidth="true" style="2"/>
    <col min="361" max="361" width="9.1328125" customWidth="true" style="2"/>
    <col min="362" max="362" width="9.1328125" customWidth="true" style="2"/>
    <col min="363" max="363" width="9.1328125" customWidth="true" style="2"/>
    <col min="364" max="364" width="9.1328125" customWidth="true" style="2"/>
    <col min="365" max="365" width="9.1328125" customWidth="true" style="2"/>
    <col min="366" max="366" width="9.1328125" customWidth="true" style="2"/>
    <col min="367" max="367" width="9.1328125" customWidth="true" style="2"/>
    <col min="368" max="368" width="9.1328125" customWidth="true" style="2"/>
    <col min="369" max="369" width="9.1328125" customWidth="true" style="2"/>
    <col min="370" max="370" width="9.1328125" customWidth="true" style="2"/>
    <col min="371" max="371" width="9.1328125" customWidth="true" style="2"/>
    <col min="372" max="372" width="9.1328125" customWidth="true" style="2"/>
    <col min="373" max="373" width="9.1328125" customWidth="true" style="2"/>
    <col min="374" max="374" width="9.1328125" customWidth="true" style="2"/>
    <col min="375" max="375" width="9.1328125" customWidth="true" style="2"/>
    <col min="376" max="376" width="9.1328125" customWidth="true" style="2"/>
    <col min="377" max="377" width="9.1328125" customWidth="true" style="2"/>
    <col min="378" max="378" width="9.1328125" customWidth="true" style="2"/>
    <col min="379" max="379" width="9.1328125" customWidth="true" style="2"/>
    <col min="380" max="380" width="9.1328125" customWidth="true" style="2"/>
    <col min="381" max="381" width="9.1328125" customWidth="true" style="2"/>
    <col min="382" max="382" width="9.1328125" customWidth="true" style="2"/>
    <col min="383" max="383" width="9.1328125" customWidth="true" style="2"/>
    <col min="384" max="384" width="9.1328125" customWidth="true" style="2"/>
    <col min="385" max="385" width="9.1328125" customWidth="true" style="2"/>
    <col min="386" max="386" width="9.1328125" customWidth="true" style="2"/>
    <col min="387" max="387" width="9.1328125" customWidth="true" style="2"/>
    <col min="388" max="388" width="9.1328125" customWidth="true" style="2"/>
    <col min="389" max="389" width="9.1328125" customWidth="true" style="2"/>
    <col min="390" max="390" width="9.1328125" customWidth="true" style="2"/>
    <col min="391" max="391" width="9.1328125" customWidth="true" style="2"/>
    <col min="392" max="392" width="9.1328125" customWidth="true" style="2"/>
    <col min="393" max="393" width="9.1328125" customWidth="true" style="2"/>
    <col min="394" max="394" width="9.1328125" customWidth="true" style="2"/>
    <col min="395" max="395" width="9.1328125" customWidth="true" style="2"/>
    <col min="396" max="396" width="9.1328125" customWidth="true" style="2"/>
    <col min="397" max="397" width="9.1328125" customWidth="true" style="2"/>
    <col min="398" max="398" width="9.1328125" customWidth="true" style="2"/>
    <col min="399" max="399" width="9.1328125" customWidth="true" style="2"/>
    <col min="400" max="400" width="9.1328125" customWidth="true" style="2"/>
    <col min="401" max="401" width="9.1328125" customWidth="true" style="2"/>
    <col min="402" max="402" width="9.1328125" customWidth="true" style="2"/>
    <col min="403" max="403" width="9.1328125" customWidth="true" style="2"/>
    <col min="404" max="404" width="9.1328125" customWidth="true" style="2"/>
    <col min="405" max="405" width="9.1328125" customWidth="true" style="2"/>
    <col min="406" max="406" width="9.1328125" customWidth="true" style="2"/>
    <col min="407" max="407" width="9.1328125" customWidth="true" style="2"/>
    <col min="408" max="408" width="9.1328125" customWidth="true" style="2"/>
    <col min="409" max="409" width="9.1328125" customWidth="true" style="2"/>
    <col min="410" max="410" width="9.1328125" customWidth="true" style="2"/>
    <col min="411" max="411" width="9.1328125" customWidth="true" style="2"/>
    <col min="412" max="412" width="9.1328125" customWidth="true" style="2"/>
    <col min="413" max="413" width="9.1328125" customWidth="true" style="2"/>
    <col min="414" max="414" width="9.1328125" customWidth="true" style="2"/>
    <col min="415" max="415" width="9.1328125" customWidth="true" style="2"/>
    <col min="416" max="416" width="9.1328125" customWidth="true" style="2"/>
    <col min="417" max="417" width="9.1328125" customWidth="true" style="2"/>
    <col min="418" max="418" width="9.1328125" customWidth="true" style="2"/>
    <col min="419" max="419" width="9.1328125" customWidth="true" style="2"/>
    <col min="420" max="420" width="9.1328125" customWidth="true" style="2"/>
    <col min="421" max="421" width="9.1328125" customWidth="true" style="2"/>
    <col min="422" max="422" width="9.1328125" customWidth="true" style="2"/>
    <col min="423" max="423" width="9.1328125" customWidth="true" style="2"/>
    <col min="424" max="424" width="9.1328125" customWidth="true" style="2"/>
    <col min="425" max="425" width="9.1328125" customWidth="true" style="2"/>
    <col min="426" max="426" width="9.1328125" customWidth="true" style="2"/>
    <col min="427" max="427" width="9.1328125" customWidth="true" style="2"/>
    <col min="428" max="428" width="9.1328125" customWidth="true" style="2"/>
    <col min="429" max="429" width="9.1328125" customWidth="true" style="2"/>
    <col min="430" max="430" width="9.1328125" customWidth="true" style="2"/>
    <col min="431" max="431" width="9.1328125" customWidth="true" style="2"/>
    <col min="432" max="432" width="9.1328125" customWidth="true" style="2"/>
    <col min="433" max="433" width="9.1328125" customWidth="true" style="2"/>
    <col min="434" max="434" width="9.1328125" customWidth="true" style="2"/>
    <col min="435" max="435" width="9.1328125" customWidth="true" style="2"/>
    <col min="436" max="436" width="9.1328125" customWidth="true" style="2"/>
    <col min="437" max="437" width="9.1328125" customWidth="true" style="2"/>
    <col min="438" max="438" width="9.1328125" customWidth="true" style="2"/>
    <col min="439" max="439" width="9.1328125" customWidth="true" style="2"/>
    <col min="440" max="440" width="9.1328125" customWidth="true" style="2"/>
    <col min="441" max="441" width="9.1328125" customWidth="true" style="2"/>
    <col min="442" max="442" width="9.1328125" customWidth="true" style="2"/>
    <col min="443" max="443" width="9.1328125" customWidth="true" style="2"/>
    <col min="444" max="444" width="9.1328125" customWidth="true" style="2"/>
    <col min="445" max="445" width="9.1328125" customWidth="true" style="2"/>
    <col min="446" max="446" width="9.1328125" customWidth="true" style="2"/>
    <col min="447" max="447" width="9.1328125" customWidth="true" style="2"/>
    <col min="448" max="448" width="9.1328125" customWidth="true" style="2"/>
    <col min="449" max="449" width="9.1328125" customWidth="true" style="2"/>
    <col min="450" max="450" width="9.1328125" customWidth="true" style="2"/>
    <col min="451" max="451" width="9.1328125" customWidth="true" style="2"/>
    <col min="452" max="452" width="9.1328125" customWidth="true" style="2"/>
    <col min="453" max="453" width="9.1328125" customWidth="true" style="2"/>
    <col min="454" max="454" width="9.1328125" customWidth="true" style="2"/>
    <col min="455" max="455" width="9.1328125" customWidth="true" style="2"/>
    <col min="456" max="456" width="9.1328125" customWidth="true" style="2"/>
    <col min="457" max="457" width="9.1328125" customWidth="true" style="2"/>
    <col min="458" max="458" width="9.1328125" customWidth="true" style="2"/>
    <col min="459" max="459" width="9.1328125" customWidth="true" style="2"/>
    <col min="460" max="460" width="9.1328125" customWidth="true" style="2"/>
    <col min="461" max="461" width="9.1328125" customWidth="true" style="2"/>
    <col min="462" max="462" width="9.1328125" customWidth="true" style="2"/>
    <col min="463" max="463" width="9.1328125" customWidth="true" style="2"/>
    <col min="464" max="464" width="9.1328125" customWidth="true" style="2"/>
    <col min="465" max="465" width="9.1328125" customWidth="true" style="2"/>
    <col min="466" max="466" width="9.1328125" customWidth="true" style="2"/>
    <col min="467" max="467" width="9.1328125" customWidth="true" style="2"/>
    <col min="468" max="468" width="9.1328125" customWidth="true" style="2"/>
    <col min="469" max="469" width="9.1328125" customWidth="true" style="2"/>
    <col min="470" max="470" width="9.1328125" customWidth="true" style="2"/>
    <col min="471" max="471" width="9.1328125" customWidth="true" style="2"/>
    <col min="472" max="472" width="9.1328125" customWidth="true" style="2"/>
    <col min="473" max="473" width="9.1328125" customWidth="true" style="2"/>
    <col min="474" max="474" width="9.1328125" customWidth="true" style="2"/>
    <col min="475" max="475" width="9.1328125" customWidth="true" style="2"/>
    <col min="476" max="476" width="9.1328125" customWidth="true" style="2"/>
    <col min="477" max="477" width="9.1328125" customWidth="true" style="2"/>
    <col min="478" max="478" width="9.1328125" customWidth="true" style="2"/>
    <col min="479" max="479" width="9.1328125" customWidth="true" style="2"/>
    <col min="480" max="480" width="9.1328125" customWidth="true" style="2"/>
    <col min="481" max="481" width="9.1328125" customWidth="true" style="2"/>
    <col min="482" max="482" width="9.1328125" customWidth="true" style="2"/>
    <col min="483" max="483" width="9.1328125" customWidth="true" style="2"/>
    <col min="484" max="484" width="9.1328125" customWidth="true" style="2"/>
    <col min="485" max="485" width="9.1328125" customWidth="true" style="2"/>
    <col min="486" max="486" width="9.1328125" customWidth="true" style="2"/>
    <col min="487" max="487" width="9.1328125" customWidth="true" style="2"/>
    <col min="488" max="488" width="9.1328125" customWidth="true" style="2"/>
    <col min="489" max="489" width="9.1328125" customWidth="true" style="2"/>
    <col min="490" max="490" width="9.1328125" customWidth="true" style="2"/>
    <col min="491" max="491" width="9.1328125" customWidth="true" style="2"/>
    <col min="492" max="492" width="9.1328125" customWidth="true" style="2"/>
    <col min="493" max="493" width="9.1328125" customWidth="true" style="2"/>
    <col min="494" max="494" width="9.1328125" customWidth="true" style="2"/>
    <col min="495" max="495" width="9.1328125" customWidth="true" style="2"/>
    <col min="496" max="496" width="9.1328125" customWidth="true" style="2"/>
    <col min="497" max="497" width="9.1328125" customWidth="true" style="2"/>
    <col min="498" max="498" width="9.1328125" customWidth="true" style="2"/>
    <col min="499" max="499" width="9.1328125" customWidth="true" style="2"/>
    <col min="500" max="500" width="9.1328125" customWidth="true" style="2"/>
    <col min="501" max="501" width="9.1328125" customWidth="true" style="2"/>
    <col min="502" max="502" width="9.1328125" customWidth="true" style="2"/>
    <col min="503" max="503" width="9.1328125" customWidth="true" style="2"/>
    <col min="504" max="504" width="9.1328125" customWidth="true" style="2"/>
    <col min="505" max="505" width="9.1328125" customWidth="true" style="2"/>
    <col min="506" max="506" width="9.1328125" customWidth="true" style="2"/>
    <col min="507" max="507" width="9.1328125" customWidth="true" style="2"/>
    <col min="508" max="508" width="9.1328125" customWidth="true" style="2"/>
    <col min="509" max="509" width="9.1328125" customWidth="true" style="2"/>
    <col min="510" max="510" width="9.1328125" customWidth="true" style="2"/>
    <col min="511" max="511" width="9.1328125" customWidth="true" style="2"/>
    <col min="512" max="512" width="9.1328125" customWidth="true" style="2"/>
    <col min="513" max="513" width="9.1328125" customWidth="true" style="2"/>
    <col min="514" max="514" width="9.1328125" customWidth="true" style="2"/>
    <col min="515" max="515" width="9.1328125" customWidth="true" style="2"/>
    <col min="516" max="516" width="9.1328125" customWidth="true" style="2"/>
    <col min="517" max="517" width="9.1328125" customWidth="true" style="2"/>
    <col min="518" max="518" width="9.1328125" customWidth="true" style="2"/>
    <col min="519" max="519" width="9.1328125" customWidth="true" style="2"/>
    <col min="520" max="520" width="9.1328125" customWidth="true" style="2"/>
    <col min="521" max="521" width="9.1328125" customWidth="true" style="2"/>
    <col min="522" max="522" width="9.1328125" customWidth="true" style="2"/>
    <col min="523" max="523" width="9.1328125" customWidth="true" style="2"/>
    <col min="524" max="524" width="9.1328125" customWidth="true" style="2"/>
    <col min="525" max="525" width="9.1328125" customWidth="true" style="2"/>
    <col min="526" max="526" width="9.1328125" customWidth="true" style="2"/>
    <col min="527" max="527" width="9.1328125" customWidth="true" style="2"/>
    <col min="528" max="528" width="9.1328125" customWidth="true" style="2"/>
    <col min="529" max="529" width="9.1328125" customWidth="true" style="2"/>
    <col min="530" max="530" width="9.1328125" customWidth="true" style="2"/>
    <col min="531" max="531" width="9.1328125" customWidth="true" style="2"/>
    <col min="532" max="532" width="9.1328125" customWidth="true" style="2"/>
    <col min="533" max="533" width="9.1328125" customWidth="true" style="2"/>
    <col min="534" max="534" width="9.1328125" customWidth="true" style="2"/>
    <col min="535" max="535" width="9.1328125" customWidth="true" style="2"/>
    <col min="536" max="536" width="9.1328125" customWidth="true" style="2"/>
    <col min="537" max="537" width="9.1328125" customWidth="true" style="2"/>
    <col min="538" max="538" width="9.1328125" customWidth="true" style="2"/>
    <col min="539" max="539" width="9.1328125" customWidth="true" style="2"/>
    <col min="540" max="540" width="9.1328125" customWidth="true" style="2"/>
    <col min="541" max="541" width="9.1328125" customWidth="true" style="2"/>
    <col min="542" max="542" width="9.1328125" customWidth="true" style="2"/>
    <col min="543" max="543" width="9.1328125" customWidth="true" style="2"/>
    <col min="544" max="544" width="9.1328125" customWidth="true" style="2"/>
    <col min="545" max="545" width="9.1328125" customWidth="true" style="2"/>
    <col min="546" max="546" width="9.1328125" customWidth="true" style="2"/>
    <col min="547" max="547" width="9.1328125" customWidth="true" style="2"/>
    <col min="548" max="548" width="9.1328125" customWidth="true" style="2"/>
    <col min="549" max="549" width="9.1328125" customWidth="true" style="2"/>
    <col min="550" max="550" width="9.1328125" customWidth="true" style="2"/>
    <col min="551" max="551" width="9.1328125" customWidth="true" style="2"/>
    <col min="552" max="552" width="9.1328125" customWidth="true" style="2"/>
    <col min="553" max="553" width="9.1328125" customWidth="true" style="2"/>
    <col min="554" max="554" width="9.1328125" customWidth="true" style="2"/>
    <col min="555" max="555" width="9.1328125" customWidth="true" style="2"/>
    <col min="556" max="556" width="9.1328125" customWidth="true" style="2"/>
    <col min="557" max="557" width="9.1328125" customWidth="true" style="2"/>
    <col min="558" max="558" width="9.1328125" customWidth="true" style="2"/>
    <col min="559" max="559" width="9.1328125" customWidth="true" style="2"/>
    <col min="560" max="560" width="9.1328125" customWidth="true" style="2"/>
    <col min="561" max="561" width="9.1328125" customWidth="true" style="2"/>
    <col min="562" max="562" width="9.1328125" customWidth="true" style="2"/>
    <col min="563" max="563" width="9.1328125" customWidth="true" style="2"/>
    <col min="564" max="564" width="9.1328125" customWidth="true" style="2"/>
    <col min="565" max="565" width="9.1328125" customWidth="true" style="2"/>
    <col min="566" max="566" width="9.1328125" customWidth="true" style="2"/>
    <col min="567" max="567" width="9.1328125" customWidth="true" style="2"/>
    <col min="568" max="568" width="9.1328125" customWidth="true" style="2"/>
    <col min="569" max="569" width="9.1328125" customWidth="true" style="2"/>
    <col min="570" max="570" width="9.1328125" customWidth="true" style="2"/>
    <col min="571" max="571" width="9.1328125" customWidth="true" style="2"/>
    <col min="572" max="572" width="9.1328125" customWidth="true" style="2"/>
    <col min="573" max="573" width="9.1328125" customWidth="true" style="2"/>
    <col min="574" max="574" width="9.1328125" customWidth="true" style="2"/>
    <col min="575" max="575" width="9.1328125" customWidth="true" style="2"/>
    <col min="576" max="576" width="9.1328125" customWidth="true" style="2"/>
    <col min="577" max="577" width="9.1328125" customWidth="true" style="2"/>
    <col min="578" max="578" width="9.1328125" customWidth="true" style="2"/>
    <col min="579" max="579" width="9.1328125" customWidth="true" style="2"/>
    <col min="580" max="580" width="9.1328125" customWidth="true" style="2"/>
    <col min="581" max="581" width="9.1328125" customWidth="true" style="2"/>
    <col min="582" max="582" width="9.1328125" customWidth="true" style="2"/>
    <col min="583" max="583" width="9.1328125" customWidth="true" style="2"/>
    <col min="584" max="584" width="9.1328125" customWidth="true" style="2"/>
    <col min="585" max="585" width="9.1328125" customWidth="true" style="2"/>
    <col min="586" max="586" width="9.1328125" customWidth="true" style="2"/>
    <col min="587" max="587" width="9.1328125" customWidth="true" style="2"/>
    <col min="588" max="588" width="9.1328125" customWidth="true" style="2"/>
    <col min="589" max="589" width="9.1328125" customWidth="true" style="2"/>
    <col min="590" max="590" width="9.1328125" customWidth="true" style="2"/>
    <col min="591" max="591" width="9.1328125" customWidth="true" style="2"/>
    <col min="592" max="592" width="9.1328125" customWidth="true" style="2"/>
    <col min="593" max="593" width="9.1328125" customWidth="true" style="2"/>
    <col min="594" max="594" width="9.1328125" customWidth="true" style="2"/>
    <col min="595" max="595" width="9.1328125" customWidth="true" style="2"/>
    <col min="596" max="596" width="9.1328125" customWidth="true" style="2"/>
    <col min="597" max="597" width="9.1328125" customWidth="true" style="2"/>
    <col min="598" max="598" width="9.1328125" customWidth="true" style="2"/>
    <col min="599" max="599" width="9.1328125" customWidth="true" style="2"/>
    <col min="600" max="600" width="9.1328125" customWidth="true" style="2"/>
    <col min="601" max="601" width="9.1328125" customWidth="true" style="2"/>
    <col min="602" max="602" width="9.1328125" customWidth="true" style="2"/>
    <col min="603" max="603" width="9.1328125" customWidth="true" style="2"/>
    <col min="604" max="604" width="9.1328125" customWidth="true" style="2"/>
    <col min="605" max="605" width="9.1328125" customWidth="true" style="2"/>
    <col min="606" max="606" width="9.1328125" customWidth="true" style="2"/>
    <col min="607" max="607" width="9.1328125" customWidth="true" style="2"/>
    <col min="608" max="608" width="9.1328125" customWidth="true" style="2"/>
    <col min="609" max="609" width="9.1328125" customWidth="true" style="2"/>
    <col min="610" max="610" width="9.1328125" customWidth="true" style="2"/>
    <col min="611" max="611" width="9.1328125" customWidth="true" style="2"/>
    <col min="612" max="612" width="9.1328125" customWidth="true" style="2"/>
    <col min="613" max="613" width="9.1328125" customWidth="true" style="2"/>
    <col min="614" max="614" width="9.1328125" customWidth="true" style="2"/>
    <col min="615" max="615" width="9.1328125" customWidth="true" style="2"/>
    <col min="616" max="616" width="9.1328125" customWidth="true" style="2"/>
    <col min="617" max="617" width="9.1328125" customWidth="true" style="2"/>
    <col min="618" max="618" width="9.1328125" customWidth="true" style="2"/>
    <col min="619" max="619" width="9.1328125" customWidth="true" style="2"/>
    <col min="620" max="620" width="9.1328125" customWidth="true" style="2"/>
    <col min="621" max="621" width="9.1328125" customWidth="true" style="2"/>
    <col min="622" max="622" width="9.1328125" customWidth="true" style="2"/>
    <col min="623" max="623" width="9.1328125" customWidth="true" style="2"/>
    <col min="624" max="624" width="9.1328125" customWidth="true" style="2"/>
    <col min="625" max="625" width="9.1328125" customWidth="true" style="2"/>
    <col min="626" max="626" width="9.1328125" customWidth="true" style="2"/>
    <col min="627" max="627" width="9.1328125" customWidth="true" style="2"/>
    <col min="628" max="628" width="9.1328125" customWidth="true" style="2"/>
    <col min="629" max="629" width="9.1328125" customWidth="true" style="2"/>
    <col min="630" max="630" width="9.1328125" customWidth="true" style="2"/>
    <col min="631" max="631" width="9.1328125" customWidth="true" style="2"/>
    <col min="632" max="632" width="9.1328125" customWidth="true" style="2"/>
    <col min="633" max="633" width="9.1328125" customWidth="true" style="2"/>
    <col min="634" max="634" width="9.1328125" customWidth="true" style="2"/>
    <col min="635" max="635" width="9.1328125" customWidth="true" style="2"/>
    <col min="636" max="636" width="9.1328125" customWidth="true" style="2"/>
    <col min="637" max="637" width="9.1328125" customWidth="true" style="2"/>
    <col min="638" max="638" width="9.1328125" customWidth="true" style="2"/>
    <col min="639" max="639" width="9.1328125" customWidth="true" style="2"/>
    <col min="640" max="640" width="9.1328125" customWidth="true" style="2"/>
    <col min="641" max="641" width="9.1328125" customWidth="true" style="2"/>
    <col min="642" max="642" width="9.1328125" customWidth="true" style="2"/>
    <col min="643" max="643" width="9.1328125" customWidth="true" style="2"/>
    <col min="644" max="644" width="9.1328125" customWidth="true" style="2"/>
    <col min="645" max="645" width="9.1328125" customWidth="true" style="2"/>
    <col min="646" max="646" width="9.1328125" customWidth="true" style="2"/>
    <col min="647" max="647" width="9.1328125" customWidth="true" style="2"/>
    <col min="648" max="648" width="9.1328125" customWidth="true" style="2"/>
    <col min="649" max="649" width="9.1328125" customWidth="true" style="2"/>
    <col min="650" max="650" width="9.1328125" customWidth="true" style="2"/>
    <col min="651" max="651" width="9.1328125" customWidth="true" style="2"/>
    <col min="652" max="652" width="9.1328125" customWidth="true" style="2"/>
    <col min="653" max="653" width="9.1328125" customWidth="true" style="2"/>
    <col min="654" max="654" width="9.1328125" customWidth="true" style="2"/>
    <col min="655" max="655" width="9.1328125" customWidth="true" style="2"/>
    <col min="656" max="656" width="9.1328125" customWidth="true" style="2"/>
    <col min="657" max="657" width="9.1328125" customWidth="true" style="2"/>
    <col min="658" max="658" width="9.1328125" customWidth="true" style="2"/>
    <col min="659" max="659" width="9.1328125" customWidth="true" style="2"/>
    <col min="660" max="660" width="9.1328125" customWidth="true" style="2"/>
    <col min="661" max="661" width="9.1328125" customWidth="true" style="2"/>
    <col min="662" max="662" width="9.1328125" customWidth="true" style="2"/>
    <col min="663" max="663" width="9.1328125" customWidth="true" style="2"/>
    <col min="664" max="664" width="9.1328125" customWidth="true" style="2"/>
    <col min="665" max="665" width="9.1328125" customWidth="true" style="2"/>
    <col min="666" max="666" width="9.1328125" customWidth="true" style="2"/>
    <col min="667" max="667" width="9.1328125" customWidth="true" style="2"/>
    <col min="668" max="668" width="9.1328125" customWidth="true" style="2"/>
    <col min="669" max="669" width="9.1328125" customWidth="true" style="2"/>
    <col min="670" max="670" width="9.1328125" customWidth="true" style="2"/>
    <col min="671" max="671" width="9.1328125" customWidth="true" style="2"/>
    <col min="672" max="672" width="9.1328125" customWidth="true" style="2"/>
    <col min="673" max="673" width="9.1328125" customWidth="true" style="2"/>
    <col min="674" max="674" width="9.1328125" customWidth="true" style="2"/>
    <col min="675" max="675" width="9.1328125" customWidth="true" style="2"/>
    <col min="676" max="676" width="9.1328125" customWidth="true" style="2"/>
    <col min="677" max="677" width="9.1328125" customWidth="true" style="2"/>
    <col min="678" max="678" width="9.1328125" customWidth="true" style="2"/>
    <col min="679" max="679" width="9.1328125" customWidth="true" style="2"/>
    <col min="680" max="680" width="9.1328125" customWidth="true" style="2"/>
    <col min="681" max="681" width="9.1328125" customWidth="true" style="2"/>
    <col min="682" max="682" width="9.1328125" customWidth="true" style="2"/>
    <col min="683" max="683" width="9.1328125" customWidth="true" style="2"/>
    <col min="684" max="684" width="9.1328125" customWidth="true" style="2"/>
    <col min="685" max="685" width="9.1328125" customWidth="true" style="2"/>
    <col min="686" max="686" width="9.1328125" customWidth="true" style="2"/>
    <col min="687" max="687" width="9.1328125" customWidth="true" style="2"/>
    <col min="688" max="688" width="9.1328125" customWidth="true" style="2"/>
    <col min="689" max="689" width="9.1328125" customWidth="true" style="2"/>
    <col min="690" max="690" width="9.1328125" customWidth="true" style="2"/>
    <col min="691" max="691" width="9.1328125" customWidth="true" style="2"/>
    <col min="692" max="692" width="9.1328125" customWidth="true" style="2"/>
    <col min="693" max="693" width="9.1328125" customWidth="true" style="2"/>
    <col min="694" max="694" width="9.1328125" customWidth="true" style="2"/>
    <col min="695" max="695" width="9.1328125" customWidth="true" style="2"/>
    <col min="696" max="696" width="9.1328125" customWidth="true" style="2"/>
    <col min="697" max="697" width="9.1328125" customWidth="true" style="2"/>
    <col min="698" max="698" width="9.1328125" customWidth="true" style="2"/>
    <col min="699" max="699" width="9.1328125" customWidth="true" style="2"/>
    <col min="700" max="700" width="9.1328125" customWidth="true" style="2"/>
    <col min="701" max="701" width="9.1328125" customWidth="true" style="2"/>
    <col min="702" max="702" width="9.1328125" customWidth="true" style="2"/>
    <col min="703" max="703" width="9.1328125" customWidth="true" style="2"/>
    <col min="704" max="704" width="9.1328125" customWidth="true" style="2"/>
    <col min="705" max="705" width="9.1328125" customWidth="true" style="2"/>
    <col min="706" max="706" width="9.1328125" customWidth="true" style="2"/>
    <col min="707" max="707" width="9.1328125" customWidth="true" style="2"/>
    <col min="708" max="708" width="9.1328125" customWidth="true" style="2"/>
    <col min="709" max="709" width="9.1328125" customWidth="true" style="2"/>
    <col min="710" max="710" width="9.1328125" customWidth="true" style="2"/>
    <col min="711" max="711" width="9.1328125" customWidth="true" style="2"/>
    <col min="712" max="712" width="9.1328125" customWidth="true" style="2"/>
    <col min="713" max="713" width="9.1328125" customWidth="true" style="2"/>
    <col min="714" max="714" width="9.1328125" customWidth="true" style="2"/>
    <col min="715" max="715" width="9.1328125" customWidth="true" style="2"/>
    <col min="716" max="716" width="9.1328125" customWidth="true" style="2"/>
    <col min="717" max="717" width="9.1328125" customWidth="true" style="2"/>
    <col min="718" max="718" width="9.1328125" customWidth="true" style="2"/>
    <col min="719" max="719" width="9.1328125" customWidth="true" style="2"/>
    <col min="720" max="720" width="9.1328125" customWidth="true" style="2"/>
    <col min="721" max="721" width="9.1328125" customWidth="true" style="2"/>
    <col min="722" max="722" width="9.1328125" customWidth="true" style="2"/>
    <col min="723" max="723" width="9.1328125" customWidth="true" style="2"/>
    <col min="724" max="724" width="9.1328125" customWidth="true" style="2"/>
    <col min="725" max="725" width="9.1328125" customWidth="true" style="2"/>
    <col min="726" max="726" width="9.1328125" customWidth="true" style="2"/>
    <col min="727" max="727" width="9.1328125" customWidth="true" style="2"/>
    <col min="728" max="728" width="9.1328125" customWidth="true" style="2"/>
    <col min="729" max="729" width="9.1328125" customWidth="true" style="2"/>
    <col min="730" max="730" width="9.1328125" customWidth="true" style="2"/>
    <col min="731" max="731" width="9.1328125" customWidth="true" style="2"/>
    <col min="732" max="732" width="9.1328125" customWidth="true" style="2"/>
    <col min="733" max="733" width="9.1328125" customWidth="true" style="2"/>
    <col min="734" max="734" width="9.1328125" customWidth="true" style="2"/>
    <col min="735" max="735" width="9.1328125" customWidth="true" style="2"/>
    <col min="736" max="736" width="9.1328125" customWidth="true" style="2"/>
    <col min="737" max="737" width="9.1328125" customWidth="true" style="2"/>
    <col min="738" max="738" width="9.1328125" customWidth="true" style="2"/>
    <col min="739" max="739" width="9.1328125" customWidth="true" style="2"/>
    <col min="740" max="740" width="9.1328125" customWidth="true" style="2"/>
    <col min="741" max="741" width="9.1328125" customWidth="true" style="2"/>
    <col min="742" max="742" width="9.1328125" customWidth="true" style="2"/>
    <col min="743" max="743" width="9.1328125" customWidth="true" style="2"/>
    <col min="744" max="744" width="9.1328125" customWidth="true" style="2"/>
    <col min="745" max="745" width="9.1328125" customWidth="true" style="2"/>
    <col min="746" max="746" width="9.1328125" customWidth="true" style="2"/>
    <col min="747" max="747" width="9.1328125" customWidth="true" style="2"/>
    <col min="748" max="748" width="9.1328125" customWidth="true" style="2"/>
    <col min="749" max="749" width="9.1328125" customWidth="true" style="2"/>
    <col min="750" max="750" width="9.1328125" customWidth="true" style="2"/>
    <col min="751" max="751" width="9.1328125" customWidth="true" style="2"/>
    <col min="752" max="752" width="9.1328125" customWidth="true" style="2"/>
    <col min="753" max="753" width="9.1328125" customWidth="true" style="2"/>
    <col min="754" max="754" width="9.1328125" customWidth="true" style="2"/>
    <col min="755" max="755" width="9.1328125" customWidth="true" style="2"/>
    <col min="756" max="756" width="9.1328125" customWidth="true" style="2"/>
    <col min="757" max="757" width="9.1328125" customWidth="true" style="2"/>
    <col min="758" max="758" width="9.1328125" customWidth="true" style="2"/>
    <col min="759" max="759" width="9.1328125" customWidth="true" style="2"/>
    <col min="760" max="760" width="9.1328125" customWidth="true" style="2"/>
    <col min="761" max="761" width="9.1328125" customWidth="true" style="2"/>
    <col min="762" max="762" width="9.1328125" customWidth="true" style="2"/>
    <col min="763" max="763" width="9.1328125" customWidth="true" style="2"/>
    <col min="764" max="764" width="9.1328125" customWidth="true" style="2"/>
    <col min="765" max="765" width="9.1328125" customWidth="true" style="2"/>
    <col min="766" max="766" width="9.1328125" customWidth="true" style="2"/>
    <col min="767" max="767" width="9.1328125" customWidth="true" style="2"/>
    <col min="768" max="768" width="9.1328125" customWidth="true" style="2"/>
    <col min="769" max="769" width="9.1328125" customWidth="true" style="2"/>
    <col min="770" max="770" width="9.1328125" customWidth="true" style="2"/>
    <col min="771" max="771" width="9.1328125" customWidth="true" style="2"/>
    <col min="772" max="772" width="9.1328125" customWidth="true" style="2"/>
    <col min="773" max="773" width="9.1328125" customWidth="true" style="2"/>
    <col min="774" max="774" width="9.1328125" customWidth="true" style="2"/>
    <col min="775" max="775" width="9.1328125" customWidth="true" style="2"/>
    <col min="776" max="776" width="9.1328125" customWidth="true" style="2"/>
    <col min="777" max="777" width="9.1328125" customWidth="true" style="2"/>
    <col min="778" max="778" width="9.1328125" customWidth="true" style="2"/>
    <col min="779" max="779" width="9.1328125" customWidth="true" style="2"/>
    <col min="780" max="780" width="9.1328125" customWidth="true" style="2"/>
    <col min="781" max="781" width="9.1328125" customWidth="true" style="2"/>
    <col min="782" max="782" width="9.1328125" customWidth="true" style="2"/>
    <col min="783" max="783" width="9.1328125" customWidth="true" style="2"/>
    <col min="784" max="784" width="9.1328125" customWidth="true" style="2"/>
    <col min="785" max="785" width="9.1328125" customWidth="true" style="2"/>
    <col min="786" max="786" width="9.1328125" customWidth="true" style="2"/>
    <col min="787" max="787" width="9.1328125" customWidth="true" style="2"/>
    <col min="788" max="788" width="9.1328125" customWidth="true" style="2"/>
    <col min="789" max="789" width="9.1328125" customWidth="true" style="2"/>
    <col min="790" max="790" width="9.1328125" customWidth="true" style="2"/>
    <col min="791" max="791" width="9.1328125" customWidth="true" style="2"/>
    <col min="792" max="792" width="9.1328125" customWidth="true" style="2"/>
    <col min="793" max="793" width="9.1328125" customWidth="true" style="2"/>
    <col min="794" max="794" width="9.1328125" customWidth="true" style="2"/>
    <col min="795" max="795" width="9.1328125" customWidth="true" style="2"/>
    <col min="796" max="796" width="9.1328125" customWidth="true" style="2"/>
    <col min="797" max="797" width="9.1328125" customWidth="true" style="2"/>
    <col min="798" max="798" width="9.1328125" customWidth="true" style="2"/>
    <col min="799" max="799" width="9.1328125" customWidth="true" style="2"/>
    <col min="800" max="800" width="9.1328125" customWidth="true" style="2"/>
    <col min="801" max="801" width="9.1328125" customWidth="true" style="2"/>
    <col min="802" max="802" width="9.1328125" customWidth="true" style="2"/>
    <col min="803" max="803" width="9.1328125" customWidth="true" style="2"/>
    <col min="804" max="804" width="9.1328125" customWidth="true" style="2"/>
    <col min="805" max="805" width="9.1328125" customWidth="true" style="2"/>
    <col min="806" max="806" width="9.1328125" customWidth="true" style="2"/>
    <col min="807" max="807" width="9.1328125" customWidth="true" style="2"/>
    <col min="808" max="808" width="9.1328125" customWidth="true" style="2"/>
    <col min="809" max="809" width="9.1328125" customWidth="true" style="2"/>
    <col min="810" max="810" width="9.1328125" customWidth="true" style="2"/>
    <col min="811" max="811" width="9.1328125" customWidth="true" style="2"/>
    <col min="812" max="812" width="9.1328125" customWidth="true" style="2"/>
    <col min="813" max="813" width="9.1328125" customWidth="true" style="2"/>
    <col min="814" max="814" width="9.1328125" customWidth="true" style="2"/>
    <col min="815" max="815" width="9.1328125" customWidth="true" style="2"/>
    <col min="816" max="816" width="9.1328125" customWidth="true" style="2"/>
    <col min="817" max="817" width="9.1328125" customWidth="true" style="2"/>
    <col min="818" max="818" width="9.1328125" customWidth="true" style="2"/>
    <col min="819" max="819" width="9.1328125" customWidth="true" style="2"/>
    <col min="820" max="820" width="9.1328125" customWidth="true" style="2"/>
    <col min="821" max="821" width="9.1328125" customWidth="true" style="2"/>
    <col min="822" max="822" width="9.1328125" customWidth="true" style="2"/>
    <col min="823" max="823" width="9.1328125" customWidth="true" style="2"/>
    <col min="824" max="824" width="9.1328125" customWidth="true" style="2"/>
    <col min="825" max="825" width="9.1328125" customWidth="true" style="2"/>
    <col min="826" max="826" width="9.1328125" customWidth="true" style="2"/>
    <col min="827" max="827" width="9.1328125" customWidth="true" style="2"/>
    <col min="828" max="828" width="9.1328125" customWidth="true" style="2"/>
    <col min="829" max="829" width="9.1328125" customWidth="true" style="2"/>
    <col min="830" max="830" width="9.1328125" customWidth="true" style="2"/>
    <col min="831" max="831" width="9.1328125" customWidth="true" style="2"/>
    <col min="832" max="832" width="9.1328125" customWidth="true" style="2"/>
    <col min="833" max="833" width="9.1328125" customWidth="true" style="2"/>
    <col min="834" max="834" width="9.1328125" customWidth="true" style="2"/>
    <col min="835" max="835" width="9.1328125" customWidth="true" style="2"/>
    <col min="836" max="836" width="9.1328125" customWidth="true" style="2"/>
    <col min="837" max="837" width="9.1328125" customWidth="true" style="2"/>
    <col min="838" max="838" width="9.1328125" customWidth="true" style="2"/>
    <col min="839" max="839" width="9.1328125" customWidth="true" style="2"/>
    <col min="840" max="840" width="9.1328125" customWidth="true" style="2"/>
    <col min="841" max="841" width="9.1328125" customWidth="true" style="2"/>
    <col min="842" max="842" width="9.1328125" customWidth="true" style="2"/>
    <col min="843" max="843" width="9.1328125" customWidth="true" style="2"/>
    <col min="844" max="844" width="9.1328125" customWidth="true" style="2"/>
    <col min="845" max="845" width="9.1328125" customWidth="true" style="2"/>
    <col min="846" max="846" width="9.1328125" customWidth="true" style="2"/>
    <col min="847" max="847" width="9.1328125" customWidth="true" style="2"/>
    <col min="848" max="848" width="9.1328125" customWidth="true" style="2"/>
    <col min="849" max="849" width="9.1328125" customWidth="true" style="2"/>
    <col min="850" max="850" width="9.1328125" customWidth="true" style="2"/>
    <col min="851" max="851" width="9.1328125" customWidth="true" style="2"/>
    <col min="852" max="852" width="9.1328125" customWidth="true" style="2"/>
    <col min="853" max="853" width="9.1328125" customWidth="true" style="2"/>
    <col min="854" max="854" width="9.1328125" customWidth="true" style="2"/>
    <col min="855" max="855" width="9.1328125" customWidth="true" style="2"/>
    <col min="856" max="856" width="9.1328125" customWidth="true" style="2"/>
    <col min="857" max="857" width="9.1328125" customWidth="true" style="2"/>
    <col min="858" max="858" width="9.1328125" customWidth="true" style="2"/>
    <col min="859" max="859" width="9.1328125" customWidth="true" style="2"/>
    <col min="860" max="860" width="9.1328125" customWidth="true" style="2"/>
    <col min="861" max="861" width="9.1328125" customWidth="true" style="2"/>
    <col min="862" max="862" width="9.1328125" customWidth="true" style="2"/>
    <col min="863" max="863" width="9.1328125" customWidth="true" style="2"/>
    <col min="864" max="864" width="9.1328125" customWidth="true" style="2"/>
    <col min="865" max="865" width="9.1328125" customWidth="true" style="2"/>
    <col min="866" max="866" width="9.1328125" customWidth="true" style="2"/>
    <col min="867" max="867" width="9.1328125" customWidth="true" style="2"/>
    <col min="868" max="868" width="9.1328125" customWidth="true" style="2"/>
    <col min="869" max="869" width="9.1328125" customWidth="true" style="2"/>
    <col min="870" max="870" width="9.1328125" customWidth="true" style="2"/>
    <col min="871" max="871" width="9.1328125" customWidth="true" style="2"/>
    <col min="872" max="872" width="9.1328125" customWidth="true" style="2"/>
    <col min="873" max="873" width="9.1328125" customWidth="true" style="2"/>
    <col min="874" max="874" width="9.1328125" customWidth="true" style="2"/>
    <col min="875" max="875" width="9.1328125" customWidth="true" style="2"/>
    <col min="876" max="876" width="9.1328125" customWidth="true" style="2"/>
    <col min="877" max="877" width="9.1328125" customWidth="true" style="2"/>
    <col min="878" max="878" width="9.1328125" customWidth="true" style="2"/>
    <col min="879" max="879" width="9.1328125" customWidth="true" style="2"/>
    <col min="880" max="880" width="9.1328125" customWidth="true" style="2"/>
    <col min="881" max="881" width="9.1328125" customWidth="true" style="2"/>
    <col min="882" max="882" width="9.1328125" customWidth="true" style="2"/>
    <col min="883" max="883" width="9.1328125" customWidth="true" style="2"/>
    <col min="884" max="884" width="9.1328125" customWidth="true" style="2"/>
    <col min="885" max="885" width="9.1328125" customWidth="true" style="2"/>
    <col min="886" max="886" width="9.1328125" customWidth="true" style="2"/>
    <col min="887" max="887" width="9.1328125" customWidth="true" style="2"/>
    <col min="888" max="888" width="9.1328125" customWidth="true" style="2"/>
    <col min="889" max="889" width="9.1328125" customWidth="true" style="2"/>
    <col min="890" max="890" width="9.1328125" customWidth="true" style="2"/>
    <col min="891" max="891" width="9.1328125" customWidth="true" style="2"/>
    <col min="892" max="892" width="9.1328125" customWidth="true" style="2"/>
    <col min="893" max="893" width="9.1328125" customWidth="true" style="2"/>
    <col min="894" max="894" width="9.1328125" customWidth="true" style="2"/>
    <col min="895" max="895" width="9.1328125" customWidth="true" style="2"/>
    <col min="896" max="896" width="9.1328125" customWidth="true" style="2"/>
    <col min="897" max="897" width="9.1328125" customWidth="true" style="2"/>
    <col min="898" max="898" width="9.1328125" customWidth="true" style="2"/>
    <col min="899" max="899" width="9.1328125" customWidth="true" style="2"/>
    <col min="900" max="900" width="9.1328125" customWidth="true" style="2"/>
    <col min="901" max="901" width="9.1328125" customWidth="true" style="2"/>
    <col min="902" max="902" width="9.1328125" customWidth="true" style="2"/>
    <col min="903" max="903" width="9.1328125" customWidth="true" style="2"/>
    <col min="904" max="904" width="9.1328125" customWidth="true" style="2"/>
    <col min="905" max="905" width="9.1328125" customWidth="true" style="2"/>
    <col min="906" max="906" width="9.1328125" customWidth="true" style="2"/>
    <col min="907" max="907" width="9.1328125" customWidth="true" style="2"/>
    <col min="908" max="908" width="9.1328125" customWidth="true" style="2"/>
    <col min="909" max="909" width="9.1328125" customWidth="true" style="2"/>
    <col min="910" max="910" width="9.1328125" customWidth="true" style="2"/>
    <col min="911" max="911" width="9.1328125" customWidth="true" style="2"/>
    <col min="912" max="912" width="9.1328125" customWidth="true" style="2"/>
    <col min="913" max="913" width="9.1328125" customWidth="true" style="2"/>
    <col min="914" max="914" width="9.1328125" customWidth="true" style="2"/>
    <col min="915" max="915" width="9.1328125" customWidth="true" style="2"/>
    <col min="916" max="916" width="9.1328125" customWidth="true" style="2"/>
    <col min="917" max="917" width="9.1328125" customWidth="true" style="2"/>
    <col min="918" max="918" width="9.1328125" customWidth="true" style="2"/>
    <col min="919" max="919" width="9.1328125" customWidth="true" style="2"/>
    <col min="920" max="920" width="9.1328125" customWidth="true" style="2"/>
    <col min="921" max="921" width="9.1328125" customWidth="true" style="2"/>
    <col min="922" max="922" width="9.1328125" customWidth="true" style="2"/>
    <col min="923" max="923" width="9.1328125" customWidth="true" style="2"/>
    <col min="924" max="924" width="9.1328125" customWidth="true" style="2"/>
    <col min="925" max="925" width="9.1328125" customWidth="true" style="2"/>
    <col min="926" max="926" width="9.1328125" customWidth="true" style="2"/>
    <col min="927" max="927" width="9.1328125" customWidth="true" style="2"/>
    <col min="928" max="928" width="9.1328125" customWidth="true" style="2"/>
    <col min="929" max="929" width="9.1328125" customWidth="true" style="2"/>
    <col min="930" max="930" width="9.1328125" customWidth="true" style="2"/>
    <col min="931" max="931" width="9.1328125" customWidth="true" style="2"/>
    <col min="932" max="932" width="9.1328125" customWidth="true" style="2"/>
    <col min="933" max="933" width="9.1328125" customWidth="true" style="2"/>
    <col min="934" max="934" width="9.1328125" customWidth="true" style="2"/>
    <col min="935" max="935" width="9.1328125" customWidth="true" style="2"/>
    <col min="936" max="936" width="9.1328125" customWidth="true" style="2"/>
    <col min="937" max="937" width="9.1328125" customWidth="true" style="2"/>
    <col min="938" max="938" width="9.1328125" customWidth="true" style="2"/>
    <col min="939" max="939" width="9.1328125" customWidth="true" style="2"/>
    <col min="940" max="940" width="9.1328125" customWidth="true" style="2"/>
    <col min="941" max="941" width="9.1328125" customWidth="true" style="2"/>
    <col min="942" max="942" width="9.1328125" customWidth="true" style="2"/>
    <col min="943" max="943" width="9.1328125" customWidth="true" style="2"/>
    <col min="944" max="944" width="9.1328125" customWidth="true" style="2"/>
    <col min="945" max="945" width="9.1328125" customWidth="true" style="2"/>
    <col min="946" max="946" width="9.1328125" customWidth="true" style="2"/>
    <col min="947" max="947" width="9.1328125" customWidth="true" style="2"/>
    <col min="948" max="948" width="9.1328125" customWidth="true" style="2"/>
    <col min="949" max="949" width="9.1328125" customWidth="true" style="2"/>
    <col min="950" max="950" width="9.1328125" customWidth="true" style="2"/>
    <col min="951" max="951" width="9.1328125" customWidth="true" style="2"/>
    <col min="952" max="952" width="9.1328125" customWidth="true" style="2"/>
    <col min="953" max="953" width="9.1328125" customWidth="true" style="2"/>
    <col min="954" max="954" width="9.1328125" customWidth="true" style="2"/>
    <col min="955" max="955" width="9.1328125" customWidth="true" style="2"/>
    <col min="956" max="956" width="9.1328125" customWidth="true" style="2"/>
    <col min="957" max="957" width="9.1328125" customWidth="true" style="2"/>
    <col min="958" max="958" width="9.1328125" customWidth="true" style="2"/>
    <col min="959" max="959" width="9.1328125" customWidth="true" style="2"/>
    <col min="960" max="960" width="9.1328125" customWidth="true" style="2"/>
    <col min="961" max="961" width="9.1328125" customWidth="true" style="2"/>
    <col min="962" max="962" width="9.1328125" customWidth="true" style="2"/>
    <col min="963" max="963" width="9.1328125" customWidth="true" style="2"/>
    <col min="964" max="964" width="9.1328125" customWidth="true" style="2"/>
    <col min="965" max="965" width="9.1328125" customWidth="true" style="2"/>
    <col min="966" max="966" width="9.1328125" customWidth="true" style="2"/>
    <col min="967" max="967" width="9.1328125" customWidth="true" style="2"/>
    <col min="968" max="968" width="9.1328125" customWidth="true" style="2"/>
    <col min="969" max="969" width="9.1328125" customWidth="true" style="2"/>
    <col min="970" max="970" width="9.1328125" customWidth="true" style="2"/>
    <col min="971" max="971" width="9.1328125" customWidth="true" style="2"/>
    <col min="972" max="972" width="9.1328125" customWidth="true" style="2"/>
    <col min="973" max="973" width="9.1328125" customWidth="true" style="2"/>
    <col min="974" max="974" width="9.1328125" customWidth="true" style="2"/>
    <col min="975" max="975" width="9.1328125" customWidth="true" style="2"/>
    <col min="976" max="976" width="9.1328125" customWidth="true" style="2"/>
    <col min="977" max="977" width="9.1328125" customWidth="true" style="2"/>
    <col min="978" max="978" width="9.1328125" customWidth="true" style="2"/>
    <col min="979" max="979" width="9.1328125" customWidth="true" style="2"/>
    <col min="980" max="980" width="9.1328125" customWidth="true" style="2"/>
    <col min="981" max="981" width="9.1328125" customWidth="true" style="2"/>
    <col min="982" max="982" width="9.1328125" customWidth="true" style="2"/>
    <col min="983" max="983" width="9.1328125" customWidth="true" style="2"/>
    <col min="984" max="984" width="9.1328125" customWidth="true" style="2"/>
    <col min="985" max="985" width="9.1328125" customWidth="true" style="2"/>
    <col min="986" max="986" width="9.1328125" customWidth="true" style="2"/>
    <col min="987" max="987" width="9.1328125" customWidth="true" style="2"/>
    <col min="988" max="988" width="9.1328125" customWidth="true" style="2"/>
    <col min="989" max="989" width="9.1328125" customWidth="true" style="2"/>
    <col min="990" max="990" width="9.1328125" customWidth="true" style="2"/>
    <col min="991" max="991" width="9.1328125" customWidth="true" style="2"/>
    <col min="992" max="992" width="9.1328125" customWidth="true" style="2"/>
    <col min="993" max="993" width="9.1328125" customWidth="true" style="2"/>
    <col min="994" max="994" width="9.1328125" customWidth="true" style="2"/>
    <col min="995" max="995" width="9.1328125" customWidth="true" style="2"/>
    <col min="996" max="996" width="9.1328125" customWidth="true" style="2"/>
    <col min="997" max="997" width="9.1328125" customWidth="true" style="2"/>
    <col min="998" max="998" width="9.1328125" customWidth="true" style="2"/>
    <col min="999" max="999" width="9.1328125" customWidth="true" style="2"/>
    <col min="1000" max="1000" width="9.1328125" customWidth="true" style="2"/>
    <col min="1001" max="1001" width="9.1328125" customWidth="true" style="2"/>
    <col min="1002" max="1002" width="9.1328125" customWidth="true" style="2"/>
    <col min="1003" max="1003" width="9.1328125" customWidth="true" style="2"/>
    <col min="1004" max="1004" width="9.1328125" customWidth="true" style="2"/>
    <col min="1005" max="1005" width="9.1328125" customWidth="true" style="2"/>
    <col min="1006" max="1006" width="9.1328125" customWidth="true" style="2"/>
    <col min="1007" max="1007" width="9.1328125" customWidth="true" style="2"/>
    <col min="1008" max="1008" width="9.1328125" customWidth="true" style="2"/>
    <col min="1009" max="1009" width="9.1328125" customWidth="true" style="2"/>
    <col min="1010" max="1010" width="9.1328125" customWidth="true" style="2"/>
    <col min="1011" max="1011" width="9.1328125" customWidth="true" style="2"/>
    <col min="1012" max="1012" width="9.1328125" customWidth="true" style="2"/>
    <col min="1013" max="1013" width="9.1328125" customWidth="true" style="2"/>
    <col min="1014" max="1014" width="9.1328125" customWidth="true" style="2"/>
    <col min="1015" max="1015" width="9.1328125" customWidth="true" style="2"/>
    <col min="1016" max="1016" width="9.1328125" customWidth="true" style="2"/>
    <col min="1017" max="1017" width="9.1328125" customWidth="true" style="2"/>
    <col min="1018" max="1018" width="9.1328125" customWidth="true" style="2"/>
    <col min="1019" max="1019" width="9.1328125" customWidth="true" style="2"/>
    <col min="1020" max="1020" width="9.1328125" customWidth="true" style="2"/>
    <col min="1021" max="1021" width="9.1328125" customWidth="true" style="2"/>
    <col min="1022" max="1022" width="9.1328125" customWidth="true" style="2"/>
    <col min="1023" max="1023" width="9.1328125" customWidth="true" style="2"/>
    <col min="1024" max="1024" width="9.1328125" customWidth="true" style="2"/>
    <col min="1025" max="1025" width="9.1328125" customWidth="true" style="2"/>
    <col min="1026" max="1026" width="9.1328125" customWidth="true" style="0"/>
  </cols>
  <sheetData>
    <row r="1" spans="1:1026" customHeight="1" ht="15">
      <c r="B1" s="500"/>
      <c r="C1" s="763" t="str">
        <f>IF('vstupní data'!B34="AdminReal, s.r.o.","AdminReal s.r.o., Veveří 2581/102 , 616 00 Brno, IČO 02827476, Zapsáno KS v Brně, oddíl C, vložka 82606","BrnoReal s.r.o., Veveří 2581/102 , 616 00 Brno, IČO 14423537, Zapsáno KS v Brně, oddíl C, vložka 128255")</f>
        <v>0</v>
      </c>
      <c r="D1" s="763"/>
      <c r="E1" s="763"/>
      <c r="F1" s="763"/>
      <c r="G1" s="763"/>
      <c r="H1" s="763"/>
      <c r="I1" s="763"/>
      <c r="J1" s="763" t="str">
        <f>IF('vstupní data'!$B$34="BrnoReal, s.r.o.",'vstupní data'!$B$60,'vstupní data'!$B$59)</f>
        <v>0</v>
      </c>
      <c r="K1" s="763"/>
    </row>
    <row r="2" spans="1:1026" customHeight="1" ht="18.75">
      <c r="A2" s="3" t="str">
        <f>'vstupní data'!B5</f>
        <v>0</v>
      </c>
      <c r="C2" s="4"/>
      <c r="E2" s="27"/>
      <c r="F2" s="27"/>
      <c r="G2" s="27"/>
      <c r="H2" s="27"/>
      <c r="I2" s="27"/>
      <c r="J2" s="763"/>
      <c r="K2" s="763"/>
      <c r="M2" s="836" t="s">
        <v>60</v>
      </c>
      <c r="P2" s="188"/>
      <c r="Q2" s="189"/>
    </row>
    <row r="3" spans="1:1026">
      <c r="A3" s="6" t="s">
        <v>54</v>
      </c>
      <c r="B3" s="27"/>
      <c r="C3" s="7" t="str">
        <f>dum_adresa</f>
        <v>0</v>
      </c>
      <c r="F3" s="696" t="s">
        <v>55</v>
      </c>
      <c r="G3" s="696"/>
      <c r="H3" s="7" t="str">
        <f>'vstupní data'!B7</f>
        <v>0</v>
      </c>
      <c r="J3" s="87" t="s">
        <v>56</v>
      </c>
      <c r="K3" s="7" t="str">
        <f>'vstupní data'!B4</f>
        <v>0</v>
      </c>
      <c r="L3" s="27"/>
      <c r="P3" s="188"/>
      <c r="Q3" s="190"/>
    </row>
    <row r="4" spans="1:1026" customHeight="1" ht="15">
      <c r="A4" s="6" t="s">
        <v>57</v>
      </c>
      <c r="B4" s="27"/>
      <c r="C4" s="6" t="str">
        <f>'vstupní data'!B35</f>
        <v>0</v>
      </c>
      <c r="D4" s="9"/>
      <c r="E4" s="696" t="s">
        <v>58</v>
      </c>
      <c r="F4" s="696"/>
      <c r="G4" s="696"/>
      <c r="H4" s="6" t="str">
        <f>'vstupní data'!B6</f>
        <v>0</v>
      </c>
      <c r="J4" s="87" t="s">
        <v>59</v>
      </c>
      <c r="K4" s="209" t="str">
        <f>VLOOKUP(BYT,Evidence!$A:$Z,18,0)</f>
        <v>0</v>
      </c>
      <c r="L4" s="27"/>
      <c r="P4" s="188"/>
      <c r="Q4" s="750"/>
      <c r="R4" s="750"/>
      <c r="S4" s="750"/>
      <c r="T4" s="750"/>
      <c r="U4" s="750"/>
      <c r="V4" s="750"/>
      <c r="W4" s="750"/>
      <c r="X4" s="750"/>
      <c r="Y4" s="750"/>
    </row>
    <row r="5" spans="1:1026" customHeight="1" ht="9.2">
      <c r="A5" s="9"/>
      <c r="C5" s="10"/>
      <c r="E5" s="27"/>
      <c r="F5" s="27"/>
      <c r="G5" s="27"/>
      <c r="H5" s="27"/>
      <c r="I5" s="27"/>
      <c r="J5" s="27"/>
      <c r="K5" s="27"/>
      <c r="L5" s="27"/>
      <c r="P5" s="189"/>
      <c r="Q5" s="750"/>
      <c r="R5" s="750"/>
      <c r="S5" s="750"/>
      <c r="T5" s="750"/>
      <c r="U5" s="750"/>
      <c r="V5" s="750"/>
      <c r="W5" s="750"/>
      <c r="X5" s="750"/>
      <c r="Y5" s="750"/>
    </row>
    <row r="6" spans="1:1026" customHeight="1" ht="19.5">
      <c r="A6" s="697" t="str">
        <f>("Vyúčtování služeb:  "&amp;'vstupní data'!B12&amp;"")</f>
        <v>0</v>
      </c>
      <c r="B6" s="697"/>
      <c r="C6" s="697"/>
      <c r="D6" s="697"/>
      <c r="E6" s="697"/>
      <c r="F6" s="697"/>
      <c r="G6" s="697"/>
      <c r="H6" s="697"/>
      <c r="I6" s="697"/>
      <c r="J6" s="697"/>
      <c r="K6" s="697"/>
      <c r="L6" s="27"/>
      <c r="Q6" s="750"/>
      <c r="R6" s="750"/>
      <c r="S6" s="750"/>
      <c r="T6" s="750"/>
      <c r="U6" s="750"/>
      <c r="V6" s="750"/>
      <c r="W6" s="750"/>
      <c r="X6" s="750"/>
      <c r="Y6" s="750"/>
    </row>
    <row r="7" spans="1:1026" customHeight="1" ht="12">
      <c r="A7" s="68"/>
      <c r="B7" s="68"/>
      <c r="C7" s="68"/>
      <c r="D7" s="68"/>
      <c r="E7" s="11"/>
      <c r="F7" s="11"/>
      <c r="G7" s="11"/>
      <c r="H7" s="11"/>
      <c r="I7" s="11"/>
      <c r="J7" s="11"/>
      <c r="K7" s="11"/>
      <c r="L7" s="27"/>
      <c r="Q7" s="750"/>
      <c r="R7" s="750"/>
      <c r="S7" s="750"/>
      <c r="T7" s="750"/>
      <c r="U7" s="750"/>
      <c r="V7" s="750"/>
      <c r="W7" s="750"/>
      <c r="X7" s="750"/>
      <c r="Y7" s="750"/>
    </row>
    <row r="8" spans="1:1026">
      <c r="A8" s="751"/>
      <c r="B8" s="751"/>
      <c r="C8" s="751"/>
      <c r="D8" s="751"/>
      <c r="E8" s="752" t="s">
        <v>64</v>
      </c>
      <c r="F8" s="752"/>
      <c r="G8" s="752"/>
      <c r="H8" s="752" t="s">
        <v>65</v>
      </c>
      <c r="I8" s="752"/>
      <c r="J8" s="752"/>
      <c r="K8" s="752"/>
      <c r="L8" s="27"/>
      <c r="Q8" s="750"/>
      <c r="R8" s="750"/>
      <c r="S8" s="750"/>
      <c r="T8" s="750"/>
      <c r="U8" s="750"/>
      <c r="V8" s="750"/>
      <c r="W8" s="750"/>
      <c r="X8" s="750"/>
      <c r="Y8" s="750"/>
    </row>
    <row r="9" spans="1:1026" customHeight="1" ht="15.95">
      <c r="A9" s="246" t="s">
        <v>66</v>
      </c>
      <c r="B9" s="250" t="s">
        <v>67</v>
      </c>
      <c r="C9" s="302" t="s">
        <v>68</v>
      </c>
      <c r="D9" s="302" t="s">
        <v>69</v>
      </c>
      <c r="E9" s="13" t="s">
        <v>70</v>
      </c>
      <c r="F9" s="302" t="s">
        <v>71</v>
      </c>
      <c r="G9" s="303" t="s">
        <v>72</v>
      </c>
      <c r="H9" s="13" t="s">
        <v>129</v>
      </c>
      <c r="I9" s="303" t="s">
        <v>130</v>
      </c>
      <c r="J9" s="302" t="s">
        <v>131</v>
      </c>
      <c r="K9" s="249" t="s">
        <v>132</v>
      </c>
      <c r="L9" s="27"/>
      <c r="O9" s="455"/>
      <c r="P9" s="311"/>
      <c r="Q9" s="750"/>
      <c r="R9" s="750"/>
      <c r="S9" s="750"/>
      <c r="T9" s="750"/>
      <c r="U9" s="750"/>
      <c r="V9" s="750"/>
      <c r="W9" s="750"/>
      <c r="X9" s="750"/>
      <c r="Y9" s="750"/>
    </row>
    <row r="10" spans="1:1026" customHeight="1" ht="15.95">
      <c r="A10" s="403" t="str">
        <f>Faktury!A4</f>
        <v>0</v>
      </c>
      <c r="B10" s="243"/>
      <c r="C10" s="16" t="str">
        <f>Faktury!C4</f>
        <v>0</v>
      </c>
      <c r="D10" s="16" t="str">
        <f>Faktury!D4</f>
        <v>0</v>
      </c>
      <c r="E10" s="18" t="str">
        <f>Faktury!E4</f>
        <v>0</v>
      </c>
      <c r="F10" s="18" t="str">
        <f>Faktury!F4</f>
        <v>0</v>
      </c>
      <c r="G10" s="18" t="str">
        <f>Faktury!G4</f>
        <v>0</v>
      </c>
      <c r="H10" s="16" t="str">
        <f>Faktury!H4</f>
        <v>0</v>
      </c>
      <c r="I10" s="18" t="str">
        <f>Faktury!I4</f>
        <v>0</v>
      </c>
      <c r="J10" s="18" t="str">
        <f>Faktury!J4</f>
        <v>0</v>
      </c>
      <c r="K10" s="18" t="str">
        <f>Faktury!K4</f>
        <v>0</v>
      </c>
      <c r="L10" s="27"/>
      <c r="Q10" s="750"/>
      <c r="R10" s="750"/>
      <c r="S10" s="750"/>
      <c r="T10" s="750"/>
      <c r="U10" s="750"/>
      <c r="V10" s="750"/>
      <c r="W10" s="750"/>
      <c r="X10" s="750"/>
      <c r="Y10" s="750"/>
    </row>
    <row r="11" spans="1:1026">
      <c r="A11" s="199" t="str">
        <f>Faktury!A5</f>
        <v>0</v>
      </c>
      <c r="B11" s="244"/>
      <c r="C11" s="20" t="str">
        <f>Faktury!C5</f>
        <v>0</v>
      </c>
      <c r="D11" s="20" t="str">
        <f>Faktury!D5</f>
        <v>0</v>
      </c>
      <c r="E11" s="22" t="str">
        <f>Faktury!E5</f>
        <v>0</v>
      </c>
      <c r="F11" s="22" t="str">
        <f>Faktury!F5</f>
        <v>0</v>
      </c>
      <c r="G11" s="22" t="str">
        <f>Faktury!G5</f>
        <v>0</v>
      </c>
      <c r="H11" s="20" t="str">
        <f>Faktury!H5</f>
        <v>0</v>
      </c>
      <c r="I11" s="22" t="str">
        <f>Faktury!I5</f>
        <v>0</v>
      </c>
      <c r="J11" s="22" t="str">
        <f>Faktury!J5</f>
        <v>0</v>
      </c>
      <c r="K11" s="22" t="str">
        <f>Faktury!K5</f>
        <v>0</v>
      </c>
      <c r="L11" s="27"/>
      <c r="Q11" s="750"/>
      <c r="R11" s="750"/>
      <c r="S11" s="750"/>
      <c r="T11" s="750"/>
      <c r="U11" s="750"/>
      <c r="V11" s="750"/>
      <c r="W11" s="750"/>
      <c r="X11" s="750"/>
      <c r="Y11" s="750"/>
    </row>
    <row r="12" spans="1:1026">
      <c r="A12" s="199" t="str">
        <f>Faktury!A6</f>
        <v>0</v>
      </c>
      <c r="B12" s="247"/>
      <c r="C12" s="20" t="str">
        <f>Faktury!C6</f>
        <v>0</v>
      </c>
      <c r="D12" s="20" t="str">
        <f>Faktury!D6</f>
        <v>0</v>
      </c>
      <c r="E12" s="22" t="str">
        <f>Faktury!E6</f>
        <v>0</v>
      </c>
      <c r="F12" s="22" t="str">
        <f>Faktury!F6</f>
        <v>0</v>
      </c>
      <c r="G12" s="22" t="str">
        <f>Faktury!G6</f>
        <v>0</v>
      </c>
      <c r="H12" s="20" t="str">
        <f>Faktury!H6</f>
        <v>0</v>
      </c>
      <c r="I12" s="22" t="str">
        <f>Faktury!I6</f>
        <v>0</v>
      </c>
      <c r="J12" s="22" t="str">
        <f>Faktury!J6</f>
        <v>0</v>
      </c>
      <c r="K12" s="22" t="str">
        <f>Faktury!K6</f>
        <v>0</v>
      </c>
      <c r="L12" s="27"/>
      <c r="Q12" s="192"/>
      <c r="R12" s="192"/>
      <c r="S12" s="192"/>
      <c r="T12" s="192"/>
      <c r="U12" s="192"/>
      <c r="V12" s="192"/>
      <c r="W12" s="192"/>
      <c r="X12" s="192"/>
      <c r="Y12" s="192"/>
    </row>
    <row r="13" spans="1:1026">
      <c r="A13" s="199" t="str">
        <f>Faktury!A7</f>
        <v>0</v>
      </c>
      <c r="B13" s="244"/>
      <c r="C13" s="20" t="str">
        <f>Faktury!C7</f>
        <v>0</v>
      </c>
      <c r="D13" s="20" t="str">
        <f>Faktury!D7</f>
        <v>0</v>
      </c>
      <c r="E13" s="22" t="str">
        <f>Faktury!E7</f>
        <v>0</v>
      </c>
      <c r="F13" s="22" t="str">
        <f>Faktury!F7</f>
        <v>0</v>
      </c>
      <c r="G13" s="22" t="str">
        <f>Faktury!G7</f>
        <v>0</v>
      </c>
      <c r="H13" s="20" t="str">
        <f>Faktury!H7</f>
        <v>0</v>
      </c>
      <c r="I13" s="22" t="str">
        <f>Faktury!I7</f>
        <v>0</v>
      </c>
      <c r="J13" s="22" t="str">
        <f>Faktury!J7</f>
        <v>0</v>
      </c>
      <c r="K13" s="22" t="str">
        <f>Faktury!K7</f>
        <v>0</v>
      </c>
      <c r="L13" s="27"/>
      <c r="Q13" s="192"/>
      <c r="R13" s="192"/>
      <c r="S13" s="192"/>
      <c r="T13" s="192"/>
      <c r="U13" s="192"/>
      <c r="V13" s="192"/>
      <c r="W13" s="192"/>
      <c r="X13" s="192"/>
      <c r="Y13" s="192"/>
    </row>
    <row r="14" spans="1:1026" customHeight="1" ht="15">
      <c r="A14" s="199" t="str">
        <f>Faktury!A17</f>
        <v>0</v>
      </c>
      <c r="B14" s="244"/>
      <c r="C14" s="20" t="str">
        <f>Faktury!C17</f>
        <v>0</v>
      </c>
      <c r="D14" s="20" t="str">
        <f>Faktury!D17</f>
        <v>0</v>
      </c>
      <c r="E14" s="22" t="str">
        <f>Faktury!E17</f>
        <v>0</v>
      </c>
      <c r="F14" s="22" t="str">
        <f>Faktury!F17</f>
        <v>0</v>
      </c>
      <c r="G14" s="22" t="str">
        <f>Faktury!G17</f>
        <v>0</v>
      </c>
      <c r="H14" s="20" t="str">
        <f>Faktury!H17</f>
        <v>0</v>
      </c>
      <c r="I14" s="22" t="str">
        <f>Faktury!I17</f>
        <v>0</v>
      </c>
      <c r="J14" s="22" t="str">
        <f>Faktury!J17</f>
        <v>0</v>
      </c>
      <c r="K14" s="22" t="str">
        <f>Faktury!K17</f>
        <v>0</v>
      </c>
      <c r="L14" s="27"/>
      <c r="V14" s="192"/>
      <c r="W14" s="192"/>
      <c r="X14" s="192"/>
      <c r="Y14" s="192"/>
    </row>
    <row r="15" spans="1:1026">
      <c r="A15" s="199" t="str">
        <f>Faktury!A12</f>
        <v>0</v>
      </c>
      <c r="B15" s="244"/>
      <c r="C15" s="20" t="str">
        <f>Faktury!C12</f>
        <v>0</v>
      </c>
      <c r="D15" s="20" t="str">
        <f>Faktury!D12</f>
        <v>0</v>
      </c>
      <c r="E15" s="22" t="str">
        <f>Faktury!E12</f>
        <v>0</v>
      </c>
      <c r="F15" s="22" t="str">
        <f>Faktury!F12</f>
        <v>0</v>
      </c>
      <c r="G15" s="22" t="str">
        <f>Faktury!G12</f>
        <v>0</v>
      </c>
      <c r="H15" s="20" t="str">
        <f>Faktury!H12</f>
        <v>0</v>
      </c>
      <c r="I15" s="22" t="str">
        <f>Faktury!I12</f>
        <v>0</v>
      </c>
      <c r="J15" s="22" t="str">
        <f>Faktury!J12</f>
        <v>0</v>
      </c>
      <c r="K15" s="22" t="str">
        <f>Faktury!K12</f>
        <v>0</v>
      </c>
      <c r="L15" s="27"/>
      <c r="V15" s="192"/>
      <c r="W15" s="192"/>
      <c r="X15" s="192"/>
      <c r="Y15" s="192"/>
    </row>
    <row r="16" spans="1:1026">
      <c r="A16" s="199" t="str">
        <f>Faktury!A9</f>
        <v>0</v>
      </c>
      <c r="B16" s="244"/>
      <c r="C16" s="20" t="str">
        <f>Faktury!C9</f>
        <v>0</v>
      </c>
      <c r="D16" s="20" t="str">
        <f>Faktury!D9</f>
        <v>0</v>
      </c>
      <c r="E16" s="22" t="str">
        <f>Faktury!E9</f>
        <v>0</v>
      </c>
      <c r="F16" s="22" t="str">
        <f>Faktury!F9</f>
        <v>0</v>
      </c>
      <c r="G16" s="22" t="str">
        <f>Faktury!G9</f>
        <v>0</v>
      </c>
      <c r="H16" s="20" t="str">
        <f>Faktury!H9</f>
        <v>0</v>
      </c>
      <c r="I16" s="22" t="str">
        <f>Faktury!I9</f>
        <v>0</v>
      </c>
      <c r="J16" s="22" t="str">
        <f>Faktury!J9</f>
        <v>0</v>
      </c>
      <c r="K16" s="22" t="str">
        <f>Faktury!K9</f>
        <v>0</v>
      </c>
      <c r="L16" s="27"/>
      <c r="V16" s="192"/>
      <c r="W16" s="192"/>
      <c r="X16" s="192"/>
      <c r="Y16" s="192"/>
    </row>
    <row r="17" spans="1:1026">
      <c r="A17" s="199" t="str">
        <f>Faktury!A2</f>
        <v>0</v>
      </c>
      <c r="B17" s="247"/>
      <c r="C17" s="20" t="str">
        <f>Faktury!C2</f>
        <v>0</v>
      </c>
      <c r="D17" s="20" t="str">
        <f>Faktury!D2</f>
        <v>0</v>
      </c>
      <c r="E17" s="22" t="str">
        <f>Faktury!E2</f>
        <v>0</v>
      </c>
      <c r="F17" s="20" t="str">
        <f>Faktury!F2</f>
        <v>0</v>
      </c>
      <c r="G17" s="20" t="str">
        <f>Faktury!G2</f>
        <v>0</v>
      </c>
      <c r="H17" s="20" t="str">
        <f>Faktury!H2</f>
        <v>0</v>
      </c>
      <c r="I17" s="22" t="str">
        <f>Faktury!I2</f>
        <v>0</v>
      </c>
      <c r="J17" s="22" t="str">
        <f>Faktury!J2</f>
        <v>0</v>
      </c>
      <c r="K17" s="22" t="str">
        <f>Faktury!K2</f>
        <v>0</v>
      </c>
      <c r="L17" s="27"/>
    </row>
    <row r="18" spans="1:1026">
      <c r="A18" s="199" t="str">
        <f>Faktury!A3</f>
        <v>0</v>
      </c>
      <c r="B18" s="244"/>
      <c r="C18" s="20" t="str">
        <f>Faktury!C3</f>
        <v>0</v>
      </c>
      <c r="D18" s="20" t="str">
        <f>Faktury!D3</f>
        <v>0</v>
      </c>
      <c r="E18" s="22" t="str">
        <f>Faktury!E3</f>
        <v>0</v>
      </c>
      <c r="F18" s="22" t="str">
        <f>Faktury!F3</f>
        <v>0</v>
      </c>
      <c r="G18" s="22" t="str">
        <f>Faktury!G3</f>
        <v>0</v>
      </c>
      <c r="H18" s="20" t="str">
        <f>Faktury!H3</f>
        <v>0</v>
      </c>
      <c r="I18" s="22" t="str">
        <f>Faktury!I3</f>
        <v>0</v>
      </c>
      <c r="J18" s="22" t="str">
        <f>Faktury!J3</f>
        <v>0</v>
      </c>
      <c r="K18" s="22" t="str">
        <f>Faktury!K3</f>
        <v>0</v>
      </c>
      <c r="L18" s="27"/>
    </row>
    <row r="19" spans="1:1026">
      <c r="A19" s="404" t="str">
        <f>Faktury!A19</f>
        <v>0</v>
      </c>
      <c r="B19" s="260"/>
      <c r="C19" s="20" t="str">
        <f>Faktury!C19</f>
        <v>0</v>
      </c>
      <c r="D19" s="20" t="str">
        <f>Faktury!D19</f>
        <v>0</v>
      </c>
      <c r="E19" s="22" t="str">
        <f>Faktury!E19</f>
        <v>0</v>
      </c>
      <c r="F19" s="22" t="str">
        <f>Faktury!F19</f>
        <v>0</v>
      </c>
      <c r="G19" s="22" t="str">
        <f>Faktury!G19</f>
        <v>0</v>
      </c>
      <c r="H19" s="20" t="str">
        <f>Faktury!H19</f>
        <v>0</v>
      </c>
      <c r="I19" s="22" t="str">
        <f>Faktury!I19</f>
        <v>0</v>
      </c>
      <c r="J19" s="22" t="str">
        <f>Faktury!J19</f>
        <v>0</v>
      </c>
      <c r="K19" s="22" t="str">
        <f>Faktury!K19</f>
        <v>0</v>
      </c>
      <c r="L19" s="27"/>
    </row>
    <row r="20" spans="1:1026">
      <c r="A20" s="404" t="str">
        <f>Faktury!A18</f>
        <v>0</v>
      </c>
      <c r="B20" s="245"/>
      <c r="C20" s="20" t="str">
        <f>Faktury!C18</f>
        <v>0</v>
      </c>
      <c r="D20" s="20" t="str">
        <f>Faktury!D18</f>
        <v>0</v>
      </c>
      <c r="E20" s="22" t="str">
        <f>Faktury!E18</f>
        <v>0</v>
      </c>
      <c r="F20" s="22" t="str">
        <f>Faktury!F18</f>
        <v>0</v>
      </c>
      <c r="G20" s="22" t="str">
        <f>Faktury!G18</f>
        <v>0</v>
      </c>
      <c r="H20" s="20" t="str">
        <f>Faktury!H18</f>
        <v>0</v>
      </c>
      <c r="I20" s="22" t="str">
        <f>Faktury!I18</f>
        <v>0</v>
      </c>
      <c r="J20" s="22" t="str">
        <f>Faktury!J18</f>
        <v>0</v>
      </c>
      <c r="K20" s="22" t="str">
        <f>Faktury!K18</f>
        <v>0</v>
      </c>
      <c r="L20" s="27"/>
    </row>
    <row r="21" spans="1:1026">
      <c r="A21" s="199" t="str">
        <f>Faktury!A10</f>
        <v>0</v>
      </c>
      <c r="B21" s="244"/>
      <c r="C21" s="20" t="str">
        <f>Faktury!C10</f>
        <v>0</v>
      </c>
      <c r="D21" s="20" t="str">
        <f>Faktury!D10</f>
        <v>0</v>
      </c>
      <c r="E21" s="22" t="str">
        <f>Faktury!E10</f>
        <v>0</v>
      </c>
      <c r="F21" s="20" t="str">
        <f>Faktury!F10</f>
        <v>0</v>
      </c>
      <c r="G21" s="20" t="str">
        <f>Faktury!G10</f>
        <v>0</v>
      </c>
      <c r="H21" s="20" t="str">
        <f>Faktury!H10</f>
        <v>0</v>
      </c>
      <c r="I21" s="22" t="str">
        <f>Faktury!I10</f>
        <v>0</v>
      </c>
      <c r="J21" s="22" t="str">
        <f>Faktury!J10</f>
        <v>0</v>
      </c>
      <c r="K21" s="22" t="str">
        <f>Faktury!K10</f>
        <v>0</v>
      </c>
      <c r="L21" s="27"/>
    </row>
    <row r="22" spans="1:1026">
      <c r="A22" s="406" t="str">
        <f>Faktury!A8</f>
        <v>0</v>
      </c>
      <c r="B22" s="70"/>
      <c r="C22" s="20" t="str">
        <f>Faktury!C8</f>
        <v>0</v>
      </c>
      <c r="D22" s="20" t="str">
        <f>Faktury!D8</f>
        <v>0</v>
      </c>
      <c r="E22" s="22" t="str">
        <f>Faktury!E8</f>
        <v>0</v>
      </c>
      <c r="F22" s="22" t="str">
        <f>Faktury!F8</f>
        <v>0</v>
      </c>
      <c r="G22" s="22" t="str">
        <f>Faktury!G8</f>
        <v>0</v>
      </c>
      <c r="H22" s="20" t="str">
        <f>Faktury!H8</f>
        <v>0</v>
      </c>
      <c r="I22" s="22" t="str">
        <f>Faktury!I8</f>
        <v>0</v>
      </c>
      <c r="J22" s="22" t="str">
        <f>Faktury!J8</f>
        <v>0</v>
      </c>
      <c r="K22" s="22" t="str">
        <f>Faktury!K8</f>
        <v>0</v>
      </c>
      <c r="L22" s="27"/>
    </row>
    <row r="23" spans="1:1026">
      <c r="A23" s="199" t="str">
        <f>Faktury!A16</f>
        <v>0</v>
      </c>
      <c r="B23" s="244"/>
      <c r="C23" s="20" t="str">
        <f>Faktury!C16</f>
        <v>0</v>
      </c>
      <c r="D23" s="20" t="str">
        <f>Faktury!D16</f>
        <v>0</v>
      </c>
      <c r="E23" s="22" t="str">
        <f>Faktury!E16</f>
        <v>0</v>
      </c>
      <c r="F23" s="22" t="str">
        <f>Faktury!F16</f>
        <v>0</v>
      </c>
      <c r="G23" s="22" t="str">
        <f>Faktury!G16</f>
        <v>0</v>
      </c>
      <c r="H23" s="20" t="str">
        <f>Faktury!H16</f>
        <v>0</v>
      </c>
      <c r="I23" s="22" t="str">
        <f>Faktury!I16</f>
        <v>0</v>
      </c>
      <c r="J23" s="22" t="str">
        <f>Faktury!J16</f>
        <v>0</v>
      </c>
      <c r="K23" s="22" t="str">
        <f>Faktury!K16</f>
        <v>0</v>
      </c>
      <c r="L23" s="27"/>
    </row>
    <row r="24" spans="1:1026">
      <c r="A24" s="407" t="str">
        <f>Faktury!A22</f>
        <v>0</v>
      </c>
      <c r="B24" s="392"/>
      <c r="C24" s="20" t="str">
        <f>Faktury!C22</f>
        <v>0</v>
      </c>
      <c r="D24" s="20" t="str">
        <f>Faktury!D22</f>
        <v>0</v>
      </c>
      <c r="E24" s="22" t="str">
        <f>Faktury!E22</f>
        <v>0</v>
      </c>
      <c r="F24" s="20" t="str">
        <f>Faktury!F22</f>
        <v>0</v>
      </c>
      <c r="G24" s="20" t="str">
        <f>Faktury!G22</f>
        <v>0</v>
      </c>
      <c r="H24" s="20" t="str">
        <f>Faktury!H22</f>
        <v>0</v>
      </c>
      <c r="I24" s="22" t="str">
        <f>Faktury!I22</f>
        <v>0</v>
      </c>
      <c r="J24" s="22" t="str">
        <f>Faktury!J22</f>
        <v>0</v>
      </c>
      <c r="K24" s="22" t="str">
        <f>Faktury!K22</f>
        <v>0</v>
      </c>
      <c r="L24" s="27"/>
    </row>
    <row r="25" spans="1:1026">
      <c r="A25" s="199" t="str">
        <f>Faktury!A23</f>
        <v>0</v>
      </c>
      <c r="B25" s="393"/>
      <c r="C25" s="20" t="str">
        <f>Faktury!C23</f>
        <v>0</v>
      </c>
      <c r="D25" s="20" t="str">
        <f>Faktury!D23</f>
        <v>0</v>
      </c>
      <c r="E25" s="22" t="str">
        <f>Faktury!E23</f>
        <v>0</v>
      </c>
      <c r="F25" s="20" t="str">
        <f>Faktury!F23</f>
        <v>0</v>
      </c>
      <c r="G25" s="20" t="str">
        <f>Faktury!G23</f>
        <v>0</v>
      </c>
      <c r="H25" s="20" t="str">
        <f>Faktury!H23</f>
        <v>0</v>
      </c>
      <c r="I25" s="22" t="str">
        <f>Faktury!I23</f>
        <v>0</v>
      </c>
      <c r="J25" s="22" t="str">
        <f>Faktury!J23</f>
        <v>0</v>
      </c>
      <c r="K25" s="22" t="str">
        <f>Faktury!K23</f>
        <v>0</v>
      </c>
      <c r="L25" s="27"/>
    </row>
    <row r="26" spans="1:1026">
      <c r="A26" s="199" t="str">
        <f>VLOOKUP(BYT,Parametry!1:1048576,2,1)</f>
        <v>0</v>
      </c>
      <c r="B26" s="244"/>
      <c r="C26" s="20" t="str">
        <f>VLOOKUP(BYT,Parametry!1:1048576,3,1)</f>
        <v>0</v>
      </c>
      <c r="D26" s="20" t="str">
        <f>VLOOKUP(BYT,Parametry!1:1048576,4,1)</f>
        <v>0</v>
      </c>
      <c r="E26" s="22" t="str">
        <f>VLOOKUP(BYT,Parametry!1:1048576,5,1)</f>
        <v>0</v>
      </c>
      <c r="F26" s="22" t="str">
        <f>VLOOKUP(BYT,Parametry!1:1048576,6,1)</f>
        <v>0</v>
      </c>
      <c r="G26" s="22" t="str">
        <f>VLOOKUP(BYT,Parametry!1:1048576,7,1)</f>
        <v>0</v>
      </c>
      <c r="H26" s="20" t="str">
        <f>VLOOKUP(BYT,Parametry!1:1048576,8,1)</f>
        <v>0</v>
      </c>
      <c r="I26" s="22" t="str">
        <f>VLOOKUP(BYT,Parametry!1:1048576,9,1)</f>
        <v>0</v>
      </c>
      <c r="J26" s="22">
        <v>0</v>
      </c>
      <c r="K26" s="22" t="str">
        <f>VLOOKUP(BYT,Parametry!1:1048576,11,1)</f>
        <v>0</v>
      </c>
      <c r="L26" s="27"/>
    </row>
    <row r="27" spans="1:1026">
      <c r="A27" s="199" t="str">
        <f>Faktury!A13</f>
        <v>0</v>
      </c>
      <c r="B27" s="244"/>
      <c r="C27" s="20" t="str">
        <f>Faktury!C13</f>
        <v>0</v>
      </c>
      <c r="D27" s="20" t="str">
        <f>Faktury!D13</f>
        <v>0</v>
      </c>
      <c r="E27" s="22" t="str">
        <f>Faktury!E13</f>
        <v>0</v>
      </c>
      <c r="F27" s="22" t="str">
        <f>Faktury!F13</f>
        <v>0</v>
      </c>
      <c r="G27" s="22" t="str">
        <f>Faktury!G13</f>
        <v>0</v>
      </c>
      <c r="H27" s="20" t="str">
        <f>Faktury!H13</f>
        <v>0</v>
      </c>
      <c r="I27" s="22" t="str">
        <f>Faktury!I13</f>
        <v>0</v>
      </c>
      <c r="J27" s="22" t="str">
        <f>Faktury!J13</f>
        <v>0</v>
      </c>
      <c r="K27" s="22" t="str">
        <f>Faktury!K13</f>
        <v>0</v>
      </c>
      <c r="L27" s="27"/>
    </row>
    <row r="28" spans="1:1026">
      <c r="A28" s="199" t="str">
        <f>Faktury!A14</f>
        <v>0</v>
      </c>
      <c r="B28" s="244"/>
      <c r="C28" s="20" t="str">
        <f>Faktury!C14</f>
        <v>0</v>
      </c>
      <c r="D28" s="20" t="str">
        <f>Faktury!D14</f>
        <v>0</v>
      </c>
      <c r="E28" s="22" t="str">
        <f>Faktury!E14</f>
        <v>0</v>
      </c>
      <c r="F28" s="22" t="str">
        <f>Faktury!F14</f>
        <v>0</v>
      </c>
      <c r="G28" s="22" t="str">
        <f>Faktury!G14</f>
        <v>0</v>
      </c>
      <c r="H28" s="20" t="str">
        <f>Faktury!H14</f>
        <v>0</v>
      </c>
      <c r="I28" s="22" t="str">
        <f>Faktury!I14</f>
        <v>0</v>
      </c>
      <c r="J28" s="22" t="str">
        <f>Faktury!J14</f>
        <v>0</v>
      </c>
      <c r="K28" s="22" t="str">
        <f>Faktury!K14</f>
        <v>0</v>
      </c>
      <c r="L28" s="27"/>
    </row>
    <row r="29" spans="1:1026" customHeight="1" ht="15.95">
      <c r="A29" s="407" t="str">
        <f>Faktury!A11</f>
        <v>0</v>
      </c>
      <c r="B29" s="248"/>
      <c r="C29" s="335" t="str">
        <f>Faktury!C11</f>
        <v>0</v>
      </c>
      <c r="D29" s="83" t="str">
        <f>Faktury!D11</f>
        <v>0</v>
      </c>
      <c r="E29" s="86" t="str">
        <f>Faktury!E11</f>
        <v>0</v>
      </c>
      <c r="F29" s="86" t="str">
        <f>Faktury!F11</f>
        <v>0</v>
      </c>
      <c r="G29" s="86" t="str">
        <f>Faktury!G11</f>
        <v>0</v>
      </c>
      <c r="H29" s="83" t="str">
        <f>Faktury!H11</f>
        <v>0</v>
      </c>
      <c r="I29" s="86" t="str">
        <f>Faktury!I11</f>
        <v>0</v>
      </c>
      <c r="J29" s="86" t="str">
        <f>Faktury!J11</f>
        <v>0</v>
      </c>
      <c r="K29" s="372" t="str">
        <f>Faktury!K11</f>
        <v>0</v>
      </c>
      <c r="L29" s="27"/>
    </row>
    <row r="30" spans="1:1026" customHeight="1" ht="15.95">
      <c r="A30" s="338" t="str">
        <f>Faktury!A21</f>
        <v>0</v>
      </c>
      <c r="B30" s="538"/>
      <c r="C30" s="54" t="str">
        <f>Faktury!C21</f>
        <v>0</v>
      </c>
      <c r="D30" s="54" t="str">
        <f>Faktury!D21</f>
        <v>0</v>
      </c>
      <c r="E30" s="74" t="str">
        <f>Faktury!E21</f>
        <v>0</v>
      </c>
      <c r="F30" s="74" t="str">
        <f>Faktury!F21</f>
        <v>0</v>
      </c>
      <c r="G30" s="74" t="str">
        <f>Faktury!G21</f>
        <v>0</v>
      </c>
      <c r="H30" s="54" t="str">
        <f>Faktury!H21</f>
        <v>0</v>
      </c>
      <c r="I30" s="74" t="str">
        <f>Faktury!I21</f>
        <v>0</v>
      </c>
      <c r="J30" s="74" t="str">
        <f>Faktury!J21</f>
        <v>0</v>
      </c>
      <c r="K30" s="537" t="str">
        <f>Faktury!K21</f>
        <v>0</v>
      </c>
      <c r="L30" s="27"/>
    </row>
    <row r="31" spans="1:1026" customHeight="1" ht="15.95">
      <c r="A31" s="746" t="s">
        <v>83</v>
      </c>
      <c r="B31" s="746"/>
      <c r="C31" s="746"/>
      <c r="D31" s="399"/>
      <c r="E31" s="400" t="str">
        <f>SUM(E10:E30)</f>
        <v>0</v>
      </c>
      <c r="F31" s="399"/>
      <c r="G31" s="719" t="s">
        <v>84</v>
      </c>
      <c r="H31" s="719"/>
      <c r="I31" s="401" t="str">
        <f>SUM(I10:I30)</f>
        <v>0</v>
      </c>
      <c r="J31" s="401" t="str">
        <f>SUM(J10:J30)</f>
        <v>0</v>
      </c>
      <c r="K31" s="402" t="str">
        <f>SUM(K10:K30)</f>
        <v>0</v>
      </c>
      <c r="L31" s="27"/>
    </row>
    <row r="32" spans="1:1026">
      <c r="A32" s="27"/>
      <c r="B32" s="27"/>
      <c r="C32" s="758" t="str">
        <f>IF(ExcelMacroData!C15=TRUE,_xlfn.IMAGE(ExcelMacroData!C16),"")</f>
        <v>0</v>
      </c>
      <c r="D32" s="758"/>
      <c r="E32" s="27"/>
      <c r="G32" s="718" t="str">
        <f>IF(K32&lt;0,"Nedoplatek v účtovaném období",IF(K32&gt;0,"Přeplatek v účtovaném období",IF(K32=0,"Není evidován v účtovaném období přeplatek ani nedoplatek")))</f>
        <v>0</v>
      </c>
      <c r="H32" s="718"/>
      <c r="I32" s="718"/>
      <c r="J32" s="718"/>
      <c r="K32" s="310" t="str">
        <f>VD_přeplatek_aktuální_rok</f>
        <v>0</v>
      </c>
      <c r="L32" s="27"/>
    </row>
    <row r="33" spans="1:1026">
      <c r="A33" s="27"/>
      <c r="B33" s="27"/>
      <c r="C33" s="758"/>
      <c r="D33" s="758"/>
      <c r="E33" s="27"/>
      <c r="G33" s="718" t="str">
        <f>IF(K33&lt;0,"Nedoplatek v minulém období",IF(K33&gt;0,"Přeplatek v minulém období",IF(K33=0,"Není evidován v minulém období přeplatek ani nedoplatek")))</f>
        <v>0</v>
      </c>
      <c r="H33" s="718"/>
      <c r="I33" s="718"/>
      <c r="J33" s="718"/>
      <c r="K33" s="310" t="str">
        <f>VLOOKUP(BYT,'Přeplatky nedoplatky'!$A:$E,5,0)</f>
        <v>0</v>
      </c>
      <c r="L33" s="27"/>
    </row>
    <row r="34" spans="1:1026" customHeight="1" ht="21">
      <c r="A34" s="291" t="s">
        <v>89</v>
      </c>
      <c r="B34" s="291" t="s">
        <v>90</v>
      </c>
      <c r="C34" s="758"/>
      <c r="D34" s="758"/>
      <c r="E34" s="5"/>
      <c r="F34" s="5"/>
      <c r="G34" s="748" t="str">
        <f>IF('Vyúčtování byt - 1.část'!K34&lt;0,"NEDOPLATEK CELKEM",IF('Vyúčtování byt - 1.část'!K34&gt;0,"PŘEPLATEK CELKEM",IF('Vyúčtování byt - 1.část'!K34=0,"Nemáte přeplatek ani nedoplatek")))</f>
        <v>0</v>
      </c>
      <c r="H34" s="748"/>
      <c r="I34" s="748"/>
      <c r="J34" s="748"/>
      <c r="K34" s="365" t="str">
        <f>ROUND(K31+K32+K33,0)</f>
        <v>0</v>
      </c>
      <c r="L34" s="27"/>
    </row>
    <row r="35" spans="1:1026" customHeight="1" ht="17.25">
      <c r="A35" s="539" t="str">
        <f>INDEX(Faktury!A2:A53,MATCH("*Fond*",Faktury!A2:A53,0))</f>
        <v>0</v>
      </c>
      <c r="B35" s="316" t="str">
        <f>'vstupní data'!R17</f>
        <v>0</v>
      </c>
      <c r="C35" s="758"/>
      <c r="D35" s="758"/>
      <c r="E35" s="760" t="str">
        <f>IF(VD_účet_vlastníka=0,(IF('vstupní data'!C11&lt;0,"Nedoplatek uhraďte na účet číslo: "&amp;VD_číslo_účtu_SVJ&amp;", variabilní symbol "&amp;VD_VS&amp;"",IF('vstupní data'!C11&gt;0,"Přeplatek Vám bude vyplacen poštovní poukázkou",IF('vstupní data'!C11=0,"""Nemáte žádný přeplatek ani nedoplatek")))),IF('vstupní data'!C11&lt;0,"Nedoplatek uhraďte na účet číslo: "&amp;VD_číslo_účtu_SVJ&amp;", variabilní symbol "&amp;VD_VS&amp;"",IF('vstupní data'!C11&gt;0,"Přeplatek Vám bude vyplacen na číslo účtu "&amp;VD_účet_vlastníka&amp;"",IF('vstupní data'!C11=0,"Nemáte žádný přeplatek ani nedoplatek"))))</f>
        <v>0</v>
      </c>
      <c r="F35" s="760"/>
      <c r="G35" s="760"/>
      <c r="H35" s="760"/>
      <c r="I35" s="760"/>
      <c r="J35" s="760"/>
      <c r="K35" s="760"/>
      <c r="L35" s="27"/>
    </row>
    <row r="36" spans="1:1026">
      <c r="A36" s="27"/>
      <c r="B36" s="27"/>
      <c r="C36" s="759"/>
      <c r="D36" s="759"/>
      <c r="E36" s="61"/>
      <c r="F36" s="61"/>
      <c r="G36" s="61"/>
      <c r="H36" s="61"/>
      <c r="I36" s="61"/>
      <c r="J36" s="61"/>
      <c r="K36" s="61"/>
      <c r="L36" s="27"/>
    </row>
    <row r="37" spans="1:1026">
      <c r="A37" s="722" t="str">
        <f>"Přehled úhrad za rok "&amp;'vstupní data'!B12&amp;""</f>
        <v>0</v>
      </c>
      <c r="B37" s="723"/>
      <c r="C37" s="723"/>
      <c r="D37" s="723"/>
      <c r="E37" s="723"/>
      <c r="F37" s="723"/>
      <c r="G37" s="723"/>
      <c r="H37" s="723"/>
      <c r="I37" s="723"/>
      <c r="J37" s="723"/>
      <c r="K37" s="723"/>
      <c r="L37" s="724"/>
      <c r="P37" s="35"/>
    </row>
    <row r="38" spans="1:1026">
      <c r="A38" s="63" t="str">
        <f>"1/"&amp;'vstupní data'!$B$12&amp;""</f>
        <v>0</v>
      </c>
      <c r="B38" s="63" t="str">
        <f>"2/"&amp;'vstupní data'!$B$12&amp;""</f>
        <v>0</v>
      </c>
      <c r="C38" s="63" t="str">
        <f>"3/"&amp;'vstupní data'!$B$12&amp;""</f>
        <v>0</v>
      </c>
      <c r="D38" s="63" t="str">
        <f>"4/"&amp;'vstupní data'!$B$12&amp;""</f>
        <v>0</v>
      </c>
      <c r="E38" s="63" t="str">
        <f>"5/"&amp;'vstupní data'!$B$12&amp;""</f>
        <v>0</v>
      </c>
      <c r="F38" s="63" t="str">
        <f>"6/"&amp;'vstupní data'!$B$12&amp;""</f>
        <v>0</v>
      </c>
      <c r="G38" s="63" t="str">
        <f>"7/"&amp;'vstupní data'!$B$12&amp;""</f>
        <v>0</v>
      </c>
      <c r="H38" s="63" t="str">
        <f>"8/"&amp;'vstupní data'!$B$12&amp;""</f>
        <v>0</v>
      </c>
      <c r="I38" s="63" t="str">
        <f>"9/"&amp;'vstupní data'!$B$12&amp;""</f>
        <v>0</v>
      </c>
      <c r="J38" s="63" t="str">
        <f>"10/"&amp;'vstupní data'!$B$12&amp;""</f>
        <v>0</v>
      </c>
      <c r="K38" s="63" t="str">
        <f>"11/"&amp;'vstupní data'!$B$12&amp;""</f>
        <v>0</v>
      </c>
      <c r="L38" s="63" t="str">
        <f>"12/"&amp;'vstupní data'!$B$12&amp;""</f>
        <v>0</v>
      </c>
    </row>
    <row r="39" spans="1:1026">
      <c r="A39" s="64" t="str">
        <f>'vstupní data'!N19</f>
        <v>0</v>
      </c>
      <c r="B39" s="64" t="str">
        <f>'vstupní data'!N20</f>
        <v>0</v>
      </c>
      <c r="C39" s="64" t="str">
        <f>'vstupní data'!N21</f>
        <v>0</v>
      </c>
      <c r="D39" s="64" t="str">
        <f>'vstupní data'!N22</f>
        <v>0</v>
      </c>
      <c r="E39" s="64" t="str">
        <f>'vstupní data'!N23</f>
        <v>0</v>
      </c>
      <c r="F39" s="64" t="str">
        <f>'vstupní data'!N24</f>
        <v>0</v>
      </c>
      <c r="G39" s="64" t="str">
        <f>'vstupní data'!N25</f>
        <v>0</v>
      </c>
      <c r="H39" s="64" t="str">
        <f>'vstupní data'!N26</f>
        <v>0</v>
      </c>
      <c r="I39" s="64" t="str">
        <f>'vstupní data'!N27</f>
        <v>0</v>
      </c>
      <c r="J39" s="64" t="str">
        <f>'vstupní data'!N28</f>
        <v>0</v>
      </c>
      <c r="K39" s="64" t="str">
        <f>'vstupní data'!N29</f>
        <v>0</v>
      </c>
      <c r="L39" s="64" t="str">
        <f>'vstupní data'!N30</f>
        <v>0</v>
      </c>
      <c r="N39" s="88"/>
      <c r="O39" s="88"/>
      <c r="P39" s="232"/>
    </row>
    <row r="40" spans="1:1026">
      <c r="A40" s="722" t="str">
        <f>"Přehled předpisů za rok "&amp;'vstupní data'!B12&amp;""</f>
        <v>0</v>
      </c>
      <c r="B40" s="723"/>
      <c r="C40" s="723"/>
      <c r="D40" s="723"/>
      <c r="E40" s="723"/>
      <c r="F40" s="723"/>
      <c r="G40" s="723"/>
      <c r="H40" s="723"/>
      <c r="I40" s="723"/>
      <c r="J40" s="723"/>
      <c r="K40" s="723"/>
      <c r="L40" s="724"/>
      <c r="N40" s="89"/>
      <c r="O40" s="89"/>
    </row>
    <row r="41" spans="1:1026">
      <c r="A41" s="63" t="str">
        <f>"1/"&amp;'vstupní data'!$B$12&amp;""</f>
        <v>0</v>
      </c>
      <c r="B41" s="63" t="str">
        <f>"2/"&amp;'vstupní data'!$B$12&amp;""</f>
        <v>0</v>
      </c>
      <c r="C41" s="63" t="str">
        <f>"3/"&amp;'vstupní data'!$B$12&amp;""</f>
        <v>0</v>
      </c>
      <c r="D41" s="63" t="str">
        <f>"4/"&amp;'vstupní data'!$B$12&amp;""</f>
        <v>0</v>
      </c>
      <c r="E41" s="63" t="str">
        <f>"5/"&amp;'vstupní data'!$B$12&amp;""</f>
        <v>0</v>
      </c>
      <c r="F41" s="63" t="str">
        <f>"6/"&amp;'vstupní data'!$B$12&amp;""</f>
        <v>0</v>
      </c>
      <c r="G41" s="63" t="str">
        <f>"7/"&amp;'vstupní data'!$B$12&amp;""</f>
        <v>0</v>
      </c>
      <c r="H41" s="63" t="str">
        <f>"8/"&amp;'vstupní data'!$B$12&amp;""</f>
        <v>0</v>
      </c>
      <c r="I41" s="63" t="str">
        <f>"9/"&amp;'vstupní data'!$B$12&amp;""</f>
        <v>0</v>
      </c>
      <c r="J41" s="63" t="str">
        <f>"10/"&amp;'vstupní data'!$B$12&amp;""</f>
        <v>0</v>
      </c>
      <c r="K41" s="63" t="str">
        <f>"11/"&amp;'vstupní data'!$B$12&amp;""</f>
        <v>0</v>
      </c>
      <c r="L41" s="63" t="str">
        <f>"12/"&amp;'vstupní data'!$B$12&amp;""</f>
        <v>0</v>
      </c>
      <c r="N41" s="89"/>
    </row>
    <row r="42" spans="1:1026">
      <c r="A42" s="64" t="str">
        <f>'vstupní data'!Q19</f>
        <v>0</v>
      </c>
      <c r="B42" s="64" t="str">
        <f>'vstupní data'!Q20</f>
        <v>0</v>
      </c>
      <c r="C42" s="64" t="str">
        <f>'vstupní data'!Q21</f>
        <v>0</v>
      </c>
      <c r="D42" s="64" t="str">
        <f>'vstupní data'!Q22</f>
        <v>0</v>
      </c>
      <c r="E42" s="64" t="str">
        <f>'vstupní data'!Q23</f>
        <v>0</v>
      </c>
      <c r="F42" s="64" t="str">
        <f>'vstupní data'!Q24</f>
        <v>0</v>
      </c>
      <c r="G42" s="64" t="str">
        <f>'vstupní data'!Q25</f>
        <v>0</v>
      </c>
      <c r="H42" s="64" t="str">
        <f>'vstupní data'!Q26</f>
        <v>0</v>
      </c>
      <c r="I42" s="64" t="str">
        <f>'vstupní data'!Q27</f>
        <v>0</v>
      </c>
      <c r="J42" s="64" t="str">
        <f>'vstupní data'!Q28</f>
        <v>0</v>
      </c>
      <c r="K42" s="64" t="str">
        <f>'vstupní data'!Q29</f>
        <v>0</v>
      </c>
      <c r="L42" s="64" t="str">
        <f>'vstupní data'!Q30</f>
        <v>0</v>
      </c>
      <c r="N42" s="88"/>
      <c r="O42" s="88"/>
    </row>
    <row r="43" spans="1:1026">
      <c r="A43" s="712" t="str">
        <f>IF('vstupní data'!B11=0,"K úhradě za rok",IF('vstupní data'!B11&lt;0,"Nedoplatek za rok celkem",IF('vstupní data'!B11&gt;0,"Přeplatek za rok celkem",IF('vstupní data'!B11=0,""))))</f>
        <v>0</v>
      </c>
      <c r="B43" s="713"/>
      <c r="C43" s="316" t="str">
        <f>'vstupní data'!B11</f>
        <v>0</v>
      </c>
      <c r="D43" s="89"/>
      <c r="E43" s="61"/>
      <c r="F43" s="61"/>
      <c r="G43" s="61"/>
      <c r="H43" s="61"/>
      <c r="I43" s="61"/>
      <c r="J43" s="61"/>
      <c r="K43" s="61"/>
      <c r="L43" s="27"/>
    </row>
    <row r="44" spans="1:1026">
      <c r="A44" s="67"/>
      <c r="B44" s="67"/>
      <c r="C44" s="67"/>
      <c r="D44" s="67"/>
      <c r="E44" s="67"/>
      <c r="F44" s="67"/>
      <c r="G44" s="27"/>
      <c r="H44" s="27"/>
      <c r="I44" s="27"/>
      <c r="J44" s="27"/>
      <c r="K44" s="27"/>
      <c r="L44" s="27"/>
      <c r="P44" s="35"/>
    </row>
    <row r="45" spans="1:1026">
      <c r="A45" s="761" t="s">
        <v>133</v>
      </c>
      <c r="B45" s="761"/>
      <c r="C45" s="761"/>
      <c r="D45" s="761"/>
      <c r="E45" s="761"/>
      <c r="F45" s="761"/>
      <c r="G45" s="166"/>
      <c r="H45" s="166"/>
      <c r="I45" s="166"/>
    </row>
    <row r="46" spans="1:1026" customHeight="1" ht="15.95">
      <c r="A46" s="535" t="s">
        <v>134</v>
      </c>
      <c r="B46" s="535" t="s">
        <v>135</v>
      </c>
      <c r="C46" s="535" t="s">
        <v>136</v>
      </c>
      <c r="D46" s="535" t="s">
        <v>137</v>
      </c>
      <c r="E46" s="535" t="s">
        <v>138</v>
      </c>
      <c r="F46" s="535" t="s">
        <v>139</v>
      </c>
      <c r="G46" s="2"/>
      <c r="I46" s="2"/>
      <c r="O46" s="547"/>
      <c r="P46" s="166"/>
    </row>
    <row r="47" spans="1:1026" customHeight="1" ht="15.95">
      <c r="A47" s="525" t="str">
        <f>IF(E47&gt;0,"Studená voda","")</f>
        <v>0</v>
      </c>
      <c r="B47" s="536" t="str">
        <f>K4</f>
        <v>0</v>
      </c>
      <c r="C47" s="526" t="str">
        <f>IF(E47=0,0,_xlfn.XLOOKUP(BYT&amp;"|"&amp;"SV1", 'Vodoměry SV'!A2:A103&amp;"|"&amp;'Vodoměry SV'!C2:C103, 'Vodoměry SV'!F2:F103))</f>
        <v>0</v>
      </c>
      <c r="D47" s="528" t="str">
        <f>SUMIFS('Vodoměry SV'!G2:G103,'Vodoměry SV'!A2:A103,BYT,'Vodoměry SV'!C2:C103,"SV1")</f>
        <v>0</v>
      </c>
      <c r="E47" s="528" t="str">
        <f>SUMIFS('Vodoměry SV'!H2:H103,'Vodoměry SV'!A2:A103,BYT,'Vodoměry SV'!C2:C103,"SV1")</f>
        <v>0</v>
      </c>
      <c r="F47" s="528" t="str">
        <f>SUMIFS('Vodoměry SV'!I2:I103,'Vodoměry SV'!A2:A103,BYT,'Vodoměry SV'!C2:C103,"SV1")</f>
        <v>0</v>
      </c>
      <c r="G47" s="2"/>
      <c r="I47" s="2"/>
      <c r="P47" s="35"/>
    </row>
    <row r="48" spans="1:1026" customHeight="1" ht="15.95">
      <c r="A48" s="525" t="str">
        <f>IF(E48&gt;0,"Teplá voda","")</f>
        <v>0</v>
      </c>
      <c r="B48" s="536" t="str">
        <f>K4</f>
        <v>0</v>
      </c>
      <c r="C48" s="526" t="str">
        <f>IF(E48=0,0, _xlfn.XLOOKUP(BYT&amp;"|"&amp;"TUV1", 'Vodoměry TUV'!A2:A103&amp;"|"&amp;'Vodoměry TUV'!C2:C103, 'Vodoměry TUV'!F2:F103))</f>
        <v>0</v>
      </c>
      <c r="D48" s="528" t="str">
        <f>SUMIFS('Vodoměry TUV'!G2:G114,'Vodoměry TUV'!A2:A114,BYT,'Vodoměry TUV'!C2:C114,"TUV1")</f>
        <v>0</v>
      </c>
      <c r="E48" s="528" t="str">
        <f>SUMIFS('Vodoměry TUV'!H2:H114,'Vodoměry TUV'!A2:A114,BYT,'Vodoměry TUV'!C2:C114,"TUV1")</f>
        <v>0</v>
      </c>
      <c r="F48" s="528" t="str">
        <f>SUMIFS('Vodoměry TUV'!I2:I114,'Vodoměry TUV'!A2:A114,BYT,'Vodoměry TUV'!C2:C114,"TUV1")</f>
        <v>0</v>
      </c>
      <c r="G48" s="2"/>
      <c r="I48" s="2"/>
      <c r="J48" s="27"/>
      <c r="K48" s="27"/>
      <c r="L48" s="27"/>
      <c r="M48" s="27"/>
      <c r="N48" s="27"/>
      <c r="O48" s="27"/>
      <c r="P48" s="35"/>
    </row>
    <row r="49" spans="1:1026" customHeight="1" ht="15.95">
      <c r="A49" s="525" t="str">
        <f>IF(E49&gt;0,"Studená voda","")</f>
        <v>0</v>
      </c>
      <c r="B49" s="536" t="str">
        <f>K4</f>
        <v>0</v>
      </c>
      <c r="C49" s="526" t="str">
        <f>IF(E49=0, 0, _xlfn.XLOOKUP(BYT&amp;"|"&amp;"SV2", 'Vodoměry SV'!A2:A103&amp;"|"&amp;'Vodoměry SV'!C2:C103, 'Vodoměry SV'!F2:F103))</f>
        <v>0</v>
      </c>
      <c r="D49" s="528" t="str">
        <f>SUMIFS('Vodoměry SV'!G2:G103,'Vodoměry SV'!A2:A103,BYT,'Vodoměry SV'!C2:C103,"SV2")</f>
        <v>0</v>
      </c>
      <c r="E49" s="528" t="str">
        <f>SUMIFS('Vodoměry SV'!H2:H103,'Vodoměry SV'!A2:A103,BYT,'Vodoměry SV'!C2:C103,"SV2")</f>
        <v>0</v>
      </c>
      <c r="F49" s="528" t="str">
        <f>SUMIFS('Vodoměry SV'!I2:I103,'Vodoměry SV'!A2:A103,BYT,'Vodoměry SV'!C2:C103,"SV2")</f>
        <v>0</v>
      </c>
      <c r="G49" s="2"/>
      <c r="I49" s="2"/>
      <c r="J49" s="27"/>
      <c r="K49" s="27"/>
      <c r="L49" s="27"/>
    </row>
    <row r="50" spans="1:1026">
      <c r="A50" s="525" t="str">
        <f>IF(E50&gt;0,"Teplá voda","")</f>
        <v>0</v>
      </c>
      <c r="B50" s="525" t="str">
        <f>K4</f>
        <v>0</v>
      </c>
      <c r="C50" s="526" t="str">
        <f>IF(E50=0, 0, _xlfn.XLOOKUP(BYT&amp;"|"&amp;"TUV2", 'Vodoměry TUV'!A2:A103&amp;"|"&amp;'Vodoměry TUV'!C2:C103, 'Vodoměry TUV'!F2:F103))</f>
        <v>0</v>
      </c>
      <c r="D50" s="527" t="str">
        <f>SUMIFS('Vodoměry TUV'!G2:G114,'Vodoměry TUV'!A2:A114,BYT,'Vodoměry TUV'!C2:C114,"TUV2")</f>
        <v>0</v>
      </c>
      <c r="E50" s="528" t="str">
        <f>SUMIFS('Vodoměry TUV'!H2:H114,'Vodoměry TUV'!A2:A114,BYT,'Vodoměry TUV'!C2:C114,"TUV2")</f>
        <v>0</v>
      </c>
      <c r="F50" s="528" t="str">
        <f>SUMIFS('Vodoměry TUV'!I2:I114,'Vodoměry TUV'!A2:A114,BYT,'Vodoměry TUV'!C2:C114,"TUV2")</f>
        <v>0</v>
      </c>
      <c r="G50" s="2"/>
      <c r="I50" s="2"/>
    </row>
    <row r="51" spans="1:1026">
      <c r="A51" s="525" t="str">
        <f>IF(E51&gt;0,"Studená voda","")</f>
        <v>0</v>
      </c>
      <c r="B51" s="525" t="str">
        <f>K4</f>
        <v>0</v>
      </c>
      <c r="C51" s="526" t="str">
        <f>IF(E51=0, 0, _xlfn.XLOOKUP(BYT&amp;"|"&amp;"SV3", 'Vodoměry SV'!A2:A103&amp;"|"&amp;'Vodoměry SV'!C2:C103, 'Vodoměry SV'!F2:F103))</f>
        <v>0</v>
      </c>
      <c r="D51" s="527" t="str">
        <f>SUMIFS('Vodoměry SV'!G2:G103,'Vodoměry SV'!A2:A103,BYT,'Vodoměry SV'!C2:C103,"SV3")</f>
        <v>0</v>
      </c>
      <c r="E51" s="528" t="str">
        <f>SUMIFS('Vodoměry SV'!H2:H103,'Vodoměry SV'!A2:A103,BYT,'Vodoměry SV'!C2:C103,"SV3")</f>
        <v>0</v>
      </c>
      <c r="F51" s="528" t="str">
        <f>SUMIFS('Vodoměry SV'!I2:I103,'Vodoměry SV'!A2:A103,BYT,'Vodoměry SV'!C2:C103,"SV3")</f>
        <v>0</v>
      </c>
      <c r="G51" s="2"/>
      <c r="I51" s="2"/>
      <c r="J51" s="35"/>
    </row>
    <row r="52" spans="1:1026">
      <c r="A52" s="525" t="str">
        <f>IF(E52&gt;0,"Teplá voda","")</f>
        <v>0</v>
      </c>
      <c r="B52" s="525" t="str">
        <f>K4</f>
        <v>0</v>
      </c>
      <c r="C52" s="526" t="str">
        <f>IF(E52=0, 0, _xlfn.XLOOKUP(BYT&amp;"|"&amp;"TUV3", 'Vodoměry TUV'!A2:A103&amp;"|"&amp;'Vodoměry TUV'!C2:C103, 'Vodoměry TUV'!F2:F103))</f>
        <v>0</v>
      </c>
      <c r="D52" s="527" t="str">
        <f>SUMIFS('Vodoměry TUV'!G2:G114,'Vodoměry TUV'!A2:A114,BYT,'Vodoměry TUV'!C2:C114,"TUV3")</f>
        <v>0</v>
      </c>
      <c r="E52" s="528" t="str">
        <f>SUMIFS('Vodoměry TUV'!H2:H114,'Vodoměry TUV'!A2:A114,BYT,'Vodoměry TUV'!C2:C114,"TUV3")</f>
        <v>0</v>
      </c>
      <c r="F52" s="528" t="str">
        <f>SUMIFS('Vodoměry TUV'!I2:I114,'Vodoměry TUV'!A2:A114,BYT,'Vodoměry TUV'!C2:C114,"TUV3")</f>
        <v>0</v>
      </c>
      <c r="G52" s="2"/>
      <c r="I52" s="2"/>
      <c r="J52" s="35"/>
      <c r="K52" s="70"/>
    </row>
    <row r="53" spans="1:1026">
      <c r="A53" s="525" t="str">
        <f>IF(E53&gt;0,"Teplo","")</f>
        <v>0</v>
      </c>
      <c r="B53" s="525" t="str">
        <f>K4</f>
        <v>0</v>
      </c>
      <c r="C53" s="526" t="str">
        <f>VLOOKUP(BYT,Teplo!1:1048576,6,1)</f>
        <v>0</v>
      </c>
      <c r="D53" s="527" t="str">
        <f>SUMIFS(Teplo!G2:G114,Teplo!A2:A114,BYT,Teplo!C2:C114,"Teplo")</f>
        <v>0</v>
      </c>
      <c r="E53" s="528" t="str">
        <f>SUMIFS(Teplo!H2:H114,Teplo!A2:A114,BYT,Teplo!C2:C114,"Teplo")</f>
        <v>0</v>
      </c>
      <c r="F53" s="528" t="str">
        <f>SUMIFS(Teplo!I2:I114,Teplo!A2:A114,BYT,Teplo!C2:C114,"Teplo")</f>
        <v>0</v>
      </c>
      <c r="G53" s="2"/>
      <c r="I53" s="2"/>
      <c r="J53" s="35"/>
      <c r="K53" s="70"/>
    </row>
    <row r="54" spans="1:1026">
      <c r="A54" s="525" t="str">
        <f>IF(E54&gt;0,"Elektro","")</f>
        <v>0</v>
      </c>
      <c r="B54" s="525" t="str">
        <f>K4</f>
        <v>0</v>
      </c>
      <c r="C54" s="526" t="str">
        <f>VLOOKUP(BYT,Elektroměry!1:1048576,6,1)</f>
        <v>0</v>
      </c>
      <c r="D54" s="527" t="str">
        <f>SUMIFS(Elektroměry!G3:G115,Elektroměry!A3:A115,BYT,Elektroměry!C3:C115,"Elektroměr")</f>
        <v>0</v>
      </c>
      <c r="E54" s="528" t="str">
        <f>SUMIFS(Elektroměry!H3:H115,Elektroměry!A3:A115,BYT,Elektroměry!C3:C115,"Elektroměr")</f>
        <v>0</v>
      </c>
      <c r="F54" s="528" t="str">
        <f>SUMIFS(Elektroměry!I3:I115,Elektroměry!A3:A115,BYT,Elektroměry!C3:C115,"Elektroměr")</f>
        <v>0</v>
      </c>
      <c r="G54" s="26"/>
      <c r="H54" s="5"/>
      <c r="I54" s="26"/>
      <c r="J54" s="5"/>
      <c r="K54" s="5"/>
      <c r="L54" s="27"/>
    </row>
    <row r="55" spans="1:1026">
      <c r="A55" s="525" t="str">
        <f>IF(E55&gt;0,"Elektroměr VT","")</f>
        <v>0</v>
      </c>
      <c r="B55" s="525" t="str">
        <f>K4</f>
        <v>0</v>
      </c>
      <c r="C55" s="526" t="str">
        <f>IF(E55=0,0,_xlfn.XLOOKUP(BYT&amp;"|"&amp;"Elektroměr NT", Elektroměry!A2:A103&amp;"|"&amp;Elektroměry!C2:C103, Elektroměry!F2:F103))</f>
        <v>0</v>
      </c>
      <c r="D55" s="527" t="str">
        <f>SUMIFS(Elektroměry!G2:G115,Elektroměry!A2:A115,BYT,Elektroměry!C2:C115,"Elektroměr VT")</f>
        <v>0</v>
      </c>
      <c r="E55" s="528" t="str">
        <f>SUMIFS(Elektroměry!H2:H115,Elektroměry!A2:A115,BYT,Elektroměry!C2:C115,"Elektroměr VT")</f>
        <v>0</v>
      </c>
      <c r="F55" s="528" t="str">
        <f>SUMIFS(Elektroměry!I2:I115,Elektroměry!A2:A115,BYT,Elektroměry!C2:C115,"Elektroměr VT")+G55</f>
        <v>0</v>
      </c>
      <c r="G55" s="26"/>
      <c r="H55" s="5"/>
      <c r="I55" s="26"/>
      <c r="J55" s="5"/>
      <c r="K55" s="5"/>
      <c r="L55" s="27"/>
    </row>
    <row r="56" spans="1:1026" customHeight="1" ht="14.25">
      <c r="A56" s="525" t="str">
        <f>IF(E56&gt;0,"Elektroměr NT","")</f>
        <v>0</v>
      </c>
      <c r="B56" s="525" t="str">
        <f>K4</f>
        <v>0</v>
      </c>
      <c r="C56" s="526" t="str">
        <f>IF(E56=0,0,_xlfn.XLOOKUP(BYT&amp;"|"&amp;"Elektroměr VT", Elektroměry!A2:A103&amp;"|"&amp;Elektroměry!C2:C103, Elektroměry!F2:F103))</f>
        <v>0</v>
      </c>
      <c r="D56" s="527" t="str">
        <f>SUMIFS(Elektroměry!G2:G115,Elektroměry!A2:A115,BYT,Elektroměry!C2:C115,"Elektroměr NT")</f>
        <v>0</v>
      </c>
      <c r="E56" s="528" t="str">
        <f>SUMIFS(Elektroměry!H2:H115,Elektroměry!A2:A115,BYT,Elektroměry!C2:C115,"Elektroměr NT")</f>
        <v>0</v>
      </c>
      <c r="F56" s="528" t="str">
        <f>SUMIFS(Elektroměry!I2:I115,Elektroměry!A2:A115,BYT,Elektroměry!C2:C115,"Elektroměr NT")</f>
        <v>0</v>
      </c>
      <c r="G56" s="26"/>
      <c r="H56" s="5"/>
      <c r="I56" s="26"/>
      <c r="J56" s="5"/>
      <c r="K56" s="5"/>
      <c r="L56" s="27"/>
    </row>
    <row r="57" spans="1:1026" customHeight="1" ht="14.25">
      <c r="A57" s="525" t="str">
        <f>IF(E57&gt;0,"Studená voda","")</f>
        <v>0</v>
      </c>
      <c r="B57" s="536" t="str">
        <f>K4</f>
        <v>0</v>
      </c>
      <c r="C57" s="526" t="str">
        <f>IF(E57=0,0,_xlfn.XLOOKUP(BYT&amp;"|"&amp;"SV4", 'Vodoměry SV'!A2:A103&amp;"|"&amp;'Vodoměry SV'!C2:C103, 'Vodoměry SV'!F2:F103))</f>
        <v>0</v>
      </c>
      <c r="D57" s="528" t="str">
        <f>SUMIFS('Vodoměry SV'!G2:G103,'Vodoměry SV'!A2:A103,BYT,'Vodoměry SV'!C2:C103,"SV4")</f>
        <v>0</v>
      </c>
      <c r="E57" s="528" t="str">
        <f>SUMIFS('Vodoměry SV'!H2:H103,'Vodoměry SV'!A2:A103,BYT,'Vodoměry SV'!C2:C103,"SV4")</f>
        <v>0</v>
      </c>
      <c r="F57" s="528" t="str">
        <f>SUMIFS('Vodoměry SV'!I2:I103,'Vodoměry SV'!A2:A103,BYT,'Vodoměry SV'!C2:C103,"SV4")</f>
        <v>0</v>
      </c>
      <c r="G57" s="26"/>
      <c r="H57" s="5"/>
      <c r="I57" s="26"/>
      <c r="J57" s="5"/>
      <c r="K57" s="5"/>
      <c r="L57" s="27"/>
    </row>
    <row r="58" spans="1:1026" customHeight="1" ht="14.25">
      <c r="A58" s="525" t="str">
        <f>IF(E58&gt;0,"Studená voda","")</f>
        <v>0</v>
      </c>
      <c r="B58" s="536" t="str">
        <f>K4</f>
        <v>0</v>
      </c>
      <c r="C58" s="526" t="str">
        <f>IF(E58=0,0,_xlfn.XLOOKUP(BYT&amp;"|"&amp;"SV5", 'Vodoměry SV'!A2:A103&amp;"|"&amp;'Vodoměry SV'!C2:C103, 'Vodoměry SV'!F2:F103))</f>
        <v>0</v>
      </c>
      <c r="D58" s="528" t="str">
        <f>SUMIFS('Vodoměry SV'!G2:G103,'Vodoměry SV'!A2:A103,BYT,'Vodoměry SV'!C2:C103,"SV5")</f>
        <v>0</v>
      </c>
      <c r="E58" s="528" t="str">
        <f>SUMIFS('Vodoměry SV'!H2:H103,'Vodoměry SV'!A2:A103,BYT,'Vodoměry SV'!C2:C103,"SV5")</f>
        <v>0</v>
      </c>
      <c r="F58" s="528" t="str">
        <f>SUMIFS('Vodoměry SV'!I2:I103,'Vodoměry SV'!A2:A103,BYT,'Vodoměry SV'!C2:C103,"SV5")</f>
        <v>0</v>
      </c>
      <c r="G58" s="26"/>
      <c r="H58" s="5"/>
      <c r="I58" s="26"/>
      <c r="J58" s="5"/>
      <c r="K58" s="5"/>
      <c r="L58" s="27"/>
    </row>
    <row r="59" spans="1:1026" customHeight="1" ht="14.25">
      <c r="A59" s="5"/>
      <c r="B59" s="5"/>
      <c r="C59" s="5"/>
      <c r="D59" s="5"/>
      <c r="E59" s="5"/>
      <c r="F59" s="5"/>
      <c r="G59" s="503"/>
      <c r="H59" s="503"/>
      <c r="I59" s="503"/>
      <c r="J59" s="503"/>
      <c r="K59" s="503"/>
      <c r="L59" s="503"/>
    </row>
    <row r="60" spans="1:1026" customHeight="1" ht="29.25">
      <c r="A60" s="762" t="str">
        <f>("Jednotková cena za m3 vody činila v roce "&amp;'vstupní data'!B12&amp;" dle ceníku BVaK "&amp;'vstupní data'!B13&amp;" Kč. Hodnota uvedená ve vyúčtování již zahrnuje rozdíl mezi náměrem hlavního a součtem náměrů poměrových vodoměrů.")</f>
        <v>0</v>
      </c>
      <c r="B60" s="762"/>
      <c r="C60" s="762"/>
      <c r="D60" s="762"/>
      <c r="E60" s="762"/>
      <c r="F60" s="762"/>
      <c r="G60" s="762"/>
      <c r="H60" s="762"/>
      <c r="I60" s="762"/>
      <c r="J60" s="762"/>
      <c r="K60" s="762"/>
      <c r="L60" s="762"/>
    </row>
    <row r="61" spans="1:1026" customHeight="1" ht="30.75">
      <c r="A61" s="754" t="str">
        <f>'vstupní data'!B33</f>
        <v>0</v>
      </c>
      <c r="B61" s="754"/>
      <c r="C61" s="754"/>
      <c r="D61" s="754"/>
      <c r="E61" s="754"/>
      <c r="F61" s="754"/>
      <c r="G61" s="754"/>
      <c r="H61" s="754"/>
      <c r="I61" s="754"/>
      <c r="J61" s="754"/>
      <c r="K61" s="754"/>
      <c r="L61" s="754"/>
    </row>
    <row r="62" spans="1:1026" customHeight="1" ht="30.75">
      <c r="A62" s="754" t="str">
        <f>'vstupní data'!B32</f>
        <v>0</v>
      </c>
      <c r="B62" s="754"/>
      <c r="C62" s="754"/>
      <c r="D62" s="754"/>
      <c r="E62" s="754"/>
      <c r="F62" s="754"/>
      <c r="G62" s="754"/>
      <c r="H62" s="754"/>
      <c r="I62" s="754"/>
      <c r="J62" s="754"/>
      <c r="K62" s="754"/>
      <c r="L62" s="754"/>
    </row>
    <row r="63" spans="1:1026" customHeight="1" ht="15">
      <c r="A63" s="755" t="str">
        <f>"Datum:  " &amp; TEXT(TODAY(), "dd.mm.rrrr")</f>
        <v>0</v>
      </c>
      <c r="B63" s="755"/>
      <c r="C63" s="555"/>
      <c r="D63" s="554"/>
      <c r="E63" s="756" t="str">
        <f>IF('vstupní data'!B34="AdminReal, s.r.o.", "info@adminreal.cz | mobil: 607 959 876", "info@brnoreal.cz | mobil: 607 959 876")</f>
        <v>0</v>
      </c>
      <c r="F63" s="756"/>
      <c r="G63" s="756"/>
      <c r="H63" s="756"/>
      <c r="I63" s="554"/>
      <c r="J63" s="757" t="str">
        <f>IF('vstupní data'!B34="AdminReal, s.r.o.", "www.adminreal.cz | www.onlinesprava.cz", "www.brnoreal.cz | www.onlinesprava.cz")</f>
        <v>0</v>
      </c>
      <c r="K63" s="757"/>
      <c r="L63" s="75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1:C31"/>
    <mergeCell ref="G31:H31"/>
    <mergeCell ref="C1:I1"/>
    <mergeCell ref="Q4:Y11"/>
    <mergeCell ref="A6:K6"/>
    <mergeCell ref="A8:D8"/>
    <mergeCell ref="E8:G8"/>
    <mergeCell ref="H8:K8"/>
    <mergeCell ref="E4:G4"/>
    <mergeCell ref="J1:K2"/>
    <mergeCell ref="F3:G3"/>
    <mergeCell ref="A62:L62"/>
    <mergeCell ref="A63:B63"/>
    <mergeCell ref="E63:H63"/>
    <mergeCell ref="J63:L63"/>
    <mergeCell ref="C32:D36"/>
    <mergeCell ref="A61:L61"/>
    <mergeCell ref="E35:K35"/>
    <mergeCell ref="G32:J32"/>
    <mergeCell ref="G33:J33"/>
    <mergeCell ref="G34:J34"/>
    <mergeCell ref="A37:L37"/>
    <mergeCell ref="A40:L40"/>
    <mergeCell ref="A43:B43"/>
    <mergeCell ref="A45:F45"/>
    <mergeCell ref="A60:L60"/>
  </mergeCells>
  <hyperlinks>
    <hyperlink ref="M2" location="Seznam!A1"/>
  </hyperlinks>
  <printOptions gridLines="false" gridLinesSet="true" horizontalCentered="true" verticalCentered="true"/>
  <pageMargins left="0.23622047244094" right="0.23622047244094" top="0.23622047244094" bottom="0.51181102362205" header="0.51181102362205" footer="0.31496062992126"/>
  <pageSetup paperSize="9" orientation="landscape" scale="56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tabColor rgb="FF00B050"/>
    <outlinePr summaryBelow="1" summaryRight="1"/>
  </sheetPr>
  <dimension ref="A1:AMF60"/>
  <sheetViews>
    <sheetView tabSelected="1" workbookViewId="0" zoomScale="90" zoomScaleNormal="90" showGridLines="true" showRowColHeaders="1">
      <selection activeCell="A1" sqref="A1"/>
    </sheetView>
  </sheetViews>
  <sheetFormatPr defaultRowHeight="14.4" defaultColWidth="9.1328125" outlineLevelRow="0" outlineLevelCol="0"/>
  <cols>
    <col min="1" max="1" width="61" customWidth="true" style="2"/>
    <col min="2" max="2" width="53.3984375" customWidth="true" style="2"/>
    <col min="3" max="3" width="19.265625" customWidth="true" style="2"/>
    <col min="4" max="4" width="25.1328125" customWidth="true" style="2"/>
    <col min="5" max="5" width="26.1328125" customWidth="true" style="2"/>
    <col min="6" max="6" width="21.86328125" customWidth="true" style="2"/>
    <col min="7" max="7" width="17.73046875" customWidth="true" style="2"/>
    <col min="8" max="8" width="24" customWidth="true" style="2"/>
    <col min="9" max="9" width="24" customWidth="true" style="2"/>
    <col min="10" max="10" width="20.3984375" customWidth="true" style="2"/>
    <col min="11" max="11" width="22" customWidth="true" style="2"/>
    <col min="12" max="12" width="23.86328125" customWidth="true" style="2"/>
    <col min="13" max="13" width="22" customWidth="true" style="2"/>
    <col min="14" max="14" width="20.73046875" customWidth="true" style="2"/>
    <col min="15" max="15" width="20.73046875" customWidth="true" style="2"/>
    <col min="16" max="16" width="20.73046875" customWidth="true" style="2"/>
    <col min="17" max="17" width="15.73046875" customWidth="true" style="2"/>
    <col min="18" max="18" width="10.1328125" customWidth="true" style="2"/>
    <col min="19" max="19" width="10.1328125" customWidth="true" style="2"/>
    <col min="20" max="20" width="10.1328125" customWidth="true" style="2"/>
    <col min="21" max="21" width="10.1328125" customWidth="true" style="2"/>
    <col min="22" max="22" width="10.1328125" customWidth="true" style="2"/>
    <col min="23" max="23" width="10.1328125" customWidth="true" style="2"/>
    <col min="24" max="24" width="10.1328125" customWidth="true" style="2"/>
    <col min="25" max="25" width="10.1328125" customWidth="true" style="2"/>
    <col min="26" max="26" width="10.1328125" customWidth="true" style="2"/>
    <col min="27" max="27" width="10.1328125" customWidth="true" style="2"/>
    <col min="28" max="28" width="10.1328125" customWidth="true" style="2"/>
    <col min="29" max="29" width="10.1328125" customWidth="true" style="2"/>
    <col min="30" max="30" width="10.1328125" customWidth="true" style="2"/>
    <col min="31" max="31" width="10.1328125" customWidth="true" style="2"/>
    <col min="32" max="32" width="10.1328125" customWidth="true" style="2"/>
    <col min="33" max="33" width="10.1328125" customWidth="true" style="2"/>
    <col min="34" max="34" width="10.1328125" customWidth="true" style="2"/>
    <col min="35" max="35" width="9" customWidth="true" style="2"/>
    <col min="36" max="36" width="10.73046875" customWidth="true" style="2"/>
    <col min="37" max="37" width="9" customWidth="true" style="2"/>
    <col min="38" max="38" width="9" customWidth="true" style="2"/>
    <col min="39" max="39" width="9" customWidth="true" style="2"/>
    <col min="40" max="40" width="9" customWidth="true" style="2"/>
    <col min="41" max="41" width="9" customWidth="true" style="2"/>
    <col min="42" max="42" width="9" customWidth="true" style="2"/>
    <col min="43" max="43" width="9" customWidth="true" style="2"/>
    <col min="44" max="44" width="9" customWidth="true" style="2"/>
    <col min="45" max="45" width="9" customWidth="true" style="2"/>
    <col min="46" max="46" width="9" customWidth="true" style="2"/>
    <col min="47" max="47" width="9" customWidth="true" style="2"/>
    <col min="48" max="48" width="9" customWidth="true" style="2"/>
    <col min="49" max="49" width="9" customWidth="true" style="2"/>
    <col min="50" max="50" width="9" customWidth="true" style="2"/>
    <col min="51" max="51" width="9" customWidth="true" style="2"/>
    <col min="52" max="52" width="9" customWidth="true" style="2"/>
    <col min="53" max="53" width="9" customWidth="true" style="2"/>
    <col min="54" max="54" width="9" customWidth="true" style="2"/>
    <col min="55" max="55" width="9" customWidth="true" style="2"/>
    <col min="56" max="56" width="9" customWidth="true" style="2"/>
    <col min="57" max="57" width="9" customWidth="true" style="2"/>
    <col min="58" max="58" width="9" customWidth="true" style="2"/>
    <col min="59" max="59" width="9" customWidth="true" style="2"/>
    <col min="60" max="60" width="9" customWidth="true" style="2"/>
    <col min="61" max="61" width="9" customWidth="true" style="2"/>
    <col min="62" max="62" width="9" customWidth="true" style="2"/>
    <col min="63" max="63" width="9" customWidth="true" style="2"/>
    <col min="64" max="64" width="9" customWidth="true" style="2"/>
    <col min="65" max="65" width="9" customWidth="true" style="2"/>
    <col min="66" max="66" width="9" customWidth="true" style="2"/>
    <col min="67" max="67" width="9" customWidth="true" style="2"/>
    <col min="68" max="68" width="9" customWidth="true" style="2"/>
    <col min="69" max="69" width="9" customWidth="true" style="2"/>
    <col min="70" max="70" width="9" customWidth="true" style="2"/>
    <col min="71" max="71" width="9" customWidth="true" style="2"/>
    <col min="72" max="72" width="9" customWidth="true" style="2"/>
    <col min="73" max="73" width="9" customWidth="true" style="2"/>
    <col min="74" max="74" width="9" customWidth="true" style="2"/>
    <col min="75" max="75" width="9" customWidth="true" style="2"/>
    <col min="76" max="76" width="9" customWidth="true" style="2"/>
    <col min="77" max="77" width="9" customWidth="true" style="2"/>
    <col min="78" max="78" width="9" customWidth="true" style="2"/>
    <col min="79" max="79" width="9" customWidth="true" style="2"/>
    <col min="80" max="80" width="9" customWidth="true" style="2"/>
    <col min="81" max="81" width="9" customWidth="true" style="2"/>
    <col min="82" max="82" width="9" customWidth="true" style="2"/>
    <col min="83" max="83" width="9" customWidth="true" style="2"/>
    <col min="84" max="84" width="9" customWidth="true" style="2"/>
    <col min="85" max="85" width="9" customWidth="true" style="2"/>
    <col min="86" max="86" width="9" customWidth="true" style="2"/>
    <col min="87" max="87" width="9" customWidth="true" style="2"/>
    <col min="88" max="88" width="9" customWidth="true" style="2"/>
    <col min="89" max="89" width="9" customWidth="true" style="2"/>
    <col min="90" max="90" width="9" customWidth="true" style="2"/>
    <col min="91" max="91" width="9" customWidth="true" style="2"/>
    <col min="92" max="92" width="9" customWidth="true" style="2"/>
    <col min="93" max="93" width="9" customWidth="true" style="2"/>
    <col min="94" max="94" width="9" customWidth="true" style="2"/>
    <col min="95" max="95" width="9" customWidth="true" style="2"/>
    <col min="96" max="96" width="9" customWidth="true" style="2"/>
    <col min="97" max="97" width="9" customWidth="true" style="2"/>
    <col min="98" max="98" width="9" customWidth="true" style="2"/>
    <col min="99" max="99" width="9" customWidth="true" style="2"/>
    <col min="100" max="100" width="9" customWidth="true" style="2"/>
    <col min="101" max="101" width="9" customWidth="true" style="2"/>
    <col min="102" max="102" width="9" customWidth="true" style="2"/>
    <col min="103" max="103" width="9" customWidth="true" style="2"/>
    <col min="104" max="104" width="9" customWidth="true" style="2"/>
    <col min="105" max="105" width="9" customWidth="true" style="2"/>
    <col min="106" max="106" width="9" customWidth="true" style="2"/>
    <col min="107" max="107" width="9" customWidth="true" style="2"/>
    <col min="108" max="108" width="9" customWidth="true" style="2"/>
    <col min="109" max="109" width="9" customWidth="true" style="2"/>
    <col min="110" max="110" width="9" customWidth="true" style="2"/>
    <col min="111" max="111" width="9" customWidth="true" style="2"/>
    <col min="112" max="112" width="9" customWidth="true" style="2"/>
    <col min="113" max="113" width="9" customWidth="true" style="2"/>
    <col min="114" max="114" width="9" customWidth="true" style="2"/>
    <col min="115" max="115" width="9" customWidth="true" style="2"/>
    <col min="116" max="116" width="9" customWidth="true" style="2"/>
    <col min="117" max="117" width="9" customWidth="true" style="2"/>
    <col min="118" max="118" width="9" customWidth="true" style="2"/>
    <col min="119" max="119" width="9" customWidth="true" style="2"/>
    <col min="120" max="120" width="9" customWidth="true" style="2"/>
    <col min="121" max="121" width="9" customWidth="true" style="2"/>
    <col min="122" max="122" width="9" customWidth="true" style="2"/>
    <col min="123" max="123" width="9" customWidth="true" style="2"/>
    <col min="124" max="124" width="9" customWidth="true" style="2"/>
    <col min="125" max="125" width="9" customWidth="true" style="2"/>
    <col min="126" max="126" width="9" customWidth="true" style="2"/>
    <col min="127" max="127" width="9" customWidth="true" style="2"/>
    <col min="128" max="128" width="9" customWidth="true" style="2"/>
    <col min="129" max="129" width="9" customWidth="true" style="2"/>
    <col min="130" max="130" width="9" customWidth="true" style="2"/>
    <col min="131" max="131" width="9" customWidth="true" style="2"/>
    <col min="132" max="132" width="9" customWidth="true" style="2"/>
    <col min="133" max="133" width="9" customWidth="true" style="2"/>
    <col min="134" max="134" width="9" customWidth="true" style="2"/>
    <col min="135" max="135" width="9" customWidth="true" style="2"/>
    <col min="136" max="136" width="9" customWidth="true" style="2"/>
    <col min="137" max="137" width="9" customWidth="true" style="2"/>
    <col min="138" max="138" width="9" customWidth="true" style="2"/>
    <col min="139" max="139" width="9" customWidth="true" style="2"/>
    <col min="140" max="140" width="9" customWidth="true" style="2"/>
    <col min="141" max="141" width="9" customWidth="true" style="2"/>
    <col min="142" max="142" width="9" customWidth="true" style="2"/>
    <col min="143" max="143" width="9" customWidth="true" style="2"/>
    <col min="144" max="144" width="9" customWidth="true" style="2"/>
    <col min="145" max="145" width="9" customWidth="true" style="2"/>
    <col min="146" max="146" width="9" customWidth="true" style="2"/>
    <col min="147" max="147" width="9" customWidth="true" style="2"/>
    <col min="148" max="148" width="9" customWidth="true" style="2"/>
    <col min="149" max="149" width="9" customWidth="true" style="2"/>
    <col min="150" max="150" width="9" customWidth="true" style="2"/>
    <col min="151" max="151" width="9" customWidth="true" style="2"/>
    <col min="152" max="152" width="9" customWidth="true" style="2"/>
    <col min="153" max="153" width="9" customWidth="true" style="2"/>
    <col min="154" max="154" width="9" customWidth="true" style="2"/>
    <col min="155" max="155" width="9" customWidth="true" style="2"/>
    <col min="156" max="156" width="9" customWidth="true" style="2"/>
    <col min="157" max="157" width="9" customWidth="true" style="2"/>
    <col min="158" max="158" width="9" customWidth="true" style="2"/>
    <col min="159" max="159" width="9" customWidth="true" style="2"/>
    <col min="160" max="160" width="9" customWidth="true" style="2"/>
    <col min="161" max="161" width="9" customWidth="true" style="2"/>
    <col min="162" max="162" width="9" customWidth="true" style="2"/>
    <col min="163" max="163" width="9" customWidth="true" style="2"/>
    <col min="164" max="164" width="9" customWidth="true" style="2"/>
    <col min="165" max="165" width="9" customWidth="true" style="2"/>
    <col min="166" max="166" width="9" customWidth="true" style="2"/>
    <col min="167" max="167" width="9" customWidth="true" style="2"/>
    <col min="168" max="168" width="9" customWidth="true" style="2"/>
    <col min="169" max="169" width="9" customWidth="true" style="2"/>
    <col min="170" max="170" width="9" customWidth="true" style="2"/>
    <col min="171" max="171" width="9" customWidth="true" style="2"/>
    <col min="172" max="172" width="9" customWidth="true" style="2"/>
    <col min="173" max="173" width="9" customWidth="true" style="2"/>
    <col min="174" max="174" width="9" customWidth="true" style="2"/>
    <col min="175" max="175" width="9" customWidth="true" style="2"/>
    <col min="176" max="176" width="9" customWidth="true" style="2"/>
    <col min="177" max="177" width="9" customWidth="true" style="2"/>
    <col min="178" max="178" width="9" customWidth="true" style="2"/>
    <col min="179" max="179" width="9" customWidth="true" style="2"/>
    <col min="180" max="180" width="9" customWidth="true" style="2"/>
    <col min="181" max="181" width="9" customWidth="true" style="2"/>
    <col min="182" max="182" width="9" customWidth="true" style="2"/>
    <col min="183" max="183" width="9" customWidth="true" style="2"/>
    <col min="184" max="184" width="9" customWidth="true" style="2"/>
    <col min="185" max="185" width="9" customWidth="true" style="2"/>
    <col min="186" max="186" width="9" customWidth="true" style="2"/>
    <col min="187" max="187" width="9" customWidth="true" style="2"/>
    <col min="188" max="188" width="9" customWidth="true" style="2"/>
    <col min="189" max="189" width="9" customWidth="true" style="2"/>
    <col min="190" max="190" width="9" customWidth="true" style="2"/>
    <col min="191" max="191" width="9" customWidth="true" style="2"/>
    <col min="192" max="192" width="9" customWidth="true" style="2"/>
    <col min="193" max="193" width="9" customWidth="true" style="2"/>
    <col min="194" max="194" width="9" customWidth="true" style="2"/>
    <col min="195" max="195" width="9" customWidth="true" style="2"/>
    <col min="196" max="196" width="9" customWidth="true" style="2"/>
    <col min="197" max="197" width="9" customWidth="true" style="2"/>
    <col min="198" max="198" width="9" customWidth="true" style="2"/>
    <col min="199" max="199" width="9" customWidth="true" style="2"/>
    <col min="200" max="200" width="9" customWidth="true" style="2"/>
    <col min="201" max="201" width="9" customWidth="true" style="2"/>
    <col min="202" max="202" width="9" customWidth="true" style="2"/>
    <col min="203" max="203" width="9" customWidth="true" style="2"/>
    <col min="204" max="204" width="9" customWidth="true" style="2"/>
    <col min="205" max="205" width="9" customWidth="true" style="2"/>
    <col min="206" max="206" width="9" customWidth="true" style="2"/>
    <col min="207" max="207" width="9" customWidth="true" style="2"/>
    <col min="208" max="208" width="9" customWidth="true" style="2"/>
    <col min="209" max="209" width="9" customWidth="true" style="2"/>
    <col min="210" max="210" width="9" customWidth="true" style="2"/>
    <col min="211" max="211" width="9" customWidth="true" style="2"/>
    <col min="212" max="212" width="9" customWidth="true" style="2"/>
    <col min="213" max="213" width="9" customWidth="true" style="2"/>
    <col min="214" max="214" width="9" customWidth="true" style="2"/>
    <col min="215" max="215" width="9" customWidth="true" style="2"/>
    <col min="216" max="216" width="9" customWidth="true" style="2"/>
    <col min="217" max="217" width="9" customWidth="true" style="2"/>
    <col min="218" max="218" width="9" customWidth="true" style="2"/>
    <col min="219" max="219" width="9" customWidth="true" style="2"/>
    <col min="220" max="220" width="9" customWidth="true" style="2"/>
    <col min="221" max="221" width="9" customWidth="true" style="2"/>
    <col min="222" max="222" width="9" customWidth="true" style="2"/>
    <col min="223" max="223" width="9" customWidth="true" style="2"/>
    <col min="224" max="224" width="9" customWidth="true" style="2"/>
    <col min="225" max="225" width="9" customWidth="true" style="2"/>
    <col min="226" max="226" width="9" customWidth="true" style="2"/>
    <col min="227" max="227" width="9" customWidth="true" style="2"/>
    <col min="228" max="228" width="9" customWidth="true" style="2"/>
    <col min="229" max="229" width="9" customWidth="true" style="2"/>
    <col min="230" max="230" width="9" customWidth="true" style="2"/>
    <col min="231" max="231" width="9" customWidth="true" style="2"/>
    <col min="232" max="232" width="9" customWidth="true" style="2"/>
    <col min="233" max="233" width="9" customWidth="true" style="2"/>
    <col min="234" max="234" width="9" customWidth="true" style="2"/>
    <col min="235" max="235" width="9" customWidth="true" style="2"/>
    <col min="236" max="236" width="9" customWidth="true" style="2"/>
    <col min="237" max="237" width="9" customWidth="true" style="2"/>
    <col min="238" max="238" width="9" customWidth="true" style="2"/>
    <col min="239" max="239" width="9" customWidth="true" style="2"/>
    <col min="240" max="240" width="9" customWidth="true" style="2"/>
    <col min="241" max="241" width="9" customWidth="true" style="2"/>
    <col min="242" max="242" width="9" customWidth="true" style="2"/>
    <col min="243" max="243" width="9" customWidth="true" style="2"/>
    <col min="244" max="244" width="9" customWidth="true" style="2"/>
    <col min="245" max="245" width="9" customWidth="true" style="2"/>
    <col min="246" max="246" width="9" customWidth="true" style="2"/>
    <col min="247" max="247" width="9" customWidth="true" style="2"/>
    <col min="248" max="248" width="9" customWidth="true" style="2"/>
    <col min="249" max="249" width="9" customWidth="true" style="2"/>
    <col min="250" max="250" width="9" customWidth="true" style="2"/>
    <col min="251" max="251" width="9" customWidth="true" style="2"/>
    <col min="252" max="252" width="9" customWidth="true" style="2"/>
    <col min="253" max="253" width="9" customWidth="true" style="2"/>
    <col min="254" max="254" width="9" customWidth="true" style="2"/>
    <col min="255" max="255" width="9" customWidth="true" style="2"/>
    <col min="256" max="256" width="9" customWidth="true" style="2"/>
    <col min="257" max="257" width="9" customWidth="true" style="2"/>
    <col min="258" max="258" width="9" customWidth="true" style="2"/>
    <col min="259" max="259" width="9" customWidth="true" style="2"/>
    <col min="260" max="260" width="9" customWidth="true" style="2"/>
    <col min="261" max="261" width="9" customWidth="true" style="2"/>
    <col min="262" max="262" width="9" customWidth="true" style="2"/>
    <col min="263" max="263" width="9" customWidth="true" style="2"/>
    <col min="264" max="264" width="9" customWidth="true" style="2"/>
    <col min="265" max="265" width="9" customWidth="true" style="2"/>
    <col min="266" max="266" width="9" customWidth="true" style="2"/>
    <col min="267" max="267" width="9" customWidth="true" style="2"/>
    <col min="268" max="268" width="9" customWidth="true" style="2"/>
    <col min="269" max="269" width="9" customWidth="true" style="2"/>
    <col min="270" max="270" width="9" customWidth="true" style="2"/>
    <col min="271" max="271" width="9" customWidth="true" style="2"/>
    <col min="272" max="272" width="9" customWidth="true" style="2"/>
    <col min="273" max="273" width="9" customWidth="true" style="2"/>
    <col min="274" max="274" width="9" customWidth="true" style="2"/>
    <col min="275" max="275" width="9" customWidth="true" style="2"/>
    <col min="276" max="276" width="9" customWidth="true" style="2"/>
    <col min="277" max="277" width="9" customWidth="true" style="2"/>
    <col min="278" max="278" width="9" customWidth="true" style="2"/>
    <col min="279" max="279" width="9" customWidth="true" style="2"/>
    <col min="280" max="280" width="9" customWidth="true" style="2"/>
    <col min="281" max="281" width="9" customWidth="true" style="2"/>
    <col min="282" max="282" width="9" customWidth="true" style="2"/>
    <col min="283" max="283" width="9" customWidth="true" style="2"/>
    <col min="284" max="284" width="9" customWidth="true" style="2"/>
    <col min="285" max="285" width="9" customWidth="true" style="2"/>
    <col min="286" max="286" width="9" customWidth="true" style="2"/>
    <col min="287" max="287" width="9" customWidth="true" style="2"/>
    <col min="288" max="288" width="9" customWidth="true" style="2"/>
    <col min="289" max="289" width="9" customWidth="true" style="2"/>
    <col min="290" max="290" width="9" customWidth="true" style="2"/>
    <col min="291" max="291" width="9" customWidth="true" style="2"/>
    <col min="292" max="292" width="9" customWidth="true" style="2"/>
    <col min="293" max="293" width="9" customWidth="true" style="2"/>
    <col min="294" max="294" width="9" customWidth="true" style="2"/>
    <col min="295" max="295" width="9" customWidth="true" style="2"/>
    <col min="296" max="296" width="9" customWidth="true" style="2"/>
    <col min="297" max="297" width="9" customWidth="true" style="2"/>
    <col min="298" max="298" width="9" customWidth="true" style="2"/>
    <col min="299" max="299" width="9" customWidth="true" style="2"/>
    <col min="300" max="300" width="9" customWidth="true" style="2"/>
    <col min="301" max="301" width="9" customWidth="true" style="2"/>
    <col min="302" max="302" width="9" customWidth="true" style="2"/>
    <col min="303" max="303" width="9" customWidth="true" style="2"/>
    <col min="304" max="304" width="9" customWidth="true" style="2"/>
    <col min="305" max="305" width="9" customWidth="true" style="2"/>
    <col min="306" max="306" width="9" customWidth="true" style="2"/>
    <col min="307" max="307" width="9" customWidth="true" style="2"/>
    <col min="308" max="308" width="9" customWidth="true" style="2"/>
    <col min="309" max="309" width="9" customWidth="true" style="2"/>
    <col min="310" max="310" width="9" customWidth="true" style="2"/>
    <col min="311" max="311" width="9" customWidth="true" style="2"/>
    <col min="312" max="312" width="9" customWidth="true" style="2"/>
    <col min="313" max="313" width="9" customWidth="true" style="2"/>
    <col min="314" max="314" width="9" customWidth="true" style="2"/>
    <col min="315" max="315" width="9" customWidth="true" style="2"/>
    <col min="316" max="316" width="9" customWidth="true" style="2"/>
    <col min="317" max="317" width="9" customWidth="true" style="2"/>
    <col min="318" max="318" width="9" customWidth="true" style="2"/>
    <col min="319" max="319" width="9" customWidth="true" style="2"/>
    <col min="320" max="320" width="9" customWidth="true" style="2"/>
    <col min="321" max="321" width="9" customWidth="true" style="2"/>
    <col min="322" max="322" width="9" customWidth="true" style="2"/>
    <col min="323" max="323" width="9" customWidth="true" style="2"/>
    <col min="324" max="324" width="9" customWidth="true" style="2"/>
    <col min="325" max="325" width="9" customWidth="true" style="2"/>
    <col min="326" max="326" width="9" customWidth="true" style="2"/>
    <col min="327" max="327" width="9" customWidth="true" style="2"/>
    <col min="328" max="328" width="9" customWidth="true" style="2"/>
    <col min="329" max="329" width="9" customWidth="true" style="2"/>
    <col min="330" max="330" width="9" customWidth="true" style="2"/>
    <col min="331" max="331" width="9" customWidth="true" style="2"/>
    <col min="332" max="332" width="9" customWidth="true" style="2"/>
    <col min="333" max="333" width="9" customWidth="true" style="2"/>
    <col min="334" max="334" width="9" customWidth="true" style="2"/>
    <col min="335" max="335" width="9" customWidth="true" style="2"/>
    <col min="336" max="336" width="9" customWidth="true" style="2"/>
    <col min="337" max="337" width="9" customWidth="true" style="2"/>
    <col min="338" max="338" width="9" customWidth="true" style="2"/>
    <col min="339" max="339" width="9" customWidth="true" style="2"/>
    <col min="340" max="340" width="9" customWidth="true" style="2"/>
    <col min="341" max="341" width="9" customWidth="true" style="2"/>
    <col min="342" max="342" width="9" customWidth="true" style="2"/>
    <col min="343" max="343" width="9" customWidth="true" style="2"/>
    <col min="344" max="344" width="9" customWidth="true" style="2"/>
    <col min="345" max="345" width="9" customWidth="true" style="2"/>
    <col min="346" max="346" width="9" customWidth="true" style="2"/>
    <col min="347" max="347" width="9" customWidth="true" style="2"/>
    <col min="348" max="348" width="9" customWidth="true" style="2"/>
    <col min="349" max="349" width="9" customWidth="true" style="2"/>
    <col min="350" max="350" width="9" customWidth="true" style="2"/>
    <col min="351" max="351" width="9" customWidth="true" style="2"/>
    <col min="352" max="352" width="9" customWidth="true" style="2"/>
    <col min="353" max="353" width="9" customWidth="true" style="2"/>
    <col min="354" max="354" width="9" customWidth="true" style="2"/>
    <col min="355" max="355" width="9" customWidth="true" style="2"/>
    <col min="356" max="356" width="9" customWidth="true" style="2"/>
    <col min="357" max="357" width="9" customWidth="true" style="2"/>
    <col min="358" max="358" width="9" customWidth="true" style="2"/>
    <col min="359" max="359" width="9" customWidth="true" style="2"/>
    <col min="360" max="360" width="9" customWidth="true" style="2"/>
    <col min="361" max="361" width="9" customWidth="true" style="2"/>
    <col min="362" max="362" width="9" customWidth="true" style="2"/>
    <col min="363" max="363" width="9" customWidth="true" style="2"/>
    <col min="364" max="364" width="9" customWidth="true" style="2"/>
    <col min="365" max="365" width="9" customWidth="true" style="2"/>
    <col min="366" max="366" width="9" customWidth="true" style="2"/>
    <col min="367" max="367" width="9" customWidth="true" style="2"/>
    <col min="368" max="368" width="9" customWidth="true" style="2"/>
    <col min="369" max="369" width="9" customWidth="true" style="2"/>
    <col min="370" max="370" width="9" customWidth="true" style="2"/>
    <col min="371" max="371" width="9" customWidth="true" style="2"/>
    <col min="372" max="372" width="9" customWidth="true" style="2"/>
    <col min="373" max="373" width="9" customWidth="true" style="2"/>
    <col min="374" max="374" width="9" customWidth="true" style="2"/>
    <col min="375" max="375" width="9" customWidth="true" style="2"/>
    <col min="376" max="376" width="9" customWidth="true" style="2"/>
    <col min="377" max="377" width="9" customWidth="true" style="2"/>
    <col min="378" max="378" width="9" customWidth="true" style="2"/>
    <col min="379" max="379" width="9" customWidth="true" style="2"/>
    <col min="380" max="380" width="9" customWidth="true" style="2"/>
    <col min="381" max="381" width="9" customWidth="true" style="2"/>
    <col min="382" max="382" width="9" customWidth="true" style="2"/>
    <col min="383" max="383" width="9" customWidth="true" style="2"/>
    <col min="384" max="384" width="9" customWidth="true" style="2"/>
    <col min="385" max="385" width="9" customWidth="true" style="2"/>
    <col min="386" max="386" width="9" customWidth="true" style="2"/>
    <col min="387" max="387" width="9" customWidth="true" style="2"/>
    <col min="388" max="388" width="9" customWidth="true" style="2"/>
    <col min="389" max="389" width="9" customWidth="true" style="2"/>
    <col min="390" max="390" width="9" customWidth="true" style="2"/>
    <col min="391" max="391" width="9" customWidth="true" style="2"/>
    <col min="392" max="392" width="9" customWidth="true" style="2"/>
    <col min="393" max="393" width="9" customWidth="true" style="2"/>
    <col min="394" max="394" width="9" customWidth="true" style="2"/>
    <col min="395" max="395" width="9" customWidth="true" style="2"/>
    <col min="396" max="396" width="9" customWidth="true" style="2"/>
    <col min="397" max="397" width="9" customWidth="true" style="2"/>
    <col min="398" max="398" width="9" customWidth="true" style="2"/>
    <col min="399" max="399" width="9" customWidth="true" style="2"/>
    <col min="400" max="400" width="9" customWidth="true" style="2"/>
    <col min="401" max="401" width="9" customWidth="true" style="2"/>
    <col min="402" max="402" width="9" customWidth="true" style="2"/>
    <col min="403" max="403" width="9" customWidth="true" style="2"/>
    <col min="404" max="404" width="9" customWidth="true" style="2"/>
    <col min="405" max="405" width="9" customWidth="true" style="2"/>
    <col min="406" max="406" width="9" customWidth="true" style="2"/>
    <col min="407" max="407" width="9" customWidth="true" style="2"/>
    <col min="408" max="408" width="9" customWidth="true" style="2"/>
    <col min="409" max="409" width="9" customWidth="true" style="2"/>
    <col min="410" max="410" width="9" customWidth="true" style="2"/>
    <col min="411" max="411" width="9" customWidth="true" style="2"/>
    <col min="412" max="412" width="9" customWidth="true" style="2"/>
    <col min="413" max="413" width="9" customWidth="true" style="2"/>
    <col min="414" max="414" width="9" customWidth="true" style="2"/>
    <col min="415" max="415" width="9" customWidth="true" style="2"/>
    <col min="416" max="416" width="9" customWidth="true" style="2"/>
    <col min="417" max="417" width="9" customWidth="true" style="2"/>
    <col min="418" max="418" width="9" customWidth="true" style="2"/>
    <col min="419" max="419" width="9" customWidth="true" style="2"/>
    <col min="420" max="420" width="9" customWidth="true" style="2"/>
    <col min="421" max="421" width="9" customWidth="true" style="2"/>
    <col min="422" max="422" width="9" customWidth="true" style="2"/>
    <col min="423" max="423" width="9" customWidth="true" style="2"/>
    <col min="424" max="424" width="9" customWidth="true" style="2"/>
    <col min="425" max="425" width="9" customWidth="true" style="2"/>
    <col min="426" max="426" width="9" customWidth="true" style="2"/>
    <col min="427" max="427" width="9" customWidth="true" style="2"/>
    <col min="428" max="428" width="9" customWidth="true" style="2"/>
    <col min="429" max="429" width="9" customWidth="true" style="2"/>
    <col min="430" max="430" width="9" customWidth="true" style="2"/>
    <col min="431" max="431" width="9" customWidth="true" style="2"/>
    <col min="432" max="432" width="9" customWidth="true" style="2"/>
    <col min="433" max="433" width="9" customWidth="true" style="2"/>
    <col min="434" max="434" width="9" customWidth="true" style="2"/>
    <col min="435" max="435" width="9" customWidth="true" style="2"/>
    <col min="436" max="436" width="9" customWidth="true" style="2"/>
    <col min="437" max="437" width="9" customWidth="true" style="2"/>
    <col min="438" max="438" width="9" customWidth="true" style="2"/>
    <col min="439" max="439" width="9" customWidth="true" style="2"/>
    <col min="440" max="440" width="9" customWidth="true" style="2"/>
    <col min="441" max="441" width="9" customWidth="true" style="2"/>
    <col min="442" max="442" width="9" customWidth="true" style="2"/>
    <col min="443" max="443" width="9" customWidth="true" style="2"/>
    <col min="444" max="444" width="9" customWidth="true" style="2"/>
    <col min="445" max="445" width="9" customWidth="true" style="2"/>
    <col min="446" max="446" width="9" customWidth="true" style="2"/>
    <col min="447" max="447" width="9" customWidth="true" style="2"/>
    <col min="448" max="448" width="9" customWidth="true" style="2"/>
    <col min="449" max="449" width="9" customWidth="true" style="2"/>
    <col min="450" max="450" width="9" customWidth="true" style="2"/>
    <col min="451" max="451" width="9" customWidth="true" style="2"/>
    <col min="452" max="452" width="9" customWidth="true" style="2"/>
    <col min="453" max="453" width="9" customWidth="true" style="2"/>
    <col min="454" max="454" width="9" customWidth="true" style="2"/>
    <col min="455" max="455" width="9" customWidth="true" style="2"/>
    <col min="456" max="456" width="9" customWidth="true" style="2"/>
    <col min="457" max="457" width="9" customWidth="true" style="2"/>
    <col min="458" max="458" width="9" customWidth="true" style="2"/>
    <col min="459" max="459" width="9" customWidth="true" style="2"/>
    <col min="460" max="460" width="9" customWidth="true" style="2"/>
    <col min="461" max="461" width="9" customWidth="true" style="2"/>
    <col min="462" max="462" width="9" customWidth="true" style="2"/>
    <col min="463" max="463" width="9" customWidth="true" style="2"/>
    <col min="464" max="464" width="9" customWidth="true" style="2"/>
    <col min="465" max="465" width="9" customWidth="true" style="2"/>
    <col min="466" max="466" width="9" customWidth="true" style="2"/>
    <col min="467" max="467" width="9" customWidth="true" style="2"/>
    <col min="468" max="468" width="9" customWidth="true" style="2"/>
    <col min="469" max="469" width="9" customWidth="true" style="2"/>
    <col min="470" max="470" width="9" customWidth="true" style="2"/>
    <col min="471" max="471" width="9" customWidth="true" style="2"/>
    <col min="472" max="472" width="9" customWidth="true" style="2"/>
    <col min="473" max="473" width="9" customWidth="true" style="2"/>
    <col min="474" max="474" width="9" customWidth="true" style="2"/>
    <col min="475" max="475" width="9" customWidth="true" style="2"/>
    <col min="476" max="476" width="9" customWidth="true" style="2"/>
    <col min="477" max="477" width="9" customWidth="true" style="2"/>
    <col min="478" max="478" width="9" customWidth="true" style="2"/>
    <col min="479" max="479" width="9" customWidth="true" style="2"/>
    <col min="480" max="480" width="9" customWidth="true" style="2"/>
    <col min="481" max="481" width="9" customWidth="true" style="2"/>
    <col min="482" max="482" width="9" customWidth="true" style="2"/>
    <col min="483" max="483" width="9" customWidth="true" style="2"/>
    <col min="484" max="484" width="9" customWidth="true" style="2"/>
    <col min="485" max="485" width="9" customWidth="true" style="2"/>
    <col min="486" max="486" width="9" customWidth="true" style="2"/>
    <col min="487" max="487" width="9" customWidth="true" style="2"/>
    <col min="488" max="488" width="9" customWidth="true" style="2"/>
    <col min="489" max="489" width="9" customWidth="true" style="2"/>
    <col min="490" max="490" width="9" customWidth="true" style="2"/>
    <col min="491" max="491" width="9" customWidth="true" style="2"/>
    <col min="492" max="492" width="9" customWidth="true" style="2"/>
    <col min="493" max="493" width="9" customWidth="true" style="2"/>
    <col min="494" max="494" width="9" customWidth="true" style="2"/>
    <col min="495" max="495" width="9" customWidth="true" style="2"/>
    <col min="496" max="496" width="9" customWidth="true" style="2"/>
    <col min="497" max="497" width="9" customWidth="true" style="2"/>
    <col min="498" max="498" width="9" customWidth="true" style="2"/>
    <col min="499" max="499" width="9" customWidth="true" style="2"/>
    <col min="500" max="500" width="9" customWidth="true" style="2"/>
    <col min="501" max="501" width="9" customWidth="true" style="2"/>
    <col min="502" max="502" width="9" customWidth="true" style="2"/>
    <col min="503" max="503" width="9" customWidth="true" style="2"/>
    <col min="504" max="504" width="9" customWidth="true" style="2"/>
    <col min="505" max="505" width="9" customWidth="true" style="2"/>
    <col min="506" max="506" width="9" customWidth="true" style="2"/>
    <col min="507" max="507" width="9" customWidth="true" style="2"/>
    <col min="508" max="508" width="9" customWidth="true" style="2"/>
    <col min="509" max="509" width="9" customWidth="true" style="2"/>
    <col min="510" max="510" width="9" customWidth="true" style="2"/>
    <col min="511" max="511" width="9" customWidth="true" style="2"/>
    <col min="512" max="512" width="9" customWidth="true" style="2"/>
    <col min="513" max="513" width="9" customWidth="true" style="2"/>
    <col min="514" max="514" width="9" customWidth="true" style="2"/>
    <col min="515" max="515" width="9" customWidth="true" style="2"/>
    <col min="516" max="516" width="9" customWidth="true" style="2"/>
    <col min="517" max="517" width="9" customWidth="true" style="2"/>
    <col min="518" max="518" width="9" customWidth="true" style="2"/>
    <col min="519" max="519" width="9" customWidth="true" style="2"/>
    <col min="520" max="520" width="9" customWidth="true" style="2"/>
    <col min="521" max="521" width="9" customWidth="true" style="2"/>
    <col min="522" max="522" width="9" customWidth="true" style="2"/>
    <col min="523" max="523" width="9" customWidth="true" style="2"/>
    <col min="524" max="524" width="9" customWidth="true" style="2"/>
    <col min="525" max="525" width="9" customWidth="true" style="2"/>
    <col min="526" max="526" width="9" customWidth="true" style="2"/>
    <col min="527" max="527" width="9" customWidth="true" style="2"/>
    <col min="528" max="528" width="9" customWidth="true" style="2"/>
    <col min="529" max="529" width="9" customWidth="true" style="2"/>
    <col min="530" max="530" width="9" customWidth="true" style="2"/>
    <col min="531" max="531" width="9" customWidth="true" style="2"/>
    <col min="532" max="532" width="9" customWidth="true" style="2"/>
    <col min="533" max="533" width="9" customWidth="true" style="2"/>
    <col min="534" max="534" width="9" customWidth="true" style="2"/>
    <col min="535" max="535" width="9" customWidth="true" style="2"/>
    <col min="536" max="536" width="9" customWidth="true" style="2"/>
    <col min="537" max="537" width="9" customWidth="true" style="2"/>
    <col min="538" max="538" width="9" customWidth="true" style="2"/>
    <col min="539" max="539" width="9" customWidth="true" style="2"/>
    <col min="540" max="540" width="9" customWidth="true" style="2"/>
    <col min="541" max="541" width="9" customWidth="true" style="2"/>
    <col min="542" max="542" width="9" customWidth="true" style="2"/>
    <col min="543" max="543" width="9" customWidth="true" style="2"/>
    <col min="544" max="544" width="9" customWidth="true" style="2"/>
    <col min="545" max="545" width="9" customWidth="true" style="2"/>
    <col min="546" max="546" width="9" customWidth="true" style="2"/>
    <col min="547" max="547" width="9" customWidth="true" style="2"/>
    <col min="548" max="548" width="9" customWidth="true" style="2"/>
    <col min="549" max="549" width="9" customWidth="true" style="2"/>
    <col min="550" max="550" width="9" customWidth="true" style="2"/>
    <col min="551" max="551" width="9" customWidth="true" style="2"/>
    <col min="552" max="552" width="9" customWidth="true" style="2"/>
    <col min="553" max="553" width="9" customWidth="true" style="2"/>
    <col min="554" max="554" width="9" customWidth="true" style="2"/>
    <col min="555" max="555" width="9" customWidth="true" style="2"/>
    <col min="556" max="556" width="9" customWidth="true" style="2"/>
    <col min="557" max="557" width="9" customWidth="true" style="2"/>
    <col min="558" max="558" width="9" customWidth="true" style="2"/>
    <col min="559" max="559" width="9" customWidth="true" style="2"/>
    <col min="560" max="560" width="9" customWidth="true" style="2"/>
    <col min="561" max="561" width="9" customWidth="true" style="2"/>
    <col min="562" max="562" width="9" customWidth="true" style="2"/>
    <col min="563" max="563" width="9" customWidth="true" style="2"/>
    <col min="564" max="564" width="9" customWidth="true" style="2"/>
    <col min="565" max="565" width="9" customWidth="true" style="2"/>
    <col min="566" max="566" width="9" customWidth="true" style="2"/>
    <col min="567" max="567" width="9" customWidth="true" style="2"/>
    <col min="568" max="568" width="9" customWidth="true" style="2"/>
    <col min="569" max="569" width="9" customWidth="true" style="2"/>
    <col min="570" max="570" width="9" customWidth="true" style="2"/>
    <col min="571" max="571" width="9" customWidth="true" style="2"/>
    <col min="572" max="572" width="9" customWidth="true" style="2"/>
    <col min="573" max="573" width="9" customWidth="true" style="2"/>
    <col min="574" max="574" width="9" customWidth="true" style="2"/>
    <col min="575" max="575" width="9" customWidth="true" style="2"/>
    <col min="576" max="576" width="9" customWidth="true" style="2"/>
    <col min="577" max="577" width="9" customWidth="true" style="2"/>
    <col min="578" max="578" width="9" customWidth="true" style="2"/>
    <col min="579" max="579" width="9" customWidth="true" style="2"/>
    <col min="580" max="580" width="9" customWidth="true" style="2"/>
    <col min="581" max="581" width="9" customWidth="true" style="2"/>
    <col min="582" max="582" width="9" customWidth="true" style="2"/>
    <col min="583" max="583" width="9" customWidth="true" style="2"/>
    <col min="584" max="584" width="9" customWidth="true" style="2"/>
    <col min="585" max="585" width="9" customWidth="true" style="2"/>
    <col min="586" max="586" width="9" customWidth="true" style="2"/>
    <col min="587" max="587" width="9" customWidth="true" style="2"/>
    <col min="588" max="588" width="9" customWidth="true" style="2"/>
    <col min="589" max="589" width="9" customWidth="true" style="2"/>
    <col min="590" max="590" width="9" customWidth="true" style="2"/>
    <col min="591" max="591" width="9" customWidth="true" style="2"/>
    <col min="592" max="592" width="9" customWidth="true" style="2"/>
    <col min="593" max="593" width="9" customWidth="true" style="2"/>
    <col min="594" max="594" width="9" customWidth="true" style="2"/>
    <col min="595" max="595" width="9" customWidth="true" style="2"/>
    <col min="596" max="596" width="9" customWidth="true" style="2"/>
    <col min="597" max="597" width="9" customWidth="true" style="2"/>
    <col min="598" max="598" width="9" customWidth="true" style="2"/>
    <col min="599" max="599" width="9" customWidth="true" style="2"/>
    <col min="600" max="600" width="9" customWidth="true" style="2"/>
    <col min="601" max="601" width="9" customWidth="true" style="2"/>
    <col min="602" max="602" width="9" customWidth="true" style="2"/>
    <col min="603" max="603" width="9" customWidth="true" style="2"/>
    <col min="604" max="604" width="9" customWidth="true" style="2"/>
    <col min="605" max="605" width="9" customWidth="true" style="2"/>
    <col min="606" max="606" width="9" customWidth="true" style="2"/>
    <col min="607" max="607" width="9" customWidth="true" style="2"/>
    <col min="608" max="608" width="9" customWidth="true" style="2"/>
    <col min="609" max="609" width="9" customWidth="true" style="2"/>
    <col min="610" max="610" width="9" customWidth="true" style="2"/>
    <col min="611" max="611" width="9" customWidth="true" style="2"/>
    <col min="612" max="612" width="9" customWidth="true" style="2"/>
    <col min="613" max="613" width="9" customWidth="true" style="2"/>
    <col min="614" max="614" width="9" customWidth="true" style="2"/>
    <col min="615" max="615" width="9" customWidth="true" style="2"/>
    <col min="616" max="616" width="9" customWidth="true" style="2"/>
    <col min="617" max="617" width="9" customWidth="true" style="2"/>
    <col min="618" max="618" width="9" customWidth="true" style="2"/>
    <col min="619" max="619" width="9" customWidth="true" style="2"/>
    <col min="620" max="620" width="9" customWidth="true" style="2"/>
    <col min="621" max="621" width="9" customWidth="true" style="2"/>
    <col min="622" max="622" width="9" customWidth="true" style="2"/>
    <col min="623" max="623" width="9" customWidth="true" style="2"/>
    <col min="624" max="624" width="9" customWidth="true" style="2"/>
    <col min="625" max="625" width="9" customWidth="true" style="2"/>
    <col min="626" max="626" width="9" customWidth="true" style="2"/>
    <col min="627" max="627" width="9" customWidth="true" style="2"/>
    <col min="628" max="628" width="9" customWidth="true" style="2"/>
    <col min="629" max="629" width="9" customWidth="true" style="2"/>
    <col min="630" max="630" width="9" customWidth="true" style="2"/>
    <col min="631" max="631" width="9" customWidth="true" style="2"/>
    <col min="632" max="632" width="9" customWidth="true" style="2"/>
    <col min="633" max="633" width="9" customWidth="true" style="2"/>
    <col min="634" max="634" width="9" customWidth="true" style="2"/>
    <col min="635" max="635" width="9" customWidth="true" style="2"/>
    <col min="636" max="636" width="9" customWidth="true" style="2"/>
    <col min="637" max="637" width="9" customWidth="true" style="2"/>
    <col min="638" max="638" width="9" customWidth="true" style="2"/>
    <col min="639" max="639" width="9" customWidth="true" style="2"/>
    <col min="640" max="640" width="9" customWidth="true" style="2"/>
    <col min="641" max="641" width="9" customWidth="true" style="2"/>
    <col min="642" max="642" width="9" customWidth="true" style="2"/>
    <col min="643" max="643" width="9" customWidth="true" style="2"/>
    <col min="644" max="644" width="9" customWidth="true" style="2"/>
    <col min="645" max="645" width="9" customWidth="true" style="2"/>
    <col min="646" max="646" width="9" customWidth="true" style="2"/>
    <col min="647" max="647" width="9" customWidth="true" style="2"/>
    <col min="648" max="648" width="9" customWidth="true" style="2"/>
    <col min="649" max="649" width="9" customWidth="true" style="2"/>
    <col min="650" max="650" width="9" customWidth="true" style="2"/>
    <col min="651" max="651" width="9" customWidth="true" style="2"/>
    <col min="652" max="652" width="9" customWidth="true" style="2"/>
    <col min="653" max="653" width="9" customWidth="true" style="2"/>
    <col min="654" max="654" width="9" customWidth="true" style="2"/>
    <col min="655" max="655" width="9" customWidth="true" style="2"/>
    <col min="656" max="656" width="9" customWidth="true" style="2"/>
    <col min="657" max="657" width="9" customWidth="true" style="2"/>
    <col min="658" max="658" width="9" customWidth="true" style="2"/>
    <col min="659" max="659" width="9" customWidth="true" style="2"/>
    <col min="660" max="660" width="9" customWidth="true" style="2"/>
    <col min="661" max="661" width="9" customWidth="true" style="2"/>
    <col min="662" max="662" width="9" customWidth="true" style="2"/>
    <col min="663" max="663" width="9" customWidth="true" style="2"/>
    <col min="664" max="664" width="9" customWidth="true" style="2"/>
    <col min="665" max="665" width="9" customWidth="true" style="2"/>
    <col min="666" max="666" width="9" customWidth="true" style="2"/>
    <col min="667" max="667" width="9" customWidth="true" style="2"/>
    <col min="668" max="668" width="9" customWidth="true" style="2"/>
    <col min="669" max="669" width="9" customWidth="true" style="2"/>
    <col min="670" max="670" width="9" customWidth="true" style="2"/>
    <col min="671" max="671" width="9" customWidth="true" style="2"/>
    <col min="672" max="672" width="9" customWidth="true" style="2"/>
    <col min="673" max="673" width="9" customWidth="true" style="2"/>
    <col min="674" max="674" width="9" customWidth="true" style="2"/>
    <col min="675" max="675" width="9" customWidth="true" style="2"/>
    <col min="676" max="676" width="9" customWidth="true" style="2"/>
    <col min="677" max="677" width="9" customWidth="true" style="2"/>
    <col min="678" max="678" width="9" customWidth="true" style="2"/>
    <col min="679" max="679" width="9" customWidth="true" style="2"/>
    <col min="680" max="680" width="9" customWidth="true" style="2"/>
    <col min="681" max="681" width="9" customWidth="true" style="2"/>
    <col min="682" max="682" width="9" customWidth="true" style="2"/>
    <col min="683" max="683" width="9" customWidth="true" style="2"/>
    <col min="684" max="684" width="9" customWidth="true" style="2"/>
    <col min="685" max="685" width="9" customWidth="true" style="2"/>
    <col min="686" max="686" width="9" customWidth="true" style="2"/>
    <col min="687" max="687" width="9" customWidth="true" style="2"/>
    <col min="688" max="688" width="9" customWidth="true" style="2"/>
    <col min="689" max="689" width="9" customWidth="true" style="2"/>
    <col min="690" max="690" width="9" customWidth="true" style="2"/>
    <col min="691" max="691" width="9" customWidth="true" style="2"/>
    <col min="692" max="692" width="9" customWidth="true" style="2"/>
    <col min="693" max="693" width="9" customWidth="true" style="2"/>
    <col min="694" max="694" width="9" customWidth="true" style="2"/>
    <col min="695" max="695" width="9" customWidth="true" style="2"/>
    <col min="696" max="696" width="9" customWidth="true" style="2"/>
    <col min="697" max="697" width="9" customWidth="true" style="2"/>
    <col min="698" max="698" width="9" customWidth="true" style="2"/>
    <col min="699" max="699" width="9" customWidth="true" style="2"/>
    <col min="700" max="700" width="9" customWidth="true" style="2"/>
    <col min="701" max="701" width="9" customWidth="true" style="2"/>
    <col min="702" max="702" width="9" customWidth="true" style="2"/>
    <col min="703" max="703" width="9" customWidth="true" style="2"/>
    <col min="704" max="704" width="9" customWidth="true" style="2"/>
    <col min="705" max="705" width="9" customWidth="true" style="2"/>
    <col min="706" max="706" width="9" customWidth="true" style="2"/>
    <col min="707" max="707" width="9" customWidth="true" style="2"/>
    <col min="708" max="708" width="9" customWidth="true" style="2"/>
    <col min="709" max="709" width="9" customWidth="true" style="2"/>
    <col min="710" max="710" width="9" customWidth="true" style="2"/>
    <col min="711" max="711" width="9" customWidth="true" style="2"/>
    <col min="712" max="712" width="9" customWidth="true" style="2"/>
    <col min="713" max="713" width="9" customWidth="true" style="2"/>
    <col min="714" max="714" width="9" customWidth="true" style="2"/>
    <col min="715" max="715" width="9" customWidth="true" style="2"/>
    <col min="716" max="716" width="9" customWidth="true" style="2"/>
    <col min="717" max="717" width="9" customWidth="true" style="2"/>
    <col min="718" max="718" width="9" customWidth="true" style="2"/>
    <col min="719" max="719" width="9" customWidth="true" style="2"/>
    <col min="720" max="720" width="9" customWidth="true" style="2"/>
    <col min="721" max="721" width="9" customWidth="true" style="2"/>
    <col min="722" max="722" width="9" customWidth="true" style="2"/>
    <col min="723" max="723" width="9" customWidth="true" style="2"/>
    <col min="724" max="724" width="9" customWidth="true" style="2"/>
    <col min="725" max="725" width="9" customWidth="true" style="2"/>
    <col min="726" max="726" width="9" customWidth="true" style="2"/>
    <col min="727" max="727" width="9" customWidth="true" style="2"/>
    <col min="728" max="728" width="9" customWidth="true" style="2"/>
    <col min="729" max="729" width="9" customWidth="true" style="2"/>
    <col min="730" max="730" width="9" customWidth="true" style="2"/>
    <col min="731" max="731" width="9" customWidth="true" style="2"/>
    <col min="732" max="732" width="9" customWidth="true" style="2"/>
    <col min="733" max="733" width="9" customWidth="true" style="2"/>
    <col min="734" max="734" width="9" customWidth="true" style="2"/>
    <col min="735" max="735" width="9" customWidth="true" style="2"/>
    <col min="736" max="736" width="9" customWidth="true" style="2"/>
    <col min="737" max="737" width="9" customWidth="true" style="2"/>
    <col min="738" max="738" width="9" customWidth="true" style="2"/>
    <col min="739" max="739" width="9" customWidth="true" style="2"/>
    <col min="740" max="740" width="9" customWidth="true" style="2"/>
    <col min="741" max="741" width="9" customWidth="true" style="2"/>
    <col min="742" max="742" width="9" customWidth="true" style="2"/>
    <col min="743" max="743" width="9" customWidth="true" style="2"/>
    <col min="744" max="744" width="9" customWidth="true" style="2"/>
    <col min="745" max="745" width="9" customWidth="true" style="2"/>
    <col min="746" max="746" width="9" customWidth="true" style="2"/>
    <col min="747" max="747" width="9" customWidth="true" style="2"/>
    <col min="748" max="748" width="9" customWidth="true" style="2"/>
    <col min="749" max="749" width="9" customWidth="true" style="2"/>
    <col min="750" max="750" width="9" customWidth="true" style="2"/>
    <col min="751" max="751" width="9" customWidth="true" style="2"/>
    <col min="752" max="752" width="9" customWidth="true" style="2"/>
    <col min="753" max="753" width="9" customWidth="true" style="2"/>
    <col min="754" max="754" width="9" customWidth="true" style="2"/>
    <col min="755" max="755" width="9" customWidth="true" style="2"/>
    <col min="756" max="756" width="9" customWidth="true" style="2"/>
    <col min="757" max="757" width="9" customWidth="true" style="2"/>
    <col min="758" max="758" width="9" customWidth="true" style="2"/>
    <col min="759" max="759" width="9" customWidth="true" style="2"/>
    <col min="760" max="760" width="9" customWidth="true" style="2"/>
    <col min="761" max="761" width="9" customWidth="true" style="2"/>
    <col min="762" max="762" width="9" customWidth="true" style="2"/>
    <col min="763" max="763" width="9" customWidth="true" style="2"/>
    <col min="764" max="764" width="9" customWidth="true" style="2"/>
    <col min="765" max="765" width="9" customWidth="true" style="2"/>
    <col min="766" max="766" width="9" customWidth="true" style="2"/>
    <col min="767" max="767" width="9" customWidth="true" style="2"/>
    <col min="768" max="768" width="9" customWidth="true" style="2"/>
    <col min="769" max="769" width="9" customWidth="true" style="2"/>
    <col min="770" max="770" width="9" customWidth="true" style="2"/>
    <col min="771" max="771" width="9" customWidth="true" style="2"/>
    <col min="772" max="772" width="9" customWidth="true" style="2"/>
    <col min="773" max="773" width="9" customWidth="true" style="2"/>
    <col min="774" max="774" width="9" customWidth="true" style="2"/>
    <col min="775" max="775" width="9" customWidth="true" style="2"/>
    <col min="776" max="776" width="9" customWidth="true" style="2"/>
    <col min="777" max="777" width="9" customWidth="true" style="2"/>
    <col min="778" max="778" width="9" customWidth="true" style="2"/>
    <col min="779" max="779" width="9" customWidth="true" style="2"/>
    <col min="780" max="780" width="9" customWidth="true" style="2"/>
    <col min="781" max="781" width="9" customWidth="true" style="2"/>
    <col min="782" max="782" width="9" customWidth="true" style="2"/>
    <col min="783" max="783" width="9" customWidth="true" style="2"/>
    <col min="784" max="784" width="9" customWidth="true" style="2"/>
    <col min="785" max="785" width="9" customWidth="true" style="2"/>
    <col min="786" max="786" width="9" customWidth="true" style="2"/>
    <col min="787" max="787" width="9" customWidth="true" style="2"/>
    <col min="788" max="788" width="9" customWidth="true" style="2"/>
    <col min="789" max="789" width="9" customWidth="true" style="2"/>
    <col min="790" max="790" width="9" customWidth="true" style="2"/>
    <col min="791" max="791" width="9" customWidth="true" style="2"/>
    <col min="792" max="792" width="9" customWidth="true" style="2"/>
    <col min="793" max="793" width="9" customWidth="true" style="2"/>
    <col min="794" max="794" width="9" customWidth="true" style="2"/>
    <col min="795" max="795" width="9" customWidth="true" style="2"/>
    <col min="796" max="796" width="9" customWidth="true" style="2"/>
    <col min="797" max="797" width="9" customWidth="true" style="2"/>
    <col min="798" max="798" width="9" customWidth="true" style="2"/>
    <col min="799" max="799" width="9" customWidth="true" style="2"/>
    <col min="800" max="800" width="9" customWidth="true" style="2"/>
    <col min="801" max="801" width="9" customWidth="true" style="2"/>
    <col min="802" max="802" width="9" customWidth="true" style="2"/>
    <col min="803" max="803" width="9" customWidth="true" style="2"/>
    <col min="804" max="804" width="9" customWidth="true" style="2"/>
    <col min="805" max="805" width="9" customWidth="true" style="2"/>
    <col min="806" max="806" width="9" customWidth="true" style="2"/>
    <col min="807" max="807" width="9" customWidth="true" style="2"/>
    <col min="808" max="808" width="9" customWidth="true" style="2"/>
    <col min="809" max="809" width="9" customWidth="true" style="2"/>
    <col min="810" max="810" width="9" customWidth="true" style="2"/>
    <col min="811" max="811" width="9" customWidth="true" style="2"/>
    <col min="812" max="812" width="9" customWidth="true" style="2"/>
    <col min="813" max="813" width="9" customWidth="true" style="2"/>
    <col min="814" max="814" width="9" customWidth="true" style="2"/>
    <col min="815" max="815" width="9" customWidth="true" style="2"/>
    <col min="816" max="816" width="9" customWidth="true" style="2"/>
    <col min="817" max="817" width="9" customWidth="true" style="2"/>
    <col min="818" max="818" width="9" customWidth="true" style="2"/>
    <col min="819" max="819" width="9" customWidth="true" style="2"/>
    <col min="820" max="820" width="9" customWidth="true" style="2"/>
    <col min="821" max="821" width="9" customWidth="true" style="2"/>
    <col min="822" max="822" width="9" customWidth="true" style="2"/>
    <col min="823" max="823" width="9" customWidth="true" style="2"/>
    <col min="824" max="824" width="9" customWidth="true" style="2"/>
    <col min="825" max="825" width="9" customWidth="true" style="2"/>
    <col min="826" max="826" width="9" customWidth="true" style="2"/>
    <col min="827" max="827" width="9" customWidth="true" style="2"/>
    <col min="828" max="828" width="9" customWidth="true" style="2"/>
    <col min="829" max="829" width="9" customWidth="true" style="2"/>
    <col min="830" max="830" width="9" customWidth="true" style="2"/>
    <col min="831" max="831" width="9" customWidth="true" style="2"/>
    <col min="832" max="832" width="9" customWidth="true" style="2"/>
    <col min="833" max="833" width="9" customWidth="true" style="2"/>
    <col min="834" max="834" width="9" customWidth="true" style="2"/>
    <col min="835" max="835" width="9" customWidth="true" style="2"/>
    <col min="836" max="836" width="9" customWidth="true" style="2"/>
    <col min="837" max="837" width="9" customWidth="true" style="2"/>
    <col min="838" max="838" width="9" customWidth="true" style="2"/>
    <col min="839" max="839" width="9" customWidth="true" style="2"/>
    <col min="840" max="840" width="9" customWidth="true" style="2"/>
    <col min="841" max="841" width="9" customWidth="true" style="2"/>
    <col min="842" max="842" width="9" customWidth="true" style="2"/>
    <col min="843" max="843" width="9" customWidth="true" style="2"/>
    <col min="844" max="844" width="9" customWidth="true" style="2"/>
    <col min="845" max="845" width="9" customWidth="true" style="2"/>
    <col min="846" max="846" width="9" customWidth="true" style="2"/>
    <col min="847" max="847" width="9" customWidth="true" style="2"/>
    <col min="848" max="848" width="9" customWidth="true" style="2"/>
    <col min="849" max="849" width="9" customWidth="true" style="2"/>
    <col min="850" max="850" width="9" customWidth="true" style="2"/>
    <col min="851" max="851" width="9" customWidth="true" style="2"/>
    <col min="852" max="852" width="9" customWidth="true" style="2"/>
    <col min="853" max="853" width="9" customWidth="true" style="2"/>
    <col min="854" max="854" width="9" customWidth="true" style="2"/>
    <col min="855" max="855" width="9" customWidth="true" style="2"/>
    <col min="856" max="856" width="9" customWidth="true" style="2"/>
    <col min="857" max="857" width="9" customWidth="true" style="2"/>
    <col min="858" max="858" width="9" customWidth="true" style="2"/>
    <col min="859" max="859" width="9" customWidth="true" style="2"/>
    <col min="860" max="860" width="9" customWidth="true" style="2"/>
    <col min="861" max="861" width="9" customWidth="true" style="2"/>
    <col min="862" max="862" width="9" customWidth="true" style="2"/>
    <col min="863" max="863" width="9" customWidth="true" style="2"/>
    <col min="864" max="864" width="9" customWidth="true" style="2"/>
    <col min="865" max="865" width="9" customWidth="true" style="2"/>
    <col min="866" max="866" width="9" customWidth="true" style="2"/>
    <col min="867" max="867" width="9" customWidth="true" style="2"/>
    <col min="868" max="868" width="9" customWidth="true" style="2"/>
    <col min="869" max="869" width="9" customWidth="true" style="2"/>
    <col min="870" max="870" width="9" customWidth="true" style="2"/>
    <col min="871" max="871" width="9" customWidth="true" style="2"/>
    <col min="872" max="872" width="9" customWidth="true" style="2"/>
    <col min="873" max="873" width="9" customWidth="true" style="2"/>
    <col min="874" max="874" width="9" customWidth="true" style="2"/>
    <col min="875" max="875" width="9" customWidth="true" style="2"/>
    <col min="876" max="876" width="9" customWidth="true" style="2"/>
    <col min="877" max="877" width="9" customWidth="true" style="2"/>
    <col min="878" max="878" width="9" customWidth="true" style="2"/>
    <col min="879" max="879" width="9" customWidth="true" style="2"/>
    <col min="880" max="880" width="9" customWidth="true" style="2"/>
    <col min="881" max="881" width="9" customWidth="true" style="2"/>
    <col min="882" max="882" width="9" customWidth="true" style="2"/>
    <col min="883" max="883" width="9" customWidth="true" style="2"/>
    <col min="884" max="884" width="9" customWidth="true" style="2"/>
    <col min="885" max="885" width="9" customWidth="true" style="2"/>
    <col min="886" max="886" width="9" customWidth="true" style="2"/>
    <col min="887" max="887" width="9" customWidth="true" style="2"/>
    <col min="888" max="888" width="9" customWidth="true" style="2"/>
    <col min="889" max="889" width="9" customWidth="true" style="2"/>
    <col min="890" max="890" width="9" customWidth="true" style="2"/>
    <col min="891" max="891" width="9" customWidth="true" style="2"/>
    <col min="892" max="892" width="9" customWidth="true" style="2"/>
    <col min="893" max="893" width="9" customWidth="true" style="2"/>
    <col min="894" max="894" width="9" customWidth="true" style="2"/>
    <col min="895" max="895" width="9" customWidth="true" style="2"/>
    <col min="896" max="896" width="9" customWidth="true" style="2"/>
    <col min="897" max="897" width="9" customWidth="true" style="2"/>
    <col min="898" max="898" width="9" customWidth="true" style="2"/>
    <col min="899" max="899" width="9" customWidth="true" style="2"/>
    <col min="900" max="900" width="9" customWidth="true" style="2"/>
    <col min="901" max="901" width="9" customWidth="true" style="2"/>
    <col min="902" max="902" width="9" customWidth="true" style="2"/>
    <col min="903" max="903" width="9" customWidth="true" style="2"/>
    <col min="904" max="904" width="9" customWidth="true" style="2"/>
    <col min="905" max="905" width="9" customWidth="true" style="2"/>
    <col min="906" max="906" width="9" customWidth="true" style="2"/>
    <col min="907" max="907" width="9" customWidth="true" style="2"/>
    <col min="908" max="908" width="9" customWidth="true" style="2"/>
    <col min="909" max="909" width="9" customWidth="true" style="2"/>
    <col min="910" max="910" width="9" customWidth="true" style="2"/>
    <col min="911" max="911" width="9" customWidth="true" style="2"/>
    <col min="912" max="912" width="9" customWidth="true" style="2"/>
    <col min="913" max="913" width="9" customWidth="true" style="2"/>
    <col min="914" max="914" width="9" customWidth="true" style="2"/>
    <col min="915" max="915" width="9" customWidth="true" style="2"/>
    <col min="916" max="916" width="9" customWidth="true" style="2"/>
    <col min="917" max="917" width="9" customWidth="true" style="2"/>
    <col min="918" max="918" width="9" customWidth="true" style="2"/>
    <col min="919" max="919" width="9" customWidth="true" style="2"/>
    <col min="920" max="920" width="9" customWidth="true" style="2"/>
    <col min="921" max="921" width="9" customWidth="true" style="2"/>
    <col min="922" max="922" width="9" customWidth="true" style="2"/>
    <col min="923" max="923" width="9" customWidth="true" style="2"/>
    <col min="924" max="924" width="9" customWidth="true" style="2"/>
    <col min="925" max="925" width="9" customWidth="true" style="2"/>
    <col min="926" max="926" width="9" customWidth="true" style="2"/>
    <col min="927" max="927" width="9" customWidth="true" style="2"/>
    <col min="928" max="928" width="9" customWidth="true" style="2"/>
    <col min="929" max="929" width="9" customWidth="true" style="2"/>
    <col min="930" max="930" width="9" customWidth="true" style="2"/>
    <col min="931" max="931" width="9" customWidth="true" style="2"/>
    <col min="932" max="932" width="9" customWidth="true" style="2"/>
    <col min="933" max="933" width="9" customWidth="true" style="2"/>
    <col min="934" max="934" width="9" customWidth="true" style="2"/>
    <col min="935" max="935" width="9" customWidth="true" style="2"/>
    <col min="936" max="936" width="9" customWidth="true" style="2"/>
    <col min="937" max="937" width="9" customWidth="true" style="2"/>
    <col min="938" max="938" width="9" customWidth="true" style="2"/>
    <col min="939" max="939" width="9" customWidth="true" style="2"/>
    <col min="940" max="940" width="9" customWidth="true" style="2"/>
    <col min="941" max="941" width="9" customWidth="true" style="2"/>
    <col min="942" max="942" width="9" customWidth="true" style="2"/>
    <col min="943" max="943" width="9" customWidth="true" style="2"/>
    <col min="944" max="944" width="9" customWidth="true" style="2"/>
    <col min="945" max="945" width="9" customWidth="true" style="2"/>
    <col min="946" max="946" width="9" customWidth="true" style="2"/>
    <col min="947" max="947" width="9" customWidth="true" style="2"/>
    <col min="948" max="948" width="9" customWidth="true" style="2"/>
    <col min="949" max="949" width="9" customWidth="true" style="2"/>
    <col min="950" max="950" width="9" customWidth="true" style="2"/>
    <col min="951" max="951" width="9" customWidth="true" style="2"/>
    <col min="952" max="952" width="9" customWidth="true" style="2"/>
    <col min="953" max="953" width="9" customWidth="true" style="2"/>
    <col min="954" max="954" width="9" customWidth="true" style="2"/>
    <col min="955" max="955" width="9" customWidth="true" style="2"/>
    <col min="956" max="956" width="9" customWidth="true" style="2"/>
    <col min="957" max="957" width="9" customWidth="true" style="2"/>
    <col min="958" max="958" width="9" customWidth="true" style="2"/>
    <col min="959" max="959" width="9" customWidth="true" style="2"/>
    <col min="960" max="960" width="9" customWidth="true" style="2"/>
    <col min="961" max="961" width="9" customWidth="true" style="2"/>
    <col min="962" max="962" width="9" customWidth="true" style="2"/>
    <col min="963" max="963" width="9" customWidth="true" style="2"/>
    <col min="964" max="964" width="9" customWidth="true" style="2"/>
    <col min="965" max="965" width="9" customWidth="true" style="2"/>
    <col min="966" max="966" width="9" customWidth="true" style="2"/>
    <col min="967" max="967" width="9" customWidth="true" style="2"/>
    <col min="968" max="968" width="9" customWidth="true" style="2"/>
    <col min="969" max="969" width="9" customWidth="true" style="2"/>
    <col min="970" max="970" width="9" customWidth="true" style="2"/>
    <col min="971" max="971" width="9" customWidth="true" style="2"/>
    <col min="972" max="972" width="9" customWidth="true" style="2"/>
    <col min="973" max="973" width="9" customWidth="true" style="2"/>
    <col min="974" max="974" width="9" customWidth="true" style="2"/>
    <col min="975" max="975" width="9" customWidth="true" style="2"/>
    <col min="976" max="976" width="9" customWidth="true" style="2"/>
    <col min="977" max="977" width="9" customWidth="true" style="2"/>
    <col min="978" max="978" width="9" customWidth="true" style="2"/>
    <col min="979" max="979" width="9" customWidth="true" style="2"/>
    <col min="980" max="980" width="9" customWidth="true" style="2"/>
    <col min="981" max="981" width="9" customWidth="true" style="2"/>
    <col min="982" max="982" width="9" customWidth="true" style="2"/>
    <col min="983" max="983" width="9" customWidth="true" style="2"/>
    <col min="984" max="984" width="9" customWidth="true" style="2"/>
    <col min="985" max="985" width="9" customWidth="true" style="2"/>
    <col min="986" max="986" width="9" customWidth="true" style="2"/>
    <col min="987" max="987" width="9" customWidth="true" style="2"/>
    <col min="988" max="988" width="9" customWidth="true" style="2"/>
    <col min="989" max="989" width="9" customWidth="true" style="2"/>
    <col min="990" max="990" width="9" customWidth="true" style="2"/>
    <col min="991" max="991" width="9" customWidth="true" style="2"/>
    <col min="992" max="992" width="9" customWidth="true" style="2"/>
    <col min="993" max="993" width="9" customWidth="true" style="2"/>
    <col min="994" max="994" width="9" customWidth="true" style="2"/>
    <col min="995" max="995" width="9" customWidth="true" style="2"/>
    <col min="996" max="996" width="9" customWidth="true" style="2"/>
    <col min="997" max="997" width="9" customWidth="true" style="2"/>
    <col min="998" max="998" width="9" customWidth="true" style="2"/>
    <col min="999" max="999" width="9" customWidth="true" style="2"/>
    <col min="1000" max="1000" width="9" customWidth="true" style="2"/>
    <col min="1001" max="1001" width="9" customWidth="true" style="2"/>
    <col min="1002" max="1002" width="9" customWidth="true" style="2"/>
    <col min="1003" max="1003" width="9" customWidth="true" style="2"/>
    <col min="1004" max="1004" width="9" customWidth="true" style="2"/>
    <col min="1005" max="1005" width="9" customWidth="true" style="2"/>
    <col min="1006" max="1006" width="9" customWidth="true" style="2"/>
    <col min="1007" max="1007" width="9" customWidth="true" style="2"/>
    <col min="1008" max="1008" width="9" customWidth="true" style="2"/>
    <col min="1009" max="1009" width="9" customWidth="true" style="2"/>
    <col min="1010" max="1010" width="9" customWidth="true" style="2"/>
    <col min="1011" max="1011" width="9" customWidth="true" style="2"/>
    <col min="1012" max="1012" width="9" customWidth="true" style="2"/>
    <col min="1013" max="1013" width="9" customWidth="true" style="2"/>
    <col min="1014" max="1014" width="9" customWidth="true" style="2"/>
    <col min="1015" max="1015" width="9" customWidth="true" style="2"/>
    <col min="1016" max="1016" width="9" customWidth="true" style="2"/>
    <col min="1017" max="1017" width="9" customWidth="true" style="2"/>
    <col min="1018" max="1018" width="9" customWidth="true" style="2"/>
    <col min="1019" max="1019" width="9" customWidth="true" style="2"/>
    <col min="1020" max="1020" width="9.1328125" style="27"/>
  </cols>
  <sheetData>
    <row r="1" spans="1:1020" customHeight="1" ht="18">
      <c r="A1" s="770" t="s">
        <v>105</v>
      </c>
      <c r="B1" s="770"/>
      <c r="C1" s="27"/>
      <c r="D1" s="27"/>
      <c r="E1" s="27"/>
      <c r="F1" s="27"/>
      <c r="G1" s="27"/>
    </row>
    <row r="2" spans="1:1020">
      <c r="A2" s="27"/>
      <c r="B2" s="27"/>
      <c r="C2" s="27"/>
      <c r="D2" s="27"/>
      <c r="E2" s="223" t="s">
        <v>140</v>
      </c>
      <c r="F2" s="27"/>
      <c r="G2" s="27"/>
    </row>
    <row r="3" spans="1:1020">
      <c r="A3" s="28" t="s">
        <v>141</v>
      </c>
      <c r="B3" s="395" t="str">
        <f>C3</f>
        <v>0</v>
      </c>
      <c r="C3" s="27" t="s">
        <v>142</v>
      </c>
      <c r="D3" s="2" t="s">
        <v>143</v>
      </c>
      <c r="E3" s="224" t="s">
        <v>144</v>
      </c>
    </row>
    <row r="4" spans="1:1020" customHeight="1" ht="23.25">
      <c r="A4" s="591" t="s">
        <v>68</v>
      </c>
      <c r="B4" s="603" t="str">
        <f>Evidence!A2</f>
        <v>0</v>
      </c>
      <c r="C4" s="27" t="str">
        <f>SUBSTITUTE(SUBSTITUTE(SUBSTITUTE(BYT," ","-"),"---","-"),"/","")</f>
        <v>0</v>
      </c>
      <c r="D4" s="27"/>
      <c r="E4" s="224" t="s">
        <v>145</v>
      </c>
      <c r="H4" s="35"/>
      <c r="I4" s="35"/>
      <c r="J4" s="66"/>
      <c r="K4" s="178"/>
    </row>
    <row r="5" spans="1:1020">
      <c r="A5" s="28" t="s">
        <v>5</v>
      </c>
      <c r="B5" s="225" t="str">
        <f>VLOOKUP(BYT,Evidence!$A:$Z,2,0)</f>
        <v>0</v>
      </c>
      <c r="C5" s="203" t="str">
        <f>IF(D5="paní","Vážená","Vážený")</f>
        <v>0</v>
      </c>
      <c r="D5" s="70" t="str">
        <f>(IF(RIGHT(B5,1)="á","paní","pane"))</f>
        <v>0</v>
      </c>
      <c r="E5" s="2" t="str">
        <f>LEFT(VD_jméno,FIND(" ",B5)-1)</f>
        <v>0</v>
      </c>
      <c r="F5" s="2" t="str">
        <f>TRIM(RIGHT(SUBSTITUTE(VD_jméno," ",REPT(" ",100)),100))</f>
        <v>0</v>
      </c>
    </row>
    <row r="6" spans="1:1020">
      <c r="A6" s="28" t="s">
        <v>146</v>
      </c>
      <c r="B6" s="225" t="str">
        <f>VLOOKUP(BYT,Evidence!1:1048576,22,0)</f>
        <v>0</v>
      </c>
      <c r="C6" s="2" t="s">
        <v>147</v>
      </c>
      <c r="D6" s="27"/>
    </row>
    <row r="7" spans="1:1020">
      <c r="A7" s="28" t="s">
        <v>148</v>
      </c>
      <c r="B7" s="225" t="str">
        <f>VLOOKUP(BYT,Evidence!$A:$Z,11,0)</f>
        <v>0</v>
      </c>
      <c r="C7" s="27"/>
      <c r="D7" s="27"/>
      <c r="L7" s="773" t="s">
        <v>149</v>
      </c>
      <c r="M7" s="773"/>
      <c r="N7" s="773"/>
      <c r="O7" s="773"/>
      <c r="P7" s="766" t="s">
        <v>150</v>
      </c>
      <c r="Q7" s="767"/>
      <c r="R7" s="768" t="s">
        <v>151</v>
      </c>
      <c r="S7" s="769"/>
    </row>
    <row r="8" spans="1:1020">
      <c r="A8" s="28" t="s">
        <v>152</v>
      </c>
      <c r="B8" s="425" t="str">
        <f>"1.1."&amp;'vstupní data'!$B$12&amp;" - 1.12."&amp;'vstupní data'!$B$12&amp;""</f>
        <v>0</v>
      </c>
      <c r="C8" s="27"/>
      <c r="D8" s="27"/>
      <c r="F8" s="311" t="s">
        <v>153</v>
      </c>
      <c r="H8" s="311" t="s">
        <v>154</v>
      </c>
      <c r="J8" s="311" t="s">
        <v>155</v>
      </c>
      <c r="L8" s="473" t="s">
        <v>156</v>
      </c>
      <c r="M8" s="474" t="str">
        <f>VLOOKUP(BYT,Evidence!$A:$T,16,1)</f>
        <v>0</v>
      </c>
      <c r="N8" s="474" t="str">
        <f>VLOOKUP(BYT,Evidence!$A:$T,17,1)</f>
        <v>0</v>
      </c>
      <c r="O8" s="475"/>
      <c r="P8" s="27"/>
      <c r="Q8" s="27"/>
    </row>
    <row r="9" spans="1:1020">
      <c r="A9" s="28" t="s">
        <v>92</v>
      </c>
      <c r="B9" s="226"/>
      <c r="C9" s="32"/>
      <c r="D9" s="33"/>
      <c r="F9" s="88" t="s">
        <v>157</v>
      </c>
      <c r="G9" s="311" t="s">
        <v>158</v>
      </c>
      <c r="H9" s="88" t="s">
        <v>157</v>
      </c>
      <c r="I9" s="311" t="s">
        <v>158</v>
      </c>
      <c r="J9" s="311" t="s">
        <v>157</v>
      </c>
      <c r="K9" s="311" t="s">
        <v>159</v>
      </c>
      <c r="L9" s="473" t="s">
        <v>160</v>
      </c>
      <c r="M9" s="476" t="str">
        <f>MONTH(M8)</f>
        <v>0</v>
      </c>
      <c r="N9" s="567" t="str">
        <f>MONTH(N8)</f>
        <v>0</v>
      </c>
      <c r="O9" s="568">
        <v>12</v>
      </c>
      <c r="P9" s="261" t="s">
        <v>161</v>
      </c>
      <c r="Q9" s="27"/>
    </row>
    <row r="10" spans="1:1020">
      <c r="A10" s="30" t="s">
        <v>162</v>
      </c>
      <c r="B10" s="315" t="str">
        <f>VLOOKUP(BYT,'Přeplatky nedoplatky'!$A:$E,5,0)</f>
        <v>0</v>
      </c>
      <c r="C10" s="261"/>
      <c r="E10" s="88"/>
      <c r="F10" s="80" t="str">
        <f>ADDRESS(MATCH('vstupní data'!$B$4,uhrady!A:A,0),2,4,1)</f>
        <v>0</v>
      </c>
      <c r="G10" s="5" t="str">
        <f>ADDRESS((MATCH('vstupní data'!$B$4,uhrady!A:A,0)),(MATCH($B$15,'Předpis po mesici'!$B$2:$M$2,0)+1),4)</f>
        <v>0</v>
      </c>
      <c r="H10" s="5" t="str">
        <f>ADDRESS(MATCH('vstupní data'!$B$4,'Předpis po mesici'!A:A,0),262,4,1)</f>
        <v>0</v>
      </c>
      <c r="I10" s="5" t="str">
        <f>ADDRESS((MATCH('vstupní data'!$B$4,'Předpis po mesici'!A:A,0)),(MATCH($B$15,'Předpis po mesici'!$JC$2:$JN$2,0)+262),4)</f>
        <v>0</v>
      </c>
      <c r="J10" s="80" t="str">
        <f>F11-H11</f>
        <v>0</v>
      </c>
      <c r="K10" s="5" t="str">
        <f>G11-I11</f>
        <v>0</v>
      </c>
      <c r="L10" s="473" t="s">
        <v>163</v>
      </c>
      <c r="M10" s="476" t="str">
        <f>SUBSTITUTE(ADDRESS(1,M9+1,4),"1","")</f>
        <v>0</v>
      </c>
      <c r="N10" s="476" t="str">
        <f>SUBSTITUTE(ADDRESS(1,N9+1,4),"1","")</f>
        <v>0</v>
      </c>
      <c r="O10" s="475"/>
      <c r="P10" s="477" t="str">
        <f>SUBSTITUTE(ADDRESS(1,M9+262,4),"1","")</f>
        <v>0</v>
      </c>
      <c r="Q10" s="477" t="str">
        <f>SUBSTITUTE(ADDRESS(1,N9+262,4),"1","")</f>
        <v>0</v>
      </c>
      <c r="R10" s="2" t="str">
        <f>SUBSTITUTE(ADDRESS(1,M9+79,4),"1","")</f>
        <v>0</v>
      </c>
      <c r="S10" s="2" t="str">
        <f>SUBSTITUTE(ADDRESS(1,N9+79,4),"1","")</f>
        <v>0</v>
      </c>
    </row>
    <row r="11" spans="1:1020" s="27" customFormat="1">
      <c r="A11" s="30" t="s">
        <v>164</v>
      </c>
      <c r="B11" s="570" t="str">
        <f>SUM(N19:N30)-SUM(Q19:Q30)</f>
        <v>0</v>
      </c>
      <c r="C11" s="312" t="str">
        <f>'Vyúčtování byt - 1.část'!VB_preplatky_celkem</f>
        <v>0</v>
      </c>
      <c r="D11" s="313" t="str">
        <f>SUM(VD_přeplatek_z_minula+VD_přeplatek_aktuální_rok+C11)</f>
        <v>0</v>
      </c>
      <c r="F11" s="80" t="str">
        <f>_xlfn.IFNA(SUM(INDIRECT("'uhrady'!"&amp;F10&amp;":"&amp;G10)),0)</f>
        <v>0</v>
      </c>
      <c r="G11" s="80" t="str">
        <f>LOOKUP(B4,uhrady!A:A,uhrady!N:N)-F11</f>
        <v>0</v>
      </c>
      <c r="H11" s="80" t="str">
        <f>_xlfn.IFNA(SUM(INDIRECT("'Předpis po mesici'!"&amp;H10&amp;":"&amp;I10)),0)</f>
        <v>0</v>
      </c>
      <c r="I11" s="80" t="str">
        <f>LOOKUP(B4,'Předpis po mesici'!A:A,'Předpis po mesici'!JO:JO)-H11</f>
        <v>0</v>
      </c>
      <c r="L11" s="473" t="s">
        <v>165</v>
      </c>
      <c r="M11" s="478" t="str">
        <f>N9-M9+1</f>
        <v>0</v>
      </c>
      <c r="N11" s="478"/>
      <c r="O11" s="475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</row>
    <row r="12" spans="1:1020">
      <c r="A12" s="28" t="s">
        <v>166</v>
      </c>
      <c r="B12" s="225">
        <v>2024</v>
      </c>
      <c r="C12" s="27"/>
      <c r="E12" s="80"/>
      <c r="F12" s="311" t="s">
        <v>167</v>
      </c>
      <c r="G12" s="314"/>
      <c r="H12" s="311"/>
      <c r="I12" s="311"/>
      <c r="J12" s="311"/>
      <c r="K12" s="311"/>
      <c r="L12" s="473" t="s">
        <v>168</v>
      </c>
      <c r="M12" s="476" t="str">
        <f>"uhrady!"&amp;ADDRESS(MATCH(BYT,uhrady!A:A,0),2,4,1)</f>
        <v>0</v>
      </c>
      <c r="N12" s="476" t="str">
        <f>ROW(INDIRECT(M12))</f>
        <v>0</v>
      </c>
      <c r="O12" s="475"/>
      <c r="P12" s="477" t="str">
        <f>"'Předpis po mesici'!"&amp;ADDRESS(MATCH(BYT,'Předpis po mesici'!A:A,0),2,4,1)</f>
        <v>0</v>
      </c>
      <c r="Q12" s="477" t="str">
        <f>ROW(INDIRECT(P12))</f>
        <v>0</v>
      </c>
      <c r="R12" s="2" t="str">
        <f>"'Předpis po mesici'!"&amp;ADDRESS(MATCH(BYT,'Předpis po mesici'!A:A,0),2,4,1)</f>
        <v>0</v>
      </c>
      <c r="S12" s="2" t="str">
        <f>ROW(INDIRECT(R12))</f>
        <v>0</v>
      </c>
    </row>
    <row r="13" spans="1:1020">
      <c r="A13" s="28" t="s">
        <v>169</v>
      </c>
      <c r="B13" s="227" t="s">
        <v>170</v>
      </c>
      <c r="C13" s="27"/>
      <c r="E13" s="27"/>
      <c r="F13" s="80" t="str">
        <f>ADDRESS(MATCH('vstupní data'!$B$4,'Předpis po mesici'!A:A,0),80,4,1)</f>
        <v>0</v>
      </c>
      <c r="G13" s="80" t="str">
        <f>ADDRESS((MATCH('vstupní data'!$B$4,'Předpis po mesici'!A:A,0)),(MATCH($B$15,'Předpis po mesici'!$B$2:$M$2,0)+79),4)</f>
        <v>0</v>
      </c>
      <c r="H13" s="5"/>
      <c r="I13" s="5"/>
      <c r="J13" s="5"/>
      <c r="K13" s="5"/>
      <c r="L13" s="478"/>
      <c r="M13" s="478"/>
      <c r="N13" s="478"/>
      <c r="O13" s="475"/>
      <c r="P13" s="27"/>
      <c r="Q13" s="27"/>
    </row>
    <row r="14" spans="1:1020">
      <c r="A14" s="28"/>
      <c r="B14" s="225"/>
      <c r="C14" s="187" t="s">
        <v>171</v>
      </c>
      <c r="D14" s="171" t="s">
        <v>172</v>
      </c>
      <c r="E14" s="27"/>
      <c r="F14" s="80" t="str">
        <f>_xlfn.IFNA(SUM(INDIRECT("'Předpis po mesici'!"&amp;F13&amp;":"&amp;G13)),0)</f>
        <v>0</v>
      </c>
      <c r="G14" s="80" t="str">
        <f>LOOKUP(B4,'Předpis po mesici'!A:A,'Předpis po mesici'!CN:CN)-F14</f>
        <v>0</v>
      </c>
      <c r="H14" s="5"/>
      <c r="I14" s="5"/>
      <c r="J14" s="5"/>
      <c r="K14" s="5"/>
      <c r="L14" s="473" t="s">
        <v>173</v>
      </c>
      <c r="M14" s="476" t="str">
        <f>M10&amp;$N12</f>
        <v>0</v>
      </c>
      <c r="N14" s="476" t="str">
        <f>N10&amp;$N12</f>
        <v>0</v>
      </c>
      <c r="O14" s="475"/>
      <c r="P14" s="479" t="str">
        <f>P10&amp;$Q12</f>
        <v>0</v>
      </c>
      <c r="Q14" s="479" t="str">
        <f>Q10&amp;$Q12</f>
        <v>0</v>
      </c>
      <c r="R14" s="2" t="str">
        <f>R10&amp;$S12</f>
        <v>0</v>
      </c>
      <c r="S14" s="2" t="str">
        <f>S10&amp;$S12</f>
        <v>0</v>
      </c>
    </row>
    <row r="15" spans="1:1020">
      <c r="A15" s="28" t="s">
        <v>174</v>
      </c>
      <c r="B15" s="186" t="str">
        <f>M11</f>
        <v>0</v>
      </c>
      <c r="C15" s="204" t="str">
        <f>12-B15</f>
        <v>0</v>
      </c>
      <c r="D15" s="208" t="s">
        <v>175</v>
      </c>
      <c r="E15" s="27"/>
      <c r="F15" s="27"/>
      <c r="G15" s="27"/>
      <c r="L15" s="480" t="s">
        <v>176</v>
      </c>
      <c r="M15" s="476" t="str">
        <f>"uhrady!"&amp;_xlfn.CONCAT(M14,":",N14)</f>
        <v>0</v>
      </c>
      <c r="N15" s="481"/>
      <c r="O15" s="482"/>
      <c r="P15" s="479" t="str">
        <f>"'Předpis po mesici'!"&amp;_xlfn.CONCAT(P14,":",Q14)</f>
        <v>0</v>
      </c>
      <c r="Q15" s="27"/>
      <c r="R15" s="2" t="str">
        <f>"'Předpis po mesici'!"&amp;_xlfn.CONCAT(R14,":",S14)</f>
        <v>0</v>
      </c>
    </row>
    <row r="16" spans="1:1020">
      <c r="A16" s="28"/>
      <c r="B16" s="228"/>
      <c r="C16" s="771" t="s">
        <v>177</v>
      </c>
      <c r="D16" s="771"/>
      <c r="E16" s="771"/>
      <c r="F16" s="772" t="s">
        <v>178</v>
      </c>
      <c r="G16" s="772"/>
      <c r="H16" s="772"/>
      <c r="L16" s="475"/>
      <c r="M16" s="478"/>
      <c r="N16" s="478"/>
      <c r="O16" s="475"/>
      <c r="P16" s="27"/>
      <c r="Q16" s="27"/>
    </row>
    <row r="17" spans="1:1020" customHeight="1" ht="14.65">
      <c r="A17" s="28" t="s">
        <v>179</v>
      </c>
      <c r="B17" s="225">
        <v>23</v>
      </c>
      <c r="C17" s="104" t="str">
        <f>"1.1."&amp;'vstupní data'!B12&amp;""</f>
        <v>0</v>
      </c>
      <c r="D17" s="205" t="str">
        <f>EDATE(C17,B15)-1</f>
        <v>0</v>
      </c>
      <c r="E17" s="206" t="str">
        <f>(""&amp;'vstupní data'!C18&amp;" - "&amp;'vstupní data'!D18&amp;"")</f>
        <v>0</v>
      </c>
      <c r="F17" s="207" t="str">
        <f>EDATE(C17,B15)</f>
        <v>0</v>
      </c>
      <c r="G17" s="207" t="str">
        <f>EDATE(D17,C15)</f>
        <v>0</v>
      </c>
      <c r="H17" s="20" t="str">
        <f>(""&amp;'vstupní data'!F18&amp;" - "&amp;'vstupní data'!G18&amp;"")</f>
        <v>0</v>
      </c>
      <c r="L17" s="473" t="s">
        <v>180</v>
      </c>
      <c r="M17" s="485" t="str">
        <f>SUM(INDIRECT(M15))</f>
        <v>0</v>
      </c>
      <c r="N17" s="478"/>
      <c r="O17" s="475"/>
      <c r="P17" s="566" t="str">
        <f>SUM(INDIRECT(P15))</f>
        <v>0</v>
      </c>
      <c r="Q17" s="27"/>
      <c r="R17" s="486" t="str">
        <f>SUM(INDIRECT(R15))</f>
        <v>0</v>
      </c>
    </row>
    <row r="18" spans="1:1020" customHeight="1" ht="14.65">
      <c r="A18" s="28" t="s">
        <v>181</v>
      </c>
      <c r="B18" s="225">
        <v>1423.8</v>
      </c>
      <c r="C18" s="63" t="str">
        <f>""&amp;TEXT(C17,"d.m.rrrr")</f>
        <v>0</v>
      </c>
      <c r="D18" s="63" t="str">
        <f>""&amp;TEXT(D17,"d.m.rrrr")</f>
        <v>0</v>
      </c>
      <c r="E18" s="155"/>
      <c r="F18" s="63" t="str">
        <f>""&amp;TEXT(F17,"d.m.rrrr")</f>
        <v>0</v>
      </c>
      <c r="G18" s="63" t="str">
        <f>""&amp;TEXT(G17,"d.m.rrrr")</f>
        <v>0</v>
      </c>
      <c r="H18" s="29"/>
      <c r="L18" s="475"/>
      <c r="M18" s="765" t="s">
        <v>112</v>
      </c>
      <c r="N18" s="765"/>
      <c r="O18" s="475"/>
      <c r="P18" s="564" t="s">
        <v>182</v>
      </c>
      <c r="Q18" s="565" t="s">
        <v>183</v>
      </c>
      <c r="R18" s="564" t="s">
        <v>182</v>
      </c>
      <c r="S18" s="774" t="str">
        <f>("Služby "&amp;'vstupní data'!B4&amp;"")</f>
        <v>0</v>
      </c>
      <c r="T18" s="775"/>
      <c r="U18" s="775"/>
      <c r="V18" s="775"/>
      <c r="W18" s="775"/>
      <c r="X18" s="775"/>
      <c r="Y18" s="775"/>
      <c r="Z18" s="775"/>
      <c r="AA18" s="775"/>
      <c r="AB18" s="775"/>
      <c r="AC18" s="775"/>
      <c r="AD18" s="775"/>
      <c r="AE18" s="775"/>
      <c r="AF18" s="775"/>
      <c r="AG18" s="775"/>
      <c r="AH18" s="775"/>
      <c r="AI18" s="775"/>
      <c r="AJ18" s="775"/>
      <c r="AK18" s="775"/>
      <c r="AL18" s="775"/>
      <c r="AM18" s="776"/>
    </row>
    <row r="19" spans="1:1020">
      <c r="A19" s="28" t="s">
        <v>184</v>
      </c>
      <c r="B19" s="225">
        <v>0</v>
      </c>
      <c r="C19" s="80"/>
      <c r="D19" s="80"/>
      <c r="E19" s="27"/>
      <c r="F19" s="80"/>
      <c r="G19" s="80"/>
      <c r="L19" s="473" t="s">
        <v>185</v>
      </c>
      <c r="M19" s="483">
        <v>1</v>
      </c>
      <c r="N19" s="569" t="str">
        <f>IF(AND(M19&gt;=$M$9,M19&lt;=$O$9),VLOOKUP(BYT,uhrady!$A$2:$M$102,M19+1,FALSE),0)</f>
        <v>0</v>
      </c>
      <c r="O19" s="475"/>
      <c r="P19" s="563">
        <v>1</v>
      </c>
      <c r="Q19" s="563" t="str">
        <f>IF(AND(P19&gt;=$M$9,P19&lt;=$O$9),VLOOKUP(BYT,'Předpis po mesici'!$A$3:$JQ$102,P19+262,FALSE),0)</f>
        <v>0</v>
      </c>
      <c r="R19" s="563">
        <v>1</v>
      </c>
      <c r="S19" s="563" t="str">
        <f>IF(AND(P19&gt;=$M$9,P19&lt;=$N$9),VLOOKUP(BYT,'Předpis po mesici'!$A$3:$JQ$102,P19+79,FALSE),0)</f>
        <v>0</v>
      </c>
      <c r="T19" s="563" t="str">
        <f>IF(AND(P19&gt;=$M$9,P19&lt;=$N$9),VLOOKUP(BYT,'Předpis po mesici'!$A$3:$JQ$102,P19+1,FALSE),0)</f>
        <v>0</v>
      </c>
      <c r="U19" s="563" t="str">
        <f>IF(AND(P19&gt;=$M$9,P19&lt;=$N$9),VLOOKUP(BYT,'Předpis po mesici'!$A$3:$JQ$102,P19+14,FALSE),0)</f>
        <v>0</v>
      </c>
      <c r="V19" s="563" t="str">
        <f>IF(AND(P19&gt;=$M$9,P19&lt;=$N$9),VLOOKUP(BYT,'Předpis po mesici'!$A$3:$JQ$102,P19+27,FALSE),0)</f>
        <v>0</v>
      </c>
      <c r="W19" s="563" t="str">
        <f>IF(AND(P19&gt;=$M$9,P19&lt;=$N$9),VLOOKUP(BYT,'Předpis po mesici'!$A$3:$JQ$102,P19+40,FALSE),0)</f>
        <v>0</v>
      </c>
      <c r="X19" s="563" t="str">
        <f>IF(AND(P19&gt;=$M$9,P19&lt;=$N$9),VLOOKUP(BYT,'Předpis po mesici'!$A$3:$JQ$102,P19+53,FALSE),0)</f>
        <v>0</v>
      </c>
      <c r="Y19" s="563" t="str">
        <f>IF(AND(P19&gt;=$M$9,P19&lt;=$N$9),VLOOKUP(BYT,'Předpis po mesici'!$A$3:$JQ$102,P19+66,FALSE),0)</f>
        <v>0</v>
      </c>
      <c r="Z19" s="563" t="str">
        <f>IF(AND(P19&gt;=$M$9,P19&lt;=$N$9),VLOOKUP(BYT,'Předpis po mesici'!$A$3:$JQ$102,P19+92,FALSE),0)</f>
        <v>0</v>
      </c>
      <c r="AA19" s="563" t="str">
        <f>IF(AND(P19&gt;=$M$9,P19&lt;=$N$9),VLOOKUP(BYT,'Předpis po mesici'!$A$3:$JQ$102,P19+105,FALSE),0)</f>
        <v>0</v>
      </c>
      <c r="AB19" s="563" t="str">
        <f>IF(AND(P19&gt;=$M$9,P19&lt;=$N$9),VLOOKUP(BYT,'Předpis po mesici'!$A$3:$JQ$102,P19+118,FALSE),0)</f>
        <v>0</v>
      </c>
      <c r="AC19" s="563" t="str">
        <f>IF(AND(P19&gt;=$M$9,P19&lt;=$N$9),VLOOKUP(BYT,'Předpis po mesici'!$A$3:$JQ$102,P19+131,FALSE),0)</f>
        <v>0</v>
      </c>
      <c r="AD19" s="563" t="str">
        <f>IF(AND(P19&gt;=$M$9,P19&lt;=$N$9),VLOOKUP(BYT,'Předpis po mesici'!$A$3:$JQ$102,P19+170,FALSE),0)</f>
        <v>0</v>
      </c>
      <c r="AE19" s="563" t="str">
        <f>IF(AND(P19&gt;=$M$9,P19&lt;=$N$9),VLOOKUP(BYT,'Předpis po mesici'!$A$3:$JQ$102,P19+183,FALSE),0)</f>
        <v>0</v>
      </c>
      <c r="AF19" s="563" t="str">
        <f>IF(AND(P19&gt;=$M$9,P19&lt;=$N$9),VLOOKUP(BYT,'Předpis po mesici'!$A$3:$JQ$102,P19+196,FALSE),0)</f>
        <v>0</v>
      </c>
      <c r="AG19" s="563" t="str">
        <f>IF(AND(P19&gt;=$M$9,P19&lt;=$N$9),VLOOKUP(BYT,'Předpis po mesici'!$A$3:$JQ$102,P19+209,FALSE),0)</f>
        <v>0</v>
      </c>
      <c r="AH19" s="563" t="str">
        <f>IF(AND(P19&gt;=$M$9,P19&lt;=$N$9),VLOOKUP(BYT,'Předpis po mesici'!$A$3:$JQ$102,P19+222,FALSE),0)</f>
        <v>0</v>
      </c>
      <c r="AI19" s="563" t="str">
        <f>IF(AND(P19&gt;=$M$9,P19&lt;=$N$9),VLOOKUP(BYT,'Předpis po mesici'!$A$3:$JQ$102,P19+157,FALSE),0)</f>
        <v>0</v>
      </c>
      <c r="AJ19" s="563" t="str">
        <f>IF(AND(P19&gt;=$M$9,P19&lt;=$N$9),VLOOKUP(BYT,'Počet osob'!$A$2:$JR$102,P19+2,FALSE),0)</f>
        <v>0</v>
      </c>
      <c r="AK19" s="563" t="str">
        <f>IF(AND(P19&gt;=$M$9,P19&lt;=$N$9),VLOOKUP(BYT,'Předpis po mesici'!$A$3:$JQ$102,P19+144,FALSE),0)</f>
        <v>0</v>
      </c>
      <c r="AL19" s="563" t="str">
        <f>IF(AND(P19&gt;=$M$9,P19&lt;=$N$9),VLOOKUP(BYT,'Předpis po mesici'!$A$3:$JQ$102,P19+248,FALSE),0)</f>
        <v>0</v>
      </c>
      <c r="AM19" s="563" t="str">
        <f>IF(AND(P19&gt;=$M$9,P19&lt;=$N$9),VLOOKUP(BYT,'Předpis po mesici'!$A$3:$JQ$102,P19+235,FALSE),0)</f>
        <v>0</v>
      </c>
      <c r="AN19" s="2" t="str">
        <f>IF(AND(P19&gt;=$M$9,P19&lt;=$N$9),VLOOKUP(BYT,'Předpis po mesici'!$A$3:$JQ$102,P19+235,FALSE),0)</f>
        <v>0</v>
      </c>
    </row>
    <row r="20" spans="1:1020">
      <c r="A20" s="28" t="s">
        <v>186</v>
      </c>
      <c r="B20" s="21" t="str">
        <f>Evidence!F104</f>
        <v>0</v>
      </c>
      <c r="C20" s="34"/>
      <c r="F20" s="27"/>
      <c r="G20" s="27"/>
      <c r="L20" s="475"/>
      <c r="M20" s="483">
        <v>2</v>
      </c>
      <c r="N20" s="569" t="str">
        <f>IF(AND(M20&gt;=$M$9,M20&lt;=$O$9),VLOOKUP(BYT,uhrady!$A$2:$M$102,M20+1,FALSE),0)</f>
        <v>0</v>
      </c>
      <c r="O20" s="475"/>
      <c r="P20" s="484">
        <v>2</v>
      </c>
      <c r="Q20" s="484" t="str">
        <f>IF(AND(P20&gt;=$M$9,P20&lt;=$O$9),VLOOKUP(BYT,'Předpis po mesici'!$A$3:$JQ$102,P20+262,FALSE),0)</f>
        <v>0</v>
      </c>
      <c r="R20" s="484">
        <v>2</v>
      </c>
      <c r="S20" s="484" t="str">
        <f>IF(AND(P20&gt;=$M$9,P20&lt;=$N$9),VLOOKUP(BYT,'Předpis po mesici'!$A$3:$JQ$102,P20+79,FALSE),0)</f>
        <v>0</v>
      </c>
      <c r="T20" s="484" t="str">
        <f>IF(AND(P20&gt;=$M$9,P20&lt;=$N$9),VLOOKUP(BYT,'Předpis po mesici'!$A$3:$JQ$102,P20+1,FALSE),0)</f>
        <v>0</v>
      </c>
      <c r="U20" s="484" t="str">
        <f>IF(AND(P20&gt;=$M$9,P20&lt;=$N$9),VLOOKUP(BYT,'Předpis po mesici'!$A$3:$JQ$102,P20+14,FALSE),0)</f>
        <v>0</v>
      </c>
      <c r="V20" s="484" t="str">
        <f>IF(AND(P20&gt;=$M$9,P20&lt;=$N$9),VLOOKUP(BYT,'Předpis po mesici'!$A$3:$JQ$102,P20+27,FALSE),0)</f>
        <v>0</v>
      </c>
      <c r="W20" s="484" t="str">
        <f>IF(AND(P20&gt;=$M$9,P20&lt;=$N$9),VLOOKUP(BYT,'Předpis po mesici'!$A$3:$JQ$102,P20+40,FALSE),0)</f>
        <v>0</v>
      </c>
      <c r="X20" s="484" t="str">
        <f>IF(AND(P20&gt;=$M$9,P20&lt;=$N$9),VLOOKUP(BYT,'Předpis po mesici'!$A$3:$JQ$102,P20+53,FALSE),0)</f>
        <v>0</v>
      </c>
      <c r="Y20" s="484" t="str">
        <f>IF(AND(P20&gt;=$M$9,P20&lt;=$N$9),VLOOKUP(BYT,'Předpis po mesici'!$A$3:$JQ$102,P20+66,FALSE),0)</f>
        <v>0</v>
      </c>
      <c r="Z20" s="484" t="str">
        <f>IF(AND(P20&gt;=$M$9,P20&lt;=$N$9),VLOOKUP(BYT,'Předpis po mesici'!$A$3:$JQ$102,P20+92,FALSE),0)</f>
        <v>0</v>
      </c>
      <c r="AA20" s="484" t="str">
        <f>IF(AND(P20&gt;=$M$9,P20&lt;=$N$9),VLOOKUP(BYT,'Předpis po mesici'!$A$3:$JQ$102,P20+105,FALSE),0)</f>
        <v>0</v>
      </c>
      <c r="AB20" s="484" t="str">
        <f>IF(AND(P20&gt;=$M$9,P20&lt;=$N$9),VLOOKUP(BYT,'Předpis po mesici'!$A$3:$JQ$102,P20+118,FALSE),0)</f>
        <v>0</v>
      </c>
      <c r="AC20" s="484" t="str">
        <f>IF(AND(P20&gt;=$M$9,P20&lt;=$N$9),VLOOKUP(BYT,'Předpis po mesici'!$A$3:$JQ$102,P20+131,FALSE),0)</f>
        <v>0</v>
      </c>
      <c r="AD20" s="484" t="str">
        <f>IF(AND(P20&gt;=$M$9,P20&lt;=$N$9),VLOOKUP(BYT,'Předpis po mesici'!$A$3:$JQ$102,P20+170,FALSE),0)</f>
        <v>0</v>
      </c>
      <c r="AE20" s="484" t="str">
        <f>IF(AND(P20&gt;=$M$9,P20&lt;=$N$9),VLOOKUP(BYT,'Předpis po mesici'!$A$3:$JQ$102,P20+183,FALSE),0)</f>
        <v>0</v>
      </c>
      <c r="AF20" s="484" t="str">
        <f>IF(AND(P20&gt;=$M$9,P20&lt;=$N$9),VLOOKUP(BYT,'Předpis po mesici'!$A$3:$JQ$102,P20+196,FALSE),0)</f>
        <v>0</v>
      </c>
      <c r="AG20" s="484" t="str">
        <f>IF(AND(P20&gt;=$M$9,P20&lt;=$N$9),VLOOKUP(BYT,'Předpis po mesici'!$A$3:$JQ$102,P20+209,FALSE),0)</f>
        <v>0</v>
      </c>
      <c r="AH20" s="484" t="str">
        <f>IF(AND(P20&gt;=$M$9,P20&lt;=$N$9),VLOOKUP(BYT,'Předpis po mesici'!$A$3:$JQ$102,P20+222,FALSE),0)</f>
        <v>0</v>
      </c>
      <c r="AI20" s="484" t="str">
        <f>IF(AND(P20&gt;=$M$9,P20&lt;=$N$9),VLOOKUP(BYT,'Předpis po mesici'!$A$3:$JQ$102,P20+157,FALSE),0)</f>
        <v>0</v>
      </c>
      <c r="AJ20" s="484" t="str">
        <f>IF(AND(P20&gt;=$M$9,P20&lt;=$N$9),VLOOKUP(BYT,'Počet osob'!$A$2:$JR$102,P20+2,FALSE),0)</f>
        <v>0</v>
      </c>
      <c r="AK20" s="484" t="str">
        <f>IF(AND(P20&gt;=$M$9,P20&lt;=$N$9),VLOOKUP(BYT,'Předpis po mesici'!$A$3:$JQ$102,P20+144,FALSE),0)</f>
        <v>0</v>
      </c>
      <c r="AL20" s="484" t="str">
        <f>IF(AND(P20&gt;=$M$9,P20&lt;=$N$9),VLOOKUP(BYT,'Předpis po mesici'!$A$3:$JQ$102,P20+248,FALSE),0)</f>
        <v>0</v>
      </c>
      <c r="AM20" s="484" t="str">
        <f>IF(AND(P20&gt;=$M$9,P20&lt;=$N$9),VLOOKUP(BYT,'Předpis po mesici'!$A$3:$JQ$102,P20+235,FALSE),0)</f>
        <v>0</v>
      </c>
      <c r="AN20" s="2" t="str">
        <f>IF(AND(P20&gt;=$M$9,P20&lt;=$N$9),VLOOKUP(BYT,'Předpis po mesici'!$A$3:$JQ$102,P20+235,FALSE),0)</f>
        <v>0</v>
      </c>
    </row>
    <row r="21" spans="1:1020">
      <c r="A21" s="28" t="s">
        <v>187</v>
      </c>
      <c r="B21" s="21" t="str">
        <f>'Počet osob'!O104</f>
        <v>0</v>
      </c>
      <c r="C21" s="2" t="str">
        <f>'Počet osob'!P104</f>
        <v>0</v>
      </c>
      <c r="F21" s="27"/>
      <c r="G21" s="27"/>
      <c r="L21" s="482"/>
      <c r="M21" s="483">
        <v>3</v>
      </c>
      <c r="N21" s="569" t="str">
        <f>IF(AND(M21&gt;=$M$9,M21&lt;=$O$9),VLOOKUP(BYT,uhrady!$A$2:$M$102,M21+1,FALSE),0)</f>
        <v>0</v>
      </c>
      <c r="O21" s="475"/>
      <c r="P21" s="484">
        <v>3</v>
      </c>
      <c r="Q21" s="484" t="str">
        <f>IF(AND(P21&gt;=$M$9,P21&lt;=$O$9),VLOOKUP(BYT,'Předpis po mesici'!$A$3:$JQ$102,P21+262,FALSE),0)</f>
        <v>0</v>
      </c>
      <c r="R21" s="484">
        <v>3</v>
      </c>
      <c r="S21" s="484" t="str">
        <f>IF(AND(P21&gt;=$M$9,P21&lt;=$N$9),VLOOKUP(BYT,'Předpis po mesici'!$A$3:$JQ$102,P21+79,FALSE),0)</f>
        <v>0</v>
      </c>
      <c r="T21" s="484" t="str">
        <f>IF(AND(P21&gt;=$M$9,P21&lt;=$N$9),VLOOKUP(BYT,'Předpis po mesici'!$A$3:$JQ$102,P21+1,FALSE),0)</f>
        <v>0</v>
      </c>
      <c r="U21" s="484" t="str">
        <f>IF(AND(P21&gt;=$M$9,P21&lt;=$N$9),VLOOKUP(BYT,'Předpis po mesici'!$A$3:$JQ$102,P21+14,FALSE),0)</f>
        <v>0</v>
      </c>
      <c r="V21" s="484" t="str">
        <f>IF(AND(P21&gt;=$M$9,P21&lt;=$N$9),VLOOKUP(BYT,'Předpis po mesici'!$A$3:$JQ$102,P21+27,FALSE),0)</f>
        <v>0</v>
      </c>
      <c r="W21" s="484" t="str">
        <f>IF(AND(P21&gt;=$M$9,P21&lt;=$N$9),VLOOKUP(BYT,'Předpis po mesici'!$A$3:$JQ$102,P21+40,FALSE),0)</f>
        <v>0</v>
      </c>
      <c r="X21" s="484" t="str">
        <f>IF(AND(P21&gt;=$M$9,P21&lt;=$N$9),VLOOKUP(BYT,'Předpis po mesici'!$A$3:$JQ$102,P21+53,FALSE),0)</f>
        <v>0</v>
      </c>
      <c r="Y21" s="484" t="str">
        <f>IF(AND(P21&gt;=$M$9,P21&lt;=$N$9),VLOOKUP(BYT,'Předpis po mesici'!$A$3:$JQ$102,P21+66,FALSE),0)</f>
        <v>0</v>
      </c>
      <c r="Z21" s="484" t="str">
        <f>IF(AND(P21&gt;=$M$9,P21&lt;=$N$9),VLOOKUP(BYT,'Předpis po mesici'!$A$3:$JQ$102,P21+92,FALSE),0)</f>
        <v>0</v>
      </c>
      <c r="AA21" s="484" t="str">
        <f>IF(AND(P21&gt;=$M$9,P21&lt;=$N$9),VLOOKUP(BYT,'Předpis po mesici'!$A$3:$JQ$102,P21+105,FALSE),0)</f>
        <v>0</v>
      </c>
      <c r="AB21" s="484" t="str">
        <f>IF(AND(P21&gt;=$M$9,P21&lt;=$N$9),VLOOKUP(BYT,'Předpis po mesici'!$A$3:$JQ$102,P21+118,FALSE),0)</f>
        <v>0</v>
      </c>
      <c r="AC21" s="484" t="str">
        <f>IF(AND(P21&gt;=$M$9,P21&lt;=$N$9),VLOOKUP(BYT,'Předpis po mesici'!$A$3:$JQ$102,P21+131,FALSE),0)</f>
        <v>0</v>
      </c>
      <c r="AD21" s="484" t="str">
        <f>IF(AND(P21&gt;=$M$9,P21&lt;=$N$9),VLOOKUP(BYT,'Předpis po mesici'!$A$3:$JQ$102,P21+170,FALSE),0)</f>
        <v>0</v>
      </c>
      <c r="AE21" s="484" t="str">
        <f>IF(AND(P21&gt;=$M$9,P21&lt;=$N$9),VLOOKUP(BYT,'Předpis po mesici'!$A$3:$JQ$102,P21+183,FALSE),0)</f>
        <v>0</v>
      </c>
      <c r="AF21" s="484" t="str">
        <f>IF(AND(P21&gt;=$M$9,P21&lt;=$N$9),VLOOKUP(BYT,'Předpis po mesici'!$A$3:$JQ$102,P21+196,FALSE),0)</f>
        <v>0</v>
      </c>
      <c r="AG21" s="484" t="str">
        <f>IF(AND(P21&gt;=$M$9,P21&lt;=$N$9),VLOOKUP(BYT,'Předpis po mesici'!$A$3:$JQ$102,P21+209,FALSE),0)</f>
        <v>0</v>
      </c>
      <c r="AH21" s="484" t="str">
        <f>IF(AND(P21&gt;=$M$9,P21&lt;=$N$9),VLOOKUP(BYT,'Předpis po mesici'!$A$3:$JQ$102,P21+222,FALSE),0)</f>
        <v>0</v>
      </c>
      <c r="AI21" s="484" t="str">
        <f>IF(AND(P21&gt;=$M$9,P21&lt;=$N$9),VLOOKUP(BYT,'Předpis po mesici'!$A$3:$JQ$102,P21+157,FALSE),0)</f>
        <v>0</v>
      </c>
      <c r="AJ21" s="484" t="str">
        <f>IF(AND(P21&gt;=$M$9,P21&lt;=$N$9),VLOOKUP(BYT,'Počet osob'!$A$2:$JR$102,P21+2,FALSE),0)</f>
        <v>0</v>
      </c>
      <c r="AK21" s="484" t="str">
        <f>IF(AND(P21&gt;=$M$9,P21&lt;=$N$9),VLOOKUP(BYT,'Předpis po mesici'!$A$3:$JQ$102,P21+144,FALSE),0)</f>
        <v>0</v>
      </c>
      <c r="AL21" s="484" t="str">
        <f>IF(AND(P21&gt;=$M$9,P21&lt;=$N$9),VLOOKUP(BYT,'Předpis po mesici'!$A$3:$JQ$102,P21+248,FALSE),0)</f>
        <v>0</v>
      </c>
      <c r="AM21" s="484" t="str">
        <f>IF(AND(P21&gt;=$M$9,P21&lt;=$N$9),VLOOKUP(BYT,'Předpis po mesici'!$A$3:$JQ$102,P21+235,FALSE),0)</f>
        <v>0</v>
      </c>
      <c r="AN21" s="2" t="str">
        <f>IF(AND(P21&gt;=$M$9,P21&lt;=$N$9),VLOOKUP(BYT,'Předpis po mesici'!$A$3:$JQ$102,P21+235,FALSE),0)</f>
        <v>0</v>
      </c>
    </row>
    <row r="22" spans="1:1020">
      <c r="A22" s="28" t="s">
        <v>188</v>
      </c>
      <c r="B22" s="463" t="str">
        <f>B35</f>
        <v>0</v>
      </c>
      <c r="C22" s="464" t="str">
        <f>IF(VLOOKUP(DŮM,'Bytové domy'!$A:$J,8,FALSE)="","",(VLOOKUP(DŮM,'Bytové domy'!$A:$J,8,FALSE)))</f>
        <v>0</v>
      </c>
      <c r="D22" s="465" t="str">
        <f>VLOOKUP(DŮM,'Bytové domy'!$A:$J,9,0)</f>
        <v>0</v>
      </c>
      <c r="E22" s="504" t="str">
        <f>VLOOKUP(DŮM,'Bytové domy'!$A:$J,10,0)</f>
        <v>0</v>
      </c>
      <c r="F22" s="27"/>
      <c r="G22" s="27"/>
      <c r="L22" s="475"/>
      <c r="M22" s="483">
        <v>4</v>
      </c>
      <c r="N22" s="569" t="str">
        <f>IF(AND(M22&gt;=$M$9,M22&lt;=$O$9),VLOOKUP(BYT,uhrady!$A$2:$M$102,M22+1,FALSE),0)</f>
        <v>0</v>
      </c>
      <c r="O22" s="475"/>
      <c r="P22" s="484">
        <v>4</v>
      </c>
      <c r="Q22" s="484" t="str">
        <f>IF(AND(P22&gt;=$M$9,P22&lt;=$O$9),VLOOKUP(BYT,'Předpis po mesici'!$A$3:$JQ$102,P22+262,FALSE),0)</f>
        <v>0</v>
      </c>
      <c r="R22" s="484">
        <v>4</v>
      </c>
      <c r="S22" s="484" t="str">
        <f>IF(AND(P22&gt;=$M$9,P22&lt;=$N$9),VLOOKUP(BYT,'Předpis po mesici'!$A$3:$JQ$102,P22+79,FALSE),0)</f>
        <v>0</v>
      </c>
      <c r="T22" s="484" t="str">
        <f>IF(AND(P22&gt;=$M$9,P22&lt;=$N$9),VLOOKUP(BYT,'Předpis po mesici'!$A$3:$JQ$102,P22+1,FALSE),0)</f>
        <v>0</v>
      </c>
      <c r="U22" s="484" t="str">
        <f>IF(AND(P22&gt;=$M$9,P22&lt;=$N$9),VLOOKUP(BYT,'Předpis po mesici'!$A$3:$JQ$102,P22+14,FALSE),0)</f>
        <v>0</v>
      </c>
      <c r="V22" s="484" t="str">
        <f>IF(AND(P22&gt;=$M$9,P22&lt;=$N$9),VLOOKUP(BYT,'Předpis po mesici'!$A$3:$JQ$102,P22+27,FALSE),0)</f>
        <v>0</v>
      </c>
      <c r="W22" s="484" t="str">
        <f>IF(AND(P22&gt;=$M$9,P22&lt;=$N$9),VLOOKUP(BYT,'Předpis po mesici'!$A$3:$JQ$102,P22+40,FALSE),0)</f>
        <v>0</v>
      </c>
      <c r="X22" s="484" t="str">
        <f>IF(AND(P22&gt;=$M$9,P22&lt;=$N$9),VLOOKUP(BYT,'Předpis po mesici'!$A$3:$JQ$102,P22+53,FALSE),0)</f>
        <v>0</v>
      </c>
      <c r="Y22" s="484" t="str">
        <f>IF(AND(P22&gt;=$M$9,P22&lt;=$N$9),VLOOKUP(BYT,'Předpis po mesici'!$A$3:$JQ$102,P22+66,FALSE),0)</f>
        <v>0</v>
      </c>
      <c r="Z22" s="484" t="str">
        <f>IF(AND(P22&gt;=$M$9,P22&lt;=$N$9),VLOOKUP(BYT,'Předpis po mesici'!$A$3:$JQ$102,P22+92,FALSE),0)</f>
        <v>0</v>
      </c>
      <c r="AA22" s="484" t="str">
        <f>IF(AND(P22&gt;=$M$9,P22&lt;=$N$9),VLOOKUP(BYT,'Předpis po mesici'!$A$3:$JQ$102,P22+105,FALSE),0)</f>
        <v>0</v>
      </c>
      <c r="AB22" s="484" t="str">
        <f>IF(AND(P22&gt;=$M$9,P22&lt;=$N$9),VLOOKUP(BYT,'Předpis po mesici'!$A$3:$JQ$102,P22+118,FALSE),0)</f>
        <v>0</v>
      </c>
      <c r="AC22" s="484" t="str">
        <f>IF(AND(P22&gt;=$M$9,P22&lt;=$N$9),VLOOKUP(BYT,'Předpis po mesici'!$A$3:$JQ$102,P22+131,FALSE),0)</f>
        <v>0</v>
      </c>
      <c r="AD22" s="484" t="str">
        <f>IF(AND(P22&gt;=$M$9,P22&lt;=$N$9),VLOOKUP(BYT,'Předpis po mesici'!$A$3:$JQ$102,P22+170,FALSE),0)</f>
        <v>0</v>
      </c>
      <c r="AE22" s="484" t="str">
        <f>IF(AND(P22&gt;=$M$9,P22&lt;=$N$9),VLOOKUP(BYT,'Předpis po mesici'!$A$3:$JQ$102,P22+183,FALSE),0)</f>
        <v>0</v>
      </c>
      <c r="AF22" s="484" t="str">
        <f>IF(AND(P22&gt;=$M$9,P22&lt;=$N$9),VLOOKUP(BYT,'Předpis po mesici'!$A$3:$JQ$102,P22+196,FALSE),0)</f>
        <v>0</v>
      </c>
      <c r="AG22" s="484" t="str">
        <f>IF(AND(P22&gt;=$M$9,P22&lt;=$N$9),VLOOKUP(BYT,'Předpis po mesici'!$A$3:$JQ$102,P22+209,FALSE),0)</f>
        <v>0</v>
      </c>
      <c r="AH22" s="484" t="str">
        <f>IF(AND(P22&gt;=$M$9,P22&lt;=$N$9),VLOOKUP(BYT,'Předpis po mesici'!$A$3:$JQ$102,P22+222,FALSE),0)</f>
        <v>0</v>
      </c>
      <c r="AI22" s="484" t="str">
        <f>IF(AND(P22&gt;=$M$9,P22&lt;=$N$9),VLOOKUP(BYT,'Předpis po mesici'!$A$3:$JQ$102,P22+157,FALSE),0)</f>
        <v>0</v>
      </c>
      <c r="AJ22" s="484" t="str">
        <f>IF(AND(P22&gt;=$M$9,P22&lt;=$N$9),VLOOKUP(BYT,'Počet osob'!$A$2:$JR$102,P22+2,FALSE),0)</f>
        <v>0</v>
      </c>
      <c r="AK22" s="484" t="str">
        <f>IF(AND(P22&gt;=$M$9,P22&lt;=$N$9),VLOOKUP(BYT,'Předpis po mesici'!$A$3:$JQ$102,P22+144,FALSE),0)</f>
        <v>0</v>
      </c>
      <c r="AL22" s="484" t="str">
        <f>IF(AND(P22&gt;=$M$9,P22&lt;=$N$9),VLOOKUP(BYT,'Předpis po mesici'!$A$3:$JQ$102,P22+248,FALSE),0)</f>
        <v>0</v>
      </c>
      <c r="AM22" s="484" t="str">
        <f>IF(AND(P22&gt;=$M$9,P22&lt;=$N$9),VLOOKUP(BYT,'Předpis po mesici'!$A$3:$JQ$102,P22+235,FALSE),0)</f>
        <v>0</v>
      </c>
      <c r="AN22" s="2" t="str">
        <f>IF(AND(P22&gt;=$M$9,P22&lt;=$N$9),VLOOKUP(BYT,'Předpis po mesici'!$A$3:$JQ$102,P22+235,FALSE),0)</f>
        <v>0</v>
      </c>
    </row>
    <row r="23" spans="1:1020" s="27" customFormat="1">
      <c r="A23" s="28" t="s">
        <v>189</v>
      </c>
      <c r="B23" s="225" t="str">
        <f>SUMIFS('Vodoměry SV'!I2:I103,'Vodoměry SV'!A2:A103,BYT)</f>
        <v>0</v>
      </c>
      <c r="D23" s="2"/>
      <c r="H23" s="2"/>
      <c r="I23" s="2"/>
      <c r="J23" s="2"/>
      <c r="K23" s="2"/>
      <c r="L23" s="475"/>
      <c r="M23" s="483">
        <v>5</v>
      </c>
      <c r="N23" s="569" t="str">
        <f>IF(AND(M23&gt;=$M$9,M23&lt;=$O$9),VLOOKUP(BYT,uhrady!$A$2:$M$102,M23+1,FALSE),0)</f>
        <v>0</v>
      </c>
      <c r="O23" s="475"/>
      <c r="P23" s="484">
        <v>5</v>
      </c>
      <c r="Q23" s="484" t="str">
        <f>IF(AND(P23&gt;=$M$9,P23&lt;=$O$9),VLOOKUP(BYT,'Předpis po mesici'!$A$3:$JQ$102,P23+262,FALSE),0)</f>
        <v>0</v>
      </c>
      <c r="R23" s="484">
        <v>5</v>
      </c>
      <c r="S23" s="484" t="str">
        <f>IF(AND(P23&gt;=$M$9,P23&lt;=$N$9),VLOOKUP(BYT,'Předpis po mesici'!$A$3:$JQ$102,P23+79,FALSE),0)</f>
        <v>0</v>
      </c>
      <c r="T23" s="484" t="str">
        <f>IF(AND(P23&gt;=$M$9,P23&lt;=$N$9),VLOOKUP(BYT,'Předpis po mesici'!$A$3:$JQ$102,P23+1,FALSE),0)</f>
        <v>0</v>
      </c>
      <c r="U23" s="484" t="str">
        <f>IF(AND(P23&gt;=$M$9,P23&lt;=$N$9),VLOOKUP(BYT,'Předpis po mesici'!$A$3:$JQ$102,P23+14,FALSE),0)</f>
        <v>0</v>
      </c>
      <c r="V23" s="484" t="str">
        <f>IF(AND(P23&gt;=$M$9,P23&lt;=$N$9),VLOOKUP(BYT,'Předpis po mesici'!$A$3:$JQ$102,P23+27,FALSE),0)</f>
        <v>0</v>
      </c>
      <c r="W23" s="484" t="str">
        <f>IF(AND(P23&gt;=$M$9,P23&lt;=$N$9),VLOOKUP(BYT,'Předpis po mesici'!$A$3:$JQ$102,P23+40,FALSE),0)</f>
        <v>0</v>
      </c>
      <c r="X23" s="484" t="str">
        <f>IF(AND(P23&gt;=$M$9,P23&lt;=$N$9),VLOOKUP(BYT,'Předpis po mesici'!$A$3:$JQ$102,P23+53,FALSE),0)</f>
        <v>0</v>
      </c>
      <c r="Y23" s="484" t="str">
        <f>IF(AND(P23&gt;=$M$9,P23&lt;=$N$9),VLOOKUP(BYT,'Předpis po mesici'!$A$3:$JQ$102,P23+66,FALSE),0)</f>
        <v>0</v>
      </c>
      <c r="Z23" s="484" t="str">
        <f>IF(AND(P23&gt;=$M$9,P23&lt;=$N$9),VLOOKUP(BYT,'Předpis po mesici'!$A$3:$JQ$102,P23+92,FALSE),0)</f>
        <v>0</v>
      </c>
      <c r="AA23" s="484" t="str">
        <f>IF(AND(P23&gt;=$M$9,P23&lt;=$N$9),VLOOKUP(BYT,'Předpis po mesici'!$A$3:$JQ$102,P23+105,FALSE),0)</f>
        <v>0</v>
      </c>
      <c r="AB23" s="484" t="str">
        <f>IF(AND(P23&gt;=$M$9,P23&lt;=$N$9),VLOOKUP(BYT,'Předpis po mesici'!$A$3:$JQ$102,P23+118,FALSE),0)</f>
        <v>0</v>
      </c>
      <c r="AC23" s="484" t="str">
        <f>IF(AND(P23&gt;=$M$9,P23&lt;=$N$9),VLOOKUP(BYT,'Předpis po mesici'!$A$3:$JQ$102,P23+131,FALSE),0)</f>
        <v>0</v>
      </c>
      <c r="AD23" s="484" t="str">
        <f>IF(AND(P23&gt;=$M$9,P23&lt;=$N$9),VLOOKUP(BYT,'Předpis po mesici'!$A$3:$JQ$102,P23+170,FALSE),0)</f>
        <v>0</v>
      </c>
      <c r="AE23" s="484" t="str">
        <f>IF(AND(P23&gt;=$M$9,P23&lt;=$N$9),VLOOKUP(BYT,'Předpis po mesici'!$A$3:$JQ$102,P23+183,FALSE),0)</f>
        <v>0</v>
      </c>
      <c r="AF23" s="484" t="str">
        <f>IF(AND(P23&gt;=$M$9,P23&lt;=$N$9),VLOOKUP(BYT,'Předpis po mesici'!$A$3:$JQ$102,P23+196,FALSE),0)</f>
        <v>0</v>
      </c>
      <c r="AG23" s="484" t="str">
        <f>IF(AND(P23&gt;=$M$9,P23&lt;=$N$9),VLOOKUP(BYT,'Předpis po mesici'!$A$3:$JQ$102,P23+209,FALSE),0)</f>
        <v>0</v>
      </c>
      <c r="AH23" s="484" t="str">
        <f>IF(AND(P23&gt;=$M$9,P23&lt;=$N$9),VLOOKUP(BYT,'Předpis po mesici'!$A$3:$JQ$102,P23+222,FALSE),0)</f>
        <v>0</v>
      </c>
      <c r="AI23" s="484" t="str">
        <f>IF(AND(P23&gt;=$M$9,P23&lt;=$N$9),VLOOKUP(BYT,'Předpis po mesici'!$A$3:$JQ$102,P23+157,FALSE),0)</f>
        <v>0</v>
      </c>
      <c r="AJ23" s="484" t="str">
        <f>IF(AND(P23&gt;=$M$9,P23&lt;=$N$9),VLOOKUP(BYT,'Počet osob'!$A$2:$JR$102,P23+2,FALSE),0)</f>
        <v>0</v>
      </c>
      <c r="AK23" s="484" t="str">
        <f>IF(AND(P23&gt;=$M$9,P23&lt;=$N$9),VLOOKUP(BYT,'Předpis po mesici'!$A$3:$JQ$102,P23+144,FALSE),0)</f>
        <v>0</v>
      </c>
      <c r="AL23" s="484" t="str">
        <f>IF(AND(P23&gt;=$M$9,P23&lt;=$N$9),VLOOKUP(BYT,'Předpis po mesici'!$A$3:$JQ$102,P23+248,FALSE),0)</f>
        <v>0</v>
      </c>
      <c r="AM23" s="484" t="str">
        <f>IF(AND(P23&gt;=$M$9,P23&lt;=$N$9),VLOOKUP(BYT,'Předpis po mesici'!$A$3:$JQ$102,P23+235,FALSE),0)</f>
        <v>0</v>
      </c>
      <c r="AN23" s="2" t="str">
        <f>IF(AND(P23&gt;=$M$9,P23&lt;=$N$9),VLOOKUP(BYT,'Předpis po mesici'!$A$3:$JQ$102,P23+235,FALSE),0)</f>
        <v>0</v>
      </c>
    </row>
    <row r="24" spans="1:1020">
      <c r="A24" s="28" t="s">
        <v>190</v>
      </c>
      <c r="B24" s="225" t="str">
        <f>SUMIFS('Vodoměry TUV'!I2:I114,'Vodoměry TUV'!A2:A114,BYT)</f>
        <v>0</v>
      </c>
      <c r="C24" s="27"/>
      <c r="E24" s="27"/>
      <c r="F24" s="27"/>
      <c r="G24" s="27"/>
      <c r="L24" s="475"/>
      <c r="M24" s="483">
        <v>6</v>
      </c>
      <c r="N24" s="569" t="str">
        <f>IF(AND(M24&gt;=$M$9,M24&lt;=$O$9),VLOOKUP(BYT,uhrady!$A$2:$M$102,M24+1,FALSE),0)</f>
        <v>0</v>
      </c>
      <c r="O24" s="475"/>
      <c r="P24" s="484">
        <v>6</v>
      </c>
      <c r="Q24" s="484" t="str">
        <f>IF(AND(P24&gt;=$M$9,P24&lt;=$O$9),VLOOKUP(BYT,'Předpis po mesici'!$A$3:$JQ$102,P24+262,FALSE),0)</f>
        <v>0</v>
      </c>
      <c r="R24" s="484">
        <v>6</v>
      </c>
      <c r="S24" s="484" t="str">
        <f>IF(AND(P24&gt;=$M$9,P24&lt;=$N$9),VLOOKUP(BYT,'Předpis po mesici'!$A$3:$JQ$102,P24+79,FALSE),0)</f>
        <v>0</v>
      </c>
      <c r="T24" s="484" t="str">
        <f>IF(AND(P24&gt;=$M$9,P24&lt;=$N$9),VLOOKUP(BYT,'Předpis po mesici'!$A$3:$JQ$102,P24+1,FALSE),0)</f>
        <v>0</v>
      </c>
      <c r="U24" s="484" t="str">
        <f>IF(AND(P24&gt;=$M$9,P24&lt;=$N$9),VLOOKUP(BYT,'Předpis po mesici'!$A$3:$JQ$102,P24+14,FALSE),0)</f>
        <v>0</v>
      </c>
      <c r="V24" s="484" t="str">
        <f>IF(AND(P24&gt;=$M$9,P24&lt;=$N$9),VLOOKUP(BYT,'Předpis po mesici'!$A$3:$JQ$102,P24+27,FALSE),0)</f>
        <v>0</v>
      </c>
      <c r="W24" s="484" t="str">
        <f>IF(AND(P24&gt;=$M$9,P24&lt;=$N$9),VLOOKUP(BYT,'Předpis po mesici'!$A$3:$JQ$102,P24+40,FALSE),0)</f>
        <v>0</v>
      </c>
      <c r="X24" s="484" t="str">
        <f>IF(AND(P24&gt;=$M$9,P24&lt;=$N$9),VLOOKUP(BYT,'Předpis po mesici'!$A$3:$JQ$102,P24+53,FALSE),0)</f>
        <v>0</v>
      </c>
      <c r="Y24" s="484" t="str">
        <f>IF(AND(P24&gt;=$M$9,P24&lt;=$N$9),VLOOKUP(BYT,'Předpis po mesici'!$A$3:$JQ$102,P24+66,FALSE),0)</f>
        <v>0</v>
      </c>
      <c r="Z24" s="484" t="str">
        <f>IF(AND(P24&gt;=$M$9,P24&lt;=$N$9),VLOOKUP(BYT,'Předpis po mesici'!$A$3:$JQ$102,P24+92,FALSE),0)</f>
        <v>0</v>
      </c>
      <c r="AA24" s="484" t="str">
        <f>IF(AND(P24&gt;=$M$9,P24&lt;=$N$9),VLOOKUP(BYT,'Předpis po mesici'!$A$3:$JQ$102,P24+105,FALSE),0)</f>
        <v>0</v>
      </c>
      <c r="AB24" s="484" t="str">
        <f>IF(AND(P24&gt;=$M$9,P24&lt;=$N$9),VLOOKUP(BYT,'Předpis po mesici'!$A$3:$JQ$102,P24+118,FALSE),0)</f>
        <v>0</v>
      </c>
      <c r="AC24" s="484" t="str">
        <f>IF(AND(P24&gt;=$M$9,P24&lt;=$N$9),VLOOKUP(BYT,'Předpis po mesici'!$A$3:$JQ$102,P24+131,FALSE),0)</f>
        <v>0</v>
      </c>
      <c r="AD24" s="484" t="str">
        <f>IF(AND(P24&gt;=$M$9,P24&lt;=$N$9),VLOOKUP(BYT,'Předpis po mesici'!$A$3:$JQ$102,P24+170,FALSE),0)</f>
        <v>0</v>
      </c>
      <c r="AE24" s="484" t="str">
        <f>IF(AND(P24&gt;=$M$9,P24&lt;=$N$9),VLOOKUP(BYT,'Předpis po mesici'!$A$3:$JQ$102,P24+183,FALSE),0)</f>
        <v>0</v>
      </c>
      <c r="AF24" s="484" t="str">
        <f>IF(AND(P24&gt;=$M$9,P24&lt;=$N$9),VLOOKUP(BYT,'Předpis po mesici'!$A$3:$JQ$102,P24+196,FALSE),0)</f>
        <v>0</v>
      </c>
      <c r="AG24" s="484" t="str">
        <f>IF(AND(P24&gt;=$M$9,P24&lt;=$N$9),VLOOKUP(BYT,'Předpis po mesici'!$A$3:$JQ$102,P24+209,FALSE),0)</f>
        <v>0</v>
      </c>
      <c r="AH24" s="484" t="str">
        <f>IF(AND(P24&gt;=$M$9,P24&lt;=$N$9),VLOOKUP(BYT,'Předpis po mesici'!$A$3:$JQ$102,P24+222,FALSE),0)</f>
        <v>0</v>
      </c>
      <c r="AI24" s="484" t="str">
        <f>IF(AND(P24&gt;=$M$9,P24&lt;=$N$9),VLOOKUP(BYT,'Předpis po mesici'!$A$3:$JQ$102,P24+157,FALSE),0)</f>
        <v>0</v>
      </c>
      <c r="AJ24" s="484" t="str">
        <f>IF(AND(P24&gt;=$M$9,P24&lt;=$N$9),VLOOKUP(BYT,'Počet osob'!$A$2:$JR$102,P24+2,FALSE),0)</f>
        <v>0</v>
      </c>
      <c r="AK24" s="484" t="str">
        <f>IF(AND(P24&gt;=$M$9,P24&lt;=$N$9),VLOOKUP(BYT,'Předpis po mesici'!$A$3:$JQ$102,P24+144,FALSE),0)</f>
        <v>0</v>
      </c>
      <c r="AL24" s="484" t="str">
        <f>IF(AND(P24&gt;=$M$9,P24&lt;=$N$9),VLOOKUP(BYT,'Předpis po mesici'!$A$3:$JQ$102,P24+248,FALSE),0)</f>
        <v>0</v>
      </c>
      <c r="AM24" s="484" t="str">
        <f>IF(AND(P24&gt;=$M$9,P24&lt;=$N$9),VLOOKUP(BYT,'Předpis po mesici'!$A$3:$JQ$102,P24+235,FALSE),0)</f>
        <v>0</v>
      </c>
      <c r="AN24" s="2" t="str">
        <f>IF(AND(P24&gt;=$M$9,P24&lt;=$N$9),VLOOKUP(BYT,'Předpis po mesici'!$A$3:$JQ$102,P24+235,FALSE),0)</f>
        <v>0</v>
      </c>
    </row>
    <row r="25" spans="1:1020" s="27" customFormat="1">
      <c r="A25" s="84" t="s">
        <v>191</v>
      </c>
      <c r="B25" s="229" t="str">
        <f>VLOOKUP(BYT,Evidence!$A:$Z,7,0)</f>
        <v>0</v>
      </c>
      <c r="D25" s="29" t="s">
        <v>192</v>
      </c>
      <c r="E25" s="231" t="str">
        <f>VLOOKUP(BYT,Evidence!$A:$Z,16,0)</f>
        <v>0</v>
      </c>
      <c r="H25" s="2"/>
      <c r="I25" s="2"/>
      <c r="J25" s="2"/>
      <c r="K25" s="2"/>
      <c r="L25" s="475"/>
      <c r="M25" s="483">
        <v>7</v>
      </c>
      <c r="N25" s="569" t="str">
        <f>IF(AND(M25&gt;=$M$9,M25&lt;=$O$9),VLOOKUP(BYT,uhrady!$A$2:$M$102,M25+1,FALSE),0)</f>
        <v>0</v>
      </c>
      <c r="O25" s="475"/>
      <c r="P25" s="484">
        <v>7</v>
      </c>
      <c r="Q25" s="484" t="str">
        <f>IF(AND(P25&gt;=$M$9,P25&lt;=$O$9),VLOOKUP(BYT,'Předpis po mesici'!$A$3:$JQ$102,P25+262,FALSE),0)</f>
        <v>0</v>
      </c>
      <c r="R25" s="484">
        <v>7</v>
      </c>
      <c r="S25" s="484" t="str">
        <f>IF(AND(P25&gt;=$M$9,P25&lt;=$N$9),VLOOKUP(BYT,'Předpis po mesici'!$A$3:$JQ$102,P25+79,FALSE),0)</f>
        <v>0</v>
      </c>
      <c r="T25" s="484" t="str">
        <f>IF(AND(P25&gt;=$M$9,P25&lt;=$N$9),VLOOKUP(BYT,'Předpis po mesici'!$A$3:$JQ$102,P25+1,FALSE),0)</f>
        <v>0</v>
      </c>
      <c r="U25" s="484" t="str">
        <f>IF(AND(P25&gt;=$M$9,P25&lt;=$N$9),VLOOKUP(BYT,'Předpis po mesici'!$A$3:$JQ$102,P25+14,FALSE),0)</f>
        <v>0</v>
      </c>
      <c r="V25" s="484" t="str">
        <f>IF(AND(P25&gt;=$M$9,P25&lt;=$N$9),VLOOKUP(BYT,'Předpis po mesici'!$A$3:$JQ$102,P25+27,FALSE),0)</f>
        <v>0</v>
      </c>
      <c r="W25" s="484" t="str">
        <f>IF(AND(P25&gt;=$M$9,P25&lt;=$N$9),VLOOKUP(BYT,'Předpis po mesici'!$A$3:$JQ$102,P25+40,FALSE),0)</f>
        <v>0</v>
      </c>
      <c r="X25" s="484" t="str">
        <f>IF(AND(P25&gt;=$M$9,P25&lt;=$N$9),VLOOKUP(BYT,'Předpis po mesici'!$A$3:$JQ$102,P25+53,FALSE),0)</f>
        <v>0</v>
      </c>
      <c r="Y25" s="484" t="str">
        <f>IF(AND(P25&gt;=$M$9,P25&lt;=$N$9),VLOOKUP(BYT,'Předpis po mesici'!$A$3:$JQ$102,P25+66,FALSE),0)</f>
        <v>0</v>
      </c>
      <c r="Z25" s="484" t="str">
        <f>IF(AND(P25&gt;=$M$9,P25&lt;=$N$9),VLOOKUP(BYT,'Předpis po mesici'!$A$3:$JQ$102,P25+92,FALSE),0)</f>
        <v>0</v>
      </c>
      <c r="AA25" s="484" t="str">
        <f>IF(AND(P25&gt;=$M$9,P25&lt;=$N$9),VLOOKUP(BYT,'Předpis po mesici'!$A$3:$JQ$102,P25+105,FALSE),0)</f>
        <v>0</v>
      </c>
      <c r="AB25" s="484" t="str">
        <f>IF(AND(P25&gt;=$M$9,P25&lt;=$N$9),VLOOKUP(BYT,'Předpis po mesici'!$A$3:$JQ$102,P25+118,FALSE),0)</f>
        <v>0</v>
      </c>
      <c r="AC25" s="484" t="str">
        <f>IF(AND(P25&gt;=$M$9,P25&lt;=$N$9),VLOOKUP(BYT,'Předpis po mesici'!$A$3:$JQ$102,P25+131,FALSE),0)</f>
        <v>0</v>
      </c>
      <c r="AD25" s="484" t="str">
        <f>IF(AND(P25&gt;=$M$9,P25&lt;=$N$9),VLOOKUP(BYT,'Předpis po mesici'!$A$3:$JQ$102,P25+170,FALSE),0)</f>
        <v>0</v>
      </c>
      <c r="AE25" s="484" t="str">
        <f>IF(AND(P25&gt;=$M$9,P25&lt;=$N$9),VLOOKUP(BYT,'Předpis po mesici'!$A$3:$JQ$102,P25+183,FALSE),0)</f>
        <v>0</v>
      </c>
      <c r="AF25" s="484" t="str">
        <f>IF(AND(P25&gt;=$M$9,P25&lt;=$N$9),VLOOKUP(BYT,'Předpis po mesici'!$A$3:$JQ$102,P25+196,FALSE),0)</f>
        <v>0</v>
      </c>
      <c r="AG25" s="484" t="str">
        <f>IF(AND(P25&gt;=$M$9,P25&lt;=$N$9),VLOOKUP(BYT,'Předpis po mesici'!$A$3:$JQ$102,P25+209,FALSE),0)</f>
        <v>0</v>
      </c>
      <c r="AH25" s="484" t="str">
        <f>IF(AND(P25&gt;=$M$9,P25&lt;=$N$9),VLOOKUP(BYT,'Předpis po mesici'!$A$3:$JQ$102,P25+222,FALSE),0)</f>
        <v>0</v>
      </c>
      <c r="AI25" s="484" t="str">
        <f>IF(AND(P25&gt;=$M$9,P25&lt;=$N$9),VLOOKUP(BYT,'Předpis po mesici'!$A$3:$JQ$102,P25+157,FALSE),0)</f>
        <v>0</v>
      </c>
      <c r="AJ25" s="484" t="str">
        <f>IF(AND(P25&gt;=$M$9,P25&lt;=$N$9),VLOOKUP(BYT,'Počet osob'!$A$2:$JR$102,P25+2,FALSE),0)</f>
        <v>0</v>
      </c>
      <c r="AK25" s="484" t="str">
        <f>IF(AND(P25&gt;=$M$9,P25&lt;=$N$9),VLOOKUP(BYT,'Předpis po mesici'!$A$3:$JQ$102,P25+144,FALSE),0)</f>
        <v>0</v>
      </c>
      <c r="AL25" s="484" t="str">
        <f>IF(AND(P25&gt;=$M$9,P25&lt;=$N$9),VLOOKUP(BYT,'Předpis po mesici'!$A$3:$JQ$102,P25+248,FALSE),0)</f>
        <v>0</v>
      </c>
      <c r="AM25" s="484" t="str">
        <f>IF(AND(P25&gt;=$M$9,P25&lt;=$N$9),VLOOKUP(BYT,'Předpis po mesici'!$A$3:$JQ$102,P25+235,FALSE),0)</f>
        <v>0</v>
      </c>
      <c r="AN25" s="2" t="str">
        <f>IF(AND(P25&gt;=$M$9,P25&lt;=$N$9),VLOOKUP(BYT,'Předpis po mesici'!$A$3:$JQ$102,P25+235,FALSE),0)</f>
        <v>0</v>
      </c>
    </row>
    <row r="26" spans="1:1020" s="27" customFormat="1">
      <c r="A26" s="84" t="s">
        <v>193</v>
      </c>
      <c r="B26" s="229" t="str">
        <f>VLOOKUP(BYT,Evidence!$A:$Z,8,0)</f>
        <v>0</v>
      </c>
      <c r="D26" s="29" t="s">
        <v>194</v>
      </c>
      <c r="E26" s="231" t="str">
        <f>VLOOKUP(BYT,Evidence!$A:$Z,18,0)</f>
        <v>0</v>
      </c>
      <c r="H26" s="2"/>
      <c r="I26" s="2"/>
      <c r="J26" s="2"/>
      <c r="K26" s="2"/>
      <c r="L26" s="475"/>
      <c r="M26" s="483">
        <v>8</v>
      </c>
      <c r="N26" s="569" t="str">
        <f>IF(AND(M26&gt;=$M$9,M26&lt;=$O$9),VLOOKUP(BYT,uhrady!$A$2:$M$102,M26+1,FALSE),0)</f>
        <v>0</v>
      </c>
      <c r="O26" s="475"/>
      <c r="P26" s="484">
        <v>8</v>
      </c>
      <c r="Q26" s="484" t="str">
        <f>IF(AND(P26&gt;=$M$9,P26&lt;=$O$9),VLOOKUP(BYT,'Předpis po mesici'!$A$3:$JQ$102,P26+262,FALSE),0)</f>
        <v>0</v>
      </c>
      <c r="R26" s="484">
        <v>8</v>
      </c>
      <c r="S26" s="484" t="str">
        <f>IF(AND(P26&gt;=$M$9,P26&lt;=$N$9),VLOOKUP(BYT,'Předpis po mesici'!$A$3:$JQ$102,P26+79,FALSE),0)</f>
        <v>0</v>
      </c>
      <c r="T26" s="484" t="str">
        <f>IF(AND(P26&gt;=$M$9,P26&lt;=$N$9),VLOOKUP(BYT,'Předpis po mesici'!$A$3:$JQ$102,P26+1,FALSE),0)</f>
        <v>0</v>
      </c>
      <c r="U26" s="484" t="str">
        <f>IF(AND(P26&gt;=$M$9,P26&lt;=$N$9),VLOOKUP(BYT,'Předpis po mesici'!$A$3:$JQ$102,P26+14,FALSE),0)</f>
        <v>0</v>
      </c>
      <c r="V26" s="484" t="str">
        <f>IF(AND(P26&gt;=$M$9,P26&lt;=$N$9),VLOOKUP(BYT,'Předpis po mesici'!$A$3:$JQ$102,P26+27,FALSE),0)</f>
        <v>0</v>
      </c>
      <c r="W26" s="484" t="str">
        <f>IF(AND(P26&gt;=$M$9,P26&lt;=$N$9),VLOOKUP(BYT,'Předpis po mesici'!$A$3:$JQ$102,P26+40,FALSE),0)</f>
        <v>0</v>
      </c>
      <c r="X26" s="484" t="str">
        <f>IF(AND(P26&gt;=$M$9,P26&lt;=$N$9),VLOOKUP(BYT,'Předpis po mesici'!$A$3:$JQ$102,P26+53,FALSE),0)</f>
        <v>0</v>
      </c>
      <c r="Y26" s="484" t="str">
        <f>IF(AND(P26&gt;=$M$9,P26&lt;=$N$9),VLOOKUP(BYT,'Předpis po mesici'!$A$3:$JQ$102,P26+66,FALSE),0)</f>
        <v>0</v>
      </c>
      <c r="Z26" s="484" t="str">
        <f>IF(AND(P26&gt;=$M$9,P26&lt;=$N$9),VLOOKUP(BYT,'Předpis po mesici'!$A$3:$JQ$102,P26+92,FALSE),0)</f>
        <v>0</v>
      </c>
      <c r="AA26" s="484" t="str">
        <f>IF(AND(P26&gt;=$M$9,P26&lt;=$N$9),VLOOKUP(BYT,'Předpis po mesici'!$A$3:$JQ$102,P26+105,FALSE),0)</f>
        <v>0</v>
      </c>
      <c r="AB26" s="484" t="str">
        <f>IF(AND(P26&gt;=$M$9,P26&lt;=$N$9),VLOOKUP(BYT,'Předpis po mesici'!$A$3:$JQ$102,P26+118,FALSE),0)</f>
        <v>0</v>
      </c>
      <c r="AC26" s="484" t="str">
        <f>IF(AND(P26&gt;=$M$9,P26&lt;=$N$9),VLOOKUP(BYT,'Předpis po mesici'!$A$3:$JQ$102,P26+131,FALSE),0)</f>
        <v>0</v>
      </c>
      <c r="AD26" s="484" t="str">
        <f>IF(AND(P26&gt;=$M$9,P26&lt;=$N$9),VLOOKUP(BYT,'Předpis po mesici'!$A$3:$JQ$102,P26+170,FALSE),0)</f>
        <v>0</v>
      </c>
      <c r="AE26" s="484" t="str">
        <f>IF(AND(P26&gt;=$M$9,P26&lt;=$N$9),VLOOKUP(BYT,'Předpis po mesici'!$A$3:$JQ$102,P26+183,FALSE),0)</f>
        <v>0</v>
      </c>
      <c r="AF26" s="484" t="str">
        <f>IF(AND(P26&gt;=$M$9,P26&lt;=$N$9),VLOOKUP(BYT,'Předpis po mesici'!$A$3:$JQ$102,P26+196,FALSE),0)</f>
        <v>0</v>
      </c>
      <c r="AG26" s="484" t="str">
        <f>IF(AND(P26&gt;=$M$9,P26&lt;=$N$9),VLOOKUP(BYT,'Předpis po mesici'!$A$3:$JQ$102,P26+209,FALSE),0)</f>
        <v>0</v>
      </c>
      <c r="AH26" s="484" t="str">
        <f>IF(AND(P26&gt;=$M$9,P26&lt;=$N$9),VLOOKUP(BYT,'Předpis po mesici'!$A$3:$JQ$102,P26+222,FALSE),0)</f>
        <v>0</v>
      </c>
      <c r="AI26" s="484" t="str">
        <f>IF(AND(P26&gt;=$M$9,P26&lt;=$N$9),VLOOKUP(BYT,'Předpis po mesici'!$A$3:$JQ$102,P26+157,FALSE),0)</f>
        <v>0</v>
      </c>
      <c r="AJ26" s="484" t="str">
        <f>IF(AND(P26&gt;=$M$9,P26&lt;=$N$9),VLOOKUP(BYT,'Počet osob'!$A$2:$JR$102,P26+2,FALSE),0)</f>
        <v>0</v>
      </c>
      <c r="AK26" s="484" t="str">
        <f>IF(AND(P26&gt;=$M$9,P26&lt;=$N$9),VLOOKUP(BYT,'Předpis po mesici'!$A$3:$JQ$102,P26+144,FALSE),0)</f>
        <v>0</v>
      </c>
      <c r="AL26" s="484" t="str">
        <f>IF(AND(P26&gt;=$M$9,P26&lt;=$N$9),VLOOKUP(BYT,'Předpis po mesici'!$A$3:$JQ$102,P26+248,FALSE),0)</f>
        <v>0</v>
      </c>
      <c r="AM26" s="484" t="str">
        <f>IF(AND(P26&gt;=$M$9,P26&lt;=$N$9),VLOOKUP(BYT,'Předpis po mesici'!$A$3:$JQ$102,P26+235,FALSE),0)</f>
        <v>0</v>
      </c>
      <c r="AN26" s="2" t="str">
        <f>IF(AND(P26&gt;=$M$9,P26&lt;=$N$9),VLOOKUP(BYT,'Předpis po mesici'!$A$3:$JQ$102,P26+235,FALSE),0)</f>
        <v>0</v>
      </c>
    </row>
    <row r="27" spans="1:1020">
      <c r="A27" s="84" t="s">
        <v>195</v>
      </c>
      <c r="B27" s="229" t="str">
        <f>VLOOKUP(BYT,Evidence!$A:$Z,9,0)</f>
        <v>0</v>
      </c>
      <c r="C27" s="27"/>
      <c r="E27" s="27"/>
      <c r="F27" s="27"/>
      <c r="G27" s="27"/>
      <c r="L27" s="475"/>
      <c r="M27" s="483">
        <v>9</v>
      </c>
      <c r="N27" s="569" t="str">
        <f>IF(AND(M27&gt;=$M$9,M27&lt;=$O$9),VLOOKUP(BYT,uhrady!$A$2:$M$102,M27+1,FALSE),0)</f>
        <v>0</v>
      </c>
      <c r="O27" s="482"/>
      <c r="P27" s="484">
        <v>9</v>
      </c>
      <c r="Q27" s="484" t="str">
        <f>IF(AND(P27&gt;=$M$9,P27&lt;=$O$9),VLOOKUP(BYT,'Předpis po mesici'!$A$3:$JQ$102,P27+262,FALSE),0)</f>
        <v>0</v>
      </c>
      <c r="R27" s="484">
        <v>9</v>
      </c>
      <c r="S27" s="484" t="str">
        <f>IF(AND(P27&gt;=$M$9,P27&lt;=$N$9),VLOOKUP(BYT,'Předpis po mesici'!$A$3:$JQ$102,P27+79,FALSE),0)</f>
        <v>0</v>
      </c>
      <c r="T27" s="484" t="str">
        <f>IF(AND(P27&gt;=$M$9,P27&lt;=$N$9),VLOOKUP(BYT,'Předpis po mesici'!$A$3:$JQ$102,P27+1,FALSE),0)</f>
        <v>0</v>
      </c>
      <c r="U27" s="484" t="str">
        <f>IF(AND(P27&gt;=$M$9,P27&lt;=$N$9),VLOOKUP(BYT,'Předpis po mesici'!$A$3:$JQ$102,P27+14,FALSE),0)</f>
        <v>0</v>
      </c>
      <c r="V27" s="484" t="str">
        <f>IF(AND(P27&gt;=$M$9,P27&lt;=$N$9),VLOOKUP(BYT,'Předpis po mesici'!$A$3:$JQ$102,P27+27,FALSE),0)</f>
        <v>0</v>
      </c>
      <c r="W27" s="484" t="str">
        <f>IF(AND(P27&gt;=$M$9,P27&lt;=$N$9),VLOOKUP(BYT,'Předpis po mesici'!$A$3:$JQ$102,P27+40,FALSE),0)</f>
        <v>0</v>
      </c>
      <c r="X27" s="484" t="str">
        <f>IF(AND(P27&gt;=$M$9,P27&lt;=$N$9),VLOOKUP(BYT,'Předpis po mesici'!$A$3:$JQ$102,P27+53,FALSE),0)</f>
        <v>0</v>
      </c>
      <c r="Y27" s="484" t="str">
        <f>IF(AND(P27&gt;=$M$9,P27&lt;=$N$9),VLOOKUP(BYT,'Předpis po mesici'!$A$3:$JQ$102,P27+66,FALSE),0)</f>
        <v>0</v>
      </c>
      <c r="Z27" s="484" t="str">
        <f>IF(AND(P27&gt;=$M$9,P27&lt;=$N$9),VLOOKUP(BYT,'Předpis po mesici'!$A$3:$JQ$102,P27+92,FALSE),0)</f>
        <v>0</v>
      </c>
      <c r="AA27" s="484" t="str">
        <f>IF(AND(P27&gt;=$M$9,P27&lt;=$N$9),VLOOKUP(BYT,'Předpis po mesici'!$A$3:$JQ$102,P27+105,FALSE),0)</f>
        <v>0</v>
      </c>
      <c r="AB27" s="484" t="str">
        <f>IF(AND(P27&gt;=$M$9,P27&lt;=$N$9),VLOOKUP(BYT,'Předpis po mesici'!$A$3:$JQ$102,P27+118,FALSE),0)</f>
        <v>0</v>
      </c>
      <c r="AC27" s="484" t="str">
        <f>IF(AND(P27&gt;=$M$9,P27&lt;=$N$9),VLOOKUP(BYT,'Předpis po mesici'!$A$3:$JQ$102,P27+131,FALSE),0)</f>
        <v>0</v>
      </c>
      <c r="AD27" s="484" t="str">
        <f>IF(AND(P27&gt;=$M$9,P27&lt;=$N$9),VLOOKUP(BYT,'Předpis po mesici'!$A$3:$JQ$102,P27+170,FALSE),0)</f>
        <v>0</v>
      </c>
      <c r="AE27" s="484" t="str">
        <f>IF(AND(P27&gt;=$M$9,P27&lt;=$N$9),VLOOKUP(BYT,'Předpis po mesici'!$A$3:$JQ$102,P27+183,FALSE),0)</f>
        <v>0</v>
      </c>
      <c r="AF27" s="484" t="str">
        <f>IF(AND(P27&gt;=$M$9,P27&lt;=$N$9),VLOOKUP(BYT,'Předpis po mesici'!$A$3:$JQ$102,P27+196,FALSE),0)</f>
        <v>0</v>
      </c>
      <c r="AG27" s="484" t="str">
        <f>IF(AND(P27&gt;=$M$9,P27&lt;=$N$9),VLOOKUP(BYT,'Předpis po mesici'!$A$3:$JQ$102,P27+209,FALSE),0)</f>
        <v>0</v>
      </c>
      <c r="AH27" s="484" t="str">
        <f>IF(AND(P27&gt;=$M$9,P27&lt;=$N$9),VLOOKUP(BYT,'Předpis po mesici'!$A$3:$JQ$102,P27+222,FALSE),0)</f>
        <v>0</v>
      </c>
      <c r="AI27" s="484" t="str">
        <f>IF(AND(P27&gt;=$M$9,P27&lt;=$N$9),VLOOKUP(BYT,'Předpis po mesici'!$A$3:$JQ$102,P27+157,FALSE),0)</f>
        <v>0</v>
      </c>
      <c r="AJ27" s="484" t="str">
        <f>IF(AND(P27&gt;=$M$9,P27&lt;=$N$9),VLOOKUP(BYT,'Počet osob'!$A$2:$JR$102,P27+2,FALSE),0)</f>
        <v>0</v>
      </c>
      <c r="AK27" s="484" t="str">
        <f>IF(AND(P27&gt;=$M$9,P27&lt;=$N$9),VLOOKUP(BYT,'Předpis po mesici'!$A$3:$JQ$102,P27+144,FALSE),0)</f>
        <v>0</v>
      </c>
      <c r="AL27" s="484" t="str">
        <f>IF(AND(P27&gt;=$M$9,P27&lt;=$N$9),VLOOKUP(BYT,'Předpis po mesici'!$A$3:$JQ$102,P27+248,FALSE),0)</f>
        <v>0</v>
      </c>
      <c r="AM27" s="484" t="str">
        <f>IF(AND(P27&gt;=$M$9,P27&lt;=$N$9),VLOOKUP(BYT,'Předpis po mesici'!$A$3:$JQ$102,P27+235,FALSE),0)</f>
        <v>0</v>
      </c>
      <c r="AN27" s="2" t="str">
        <f>IF(AND(P27&gt;=$M$9,P27&lt;=$N$9),VLOOKUP(BYT,'Předpis po mesici'!$A$3:$JQ$102,P27+235,FALSE),0)</f>
        <v>0</v>
      </c>
    </row>
    <row r="28" spans="1:1020" s="27" customFormat="1">
      <c r="A28" s="84" t="s">
        <v>196</v>
      </c>
      <c r="B28" s="229" t="str">
        <f>VLOOKUP(BYT,Evidence!$A:$Z,14,0)</f>
        <v>0</v>
      </c>
      <c r="D28" s="2"/>
      <c r="H28" s="2"/>
      <c r="I28" s="2"/>
      <c r="J28" s="2"/>
      <c r="K28" s="2"/>
      <c r="L28" s="475"/>
      <c r="M28" s="483">
        <v>10</v>
      </c>
      <c r="N28" s="569" t="str">
        <f>IF(AND(M28&gt;=$M$9,M28&lt;=$O$9),VLOOKUP(BYT,uhrady!$A$2:$M$102,M28+1,FALSE),0)</f>
        <v>0</v>
      </c>
      <c r="O28" s="475"/>
      <c r="P28" s="484">
        <v>10</v>
      </c>
      <c r="Q28" s="484" t="str">
        <f>IF(AND(P28&gt;=$M$9,P28&lt;=$O$9),VLOOKUP(BYT,'Předpis po mesici'!$A$3:$JQ$102,P28+262,FALSE),0)</f>
        <v>0</v>
      </c>
      <c r="R28" s="484">
        <v>10</v>
      </c>
      <c r="S28" s="484" t="str">
        <f>IF(AND(P28&gt;=$M$9,P28&lt;=$N$9),VLOOKUP(BYT,'Předpis po mesici'!$A$3:$JQ$102,P28+79,FALSE),0)</f>
        <v>0</v>
      </c>
      <c r="T28" s="484" t="str">
        <f>IF(AND(P28&gt;=$M$9,P28&lt;=$N$9),VLOOKUP(BYT,'Předpis po mesici'!$A$3:$JQ$102,P28+1,FALSE),0)</f>
        <v>0</v>
      </c>
      <c r="U28" s="484" t="str">
        <f>IF(AND(P28&gt;=$M$9,P28&lt;=$N$9),VLOOKUP(BYT,'Předpis po mesici'!$A$3:$JQ$102,P28+14,FALSE),0)</f>
        <v>0</v>
      </c>
      <c r="V28" s="484" t="str">
        <f>IF(AND(P28&gt;=$M$9,P28&lt;=$N$9),VLOOKUP(BYT,'Předpis po mesici'!$A$3:$JQ$102,P28+27,FALSE),0)</f>
        <v>0</v>
      </c>
      <c r="W28" s="484" t="str">
        <f>IF(AND(P28&gt;=$M$9,P28&lt;=$N$9),VLOOKUP(BYT,'Předpis po mesici'!$A$3:$JQ$102,P28+40,FALSE),0)</f>
        <v>0</v>
      </c>
      <c r="X28" s="484" t="str">
        <f>IF(AND(P28&gt;=$M$9,P28&lt;=$N$9),VLOOKUP(BYT,'Předpis po mesici'!$A$3:$JQ$102,P28+53,FALSE),0)</f>
        <v>0</v>
      </c>
      <c r="Y28" s="484" t="str">
        <f>IF(AND(P28&gt;=$M$9,P28&lt;=$N$9),VLOOKUP(BYT,'Předpis po mesici'!$A$3:$JQ$102,P28+66,FALSE),0)</f>
        <v>0</v>
      </c>
      <c r="Z28" s="484" t="str">
        <f>IF(AND(P28&gt;=$M$9,P28&lt;=$N$9),VLOOKUP(BYT,'Předpis po mesici'!$A$3:$JQ$102,P28+92,FALSE),0)</f>
        <v>0</v>
      </c>
      <c r="AA28" s="484" t="str">
        <f>IF(AND(P28&gt;=$M$9,P28&lt;=$N$9),VLOOKUP(BYT,'Předpis po mesici'!$A$3:$JQ$102,P28+105,FALSE),0)</f>
        <v>0</v>
      </c>
      <c r="AB28" s="484" t="str">
        <f>IF(AND(P28&gt;=$M$9,P28&lt;=$N$9),VLOOKUP(BYT,'Předpis po mesici'!$A$3:$JQ$102,P28+118,FALSE),0)</f>
        <v>0</v>
      </c>
      <c r="AC28" s="484" t="str">
        <f>IF(AND(P28&gt;=$M$9,P28&lt;=$N$9),VLOOKUP(BYT,'Předpis po mesici'!$A$3:$JQ$102,P28+131,FALSE),0)</f>
        <v>0</v>
      </c>
      <c r="AD28" s="484" t="str">
        <f>IF(AND(P28&gt;=$M$9,P28&lt;=$N$9),VLOOKUP(BYT,'Předpis po mesici'!$A$3:$JQ$102,P28+170,FALSE),0)</f>
        <v>0</v>
      </c>
      <c r="AE28" s="484" t="str">
        <f>IF(AND(P28&gt;=$M$9,P28&lt;=$N$9),VLOOKUP(BYT,'Předpis po mesici'!$A$3:$JQ$102,P28+183,FALSE),0)</f>
        <v>0</v>
      </c>
      <c r="AF28" s="484" t="str">
        <f>IF(AND(P28&gt;=$M$9,P28&lt;=$N$9),VLOOKUP(BYT,'Předpis po mesici'!$A$3:$JQ$102,P28+196,FALSE),0)</f>
        <v>0</v>
      </c>
      <c r="AG28" s="484" t="str">
        <f>IF(AND(P28&gt;=$M$9,P28&lt;=$N$9),VLOOKUP(BYT,'Předpis po mesici'!$A$3:$JQ$102,P28+209,FALSE),0)</f>
        <v>0</v>
      </c>
      <c r="AH28" s="484" t="str">
        <f>IF(AND(P28&gt;=$M$9,P28&lt;=$N$9),VLOOKUP(BYT,'Předpis po mesici'!$A$3:$JQ$102,P28+222,FALSE),0)</f>
        <v>0</v>
      </c>
      <c r="AI28" s="484" t="str">
        <f>IF(AND(P28&gt;=$M$9,P28&lt;=$N$9),VLOOKUP(BYT,'Předpis po mesici'!$A$3:$JQ$102,P28+157,FALSE),0)</f>
        <v>0</v>
      </c>
      <c r="AJ28" s="484" t="str">
        <f>IF(AND(P28&gt;=$M$9,P28&lt;=$N$9),VLOOKUP(BYT,'Počet osob'!$A$2:$JR$102,P28+2,FALSE),0)</f>
        <v>0</v>
      </c>
      <c r="AK28" s="484" t="str">
        <f>IF(AND(P28&gt;=$M$9,P28&lt;=$N$9),VLOOKUP(BYT,'Předpis po mesici'!$A$3:$JQ$102,P28+144,FALSE),0)</f>
        <v>0</v>
      </c>
      <c r="AL28" s="484" t="str">
        <f>IF(AND(P28&gt;=$M$9,P28&lt;=$N$9),VLOOKUP(BYT,'Předpis po mesici'!$A$3:$JQ$102,P28+248,FALSE),0)</f>
        <v>0</v>
      </c>
      <c r="AM28" s="484" t="str">
        <f>IF(AND(P28&gt;=$M$9,P28&lt;=$N$9),VLOOKUP(BYT,'Předpis po mesici'!$A$3:$JQ$102,P28+235,FALSE),0)</f>
        <v>0</v>
      </c>
      <c r="AN28" s="2" t="str">
        <f>IF(AND(P28&gt;=$M$9,P28&lt;=$N$9),VLOOKUP(BYT,'Předpis po mesici'!$A$3:$JQ$102,P28+235,FALSE),0)</f>
        <v>0</v>
      </c>
    </row>
    <row r="29" spans="1:1020" s="27" customFormat="1">
      <c r="A29" s="84" t="s">
        <v>197</v>
      </c>
      <c r="B29" s="230" t="str">
        <f>VLOOKUP(BYT,Teplo!$A:$J,10,0)</f>
        <v>0</v>
      </c>
      <c r="D29" s="35" t="s">
        <v>198</v>
      </c>
      <c r="H29" s="2"/>
      <c r="I29" s="2"/>
      <c r="J29" s="2"/>
      <c r="K29" s="2"/>
      <c r="L29" s="475"/>
      <c r="M29" s="483">
        <v>11</v>
      </c>
      <c r="N29" s="569" t="str">
        <f>IF(AND(M29&gt;=$M$9,M29&lt;=$O$9),VLOOKUP(BYT,uhrady!$A$2:$M$102,M29+1,FALSE),0)</f>
        <v>0</v>
      </c>
      <c r="O29" s="482"/>
      <c r="P29" s="484">
        <v>11</v>
      </c>
      <c r="Q29" s="484" t="str">
        <f>IF(AND(P29&gt;=$M$9,P29&lt;=$O$9),VLOOKUP(BYT,'Předpis po mesici'!$A$3:$JQ$102,P29+262,FALSE),0)</f>
        <v>0</v>
      </c>
      <c r="R29" s="484">
        <v>11</v>
      </c>
      <c r="S29" s="484" t="str">
        <f>IF(AND(P29&gt;=$M$9,P29&lt;=$N$9),VLOOKUP(BYT,'Předpis po mesici'!$A$3:$JQ$102,P29+79,FALSE),0)</f>
        <v>0</v>
      </c>
      <c r="T29" s="484" t="str">
        <f>IF(AND(P29&gt;=$M$9,P29&lt;=$N$9),VLOOKUP(BYT,'Předpis po mesici'!$A$3:$JQ$102,P29+1,FALSE),0)</f>
        <v>0</v>
      </c>
      <c r="U29" s="484" t="str">
        <f>IF(AND(P29&gt;=$M$9,P29&lt;=$N$9),VLOOKUP(BYT,'Předpis po mesici'!$A$3:$JQ$102,P29+14,FALSE),0)</f>
        <v>0</v>
      </c>
      <c r="V29" s="484" t="str">
        <f>IF(AND(P29&gt;=$M$9,P29&lt;=$N$9),VLOOKUP(BYT,'Předpis po mesici'!$A$3:$JQ$102,P29+27,FALSE),0)</f>
        <v>0</v>
      </c>
      <c r="W29" s="484" t="str">
        <f>IF(AND(P29&gt;=$M$9,P29&lt;=$N$9),VLOOKUP(BYT,'Předpis po mesici'!$A$3:$JQ$102,P29+40,FALSE),0)</f>
        <v>0</v>
      </c>
      <c r="X29" s="484" t="str">
        <f>IF(AND(P29&gt;=$M$9,P29&lt;=$N$9),VLOOKUP(BYT,'Předpis po mesici'!$A$3:$JQ$102,P29+53,FALSE),0)</f>
        <v>0</v>
      </c>
      <c r="Y29" s="484" t="str">
        <f>IF(AND(P29&gt;=$M$9,P29&lt;=$N$9),VLOOKUP(BYT,'Předpis po mesici'!$A$3:$JQ$102,P29+66,FALSE),0)</f>
        <v>0</v>
      </c>
      <c r="Z29" s="484" t="str">
        <f>IF(AND(P29&gt;=$M$9,P29&lt;=$N$9),VLOOKUP(BYT,'Předpis po mesici'!$A$3:$JQ$102,P29+92,FALSE),0)</f>
        <v>0</v>
      </c>
      <c r="AA29" s="484" t="str">
        <f>IF(AND(P29&gt;=$M$9,P29&lt;=$N$9),VLOOKUP(BYT,'Předpis po mesici'!$A$3:$JQ$102,P29+105,FALSE),0)</f>
        <v>0</v>
      </c>
      <c r="AB29" s="484" t="str">
        <f>IF(AND(P29&gt;=$M$9,P29&lt;=$N$9),VLOOKUP(BYT,'Předpis po mesici'!$A$3:$JQ$102,P29+118,FALSE),0)</f>
        <v>0</v>
      </c>
      <c r="AC29" s="484" t="str">
        <f>IF(AND(P29&gt;=$M$9,P29&lt;=$N$9),VLOOKUP(BYT,'Předpis po mesici'!$A$3:$JQ$102,P29+131,FALSE),0)</f>
        <v>0</v>
      </c>
      <c r="AD29" s="484" t="str">
        <f>IF(AND(P29&gt;=$M$9,P29&lt;=$N$9),VLOOKUP(BYT,'Předpis po mesici'!$A$3:$JQ$102,P29+170,FALSE),0)</f>
        <v>0</v>
      </c>
      <c r="AE29" s="484" t="str">
        <f>IF(AND(P29&gt;=$M$9,P29&lt;=$N$9),VLOOKUP(BYT,'Předpis po mesici'!$A$3:$JQ$102,P29+183,FALSE),0)</f>
        <v>0</v>
      </c>
      <c r="AF29" s="484" t="str">
        <f>IF(AND(P29&gt;=$M$9,P29&lt;=$N$9),VLOOKUP(BYT,'Předpis po mesici'!$A$3:$JQ$102,P29+196,FALSE),0)</f>
        <v>0</v>
      </c>
      <c r="AG29" s="484" t="str">
        <f>IF(AND(P29&gt;=$M$9,P29&lt;=$N$9),VLOOKUP(BYT,'Předpis po mesici'!$A$3:$JQ$102,P29+209,FALSE),0)</f>
        <v>0</v>
      </c>
      <c r="AH29" s="484" t="str">
        <f>IF(AND(P29&gt;=$M$9,P29&lt;=$N$9),VLOOKUP(BYT,'Předpis po mesici'!$A$3:$JQ$102,P29+222,FALSE),0)</f>
        <v>0</v>
      </c>
      <c r="AI29" s="484" t="str">
        <f>IF(AND(P29&gt;=$M$9,P29&lt;=$N$9),VLOOKUP(BYT,'Předpis po mesici'!$A$3:$JQ$102,P29+157,FALSE),0)</f>
        <v>0</v>
      </c>
      <c r="AJ29" s="484" t="str">
        <f>IF(AND(P29&gt;=$M$9,P29&lt;=$N$9),VLOOKUP(BYT,'Počet osob'!$A$2:$JR$102,P29+2,FALSE),0)</f>
        <v>0</v>
      </c>
      <c r="AK29" s="484" t="str">
        <f>IF(AND(P29&gt;=$M$9,P29&lt;=$N$9),VLOOKUP(BYT,'Předpis po mesici'!$A$3:$JQ$102,P29+144,FALSE),0)</f>
        <v>0</v>
      </c>
      <c r="AL29" s="484" t="str">
        <f>IF(AND(P29&gt;=$M$9,P29&lt;=$N$9),VLOOKUP(BYT,'Předpis po mesici'!$A$3:$JQ$102,P29+248,FALSE),0)</f>
        <v>0</v>
      </c>
      <c r="AM29" s="484" t="str">
        <f>IF(AND(P29&gt;=$M$9,P29&lt;=$N$9),VLOOKUP(BYT,'Předpis po mesici'!$A$3:$JQ$102,P29+235,FALSE),0)</f>
        <v>0</v>
      </c>
      <c r="AN29" s="2" t="str">
        <f>IF(AND(P29&gt;=$M$9,P29&lt;=$N$9),VLOOKUP(BYT,'Předpis po mesici'!$A$3:$JQ$102,P29+235,FALSE),0)</f>
        <v>0</v>
      </c>
    </row>
    <row r="30" spans="1:1020" s="27" customFormat="1">
      <c r="A30" s="84" t="s">
        <v>199</v>
      </c>
      <c r="B30" s="230" t="str">
        <f>VLOOKUP(BYT,'Předpis po mesici'!1:1048576,92,0)</f>
        <v>0</v>
      </c>
      <c r="D30" s="540" t="str">
        <f>VLOOKUP(BYT,'Předpis po mesici'!1:1048576,275,0)-'Vyúčtování byt - 1.část'!B35-'Vyúčtování byt - 1.část'!J31</f>
        <v>0</v>
      </c>
      <c r="E30" s="27" t="str">
        <f>IF(D30=0,"OK","Něco nevychází")</f>
        <v>0</v>
      </c>
      <c r="H30" s="2"/>
      <c r="I30" s="2"/>
      <c r="J30" s="2"/>
      <c r="K30" s="2"/>
      <c r="L30" s="475"/>
      <c r="M30" s="483">
        <v>12</v>
      </c>
      <c r="N30" s="569" t="str">
        <f>IF(AND(M30&gt;=$M$9,M30&lt;=$O$9),VLOOKUP(BYT,uhrady!$A$2:$M$102,M30+1,FALSE),0)</f>
        <v>0</v>
      </c>
      <c r="O30" s="482"/>
      <c r="P30" s="484">
        <v>12</v>
      </c>
      <c r="Q30" s="484" t="str">
        <f>IF(AND(P30&gt;=$M$9,P30&lt;=$O$9),VLOOKUP(BYT,'Předpis po mesici'!$A$3:$JQ$102,P30+262,FALSE),0)</f>
        <v>0</v>
      </c>
      <c r="R30" s="484">
        <v>12</v>
      </c>
      <c r="S30" s="484" t="str">
        <f>IF(AND(P30&gt;=$M$9,P30&lt;=$N$9),VLOOKUP(BYT,'Předpis po mesici'!$A$3:$JQ$102,P30+79,FALSE),0)</f>
        <v>0</v>
      </c>
      <c r="T30" s="484" t="str">
        <f>IF(AND(P30&gt;=$M$9,P30&lt;=$N$9),VLOOKUP(BYT,'Předpis po mesici'!$A$3:$JQ$102,P30+1,FALSE),0)</f>
        <v>0</v>
      </c>
      <c r="U30" s="484" t="str">
        <f>IF(AND(P30&gt;=$M$9,P30&lt;=$N$9),VLOOKUP(BYT,'Předpis po mesici'!$A$3:$JQ$102,P30+14,FALSE),0)</f>
        <v>0</v>
      </c>
      <c r="V30" s="484" t="str">
        <f>IF(AND(P30&gt;=$M$9,P30&lt;=$N$9),VLOOKUP(BYT,'Předpis po mesici'!$A$3:$JQ$102,P30+27,FALSE),0)</f>
        <v>0</v>
      </c>
      <c r="W30" s="484" t="str">
        <f>IF(AND(P30&gt;=$M$9,P30&lt;=$N$9),VLOOKUP(BYT,'Předpis po mesici'!$A$3:$JQ$102,P30+40,FALSE),0)</f>
        <v>0</v>
      </c>
      <c r="X30" s="484" t="str">
        <f>IF(AND(P30&gt;=$M$9,P30&lt;=$N$9),VLOOKUP(BYT,'Předpis po mesici'!$A$3:$JQ$102,P30+53,FALSE),0)</f>
        <v>0</v>
      </c>
      <c r="Y30" s="484" t="str">
        <f>IF(AND(P30&gt;=$M$9,P30&lt;=$N$9),VLOOKUP(BYT,'Předpis po mesici'!$A$3:$JQ$102,P30+66,FALSE),0)</f>
        <v>0</v>
      </c>
      <c r="Z30" s="484" t="str">
        <f>IF(AND(P30&gt;=$M$9,P30&lt;=$N$9),VLOOKUP(BYT,'Předpis po mesici'!$A$3:$JQ$102,P30+92,FALSE),0)</f>
        <v>0</v>
      </c>
      <c r="AA30" s="484" t="str">
        <f>IF(AND(P30&gt;=$M$9,P30&lt;=$N$9),VLOOKUP(BYT,'Předpis po mesici'!$A$3:$JQ$102,P30+105,FALSE),0)</f>
        <v>0</v>
      </c>
      <c r="AB30" s="484" t="str">
        <f>IF(AND(P30&gt;=$M$9,P30&lt;=$N$9),VLOOKUP(BYT,'Předpis po mesici'!$A$3:$JQ$102,P30+118,FALSE),0)</f>
        <v>0</v>
      </c>
      <c r="AC30" s="484" t="str">
        <f>IF(AND(P30&gt;=$M$9,P30&lt;=$N$9),VLOOKUP(BYT,'Předpis po mesici'!$A$3:$JQ$102,P30+131,FALSE),0)</f>
        <v>0</v>
      </c>
      <c r="AD30" s="484" t="str">
        <f>IF(AND(P30&gt;=$M$9,P30&lt;=$N$9),VLOOKUP(BYT,'Předpis po mesici'!$A$3:$JQ$102,P30+170,FALSE),0)</f>
        <v>0</v>
      </c>
      <c r="AE30" s="484" t="str">
        <f>IF(AND(P30&gt;=$M$9,P30&lt;=$N$9),VLOOKUP(BYT,'Předpis po mesici'!$A$3:$JQ$102,P30+183,FALSE),0)</f>
        <v>0</v>
      </c>
      <c r="AF30" s="484" t="str">
        <f>IF(AND(P30&gt;=$M$9,P30&lt;=$N$9),VLOOKUP(BYT,'Předpis po mesici'!$A$3:$JQ$102,P30+196,FALSE),0)</f>
        <v>0</v>
      </c>
      <c r="AG30" s="484" t="str">
        <f>IF(AND(P30&gt;=$M$9,P30&lt;=$N$9),VLOOKUP(BYT,'Předpis po mesici'!$A$3:$JQ$102,P30+209,FALSE),0)</f>
        <v>0</v>
      </c>
      <c r="AH30" s="484" t="str">
        <f>IF(AND(P30&gt;=$M$9,P30&lt;=$N$9),VLOOKUP(BYT,'Předpis po mesici'!$A$3:$JQ$102,P30+222,FALSE),0)</f>
        <v>0</v>
      </c>
      <c r="AI30" s="484" t="str">
        <f>IF(AND(P30&gt;=$M$9,P30&lt;=$N$9),VLOOKUP(BYT,'Předpis po mesici'!$A$3:$JQ$102,P30+157,FALSE),0)</f>
        <v>0</v>
      </c>
      <c r="AJ30" s="484" t="str">
        <f>IF(AND(P30&gt;=$M$9,P30&lt;=$N$9),VLOOKUP(BYT,'Počet osob'!$A$2:$JR$102,P30+2,FALSE),0)</f>
        <v>0</v>
      </c>
      <c r="AK30" s="484" t="str">
        <f>IF(AND(P30&gt;=$M$9,P30&lt;=$N$9),VLOOKUP(BYT,'Předpis po mesici'!$A$3:$JQ$102,P30+144,FALSE),0)</f>
        <v>0</v>
      </c>
      <c r="AL30" s="484" t="str">
        <f>IF(AND(P30&gt;=$M$9,P30&lt;=$N$9),VLOOKUP(BYT,'Předpis po mesici'!$A$3:$JQ$102,P30+248,FALSE),0)</f>
        <v>0</v>
      </c>
      <c r="AM30" s="484" t="str">
        <f>IF(AND(P30&gt;=$M$9,P30&lt;=$N$9),VLOOKUP(BYT,'Předpis po mesici'!$A$3:$JQ$102,P30+235,FALSE),0)</f>
        <v>0</v>
      </c>
      <c r="AN30" s="2" t="str">
        <f>IF(AND(P30&gt;=$M$9,P30&lt;=$N$9),VLOOKUP(BYT,'Předpis po mesici'!$A$3:$JQ$102,P30+235,FALSE),0)</f>
        <v>0</v>
      </c>
    </row>
    <row r="31" spans="1:1020" s="27" customFormat="1">
      <c r="A31" s="84" t="s">
        <v>200</v>
      </c>
      <c r="B31" s="230" t="s">
        <v>143</v>
      </c>
      <c r="D31" s="2"/>
      <c r="H31" s="2"/>
      <c r="I31" s="2"/>
      <c r="J31" s="2"/>
      <c r="K31" s="2"/>
      <c r="L31" s="475"/>
      <c r="M31" s="475"/>
      <c r="N31" s="475"/>
      <c r="O31" s="475"/>
      <c r="P31" s="88" t="s">
        <v>201</v>
      </c>
      <c r="R31" s="2"/>
      <c r="S31" s="35" t="str">
        <f>SUM(S19:S30)</f>
        <v>0</v>
      </c>
      <c r="T31" s="35" t="str">
        <f>SUM(T19:T30)</f>
        <v>0</v>
      </c>
      <c r="U31" s="35" t="str">
        <f>SUM(U19:U30)</f>
        <v>0</v>
      </c>
      <c r="V31" s="35" t="str">
        <f>SUM(V19:V30)</f>
        <v>0</v>
      </c>
      <c r="W31" s="35" t="str">
        <f>SUM(W19:W30)</f>
        <v>0</v>
      </c>
      <c r="X31" s="35" t="str">
        <f>SUM(X19:X30)</f>
        <v>0</v>
      </c>
      <c r="Y31" s="35" t="str">
        <f>SUM(Y19:Y30)</f>
        <v>0</v>
      </c>
      <c r="Z31" s="35" t="str">
        <f>SUM(Z19:Z30)</f>
        <v>0</v>
      </c>
      <c r="AA31" s="35" t="str">
        <f>SUM(AA19:AA30)</f>
        <v>0</v>
      </c>
      <c r="AB31" s="35" t="str">
        <f>SUM(AB19:AB30)</f>
        <v>0</v>
      </c>
      <c r="AC31" s="35" t="str">
        <f>SUM(AC19:AC30)</f>
        <v>0</v>
      </c>
      <c r="AD31" s="35" t="str">
        <f>SUM(AD19:AD30)</f>
        <v>0</v>
      </c>
      <c r="AE31" s="35" t="str">
        <f>SUM(AE19:AE30)</f>
        <v>0</v>
      </c>
      <c r="AF31" s="35" t="str">
        <f>SUM(AF19:AF30)</f>
        <v>0</v>
      </c>
      <c r="AG31" s="35" t="str">
        <f>SUM(AG19:AG30)</f>
        <v>0</v>
      </c>
      <c r="AH31" s="35" t="str">
        <f>SUM(AH19:AH30)</f>
        <v>0</v>
      </c>
      <c r="AI31" s="35" t="str">
        <f>SUM(AI19:AI30)</f>
        <v>0</v>
      </c>
      <c r="AJ31" s="35" t="str">
        <f>SUM(AJ19:AJ30)</f>
        <v>0</v>
      </c>
      <c r="AK31" s="35" t="str">
        <f>SUM(AK19:AK30)</f>
        <v>0</v>
      </c>
      <c r="AL31" s="35" t="str">
        <f>SUM(AL19:AL30)</f>
        <v>0</v>
      </c>
      <c r="AM31" s="35" t="str">
        <f>SUM(AM19:AM30)</f>
        <v>0</v>
      </c>
      <c r="AN31" s="35" t="str">
        <f>SUM(AN19:AN30)</f>
        <v>0</v>
      </c>
    </row>
    <row r="32" spans="1:1020" s="27" customFormat="1">
      <c r="A32" s="84" t="s">
        <v>202</v>
      </c>
      <c r="B32" s="230" t="s">
        <v>203</v>
      </c>
      <c r="D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</row>
    <row r="33" spans="1:1020" s="27" customFormat="1">
      <c r="A33" s="84" t="s">
        <v>204</v>
      </c>
      <c r="B33" s="230" t="s">
        <v>205</v>
      </c>
      <c r="D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</row>
    <row r="34" spans="1:1020">
      <c r="A34" s="28" t="s">
        <v>206</v>
      </c>
      <c r="B34" s="225" t="s">
        <v>207</v>
      </c>
    </row>
    <row r="35" spans="1:1020">
      <c r="A35" s="28" t="s">
        <v>208</v>
      </c>
      <c r="B35" s="225" t="s">
        <v>209</v>
      </c>
    </row>
    <row r="36" spans="1:1020">
      <c r="A36" s="28" t="s">
        <v>210</v>
      </c>
      <c r="B36" s="225" t="s">
        <v>211</v>
      </c>
    </row>
    <row r="37" spans="1:1020">
      <c r="A37" s="28" t="s">
        <v>212</v>
      </c>
      <c r="B37" s="225">
        <v>2701656546</v>
      </c>
    </row>
    <row r="38" spans="1:1020">
      <c r="A38" s="28" t="s">
        <v>213</v>
      </c>
      <c r="B38" s="225">
        <v>2010</v>
      </c>
      <c r="C38" s="695"/>
      <c r="D38" s="695"/>
    </row>
    <row r="39" spans="1:1020">
      <c r="A39" s="28" t="s">
        <v>214</v>
      </c>
      <c r="B39" s="553">
        <v>0</v>
      </c>
    </row>
    <row r="40" spans="1:1020">
      <c r="A40" s="28" t="s">
        <v>215</v>
      </c>
      <c r="B40" s="553">
        <v>0</v>
      </c>
    </row>
    <row r="43" spans="1:1020">
      <c r="H43" s="586"/>
    </row>
    <row r="44" spans="1:1020">
      <c r="H44" s="586"/>
    </row>
    <row r="45" spans="1:1020" customHeight="1" ht="23.25">
      <c r="A45" s="764" t="s">
        <v>60</v>
      </c>
      <c r="B45" s="764"/>
      <c r="C45" s="764"/>
      <c r="D45" s="764"/>
      <c r="E45" s="764"/>
      <c r="F45" s="764"/>
      <c r="G45" s="764"/>
      <c r="H45" s="586"/>
    </row>
    <row r="46" spans="1:1020" customHeight="1" ht="23.25">
      <c r="A46" s="588" t="s">
        <v>101</v>
      </c>
      <c r="B46" s="588" t="s">
        <v>102</v>
      </c>
      <c r="C46" s="588" t="s">
        <v>103</v>
      </c>
      <c r="D46" s="589"/>
      <c r="E46" s="588" t="s">
        <v>104</v>
      </c>
      <c r="F46" s="589"/>
      <c r="G46" s="589"/>
      <c r="H46" s="586"/>
    </row>
    <row r="47" spans="1:1020" customHeight="1" ht="23.25">
      <c r="A47" s="590" t="s">
        <v>105</v>
      </c>
      <c r="B47" s="599" t="s">
        <v>106</v>
      </c>
      <c r="C47" s="590" t="s">
        <v>107</v>
      </c>
      <c r="D47" s="589"/>
      <c r="E47" s="590" t="s">
        <v>113</v>
      </c>
      <c r="F47" s="589"/>
      <c r="G47" s="590"/>
      <c r="H47" s="586"/>
    </row>
    <row r="48" spans="1:1020" customHeight="1" ht="23.25">
      <c r="A48" s="599" t="s">
        <v>110</v>
      </c>
      <c r="B48" s="599" t="s">
        <v>111</v>
      </c>
      <c r="C48" s="590" t="s">
        <v>112</v>
      </c>
      <c r="D48" s="589"/>
      <c r="E48" s="590" t="s">
        <v>117</v>
      </c>
      <c r="F48" s="589"/>
      <c r="G48" s="590"/>
      <c r="H48" s="586"/>
    </row>
    <row r="49" spans="1:1020" customHeight="1" ht="23.25">
      <c r="A49" s="590" t="s">
        <v>114</v>
      </c>
      <c r="B49" s="599" t="s">
        <v>115</v>
      </c>
      <c r="C49" s="590" t="s">
        <v>116</v>
      </c>
      <c r="D49" s="589"/>
      <c r="E49" s="590" t="s">
        <v>108</v>
      </c>
      <c r="F49" s="589"/>
      <c r="G49" s="590"/>
    </row>
    <row r="50" spans="1:1020" customHeight="1" ht="23.25">
      <c r="A50" s="590" t="s">
        <v>118</v>
      </c>
      <c r="B50" s="599" t="s">
        <v>119</v>
      </c>
      <c r="C50" s="599" t="s">
        <v>120</v>
      </c>
      <c r="D50" s="600"/>
      <c r="F50" s="589"/>
      <c r="G50" s="589"/>
    </row>
    <row r="51" spans="1:1020" customHeight="1" ht="23.25">
      <c r="A51" s="590" t="s">
        <v>121</v>
      </c>
      <c r="B51" s="590" t="s">
        <v>122</v>
      </c>
      <c r="C51" s="589"/>
      <c r="D51" s="589"/>
      <c r="E51" s="589"/>
      <c r="F51" s="589"/>
      <c r="G51" s="589"/>
    </row>
    <row r="52" spans="1:1020" customHeight="1" ht="23.25">
      <c r="A52" s="599" t="s">
        <v>127</v>
      </c>
      <c r="B52" s="599" t="s">
        <v>124</v>
      </c>
      <c r="C52" s="589"/>
      <c r="D52" s="589"/>
      <c r="E52" s="589"/>
      <c r="F52" s="589"/>
      <c r="G52" s="589"/>
    </row>
    <row r="53" spans="1:1020" customHeight="1" ht="23.25">
      <c r="A53" s="590" t="s">
        <v>123</v>
      </c>
      <c r="B53" s="590" t="s">
        <v>126</v>
      </c>
      <c r="C53" s="589"/>
      <c r="D53" s="589"/>
      <c r="E53" s="589"/>
      <c r="F53" s="589"/>
      <c r="G53" s="589"/>
    </row>
    <row r="54" spans="1:1020" customHeight="1" ht="23.25">
      <c r="A54" s="599" t="s">
        <v>125</v>
      </c>
      <c r="B54" s="590" t="s">
        <v>128</v>
      </c>
      <c r="C54" s="589"/>
      <c r="D54" s="589"/>
      <c r="E54" s="589"/>
      <c r="F54" s="589"/>
      <c r="G54" s="589"/>
    </row>
    <row r="55" spans="1:1020">
      <c r="A55" s="586"/>
      <c r="B55" s="586"/>
      <c r="C55" s="586"/>
      <c r="D55" s="586"/>
      <c r="E55" s="586"/>
      <c r="F55" s="586"/>
      <c r="G55" s="586"/>
    </row>
    <row r="58" spans="1:1020">
      <c r="A58" s="548" t="s">
        <v>216</v>
      </c>
      <c r="B58" s="548" t="s">
        <v>217</v>
      </c>
    </row>
    <row r="59" spans="1:1020" customHeight="1" ht="55.5">
      <c r="A59" s="549" t="s">
        <v>218</v>
      </c>
      <c r="B59" s="556" t="str">
        <f>_xlfn.IMAGE("https://i.imgur.com/5Ij2NpI.png")</f>
        <v>0</v>
      </c>
    </row>
    <row r="60" spans="1:1020" customHeight="1" ht="55.5">
      <c r="A60" s="551" t="s">
        <v>219</v>
      </c>
      <c r="B60" s="550" t="str">
        <f>_xlfn.IMAGE("https://i.imgur.com/zfj1KPi.png")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B1"/>
    <mergeCell ref="C16:E16"/>
    <mergeCell ref="F16:H16"/>
    <mergeCell ref="L7:O7"/>
    <mergeCell ref="S18:AM18"/>
    <mergeCell ref="A45:G45"/>
    <mergeCell ref="C38:D38"/>
    <mergeCell ref="M18:N18"/>
    <mergeCell ref="P7:Q7"/>
    <mergeCell ref="R7:S7"/>
  </mergeCells>
  <dataValidations count="2">
    <dataValidation type="list" allowBlank="1" showDropDown="0" showInputMessage="1" showErrorMessage="1" sqref="D15">
      <formula1>#REF!</formula1>
    </dataValidation>
    <dataValidation type="list" errorStyle="information" allowBlank="0" showDropDown="0" showInputMessage="1" showErrorMessage="1" errorTitle="Chyba" error="Hodnota není v seznamu" promptTitle="Vyberte, prosím, ze seznamu." prompt="Prosím vyberte hodnotu ze seznamu." sqref="B4">
      <formula1>Evidence!$A$2:$A$26</formula1>
    </dataValidation>
  </dataValidations>
  <hyperlinks>
    <hyperlink ref="A1" location="Seznam!A1"/>
    <hyperlink ref="B1" location="Seznam!A1"/>
    <hyperlink ref="B50" location="Elektroměry!A1"/>
    <hyperlink ref="A54" location="Parametry!A1"/>
    <hyperlink ref="A53" location="'Rozpočet domu'!A1"/>
    <hyperlink ref="A48" location="'Vyúčtování byt - 1.část'!A1"/>
    <hyperlink ref="A52" location="Faktury!A2"/>
    <hyperlink ref="E48" location="'Odečty formular'!A1"/>
    <hyperlink ref="A50" location="'prijem SVJ bez vydaju'!A1"/>
    <hyperlink ref="A49" location="'prijem SVJ'!A1"/>
    <hyperlink ref="C49" location="'Přeplatky nedoplatky'!A1"/>
    <hyperlink ref="B51" location="Výtahy!A1"/>
    <hyperlink ref="B52" location="'Počet osob'!A1"/>
    <hyperlink ref="C48" location="Uhrady!A1"/>
    <hyperlink ref="B49" location="Teplo!A1"/>
    <hyperlink ref="A51" location="'Náklady na dům'!A1"/>
    <hyperlink ref="B54" location="'faktury za služby'!A1"/>
    <hyperlink ref="B53" location="'Předpis po mesici'!A1"/>
    <hyperlink ref="C47" location="EVIDENCE"/>
    <hyperlink ref="B48" location="'Vodoměry SV'!A1"/>
    <hyperlink ref="B47" location="'Vodoměry TUV'!A1"/>
    <hyperlink ref="E49" location="EXPORT_PRO_SEND_MAIL"/>
    <hyperlink ref="A47" location="'vstupní data'!A1"/>
    <hyperlink ref="E47" location="BYTOVE_DOMY"/>
    <hyperlink ref="C50" location="'Zálohy byt - měsíčně'!VYUCTOVANI"/>
  </hyperlinks>
  <printOptions gridLines="false" gridLinesSet="true"/>
  <pageMargins left="0.25" right="0.25" top="0.75" bottom="0.75" header="0.51180555555555" footer="0.51180555555555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H104"/>
  <sheetViews>
    <sheetView tabSelected="0" workbookViewId="0" zoomScale="115" zoomScaleNormal="115" showGridLines="false" showRowColHeaders="1">
      <selection activeCell="A1" sqref="A1"/>
    </sheetView>
  </sheetViews>
  <sheetFormatPr defaultRowHeight="14.4" defaultColWidth="9.1328125" outlineLevelRow="0" outlineLevelCol="0"/>
  <cols>
    <col min="1" max="1" width="27.86328125" customWidth="true" style="673"/>
    <col min="2" max="2" width="13.265625" customWidth="true" style="670"/>
    <col min="3" max="3" width="13.265625" customWidth="true" style="669"/>
    <col min="4" max="4" width="13.265625" customWidth="true" style="669"/>
    <col min="5" max="5" width="13.265625" customWidth="true" style="669"/>
    <col min="6" max="6" width="13.265625" customWidth="true" style="669"/>
    <col min="7" max="7" width="13.265625" customWidth="true" style="669"/>
    <col min="8" max="8" width="13.265625" customWidth="true" style="669"/>
    <col min="9" max="9" width="13.265625" customWidth="true" style="669"/>
    <col min="10" max="10" width="13.265625" customWidth="true" style="669"/>
    <col min="11" max="11" width="13.265625" customWidth="true" style="669"/>
    <col min="12" max="12" width="13.265625" customWidth="true" style="669"/>
    <col min="13" max="13" width="13.265625" customWidth="true" style="669"/>
    <col min="14" max="14" width="13.265625" customWidth="true" style="669"/>
    <col min="15" max="15" width="13.265625" customWidth="true" style="669"/>
    <col min="16" max="16" width="13.265625" customWidth="true" style="669"/>
    <col min="17" max="17" width="13.265625" customWidth="true" style="669"/>
    <col min="18" max="18" width="13.265625" customWidth="true" style="669"/>
    <col min="19" max="19" width="13.265625" customWidth="true" style="669"/>
    <col min="20" max="20" width="13.265625" customWidth="true" style="669"/>
    <col min="21" max="21" width="13.265625" customWidth="true" style="669"/>
    <col min="22" max="22" width="13.265625" customWidth="true" style="669"/>
    <col min="23" max="23" width="13.265625" customWidth="true" style="669"/>
    <col min="24" max="24" width="13.265625" customWidth="true" style="669"/>
    <col min="25" max="25" width="9.1328125" style="669"/>
  </cols>
  <sheetData>
    <row r="1" spans="1:34" customHeight="1" ht="25.5" s="641" customFormat="1">
      <c r="A1" s="832">
        <v>0</v>
      </c>
      <c r="B1" s="832"/>
      <c r="C1" s="832"/>
      <c r="D1" s="832"/>
      <c r="E1" s="832"/>
    </row>
    <row r="2" spans="1:34" customHeight="1" ht="52.5" hidden="true" s="641" customFormat="1">
      <c r="A2" s="639"/>
      <c r="B2" s="640"/>
    </row>
    <row r="3" spans="1:34" s="647" customFormat="1">
      <c r="A3" s="642" t="s">
        <v>220</v>
      </c>
      <c r="B3" s="643" t="s">
        <v>221</v>
      </c>
      <c r="C3" s="644" t="s">
        <v>222</v>
      </c>
      <c r="D3" s="644" t="s">
        <v>223</v>
      </c>
      <c r="E3" s="644" t="s">
        <v>224</v>
      </c>
      <c r="F3" s="644" t="s">
        <v>225</v>
      </c>
      <c r="G3" s="644" t="s">
        <v>226</v>
      </c>
      <c r="H3" s="644" t="s">
        <v>227</v>
      </c>
      <c r="I3" s="644" t="s">
        <v>228</v>
      </c>
      <c r="J3" s="644" t="s">
        <v>229</v>
      </c>
      <c r="K3" s="644" t="s">
        <v>230</v>
      </c>
      <c r="L3" s="644" t="s">
        <v>231</v>
      </c>
      <c r="M3" s="644" t="s">
        <v>232</v>
      </c>
      <c r="N3" s="644" t="s">
        <v>233</v>
      </c>
      <c r="O3" s="644" t="s">
        <v>234</v>
      </c>
      <c r="P3" s="644" t="s">
        <v>235</v>
      </c>
      <c r="Q3" s="644" t="s">
        <v>236</v>
      </c>
      <c r="R3" s="644" t="s">
        <v>237</v>
      </c>
      <c r="S3" s="644" t="s">
        <v>238</v>
      </c>
      <c r="T3" s="644" t="s">
        <v>239</v>
      </c>
      <c r="U3" s="645" t="s">
        <v>240</v>
      </c>
      <c r="V3" s="645" t="s">
        <v>241</v>
      </c>
      <c r="W3" s="645" t="s">
        <v>242</v>
      </c>
      <c r="X3" s="646" t="s">
        <v>243</v>
      </c>
    </row>
    <row r="4" spans="1:34" s="653" customFormat="1">
      <c r="A4" s="648" t="s">
        <v>244</v>
      </c>
      <c r="B4" s="649"/>
      <c r="C4" s="650"/>
      <c r="D4" s="650"/>
      <c r="E4" s="650"/>
      <c r="F4" s="650"/>
      <c r="G4" s="650"/>
      <c r="H4" s="650"/>
      <c r="I4" s="650"/>
      <c r="J4" s="650"/>
      <c r="K4" s="650"/>
      <c r="L4" s="650"/>
      <c r="M4" s="650"/>
      <c r="N4" s="650"/>
      <c r="O4" s="650"/>
      <c r="P4" s="650"/>
      <c r="Q4" s="650"/>
      <c r="R4" s="650"/>
      <c r="S4" s="650"/>
      <c r="T4" s="650"/>
      <c r="U4" s="651"/>
      <c r="V4" s="651"/>
      <c r="W4" s="651"/>
      <c r="X4" s="652"/>
    </row>
    <row r="5" spans="1:34" s="658" customFormat="1">
      <c r="A5" s="833" t="s">
        <v>245</v>
      </c>
      <c r="B5" s="655" t="str">
        <f>ROUND(SUM(B7:B101),2)</f>
        <v>0</v>
      </c>
      <c r="C5" s="656" t="str">
        <f>ROUND(SUM(C7:C102),2)</f>
        <v>0</v>
      </c>
      <c r="D5" s="656" t="str">
        <f>ROUND(SUM(D7:D102),2)</f>
        <v>0</v>
      </c>
      <c r="E5" s="656" t="str">
        <f>ROUND(SUM(E7:E102),2)</f>
        <v>0</v>
      </c>
      <c r="F5" s="656" t="str">
        <f>ROUND(SUM(F7:F102),2)</f>
        <v>0</v>
      </c>
      <c r="G5" s="656" t="str">
        <f>ROUND(SUM(G7:G102),2)</f>
        <v>0</v>
      </c>
      <c r="H5" s="656" t="str">
        <f>ROUND(SUM(H7:H102),2)</f>
        <v>0</v>
      </c>
      <c r="I5" s="656" t="str">
        <f>ROUND(SUM(I7:I102),2)</f>
        <v>0</v>
      </c>
      <c r="J5" s="656" t="str">
        <f>ROUND(SUM(J7:J102),2)</f>
        <v>0</v>
      </c>
      <c r="K5" s="656" t="str">
        <f>ROUND(SUM(K7:K102),2)</f>
        <v>0</v>
      </c>
      <c r="L5" s="656" t="str">
        <f>ROUND(SUM(L7:L102),2)</f>
        <v>0</v>
      </c>
      <c r="M5" s="656" t="str">
        <f>ROUND(SUM(M7:M102),2)</f>
        <v>0</v>
      </c>
      <c r="N5" s="656" t="str">
        <f>ROUND(SUM(N7:N102),2)</f>
        <v>0</v>
      </c>
      <c r="O5" s="656" t="str">
        <f>ROUND(SUM(O7:O102),2)</f>
        <v>0</v>
      </c>
      <c r="P5" s="656" t="str">
        <f>ROUND(SUM(P7:P102),2)</f>
        <v>0</v>
      </c>
      <c r="Q5" s="656" t="str">
        <f>ROUND(SUM(Q7:Q102),2)</f>
        <v>0</v>
      </c>
      <c r="R5" s="656" t="str">
        <f>ROUND(SUM(R7:R102),2)</f>
        <v>0</v>
      </c>
      <c r="S5" s="656" t="str">
        <f>ROUND(SUM(S7:S102),2)</f>
        <v>0</v>
      </c>
      <c r="T5" s="656" t="str">
        <f>ROUND(SUM(T7:T102),2)</f>
        <v>0</v>
      </c>
      <c r="U5" s="656" t="str">
        <f>ROUND(SUM(U7:U102),2)</f>
        <v>0</v>
      </c>
      <c r="V5" s="656" t="str">
        <f>ROUND(SUM(V7:V102),2)</f>
        <v>0</v>
      </c>
      <c r="W5" s="656" t="str">
        <f>ROUND(SUM(W7:W102),2)</f>
        <v>0</v>
      </c>
      <c r="X5" s="657" t="str">
        <f>ROUND(SUM(X7:X102),2)</f>
        <v>0</v>
      </c>
    </row>
    <row r="6" spans="1:34" s="663" customFormat="1">
      <c r="A6" s="659" t="s">
        <v>246</v>
      </c>
      <c r="B6" s="660" t="str">
        <f>IF(B4-B5=0,"OK",B4-B5)</f>
        <v>0</v>
      </c>
      <c r="C6" s="661" t="str">
        <f>IF(C4-C5=0,"OK",C4-C5)</f>
        <v>0</v>
      </c>
      <c r="D6" s="661" t="str">
        <f>IF(D4-D5=0,"OK",D4-D5)</f>
        <v>0</v>
      </c>
      <c r="E6" s="661" t="str">
        <f>IF(E4-E5=0,"OK",E4-E5)</f>
        <v>0</v>
      </c>
      <c r="F6" s="661" t="str">
        <f>IF(F4-F5=0,"OK",F4-F5)</f>
        <v>0</v>
      </c>
      <c r="G6" s="661" t="str">
        <f>IF(G4-G5=0,"OK",G4-G5)</f>
        <v>0</v>
      </c>
      <c r="H6" s="661" t="str">
        <f>IF(H4-H5=0,"OK",H4-H5)</f>
        <v>0</v>
      </c>
      <c r="I6" s="661" t="str">
        <f>IF(I4-I5=0,"OK",I4-I5)</f>
        <v>0</v>
      </c>
      <c r="J6" s="661" t="str">
        <f>IF(J4-J5=0,"OK",J4-J5)</f>
        <v>0</v>
      </c>
      <c r="K6" s="661" t="str">
        <f>IF(K4-K5=0,"OK",K4-K5)</f>
        <v>0</v>
      </c>
      <c r="L6" s="661" t="str">
        <f>IF(L4-L5=0,"OK",L4-L5)</f>
        <v>0</v>
      </c>
      <c r="M6" s="661" t="str">
        <f>IF(M4-M5=0,"OK",M4-M5)</f>
        <v>0</v>
      </c>
      <c r="N6" s="661" t="str">
        <f>IF(N4-N5=0,"OK",N4-N5)</f>
        <v>0</v>
      </c>
      <c r="O6" s="661" t="str">
        <f>IF(O4-O5=0,"OK",O4-O5)</f>
        <v>0</v>
      </c>
      <c r="P6" s="661" t="str">
        <f>IF(P4-P5=0,"OK",P4-P5)</f>
        <v>0</v>
      </c>
      <c r="Q6" s="661" t="str">
        <f>IF(Q4-Q5=0,"OK",Q4-Q5)</f>
        <v>0</v>
      </c>
      <c r="R6" s="661" t="str">
        <f>IF(R4-R5=0,"OK",R4-R5)</f>
        <v>0</v>
      </c>
      <c r="S6" s="661" t="str">
        <f>IF(S4-S5=0,"OK",S4-S5)</f>
        <v>0</v>
      </c>
      <c r="T6" s="661" t="str">
        <f>IF(T4-T5=0,"OK",T4-T5)</f>
        <v>0</v>
      </c>
      <c r="U6" s="661" t="str">
        <f>IF(U4-U5=0,"OK",U4-U5)</f>
        <v>0</v>
      </c>
      <c r="V6" s="661" t="str">
        <f>IF(V4-V5=0,"OK",V4-V5)</f>
        <v>0</v>
      </c>
      <c r="W6" s="661" t="str">
        <f>IF(W4-W5=0,"OK",W4-W5)</f>
        <v>0</v>
      </c>
      <c r="X6" s="662" t="str">
        <f>IF(X4-X5=0,"OK",X4-X5)</f>
        <v>0</v>
      </c>
    </row>
    <row r="7" spans="1:34">
      <c r="A7" s="664"/>
      <c r="B7" s="665"/>
      <c r="C7" s="666"/>
      <c r="D7" s="666"/>
      <c r="E7" s="666"/>
      <c r="F7" s="666"/>
      <c r="G7" s="666"/>
      <c r="H7" s="666"/>
      <c r="I7" s="666"/>
      <c r="J7" s="666"/>
      <c r="K7" s="666"/>
      <c r="L7" s="666"/>
      <c r="M7" s="666"/>
      <c r="N7" s="666"/>
      <c r="O7" s="666"/>
      <c r="P7" s="666"/>
      <c r="Q7" s="666"/>
      <c r="R7" s="667"/>
      <c r="S7" s="666"/>
      <c r="T7" s="666"/>
      <c r="U7" s="666"/>
      <c r="V7" s="667"/>
      <c r="W7" s="667"/>
      <c r="X7" s="668"/>
    </row>
    <row r="8" spans="1:34">
      <c r="A8" s="664"/>
      <c r="B8" s="665"/>
      <c r="C8" s="666"/>
      <c r="D8" s="666"/>
      <c r="E8" s="666"/>
      <c r="F8" s="666"/>
      <c r="G8" s="666"/>
      <c r="H8" s="666"/>
      <c r="I8" s="666"/>
      <c r="J8" s="666"/>
      <c r="K8" s="666"/>
      <c r="L8" s="666"/>
      <c r="M8" s="666"/>
      <c r="N8" s="666"/>
      <c r="O8" s="666"/>
      <c r="P8" s="666"/>
      <c r="Q8" s="666"/>
      <c r="R8" s="667"/>
      <c r="S8" s="666"/>
      <c r="T8" s="666"/>
      <c r="U8" s="666"/>
      <c r="V8" s="667"/>
      <c r="W8" s="667"/>
      <c r="X8" s="668"/>
    </row>
    <row r="9" spans="1:34">
      <c r="A9" s="664"/>
      <c r="B9" s="665"/>
      <c r="C9" s="666"/>
      <c r="D9" s="666"/>
      <c r="E9" s="666"/>
      <c r="F9" s="666"/>
      <c r="G9" s="666"/>
      <c r="H9" s="666"/>
      <c r="I9" s="666"/>
      <c r="J9" s="666"/>
      <c r="K9" s="666"/>
      <c r="L9" s="666"/>
      <c r="M9" s="666"/>
      <c r="N9" s="666"/>
      <c r="O9" s="666"/>
      <c r="P9" s="666"/>
      <c r="Q9" s="666"/>
      <c r="R9" s="667"/>
      <c r="S9" s="666"/>
      <c r="T9" s="666"/>
      <c r="U9" s="666"/>
      <c r="V9" s="667"/>
      <c r="W9" s="667"/>
      <c r="X9" s="668"/>
    </row>
    <row r="10" spans="1:34">
      <c r="A10" s="664"/>
      <c r="B10" s="665"/>
      <c r="C10" s="666"/>
      <c r="D10" s="666"/>
      <c r="E10" s="666"/>
      <c r="F10" s="666"/>
      <c r="G10" s="666"/>
      <c r="H10" s="666"/>
      <c r="I10" s="666"/>
      <c r="J10" s="666"/>
      <c r="K10" s="666"/>
      <c r="L10" s="666"/>
      <c r="M10" s="666"/>
      <c r="N10" s="666"/>
      <c r="O10" s="666"/>
      <c r="P10" s="666"/>
      <c r="Q10" s="666"/>
      <c r="R10" s="667"/>
      <c r="S10" s="666"/>
      <c r="T10" s="666"/>
      <c r="U10" s="666"/>
      <c r="V10" s="667"/>
      <c r="W10" s="667"/>
      <c r="X10" s="668"/>
    </row>
    <row r="11" spans="1:34">
      <c r="A11" s="664"/>
      <c r="B11" s="665"/>
      <c r="C11" s="666"/>
      <c r="D11" s="666"/>
      <c r="E11" s="666"/>
      <c r="F11" s="666"/>
      <c r="G11" s="666"/>
      <c r="H11" s="666"/>
      <c r="I11" s="666"/>
      <c r="J11" s="666"/>
      <c r="K11" s="666"/>
      <c r="L11" s="666"/>
      <c r="M11" s="666"/>
      <c r="N11" s="666"/>
      <c r="O11" s="666"/>
      <c r="P11" s="666"/>
      <c r="Q11" s="666"/>
      <c r="R11" s="667"/>
      <c r="S11" s="666"/>
      <c r="T11" s="666"/>
      <c r="U11" s="666"/>
      <c r="V11" s="667"/>
      <c r="W11" s="667"/>
      <c r="X11" s="668"/>
      <c r="AH11" s="669" t="s">
        <v>247</v>
      </c>
    </row>
    <row r="12" spans="1:34">
      <c r="A12" s="664"/>
      <c r="B12" s="665"/>
      <c r="C12" s="666"/>
      <c r="D12" s="666"/>
      <c r="E12" s="666"/>
      <c r="F12" s="666"/>
      <c r="G12" s="666"/>
      <c r="H12" s="666"/>
      <c r="I12" s="666"/>
      <c r="J12" s="666"/>
      <c r="K12" s="666"/>
      <c r="L12" s="666"/>
      <c r="M12" s="666"/>
      <c r="N12" s="666"/>
      <c r="O12" s="666"/>
      <c r="P12" s="666"/>
      <c r="Q12" s="666"/>
      <c r="R12" s="667"/>
      <c r="S12" s="666"/>
      <c r="T12" s="666"/>
      <c r="U12" s="666"/>
      <c r="V12" s="667"/>
      <c r="W12" s="667"/>
      <c r="X12" s="668"/>
      <c r="AH12" s="669" t="s">
        <v>248</v>
      </c>
    </row>
    <row r="13" spans="1:34">
      <c r="A13" s="664"/>
      <c r="B13" s="665"/>
      <c r="C13" s="666"/>
      <c r="D13" s="666"/>
      <c r="E13" s="666"/>
      <c r="F13" s="666"/>
      <c r="G13" s="666"/>
      <c r="H13" s="666"/>
      <c r="I13" s="666"/>
      <c r="J13" s="666"/>
      <c r="K13" s="666"/>
      <c r="L13" s="666"/>
      <c r="M13" s="666"/>
      <c r="N13" s="666"/>
      <c r="O13" s="666"/>
      <c r="P13" s="666"/>
      <c r="Q13" s="666"/>
      <c r="R13" s="667"/>
      <c r="S13" s="666"/>
      <c r="T13" s="666"/>
      <c r="U13" s="666"/>
      <c r="V13" s="667"/>
      <c r="W13" s="667"/>
      <c r="X13" s="668"/>
      <c r="AH13" s="669" t="s">
        <v>249</v>
      </c>
    </row>
    <row r="14" spans="1:34">
      <c r="A14" s="664"/>
      <c r="B14" s="665"/>
      <c r="C14" s="666"/>
      <c r="D14" s="666"/>
      <c r="E14" s="666"/>
      <c r="F14" s="666"/>
      <c r="G14" s="666"/>
      <c r="H14" s="666"/>
      <c r="I14" s="666"/>
      <c r="J14" s="666"/>
      <c r="K14" s="666"/>
      <c r="L14" s="666"/>
      <c r="M14" s="666"/>
      <c r="N14" s="666"/>
      <c r="O14" s="666"/>
      <c r="P14" s="666"/>
      <c r="Q14" s="666"/>
      <c r="R14" s="667"/>
      <c r="S14" s="666"/>
      <c r="T14" s="666"/>
      <c r="U14" s="666"/>
      <c r="V14" s="667"/>
      <c r="W14" s="667"/>
      <c r="X14" s="668"/>
      <c r="AH14" s="669" t="s">
        <v>250</v>
      </c>
    </row>
    <row r="15" spans="1:34">
      <c r="A15" s="664"/>
      <c r="B15" s="665"/>
      <c r="C15" s="666"/>
      <c r="D15" s="666"/>
      <c r="E15" s="666"/>
      <c r="F15" s="666"/>
      <c r="G15" s="666"/>
      <c r="H15" s="666"/>
      <c r="I15" s="666"/>
      <c r="J15" s="666"/>
      <c r="K15" s="666"/>
      <c r="L15" s="666"/>
      <c r="M15" s="666"/>
      <c r="N15" s="666"/>
      <c r="O15" s="666"/>
      <c r="P15" s="666"/>
      <c r="Q15" s="666"/>
      <c r="R15" s="667"/>
      <c r="S15" s="666"/>
      <c r="T15" s="666"/>
      <c r="U15" s="666"/>
      <c r="V15" s="667"/>
      <c r="W15" s="667"/>
      <c r="X15" s="668"/>
      <c r="AH15" s="669" t="s">
        <v>251</v>
      </c>
    </row>
    <row r="16" spans="1:34">
      <c r="A16" s="664"/>
      <c r="B16" s="665"/>
      <c r="C16" s="666"/>
      <c r="D16" s="666"/>
      <c r="E16" s="666"/>
      <c r="F16" s="666"/>
      <c r="G16" s="666"/>
      <c r="H16" s="666"/>
      <c r="I16" s="666"/>
      <c r="J16" s="666"/>
      <c r="K16" s="666"/>
      <c r="L16" s="666"/>
      <c r="M16" s="666"/>
      <c r="N16" s="666"/>
      <c r="O16" s="666"/>
      <c r="P16" s="666"/>
      <c r="Q16" s="666"/>
      <c r="R16" s="667"/>
      <c r="S16" s="666"/>
      <c r="T16" s="666"/>
      <c r="U16" s="666"/>
      <c r="V16" s="667"/>
      <c r="W16" s="667"/>
      <c r="X16" s="668"/>
      <c r="AH16" s="669" t="s">
        <v>252</v>
      </c>
    </row>
    <row r="17" spans="1:34">
      <c r="A17" s="664"/>
      <c r="B17" s="665"/>
      <c r="C17" s="666"/>
      <c r="D17" s="666"/>
      <c r="E17" s="666"/>
      <c r="F17" s="666"/>
      <c r="G17" s="666"/>
      <c r="H17" s="666"/>
      <c r="I17" s="666"/>
      <c r="J17" s="666"/>
      <c r="K17" s="666"/>
      <c r="L17" s="666"/>
      <c r="M17" s="666"/>
      <c r="N17" s="666"/>
      <c r="O17" s="666"/>
      <c r="P17" s="666"/>
      <c r="Q17" s="666"/>
      <c r="R17" s="667"/>
      <c r="S17" s="666"/>
      <c r="T17" s="666"/>
      <c r="U17" s="666"/>
      <c r="V17" s="667"/>
      <c r="W17" s="667"/>
      <c r="X17" s="668"/>
      <c r="AH17" s="669" t="s">
        <v>253</v>
      </c>
    </row>
    <row r="18" spans="1:34">
      <c r="A18" s="664"/>
      <c r="B18" s="665"/>
      <c r="C18" s="666"/>
      <c r="D18" s="666"/>
      <c r="E18" s="666"/>
      <c r="F18" s="666"/>
      <c r="G18" s="666"/>
      <c r="H18" s="666"/>
      <c r="I18" s="666"/>
      <c r="J18" s="666"/>
      <c r="K18" s="666"/>
      <c r="L18" s="666"/>
      <c r="M18" s="666"/>
      <c r="N18" s="666"/>
      <c r="O18" s="666"/>
      <c r="P18" s="666"/>
      <c r="Q18" s="666"/>
      <c r="R18" s="667"/>
      <c r="S18" s="666"/>
      <c r="T18" s="666"/>
      <c r="U18" s="666"/>
      <c r="V18" s="667"/>
      <c r="W18" s="667"/>
      <c r="X18" s="668"/>
      <c r="AH18" s="669" t="s">
        <v>254</v>
      </c>
    </row>
    <row r="19" spans="1:34">
      <c r="A19" s="664"/>
      <c r="B19" s="665"/>
      <c r="C19" s="666"/>
      <c r="D19" s="666"/>
      <c r="E19" s="666"/>
      <c r="F19" s="666"/>
      <c r="G19" s="666"/>
      <c r="H19" s="666"/>
      <c r="I19" s="666"/>
      <c r="J19" s="666"/>
      <c r="K19" s="666"/>
      <c r="L19" s="666"/>
      <c r="M19" s="666"/>
      <c r="N19" s="666"/>
      <c r="O19" s="666"/>
      <c r="P19" s="666"/>
      <c r="Q19" s="666"/>
      <c r="R19" s="667"/>
      <c r="S19" s="666"/>
      <c r="T19" s="666"/>
      <c r="U19" s="666"/>
      <c r="V19" s="667"/>
      <c r="W19" s="667"/>
      <c r="X19" s="668"/>
      <c r="AH19" s="669" t="s">
        <v>255</v>
      </c>
    </row>
    <row r="20" spans="1:34">
      <c r="A20" s="664"/>
      <c r="B20" s="665"/>
      <c r="C20" s="666"/>
      <c r="D20" s="666"/>
      <c r="E20" s="666"/>
      <c r="F20" s="666"/>
      <c r="G20" s="666"/>
      <c r="H20" s="666"/>
      <c r="I20" s="666"/>
      <c r="J20" s="666"/>
      <c r="K20" s="666"/>
      <c r="L20" s="666"/>
      <c r="M20" s="666"/>
      <c r="N20" s="666"/>
      <c r="O20" s="666"/>
      <c r="P20" s="666"/>
      <c r="Q20" s="666"/>
      <c r="R20" s="667"/>
      <c r="S20" s="666"/>
      <c r="T20" s="666"/>
      <c r="U20" s="666"/>
      <c r="V20" s="667"/>
      <c r="W20" s="667"/>
      <c r="X20" s="668"/>
      <c r="AH20" s="669" t="s">
        <v>256</v>
      </c>
    </row>
    <row r="21" spans="1:34">
      <c r="A21" s="664"/>
      <c r="B21" s="665"/>
      <c r="C21" s="666"/>
      <c r="D21" s="666"/>
      <c r="E21" s="666"/>
      <c r="F21" s="666"/>
      <c r="G21" s="666"/>
      <c r="H21" s="666"/>
      <c r="I21" s="666"/>
      <c r="J21" s="666"/>
      <c r="K21" s="666"/>
      <c r="L21" s="666"/>
      <c r="M21" s="666"/>
      <c r="N21" s="666"/>
      <c r="O21" s="666"/>
      <c r="P21" s="666"/>
      <c r="Q21" s="666"/>
      <c r="R21" s="667"/>
      <c r="S21" s="666"/>
      <c r="T21" s="666"/>
      <c r="U21" s="666"/>
      <c r="V21" s="667"/>
      <c r="W21" s="667"/>
      <c r="X21" s="668"/>
      <c r="AH21" s="669" t="s">
        <v>257</v>
      </c>
    </row>
    <row r="22" spans="1:34">
      <c r="A22" s="664"/>
      <c r="B22" s="665"/>
      <c r="C22" s="666"/>
      <c r="D22" s="666"/>
      <c r="E22" s="666"/>
      <c r="F22" s="666"/>
      <c r="G22" s="666"/>
      <c r="H22" s="666"/>
      <c r="I22" s="666"/>
      <c r="J22" s="666"/>
      <c r="K22" s="666"/>
      <c r="L22" s="666"/>
      <c r="M22" s="666"/>
      <c r="N22" s="666"/>
      <c r="O22" s="666"/>
      <c r="P22" s="666"/>
      <c r="Q22" s="666"/>
      <c r="R22" s="667"/>
      <c r="S22" s="666"/>
      <c r="T22" s="666"/>
      <c r="U22" s="666"/>
      <c r="V22" s="667"/>
      <c r="W22" s="667"/>
      <c r="X22" s="668"/>
      <c r="AH22" s="669" t="s">
        <v>115</v>
      </c>
    </row>
    <row r="23" spans="1:34">
      <c r="A23" s="664"/>
      <c r="B23" s="665"/>
      <c r="C23" s="666"/>
      <c r="D23" s="666"/>
      <c r="E23" s="666"/>
      <c r="F23" s="666"/>
      <c r="G23" s="666"/>
      <c r="H23" s="666"/>
      <c r="I23" s="666"/>
      <c r="J23" s="666"/>
      <c r="K23" s="666"/>
      <c r="L23" s="666"/>
      <c r="M23" s="666"/>
      <c r="N23" s="666"/>
      <c r="O23" s="666"/>
      <c r="P23" s="666"/>
      <c r="Q23" s="666"/>
      <c r="R23" s="667"/>
      <c r="S23" s="666"/>
      <c r="T23" s="666"/>
      <c r="U23" s="666"/>
      <c r="V23" s="667"/>
      <c r="W23" s="667"/>
      <c r="X23" s="668"/>
      <c r="AH23" s="669" t="s">
        <v>258</v>
      </c>
    </row>
    <row r="24" spans="1:34">
      <c r="A24" s="664"/>
      <c r="B24" s="665"/>
      <c r="C24" s="666"/>
      <c r="D24" s="666"/>
      <c r="E24" s="666"/>
      <c r="F24" s="666"/>
      <c r="G24" s="666"/>
      <c r="H24" s="666"/>
      <c r="I24" s="666"/>
      <c r="J24" s="666"/>
      <c r="K24" s="666"/>
      <c r="L24" s="666"/>
      <c r="M24" s="666"/>
      <c r="N24" s="666"/>
      <c r="O24" s="666"/>
      <c r="P24" s="666"/>
      <c r="Q24" s="666"/>
      <c r="R24" s="667"/>
      <c r="S24" s="666"/>
      <c r="T24" s="666"/>
      <c r="U24" s="666"/>
      <c r="V24" s="667"/>
      <c r="W24" s="667"/>
      <c r="X24" s="668"/>
      <c r="AH24" s="669" t="s">
        <v>259</v>
      </c>
    </row>
    <row r="25" spans="1:34">
      <c r="A25" s="664"/>
      <c r="B25" s="665"/>
      <c r="C25" s="666"/>
      <c r="D25" s="666"/>
      <c r="E25" s="666"/>
      <c r="F25" s="666"/>
      <c r="G25" s="666"/>
      <c r="H25" s="666"/>
      <c r="I25" s="666"/>
      <c r="J25" s="666"/>
      <c r="K25" s="666"/>
      <c r="L25" s="666"/>
      <c r="M25" s="666"/>
      <c r="N25" s="666"/>
      <c r="O25" s="666"/>
      <c r="P25" s="666"/>
      <c r="Q25" s="666"/>
      <c r="R25" s="667"/>
      <c r="S25" s="666"/>
      <c r="T25" s="666"/>
      <c r="U25" s="666"/>
      <c r="V25" s="667"/>
      <c r="W25" s="667"/>
      <c r="X25" s="668"/>
      <c r="AH25" s="669" t="s">
        <v>260</v>
      </c>
    </row>
    <row r="26" spans="1:34">
      <c r="A26" s="664"/>
      <c r="B26" s="665"/>
      <c r="C26" s="666"/>
      <c r="D26" s="666"/>
      <c r="E26" s="666"/>
      <c r="F26" s="666"/>
      <c r="G26" s="666"/>
      <c r="H26" s="666"/>
      <c r="I26" s="666"/>
      <c r="J26" s="666"/>
      <c r="K26" s="666"/>
      <c r="L26" s="666"/>
      <c r="M26" s="666"/>
      <c r="N26" s="666"/>
      <c r="O26" s="666"/>
      <c r="P26" s="666"/>
      <c r="Q26" s="666"/>
      <c r="R26" s="667"/>
      <c r="S26" s="666"/>
      <c r="T26" s="666"/>
      <c r="U26" s="666"/>
      <c r="V26" s="667"/>
      <c r="W26" s="667"/>
      <c r="X26" s="668"/>
      <c r="AH26" s="669" t="s">
        <v>261</v>
      </c>
    </row>
    <row r="27" spans="1:34">
      <c r="A27" s="664"/>
      <c r="B27" s="665"/>
      <c r="C27" s="666"/>
      <c r="D27" s="666"/>
      <c r="E27" s="666"/>
      <c r="F27" s="666"/>
      <c r="G27" s="666"/>
      <c r="H27" s="666"/>
      <c r="I27" s="666"/>
      <c r="J27" s="666"/>
      <c r="K27" s="666"/>
      <c r="L27" s="666"/>
      <c r="M27" s="666"/>
      <c r="N27" s="666"/>
      <c r="O27" s="666"/>
      <c r="P27" s="666"/>
      <c r="Q27" s="666"/>
      <c r="R27" s="667"/>
      <c r="S27" s="666"/>
      <c r="T27" s="666"/>
      <c r="U27" s="666"/>
      <c r="V27" s="667"/>
      <c r="W27" s="667"/>
      <c r="X27" s="668"/>
      <c r="AH27" s="669" t="s">
        <v>262</v>
      </c>
    </row>
    <row r="28" spans="1:34">
      <c r="A28" s="664"/>
      <c r="B28" s="665"/>
      <c r="C28" s="666"/>
      <c r="D28" s="666"/>
      <c r="E28" s="666"/>
      <c r="F28" s="666"/>
      <c r="G28" s="666"/>
      <c r="H28" s="666"/>
      <c r="I28" s="666"/>
      <c r="J28" s="666"/>
      <c r="K28" s="666"/>
      <c r="L28" s="666"/>
      <c r="M28" s="666"/>
      <c r="N28" s="666"/>
      <c r="O28" s="666"/>
      <c r="P28" s="666"/>
      <c r="Q28" s="666"/>
      <c r="R28" s="667"/>
      <c r="S28" s="666"/>
      <c r="T28" s="666"/>
      <c r="U28" s="666"/>
      <c r="V28" s="667"/>
      <c r="W28" s="667"/>
      <c r="X28" s="668"/>
      <c r="AH28" s="669" t="s">
        <v>263</v>
      </c>
    </row>
    <row r="29" spans="1:34">
      <c r="A29" s="664"/>
      <c r="B29" s="665"/>
      <c r="C29" s="666"/>
      <c r="D29" s="666"/>
      <c r="E29" s="666"/>
      <c r="F29" s="666"/>
      <c r="G29" s="666"/>
      <c r="H29" s="666"/>
      <c r="I29" s="666"/>
      <c r="J29" s="666"/>
      <c r="K29" s="666"/>
      <c r="L29" s="666"/>
      <c r="M29" s="666"/>
      <c r="N29" s="666"/>
      <c r="O29" s="666"/>
      <c r="P29" s="666"/>
      <c r="Q29" s="666"/>
      <c r="R29" s="667"/>
      <c r="S29" s="666"/>
      <c r="T29" s="666"/>
      <c r="U29" s="666"/>
      <c r="V29" s="667"/>
      <c r="W29" s="667"/>
      <c r="X29" s="668"/>
      <c r="AH29" s="669" t="s">
        <v>264</v>
      </c>
    </row>
    <row r="30" spans="1:34">
      <c r="A30" s="664"/>
      <c r="B30" s="665"/>
      <c r="C30" s="666"/>
      <c r="D30" s="666"/>
      <c r="E30" s="666"/>
      <c r="F30" s="666"/>
      <c r="G30" s="666"/>
      <c r="H30" s="666"/>
      <c r="I30" s="666"/>
      <c r="J30" s="666"/>
      <c r="K30" s="666"/>
      <c r="L30" s="666"/>
      <c r="M30" s="666"/>
      <c r="N30" s="666"/>
      <c r="O30" s="666"/>
      <c r="P30" s="666"/>
      <c r="Q30" s="666"/>
      <c r="R30" s="667"/>
      <c r="S30" s="666"/>
      <c r="T30" s="666"/>
      <c r="U30" s="666"/>
      <c r="V30" s="667"/>
      <c r="W30" s="667"/>
      <c r="X30" s="668"/>
      <c r="AH30" s="669" t="s">
        <v>265</v>
      </c>
    </row>
    <row r="31" spans="1:34">
      <c r="A31" s="664"/>
      <c r="B31" s="665"/>
      <c r="C31" s="666"/>
      <c r="D31" s="666"/>
      <c r="E31" s="666"/>
      <c r="F31" s="666"/>
      <c r="G31" s="666"/>
      <c r="H31" s="666"/>
      <c r="I31" s="666"/>
      <c r="J31" s="666"/>
      <c r="K31" s="666"/>
      <c r="L31" s="666"/>
      <c r="M31" s="666"/>
      <c r="N31" s="666"/>
      <c r="O31" s="666"/>
      <c r="P31" s="666"/>
      <c r="Q31" s="666"/>
      <c r="R31" s="667"/>
      <c r="S31" s="666"/>
      <c r="T31" s="666"/>
      <c r="U31" s="666"/>
      <c r="V31" s="667"/>
      <c r="W31" s="667"/>
      <c r="X31" s="668"/>
      <c r="AH31" s="669" t="s">
        <v>266</v>
      </c>
    </row>
    <row r="32" spans="1:34">
      <c r="A32" s="664"/>
      <c r="B32" s="665"/>
      <c r="C32" s="666"/>
      <c r="D32" s="666"/>
      <c r="E32" s="666"/>
      <c r="F32" s="666"/>
      <c r="G32" s="666"/>
      <c r="H32" s="666"/>
      <c r="I32" s="666"/>
      <c r="J32" s="666"/>
      <c r="K32" s="666"/>
      <c r="L32" s="666"/>
      <c r="M32" s="666"/>
      <c r="N32" s="666"/>
      <c r="O32" s="666"/>
      <c r="P32" s="666"/>
      <c r="Q32" s="666"/>
      <c r="R32" s="667"/>
      <c r="S32" s="666"/>
      <c r="T32" s="666"/>
      <c r="U32" s="666"/>
      <c r="V32" s="667"/>
      <c r="W32" s="667"/>
      <c r="X32" s="668"/>
      <c r="AH32" s="669" t="s">
        <v>267</v>
      </c>
    </row>
    <row r="33" spans="1:34">
      <c r="A33" s="664"/>
      <c r="B33" s="665"/>
      <c r="C33" s="666"/>
      <c r="D33" s="666"/>
      <c r="E33" s="666"/>
      <c r="F33" s="666"/>
      <c r="G33" s="666"/>
      <c r="H33" s="666"/>
      <c r="I33" s="666"/>
      <c r="J33" s="666"/>
      <c r="K33" s="666"/>
      <c r="L33" s="666"/>
      <c r="M33" s="666"/>
      <c r="N33" s="666"/>
      <c r="O33" s="666"/>
      <c r="P33" s="666"/>
      <c r="Q33" s="666"/>
      <c r="R33" s="667"/>
      <c r="S33" s="666"/>
      <c r="T33" s="666"/>
      <c r="U33" s="666"/>
      <c r="V33" s="667"/>
      <c r="W33" s="667"/>
      <c r="X33" s="668"/>
      <c r="AH33" s="669" t="s">
        <v>268</v>
      </c>
    </row>
    <row r="34" spans="1:34">
      <c r="A34" s="664"/>
      <c r="B34" s="665"/>
      <c r="C34" s="666"/>
      <c r="D34" s="666"/>
      <c r="E34" s="666"/>
      <c r="F34" s="666"/>
      <c r="G34" s="666"/>
      <c r="H34" s="666"/>
      <c r="I34" s="666"/>
      <c r="J34" s="666"/>
      <c r="K34" s="666"/>
      <c r="L34" s="666"/>
      <c r="M34" s="666"/>
      <c r="N34" s="666"/>
      <c r="O34" s="666"/>
      <c r="P34" s="666"/>
      <c r="Q34" s="666"/>
      <c r="R34" s="667"/>
      <c r="S34" s="666"/>
      <c r="T34" s="666"/>
      <c r="U34" s="666"/>
      <c r="V34" s="667"/>
      <c r="W34" s="667"/>
      <c r="X34" s="668"/>
      <c r="AH34" s="669" t="s">
        <v>269</v>
      </c>
    </row>
    <row r="35" spans="1:34">
      <c r="A35" s="664"/>
      <c r="B35" s="665"/>
      <c r="C35" s="666"/>
      <c r="D35" s="666"/>
      <c r="E35" s="666"/>
      <c r="F35" s="666"/>
      <c r="G35" s="666"/>
      <c r="H35" s="666"/>
      <c r="I35" s="666"/>
      <c r="J35" s="666"/>
      <c r="K35" s="666"/>
      <c r="L35" s="666"/>
      <c r="M35" s="666"/>
      <c r="N35" s="666"/>
      <c r="O35" s="666"/>
      <c r="P35" s="666"/>
      <c r="Q35" s="666"/>
      <c r="R35" s="667"/>
      <c r="S35" s="666"/>
      <c r="T35" s="666"/>
      <c r="U35" s="666"/>
      <c r="V35" s="667"/>
      <c r="W35" s="667"/>
      <c r="X35" s="668"/>
    </row>
    <row r="36" spans="1:34">
      <c r="A36" s="664"/>
      <c r="B36" s="665"/>
      <c r="C36" s="666"/>
      <c r="D36" s="666"/>
      <c r="E36" s="666"/>
      <c r="F36" s="666"/>
      <c r="G36" s="666"/>
      <c r="H36" s="666"/>
      <c r="I36" s="666"/>
      <c r="J36" s="666"/>
      <c r="K36" s="666"/>
      <c r="L36" s="666"/>
      <c r="M36" s="666"/>
      <c r="N36" s="666"/>
      <c r="O36" s="666"/>
      <c r="P36" s="666"/>
      <c r="Q36" s="666"/>
      <c r="R36" s="667"/>
      <c r="S36" s="666"/>
      <c r="T36" s="666"/>
      <c r="U36" s="666"/>
      <c r="V36" s="667"/>
      <c r="W36" s="667"/>
      <c r="X36" s="668"/>
    </row>
    <row r="37" spans="1:34">
      <c r="A37" s="664"/>
      <c r="B37" s="665"/>
      <c r="C37" s="666"/>
      <c r="D37" s="666"/>
      <c r="E37" s="666"/>
      <c r="F37" s="666"/>
      <c r="G37" s="666"/>
      <c r="H37" s="666"/>
      <c r="I37" s="666"/>
      <c r="J37" s="666"/>
      <c r="K37" s="666"/>
      <c r="L37" s="666"/>
      <c r="M37" s="666"/>
      <c r="N37" s="666"/>
      <c r="O37" s="666"/>
      <c r="P37" s="666"/>
      <c r="Q37" s="666"/>
      <c r="R37" s="667"/>
      <c r="S37" s="666"/>
      <c r="T37" s="666"/>
      <c r="U37" s="666"/>
      <c r="V37" s="667"/>
      <c r="W37" s="667"/>
      <c r="X37" s="668"/>
    </row>
    <row r="38" spans="1:34">
      <c r="A38" s="664"/>
      <c r="B38" s="665"/>
      <c r="C38" s="666"/>
      <c r="D38" s="666"/>
      <c r="E38" s="666"/>
      <c r="F38" s="666"/>
      <c r="G38" s="666"/>
      <c r="H38" s="666"/>
      <c r="I38" s="666"/>
      <c r="J38" s="666"/>
      <c r="K38" s="666"/>
      <c r="L38" s="666"/>
      <c r="M38" s="666"/>
      <c r="N38" s="666"/>
      <c r="O38" s="666"/>
      <c r="P38" s="666"/>
      <c r="Q38" s="666"/>
      <c r="R38" s="667"/>
      <c r="S38" s="666"/>
      <c r="T38" s="666"/>
      <c r="U38" s="666"/>
      <c r="V38" s="667"/>
      <c r="W38" s="667"/>
      <c r="X38" s="668"/>
    </row>
    <row r="39" spans="1:34">
      <c r="A39" s="664"/>
      <c r="B39" s="665"/>
      <c r="C39" s="666"/>
      <c r="D39" s="666"/>
      <c r="E39" s="666"/>
      <c r="F39" s="666"/>
      <c r="G39" s="666"/>
      <c r="H39" s="666"/>
      <c r="I39" s="666"/>
      <c r="J39" s="666"/>
      <c r="K39" s="666"/>
      <c r="L39" s="666"/>
      <c r="M39" s="666"/>
      <c r="N39" s="666"/>
      <c r="O39" s="666"/>
      <c r="P39" s="666"/>
      <c r="Q39" s="666"/>
      <c r="R39" s="667"/>
      <c r="S39" s="666"/>
      <c r="T39" s="666"/>
      <c r="U39" s="666"/>
      <c r="V39" s="667"/>
      <c r="W39" s="667"/>
      <c r="X39" s="668"/>
    </row>
    <row r="40" spans="1:34">
      <c r="A40" s="664"/>
      <c r="B40" s="665"/>
      <c r="C40" s="666"/>
      <c r="D40" s="666"/>
      <c r="E40" s="666"/>
      <c r="F40" s="666"/>
      <c r="G40" s="666"/>
      <c r="H40" s="666"/>
      <c r="I40" s="666"/>
      <c r="J40" s="666"/>
      <c r="K40" s="666"/>
      <c r="L40" s="666"/>
      <c r="M40" s="666"/>
      <c r="N40" s="666"/>
      <c r="O40" s="666"/>
      <c r="P40" s="666"/>
      <c r="Q40" s="666"/>
      <c r="R40" s="667"/>
      <c r="S40" s="666"/>
      <c r="T40" s="666"/>
      <c r="U40" s="666"/>
      <c r="V40" s="667"/>
      <c r="W40" s="667"/>
      <c r="X40" s="668"/>
    </row>
    <row r="41" spans="1:34">
      <c r="A41" s="664"/>
      <c r="B41" s="665"/>
      <c r="C41" s="666"/>
      <c r="D41" s="666"/>
      <c r="E41" s="666"/>
      <c r="F41" s="666"/>
      <c r="G41" s="666"/>
      <c r="H41" s="666"/>
      <c r="I41" s="666"/>
      <c r="J41" s="666"/>
      <c r="K41" s="666"/>
      <c r="L41" s="666"/>
      <c r="M41" s="666"/>
      <c r="N41" s="666"/>
      <c r="O41" s="666"/>
      <c r="P41" s="666"/>
      <c r="Q41" s="666"/>
      <c r="R41" s="667"/>
      <c r="S41" s="666"/>
      <c r="T41" s="666"/>
      <c r="U41" s="666"/>
      <c r="V41" s="667"/>
      <c r="W41" s="667"/>
      <c r="X41" s="668"/>
    </row>
    <row r="42" spans="1:34">
      <c r="A42" s="664"/>
      <c r="B42" s="665"/>
      <c r="C42" s="666"/>
      <c r="D42" s="666"/>
      <c r="E42" s="666"/>
      <c r="F42" s="666"/>
      <c r="G42" s="666"/>
      <c r="H42" s="666"/>
      <c r="I42" s="666"/>
      <c r="J42" s="666"/>
      <c r="K42" s="666"/>
      <c r="L42" s="666"/>
      <c r="M42" s="666"/>
      <c r="N42" s="666"/>
      <c r="O42" s="666"/>
      <c r="P42" s="666"/>
      <c r="Q42" s="666"/>
      <c r="R42" s="667"/>
      <c r="S42" s="666"/>
      <c r="T42" s="666"/>
      <c r="U42" s="666"/>
      <c r="V42" s="667"/>
      <c r="W42" s="667"/>
      <c r="X42" s="668"/>
    </row>
    <row r="43" spans="1:34">
      <c r="A43" s="664"/>
      <c r="B43" s="665"/>
      <c r="C43" s="666"/>
      <c r="D43" s="666"/>
      <c r="E43" s="666"/>
      <c r="F43" s="666"/>
      <c r="G43" s="666"/>
      <c r="H43" s="666"/>
      <c r="I43" s="666"/>
      <c r="J43" s="666"/>
      <c r="K43" s="666"/>
      <c r="L43" s="666"/>
      <c r="M43" s="666"/>
      <c r="N43" s="666"/>
      <c r="O43" s="666"/>
      <c r="P43" s="666"/>
      <c r="Q43" s="666"/>
      <c r="R43" s="667"/>
      <c r="S43" s="666"/>
      <c r="T43" s="666"/>
      <c r="U43" s="666"/>
      <c r="V43" s="667"/>
      <c r="W43" s="667"/>
      <c r="X43" s="668"/>
    </row>
    <row r="44" spans="1:34">
      <c r="A44" s="664"/>
      <c r="B44" s="665"/>
      <c r="C44" s="666"/>
      <c r="D44" s="666"/>
      <c r="E44" s="666"/>
      <c r="F44" s="666"/>
      <c r="G44" s="666"/>
      <c r="H44" s="666"/>
      <c r="I44" s="666"/>
      <c r="J44" s="666"/>
      <c r="K44" s="666"/>
      <c r="L44" s="666"/>
      <c r="M44" s="666"/>
      <c r="N44" s="666"/>
      <c r="O44" s="666"/>
      <c r="P44" s="666"/>
      <c r="Q44" s="666"/>
      <c r="R44" s="667"/>
      <c r="S44" s="666"/>
      <c r="T44" s="666"/>
      <c r="U44" s="666"/>
      <c r="V44" s="667"/>
      <c r="W44" s="667"/>
      <c r="X44" s="668"/>
    </row>
    <row r="45" spans="1:34">
      <c r="A45" s="664"/>
      <c r="B45" s="665"/>
      <c r="C45" s="666"/>
      <c r="D45" s="666"/>
      <c r="E45" s="666"/>
      <c r="F45" s="666"/>
      <c r="G45" s="666"/>
      <c r="H45" s="666"/>
      <c r="I45" s="666"/>
      <c r="J45" s="666"/>
      <c r="K45" s="666"/>
      <c r="L45" s="666"/>
      <c r="M45" s="666"/>
      <c r="N45" s="666"/>
      <c r="O45" s="666"/>
      <c r="P45" s="666"/>
      <c r="Q45" s="666"/>
      <c r="R45" s="667"/>
      <c r="S45" s="666"/>
      <c r="T45" s="666"/>
      <c r="U45" s="666"/>
      <c r="V45" s="667"/>
      <c r="W45" s="667"/>
      <c r="X45" s="668"/>
    </row>
    <row r="46" spans="1:34">
      <c r="A46" s="664"/>
      <c r="B46" s="665"/>
      <c r="C46" s="666"/>
      <c r="D46" s="666"/>
      <c r="E46" s="666"/>
      <c r="F46" s="666"/>
      <c r="G46" s="666"/>
      <c r="H46" s="666"/>
      <c r="I46" s="666"/>
      <c r="J46" s="666"/>
      <c r="K46" s="666"/>
      <c r="L46" s="666"/>
      <c r="M46" s="666"/>
      <c r="N46" s="666"/>
      <c r="O46" s="666"/>
      <c r="P46" s="666"/>
      <c r="Q46" s="666"/>
      <c r="R46" s="667"/>
      <c r="S46" s="666"/>
      <c r="T46" s="666"/>
      <c r="U46" s="666"/>
      <c r="V46" s="667"/>
      <c r="W46" s="667"/>
      <c r="X46" s="668"/>
    </row>
    <row r="47" spans="1:34">
      <c r="A47" s="664"/>
      <c r="B47" s="665"/>
      <c r="C47" s="666"/>
      <c r="D47" s="666"/>
      <c r="E47" s="666"/>
      <c r="F47" s="666"/>
      <c r="G47" s="666"/>
      <c r="H47" s="666"/>
      <c r="I47" s="666"/>
      <c r="J47" s="666"/>
      <c r="K47" s="666"/>
      <c r="L47" s="666"/>
      <c r="M47" s="666"/>
      <c r="N47" s="666"/>
      <c r="O47" s="666"/>
      <c r="P47" s="666"/>
      <c r="Q47" s="666"/>
      <c r="R47" s="667"/>
      <c r="S47" s="666"/>
      <c r="T47" s="666"/>
      <c r="U47" s="666"/>
      <c r="V47" s="667"/>
      <c r="W47" s="667"/>
      <c r="X47" s="668"/>
    </row>
    <row r="48" spans="1:34">
      <c r="A48" s="664"/>
      <c r="B48" s="665"/>
      <c r="C48" s="666"/>
      <c r="D48" s="666"/>
      <c r="E48" s="666"/>
      <c r="F48" s="666"/>
      <c r="G48" s="666"/>
      <c r="H48" s="666"/>
      <c r="I48" s="666"/>
      <c r="J48" s="666"/>
      <c r="K48" s="666"/>
      <c r="L48" s="666"/>
      <c r="M48" s="666"/>
      <c r="N48" s="666"/>
      <c r="O48" s="666"/>
      <c r="P48" s="666"/>
      <c r="Q48" s="666"/>
      <c r="R48" s="667"/>
      <c r="S48" s="666"/>
      <c r="T48" s="666"/>
      <c r="U48" s="666"/>
      <c r="V48" s="667"/>
      <c r="W48" s="667"/>
      <c r="X48" s="668"/>
    </row>
    <row r="49" spans="1:34">
      <c r="A49" s="664"/>
      <c r="B49" s="665"/>
      <c r="C49" s="666"/>
      <c r="D49" s="666"/>
      <c r="E49" s="666"/>
      <c r="F49" s="666"/>
      <c r="G49" s="666"/>
      <c r="H49" s="666"/>
      <c r="I49" s="666"/>
      <c r="J49" s="666"/>
      <c r="K49" s="666"/>
      <c r="L49" s="666"/>
      <c r="M49" s="666"/>
      <c r="N49" s="666"/>
      <c r="O49" s="666"/>
      <c r="P49" s="666"/>
      <c r="Q49" s="666"/>
      <c r="R49" s="667"/>
      <c r="S49" s="666"/>
      <c r="T49" s="666"/>
      <c r="U49" s="666"/>
      <c r="V49" s="667"/>
      <c r="W49" s="667"/>
      <c r="X49" s="668"/>
    </row>
    <row r="50" spans="1:34">
      <c r="A50" s="664"/>
      <c r="B50" s="665"/>
      <c r="C50" s="666"/>
      <c r="D50" s="666"/>
      <c r="E50" s="666"/>
      <c r="F50" s="666"/>
      <c r="G50" s="666"/>
      <c r="H50" s="666"/>
      <c r="I50" s="666"/>
      <c r="J50" s="666"/>
      <c r="K50" s="666"/>
      <c r="L50" s="666"/>
      <c r="M50" s="666"/>
      <c r="N50" s="666"/>
      <c r="O50" s="666"/>
      <c r="P50" s="666"/>
      <c r="Q50" s="666"/>
      <c r="R50" s="667"/>
      <c r="S50" s="666"/>
      <c r="T50" s="666"/>
      <c r="U50" s="666"/>
      <c r="V50" s="667"/>
      <c r="W50" s="667"/>
      <c r="X50" s="668"/>
    </row>
    <row r="51" spans="1:34">
      <c r="A51" s="664"/>
      <c r="B51" s="665"/>
      <c r="C51" s="666"/>
      <c r="D51" s="666"/>
      <c r="E51" s="666"/>
      <c r="F51" s="666"/>
      <c r="G51" s="666"/>
      <c r="H51" s="666"/>
      <c r="I51" s="666"/>
      <c r="J51" s="666"/>
      <c r="K51" s="666"/>
      <c r="L51" s="666"/>
      <c r="M51" s="666"/>
      <c r="N51" s="666"/>
      <c r="O51" s="666"/>
      <c r="P51" s="666"/>
      <c r="Q51" s="666"/>
      <c r="R51" s="667"/>
      <c r="S51" s="666"/>
      <c r="T51" s="666"/>
      <c r="U51" s="666"/>
      <c r="V51" s="667"/>
      <c r="W51" s="667"/>
      <c r="X51" s="668"/>
    </row>
    <row r="52" spans="1:34">
      <c r="A52" s="664"/>
      <c r="B52" s="665"/>
      <c r="C52" s="666"/>
      <c r="D52" s="666"/>
      <c r="E52" s="666"/>
      <c r="F52" s="666"/>
      <c r="G52" s="666"/>
      <c r="H52" s="666"/>
      <c r="I52" s="666"/>
      <c r="J52" s="666"/>
      <c r="K52" s="666"/>
      <c r="L52" s="666"/>
      <c r="M52" s="666"/>
      <c r="N52" s="666"/>
      <c r="O52" s="666"/>
      <c r="P52" s="666"/>
      <c r="Q52" s="666"/>
      <c r="R52" s="667"/>
      <c r="S52" s="666"/>
      <c r="T52" s="666"/>
      <c r="U52" s="666"/>
      <c r="V52" s="667"/>
      <c r="W52" s="667"/>
      <c r="X52" s="668"/>
    </row>
    <row r="53" spans="1:34">
      <c r="A53" s="664"/>
      <c r="B53" s="665"/>
      <c r="C53" s="666"/>
      <c r="D53" s="666"/>
      <c r="E53" s="666"/>
      <c r="F53" s="666"/>
      <c r="G53" s="666"/>
      <c r="H53" s="666"/>
      <c r="I53" s="666"/>
      <c r="J53" s="666"/>
      <c r="K53" s="666"/>
      <c r="L53" s="666"/>
      <c r="M53" s="666"/>
      <c r="N53" s="666"/>
      <c r="O53" s="666"/>
      <c r="P53" s="666"/>
      <c r="Q53" s="666"/>
      <c r="R53" s="667"/>
      <c r="S53" s="666"/>
      <c r="T53" s="666"/>
      <c r="U53" s="666"/>
      <c r="V53" s="667"/>
      <c r="W53" s="667"/>
      <c r="X53" s="668"/>
    </row>
    <row r="54" spans="1:34">
      <c r="A54" s="664"/>
      <c r="B54" s="665"/>
      <c r="C54" s="666"/>
      <c r="D54" s="666"/>
      <c r="E54" s="666"/>
      <c r="F54" s="666"/>
      <c r="G54" s="666"/>
      <c r="H54" s="666"/>
      <c r="I54" s="666"/>
      <c r="J54" s="666"/>
      <c r="K54" s="666"/>
      <c r="L54" s="666"/>
      <c r="M54" s="666"/>
      <c r="N54" s="666"/>
      <c r="O54" s="666"/>
      <c r="P54" s="666"/>
      <c r="Q54" s="666"/>
      <c r="R54" s="667"/>
      <c r="S54" s="666"/>
      <c r="T54" s="666"/>
      <c r="U54" s="666"/>
      <c r="V54" s="667"/>
      <c r="W54" s="667"/>
      <c r="X54" s="668"/>
    </row>
    <row r="55" spans="1:34">
      <c r="A55" s="664"/>
      <c r="B55" s="665"/>
      <c r="C55" s="666"/>
      <c r="D55" s="666"/>
      <c r="E55" s="666"/>
      <c r="F55" s="666"/>
      <c r="G55" s="666"/>
      <c r="H55" s="666"/>
      <c r="I55" s="666"/>
      <c r="J55" s="666"/>
      <c r="K55" s="666"/>
      <c r="L55" s="666"/>
      <c r="M55" s="666"/>
      <c r="N55" s="666"/>
      <c r="O55" s="666"/>
      <c r="P55" s="666"/>
      <c r="Q55" s="666"/>
      <c r="R55" s="667"/>
      <c r="S55" s="666"/>
      <c r="T55" s="666"/>
      <c r="U55" s="666"/>
      <c r="V55" s="666"/>
      <c r="W55" s="667"/>
      <c r="X55" s="668"/>
    </row>
    <row r="56" spans="1:34">
      <c r="A56" s="664"/>
      <c r="B56" s="665"/>
      <c r="C56" s="666"/>
      <c r="D56" s="666"/>
      <c r="E56" s="666"/>
      <c r="F56" s="666"/>
      <c r="G56" s="666"/>
      <c r="H56" s="666"/>
      <c r="I56" s="666"/>
      <c r="J56" s="666"/>
      <c r="K56" s="666"/>
      <c r="L56" s="666"/>
      <c r="M56" s="666"/>
      <c r="N56" s="666"/>
      <c r="O56" s="666"/>
      <c r="P56" s="666"/>
      <c r="Q56" s="666"/>
      <c r="R56" s="667"/>
      <c r="S56" s="666"/>
      <c r="T56" s="666"/>
      <c r="U56" s="666"/>
      <c r="V56" s="666"/>
      <c r="W56" s="667"/>
      <c r="X56" s="668"/>
    </row>
    <row r="57" spans="1:34">
      <c r="A57" s="664"/>
      <c r="B57" s="665"/>
      <c r="C57" s="666"/>
      <c r="D57" s="666"/>
      <c r="E57" s="666"/>
      <c r="F57" s="666"/>
      <c r="G57" s="666"/>
      <c r="H57" s="666"/>
      <c r="I57" s="666"/>
      <c r="J57" s="666"/>
      <c r="K57" s="666"/>
      <c r="L57" s="666"/>
      <c r="M57" s="666"/>
      <c r="N57" s="666"/>
      <c r="O57" s="666"/>
      <c r="P57" s="666"/>
      <c r="Q57" s="666"/>
      <c r="R57" s="667"/>
      <c r="S57" s="666"/>
      <c r="T57" s="666"/>
      <c r="U57" s="666"/>
      <c r="V57" s="666"/>
      <c r="W57" s="667"/>
      <c r="X57" s="668"/>
    </row>
    <row r="58" spans="1:34">
      <c r="A58" s="664"/>
      <c r="B58" s="665"/>
      <c r="C58" s="666"/>
      <c r="D58" s="666"/>
      <c r="E58" s="666"/>
      <c r="F58" s="666"/>
      <c r="G58" s="666"/>
      <c r="H58" s="666"/>
      <c r="I58" s="666"/>
      <c r="J58" s="666"/>
      <c r="K58" s="666"/>
      <c r="L58" s="666"/>
      <c r="M58" s="666"/>
      <c r="N58" s="666"/>
      <c r="O58" s="666"/>
      <c r="P58" s="666"/>
      <c r="Q58" s="666"/>
      <c r="R58" s="667"/>
      <c r="S58" s="666"/>
      <c r="T58" s="666"/>
      <c r="U58" s="666"/>
      <c r="V58" s="666"/>
      <c r="W58" s="667"/>
      <c r="X58" s="668"/>
    </row>
    <row r="59" spans="1:34">
      <c r="A59" s="664"/>
      <c r="B59" s="665"/>
      <c r="C59" s="666"/>
      <c r="D59" s="666"/>
      <c r="E59" s="666"/>
      <c r="F59" s="666"/>
      <c r="G59" s="666"/>
      <c r="H59" s="666"/>
      <c r="I59" s="666"/>
      <c r="J59" s="666"/>
      <c r="K59" s="666"/>
      <c r="L59" s="666"/>
      <c r="M59" s="666"/>
      <c r="N59" s="666"/>
      <c r="O59" s="666"/>
      <c r="P59" s="666"/>
      <c r="Q59" s="666"/>
      <c r="R59" s="667"/>
      <c r="S59" s="666"/>
      <c r="T59" s="666"/>
      <c r="U59" s="666"/>
      <c r="V59" s="666"/>
      <c r="W59" s="667"/>
      <c r="X59" s="668"/>
    </row>
    <row r="60" spans="1:34">
      <c r="A60" s="664"/>
      <c r="B60" s="665"/>
      <c r="C60" s="666"/>
      <c r="D60" s="666"/>
      <c r="E60" s="666"/>
      <c r="F60" s="666"/>
      <c r="G60" s="666"/>
      <c r="H60" s="666"/>
      <c r="I60" s="666"/>
      <c r="J60" s="666"/>
      <c r="K60" s="666"/>
      <c r="L60" s="666"/>
      <c r="M60" s="666"/>
      <c r="N60" s="666"/>
      <c r="O60" s="666"/>
      <c r="P60" s="666"/>
      <c r="Q60" s="666"/>
      <c r="R60" s="667"/>
      <c r="S60" s="666"/>
      <c r="T60" s="666"/>
      <c r="U60" s="666"/>
      <c r="V60" s="666"/>
      <c r="W60" s="667"/>
      <c r="X60" s="668"/>
    </row>
    <row r="61" spans="1:34">
      <c r="A61" s="664"/>
      <c r="B61" s="665"/>
      <c r="C61" s="666"/>
      <c r="D61" s="666"/>
      <c r="E61" s="666"/>
      <c r="F61" s="666"/>
      <c r="G61" s="666"/>
      <c r="H61" s="666"/>
      <c r="I61" s="666"/>
      <c r="J61" s="666"/>
      <c r="K61" s="666"/>
      <c r="L61" s="666"/>
      <c r="M61" s="666"/>
      <c r="N61" s="666"/>
      <c r="O61" s="666"/>
      <c r="P61" s="666"/>
      <c r="Q61" s="666"/>
      <c r="R61" s="667"/>
      <c r="S61" s="666"/>
      <c r="T61" s="666"/>
      <c r="U61" s="666"/>
      <c r="V61" s="666"/>
      <c r="W61" s="667"/>
      <c r="X61" s="668"/>
    </row>
    <row r="62" spans="1:34">
      <c r="A62" s="664"/>
      <c r="B62" s="665"/>
      <c r="C62" s="666"/>
      <c r="D62" s="666"/>
      <c r="E62" s="666"/>
      <c r="F62" s="666"/>
      <c r="G62" s="666"/>
      <c r="H62" s="666"/>
      <c r="I62" s="666"/>
      <c r="J62" s="666"/>
      <c r="K62" s="666"/>
      <c r="L62" s="666"/>
      <c r="M62" s="666"/>
      <c r="N62" s="666"/>
      <c r="O62" s="666"/>
      <c r="P62" s="666"/>
      <c r="Q62" s="666"/>
      <c r="R62" s="667"/>
      <c r="S62" s="666"/>
      <c r="T62" s="666"/>
      <c r="U62" s="666"/>
      <c r="V62" s="666"/>
      <c r="W62" s="667"/>
      <c r="X62" s="668"/>
    </row>
    <row r="63" spans="1:34">
      <c r="A63" s="664"/>
      <c r="B63" s="665"/>
      <c r="C63" s="666"/>
      <c r="D63" s="666"/>
      <c r="E63" s="666"/>
      <c r="F63" s="666"/>
      <c r="G63" s="666"/>
      <c r="H63" s="666"/>
      <c r="I63" s="666"/>
      <c r="J63" s="666"/>
      <c r="K63" s="666"/>
      <c r="L63" s="666"/>
      <c r="M63" s="666"/>
      <c r="N63" s="666"/>
      <c r="O63" s="666"/>
      <c r="P63" s="666"/>
      <c r="Q63" s="666"/>
      <c r="R63" s="667"/>
      <c r="S63" s="666"/>
      <c r="T63" s="666"/>
      <c r="U63" s="666"/>
      <c r="V63" s="666"/>
      <c r="W63" s="667"/>
      <c r="X63" s="668"/>
    </row>
    <row r="64" spans="1:34">
      <c r="A64" s="664"/>
      <c r="B64" s="665"/>
      <c r="C64" s="666"/>
      <c r="D64" s="666"/>
      <c r="E64" s="666"/>
      <c r="F64" s="666"/>
      <c r="G64" s="666"/>
      <c r="H64" s="666"/>
      <c r="I64" s="666"/>
      <c r="J64" s="666"/>
      <c r="K64" s="666"/>
      <c r="L64" s="666"/>
      <c r="M64" s="666"/>
      <c r="N64" s="666"/>
      <c r="O64" s="666"/>
      <c r="P64" s="666"/>
      <c r="Q64" s="666"/>
      <c r="R64" s="667"/>
      <c r="S64" s="666"/>
      <c r="T64" s="666"/>
      <c r="U64" s="666"/>
      <c r="V64" s="666"/>
      <c r="W64" s="667"/>
      <c r="X64" s="668"/>
    </row>
    <row r="65" spans="1:34">
      <c r="A65" s="664"/>
      <c r="B65" s="665"/>
      <c r="C65" s="666"/>
      <c r="D65" s="666"/>
      <c r="E65" s="666"/>
      <c r="F65" s="666"/>
      <c r="G65" s="666"/>
      <c r="H65" s="666"/>
      <c r="I65" s="666"/>
      <c r="J65" s="666"/>
      <c r="K65" s="666"/>
      <c r="L65" s="666"/>
      <c r="M65" s="666"/>
      <c r="N65" s="666"/>
      <c r="O65" s="666"/>
      <c r="P65" s="666"/>
      <c r="Q65" s="666"/>
      <c r="R65" s="666"/>
      <c r="S65" s="666"/>
      <c r="T65" s="666"/>
      <c r="U65" s="666"/>
      <c r="V65" s="666"/>
      <c r="W65" s="667"/>
      <c r="X65" s="668"/>
    </row>
    <row r="66" spans="1:34">
      <c r="A66" s="664"/>
      <c r="B66" s="665"/>
      <c r="C66" s="666"/>
      <c r="D66" s="666"/>
      <c r="E66" s="666"/>
      <c r="F66" s="666"/>
      <c r="G66" s="666"/>
      <c r="H66" s="666"/>
      <c r="I66" s="666"/>
      <c r="J66" s="666"/>
      <c r="K66" s="666"/>
      <c r="L66" s="666"/>
      <c r="M66" s="666"/>
      <c r="N66" s="666"/>
      <c r="O66" s="666"/>
      <c r="P66" s="666"/>
      <c r="Q66" s="666"/>
      <c r="R66" s="666"/>
      <c r="S66" s="666"/>
      <c r="T66" s="666"/>
      <c r="U66" s="666"/>
      <c r="V66" s="666"/>
      <c r="W66" s="667"/>
      <c r="X66" s="668"/>
    </row>
    <row r="67" spans="1:34">
      <c r="A67" s="664"/>
      <c r="B67" s="665"/>
      <c r="C67" s="666"/>
      <c r="D67" s="666"/>
      <c r="E67" s="666"/>
      <c r="F67" s="666"/>
      <c r="G67" s="666"/>
      <c r="H67" s="666"/>
      <c r="I67" s="666"/>
      <c r="J67" s="666"/>
      <c r="K67" s="666"/>
      <c r="L67" s="666"/>
      <c r="M67" s="666"/>
      <c r="N67" s="666"/>
      <c r="O67" s="666"/>
      <c r="P67" s="666"/>
      <c r="Q67" s="666"/>
      <c r="R67" s="666"/>
      <c r="S67" s="666"/>
      <c r="T67" s="666"/>
      <c r="U67" s="666"/>
      <c r="V67" s="666"/>
      <c r="W67" s="667"/>
      <c r="X67" s="668"/>
    </row>
    <row r="68" spans="1:34">
      <c r="A68" s="664"/>
      <c r="B68" s="665"/>
      <c r="C68" s="666"/>
      <c r="D68" s="666"/>
      <c r="E68" s="666"/>
      <c r="F68" s="666"/>
      <c r="G68" s="666"/>
      <c r="H68" s="666"/>
      <c r="I68" s="666"/>
      <c r="J68" s="666"/>
      <c r="K68" s="666"/>
      <c r="L68" s="666"/>
      <c r="M68" s="666"/>
      <c r="N68" s="666"/>
      <c r="O68" s="666"/>
      <c r="P68" s="666"/>
      <c r="Q68" s="666"/>
      <c r="R68" s="666"/>
      <c r="S68" s="666"/>
      <c r="T68" s="666"/>
      <c r="U68" s="666"/>
      <c r="V68" s="666"/>
      <c r="W68" s="667"/>
      <c r="X68" s="668"/>
    </row>
    <row r="69" spans="1:34">
      <c r="A69" s="664"/>
      <c r="B69" s="665"/>
      <c r="C69" s="666"/>
      <c r="D69" s="666"/>
      <c r="E69" s="666"/>
      <c r="F69" s="666"/>
      <c r="G69" s="666"/>
      <c r="H69" s="666"/>
      <c r="I69" s="666"/>
      <c r="J69" s="666"/>
      <c r="K69" s="666"/>
      <c r="L69" s="666"/>
      <c r="M69" s="666"/>
      <c r="N69" s="666"/>
      <c r="O69" s="666"/>
      <c r="P69" s="666"/>
      <c r="Q69" s="666"/>
      <c r="R69" s="666"/>
      <c r="S69" s="666"/>
      <c r="T69" s="666"/>
      <c r="U69" s="666"/>
      <c r="V69" s="666"/>
      <c r="W69" s="667"/>
      <c r="X69" s="668"/>
    </row>
    <row r="70" spans="1:34">
      <c r="A70" s="664"/>
      <c r="B70" s="665"/>
      <c r="C70" s="666"/>
      <c r="D70" s="666"/>
      <c r="E70" s="666"/>
      <c r="F70" s="666"/>
      <c r="G70" s="666"/>
      <c r="H70" s="666"/>
      <c r="I70" s="666"/>
      <c r="J70" s="666"/>
      <c r="K70" s="666"/>
      <c r="L70" s="666"/>
      <c r="M70" s="666"/>
      <c r="N70" s="666"/>
      <c r="O70" s="666"/>
      <c r="P70" s="666"/>
      <c r="Q70" s="666"/>
      <c r="R70" s="666"/>
      <c r="S70" s="666"/>
      <c r="T70" s="666"/>
      <c r="U70" s="666"/>
      <c r="V70" s="666"/>
      <c r="W70" s="667"/>
      <c r="X70" s="668"/>
    </row>
    <row r="71" spans="1:34">
      <c r="A71" s="664"/>
      <c r="B71" s="665"/>
      <c r="C71" s="666"/>
      <c r="D71" s="666"/>
      <c r="E71" s="666"/>
      <c r="F71" s="666"/>
      <c r="G71" s="666"/>
      <c r="H71" s="666"/>
      <c r="I71" s="666"/>
      <c r="J71" s="666"/>
      <c r="K71" s="666"/>
      <c r="L71" s="666"/>
      <c r="M71" s="666"/>
      <c r="N71" s="666"/>
      <c r="O71" s="666"/>
      <c r="P71" s="666"/>
      <c r="Q71" s="666"/>
      <c r="R71" s="666"/>
      <c r="S71" s="666"/>
      <c r="T71" s="666"/>
      <c r="U71" s="666"/>
      <c r="V71" s="666"/>
      <c r="W71" s="667"/>
      <c r="X71" s="668"/>
    </row>
    <row r="72" spans="1:34">
      <c r="A72" s="664"/>
      <c r="B72" s="665"/>
      <c r="C72" s="666"/>
      <c r="D72" s="666"/>
      <c r="E72" s="666"/>
      <c r="F72" s="666"/>
      <c r="G72" s="666"/>
      <c r="H72" s="666"/>
      <c r="I72" s="666"/>
      <c r="J72" s="666"/>
      <c r="K72" s="666"/>
      <c r="L72" s="666"/>
      <c r="M72" s="666"/>
      <c r="N72" s="666"/>
      <c r="O72" s="666"/>
      <c r="P72" s="666"/>
      <c r="Q72" s="666"/>
      <c r="R72" s="666"/>
      <c r="S72" s="666"/>
      <c r="T72" s="666"/>
      <c r="U72" s="666"/>
      <c r="V72" s="666"/>
      <c r="W72" s="667"/>
      <c r="X72" s="668"/>
    </row>
    <row r="73" spans="1:34">
      <c r="A73" s="664"/>
      <c r="B73" s="665"/>
      <c r="C73" s="666"/>
      <c r="D73" s="666"/>
      <c r="E73" s="666"/>
      <c r="F73" s="666"/>
      <c r="G73" s="666"/>
      <c r="H73" s="666"/>
      <c r="I73" s="666"/>
      <c r="J73" s="666"/>
      <c r="K73" s="666"/>
      <c r="L73" s="666"/>
      <c r="M73" s="666"/>
      <c r="N73" s="666"/>
      <c r="O73" s="666"/>
      <c r="P73" s="666"/>
      <c r="Q73" s="666"/>
      <c r="R73" s="666"/>
      <c r="S73" s="666"/>
      <c r="T73" s="666"/>
      <c r="U73" s="666"/>
      <c r="V73" s="666"/>
      <c r="W73" s="667"/>
      <c r="X73" s="668"/>
    </row>
    <row r="74" spans="1:34">
      <c r="A74" s="664"/>
      <c r="B74" s="665"/>
      <c r="C74" s="666"/>
      <c r="D74" s="666"/>
      <c r="E74" s="666"/>
      <c r="F74" s="666"/>
      <c r="G74" s="666"/>
      <c r="H74" s="666"/>
      <c r="I74" s="666"/>
      <c r="J74" s="666"/>
      <c r="K74" s="666"/>
      <c r="L74" s="666"/>
      <c r="M74" s="666"/>
      <c r="N74" s="666"/>
      <c r="O74" s="666"/>
      <c r="P74" s="666"/>
      <c r="Q74" s="666"/>
      <c r="R74" s="666"/>
      <c r="S74" s="666"/>
      <c r="T74" s="666"/>
      <c r="U74" s="666"/>
      <c r="V74" s="666"/>
      <c r="W74" s="667"/>
      <c r="X74" s="668"/>
    </row>
    <row r="75" spans="1:34">
      <c r="A75" s="664"/>
      <c r="B75" s="665"/>
      <c r="C75" s="666"/>
      <c r="D75" s="666"/>
      <c r="E75" s="666"/>
      <c r="F75" s="666"/>
      <c r="G75" s="666"/>
      <c r="H75" s="666"/>
      <c r="I75" s="666"/>
      <c r="J75" s="666"/>
      <c r="K75" s="666"/>
      <c r="L75" s="666"/>
      <c r="M75" s="666"/>
      <c r="N75" s="666"/>
      <c r="O75" s="666"/>
      <c r="P75" s="666"/>
      <c r="Q75" s="666"/>
      <c r="R75" s="666"/>
      <c r="S75" s="666"/>
      <c r="T75" s="666"/>
      <c r="U75" s="666"/>
      <c r="V75" s="666"/>
      <c r="W75" s="667"/>
      <c r="X75" s="668"/>
    </row>
    <row r="76" spans="1:34">
      <c r="A76" s="664"/>
      <c r="B76" s="665"/>
      <c r="C76" s="666"/>
      <c r="D76" s="666"/>
      <c r="E76" s="666"/>
      <c r="F76" s="666"/>
      <c r="G76" s="666"/>
      <c r="H76" s="666"/>
      <c r="I76" s="666"/>
      <c r="J76" s="666"/>
      <c r="K76" s="666"/>
      <c r="L76" s="666"/>
      <c r="M76" s="666"/>
      <c r="N76" s="666"/>
      <c r="O76" s="666"/>
      <c r="P76" s="666"/>
      <c r="Q76" s="666"/>
      <c r="R76" s="666"/>
      <c r="S76" s="666"/>
      <c r="T76" s="666"/>
      <c r="U76" s="666"/>
      <c r="V76" s="666"/>
      <c r="W76" s="667"/>
      <c r="X76" s="668"/>
    </row>
    <row r="77" spans="1:34">
      <c r="A77" s="664"/>
      <c r="B77" s="665"/>
      <c r="C77" s="666"/>
      <c r="D77" s="666"/>
      <c r="E77" s="666"/>
      <c r="F77" s="666"/>
      <c r="G77" s="666"/>
      <c r="H77" s="666"/>
      <c r="I77" s="666"/>
      <c r="J77" s="666"/>
      <c r="K77" s="666"/>
      <c r="L77" s="666"/>
      <c r="M77" s="666"/>
      <c r="N77" s="666"/>
      <c r="O77" s="666"/>
      <c r="P77" s="666"/>
      <c r="Q77" s="666"/>
      <c r="R77" s="666"/>
      <c r="S77" s="666"/>
      <c r="T77" s="666"/>
      <c r="U77" s="666"/>
      <c r="V77" s="666"/>
      <c r="W77" s="667"/>
      <c r="X77" s="668"/>
    </row>
    <row r="78" spans="1:34">
      <c r="A78" s="664"/>
      <c r="B78" s="665"/>
      <c r="C78" s="666"/>
      <c r="D78" s="666"/>
      <c r="E78" s="666"/>
      <c r="F78" s="666"/>
      <c r="G78" s="666"/>
      <c r="H78" s="666"/>
      <c r="I78" s="666"/>
      <c r="J78" s="666"/>
      <c r="K78" s="666"/>
      <c r="L78" s="666"/>
      <c r="M78" s="666"/>
      <c r="N78" s="666"/>
      <c r="O78" s="666"/>
      <c r="P78" s="666"/>
      <c r="Q78" s="666"/>
      <c r="R78" s="666"/>
      <c r="S78" s="666"/>
      <c r="T78" s="666"/>
      <c r="U78" s="666"/>
      <c r="V78" s="666"/>
      <c r="W78" s="667"/>
      <c r="X78" s="668"/>
    </row>
    <row r="79" spans="1:34">
      <c r="A79" s="664"/>
      <c r="B79" s="665"/>
      <c r="C79" s="666"/>
      <c r="D79" s="666"/>
      <c r="E79" s="666"/>
      <c r="F79" s="666"/>
      <c r="G79" s="666"/>
      <c r="H79" s="666"/>
      <c r="I79" s="666"/>
      <c r="J79" s="666"/>
      <c r="K79" s="666"/>
      <c r="L79" s="666"/>
      <c r="M79" s="666"/>
      <c r="N79" s="666"/>
      <c r="O79" s="666"/>
      <c r="P79" s="666"/>
      <c r="Q79" s="666"/>
      <c r="R79" s="666"/>
      <c r="S79" s="666"/>
      <c r="T79" s="666"/>
      <c r="U79" s="666"/>
      <c r="V79" s="666"/>
      <c r="W79" s="667"/>
      <c r="X79" s="668"/>
    </row>
    <row r="80" spans="1:34">
      <c r="A80" s="664"/>
      <c r="B80" s="665"/>
      <c r="C80" s="666"/>
      <c r="D80" s="666"/>
      <c r="E80" s="666"/>
      <c r="F80" s="666"/>
      <c r="G80" s="666"/>
      <c r="H80" s="666"/>
      <c r="I80" s="666"/>
      <c r="J80" s="666"/>
      <c r="K80" s="666"/>
      <c r="L80" s="666"/>
      <c r="M80" s="666"/>
      <c r="N80" s="666"/>
      <c r="O80" s="666"/>
      <c r="P80" s="666"/>
      <c r="Q80" s="666"/>
      <c r="R80" s="666"/>
      <c r="S80" s="666"/>
      <c r="T80" s="666"/>
      <c r="U80" s="666"/>
      <c r="V80" s="666"/>
      <c r="W80" s="667"/>
      <c r="X80" s="668"/>
    </row>
    <row r="81" spans="1:34">
      <c r="A81" s="664"/>
      <c r="B81" s="665"/>
      <c r="C81" s="666"/>
      <c r="D81" s="666"/>
      <c r="E81" s="666"/>
      <c r="F81" s="666"/>
      <c r="G81" s="666"/>
      <c r="H81" s="666"/>
      <c r="I81" s="666"/>
      <c r="J81" s="666"/>
      <c r="K81" s="666"/>
      <c r="L81" s="666"/>
      <c r="M81" s="666"/>
      <c r="N81" s="666"/>
      <c r="O81" s="666"/>
      <c r="P81" s="666"/>
      <c r="Q81" s="666"/>
      <c r="R81" s="666"/>
      <c r="S81" s="666"/>
      <c r="T81" s="666"/>
      <c r="U81" s="666"/>
      <c r="V81" s="666"/>
      <c r="W81" s="667"/>
      <c r="X81" s="668"/>
    </row>
    <row r="82" spans="1:34">
      <c r="A82" s="664"/>
      <c r="B82" s="665"/>
      <c r="C82" s="666"/>
      <c r="D82" s="666"/>
      <c r="E82" s="666"/>
      <c r="F82" s="666"/>
      <c r="G82" s="666"/>
      <c r="H82" s="666"/>
      <c r="I82" s="666"/>
      <c r="J82" s="666"/>
      <c r="K82" s="666"/>
      <c r="L82" s="666"/>
      <c r="M82" s="666"/>
      <c r="N82" s="666"/>
      <c r="O82" s="666"/>
      <c r="P82" s="666"/>
      <c r="Q82" s="666"/>
      <c r="R82" s="666"/>
      <c r="S82" s="666"/>
      <c r="T82" s="666"/>
      <c r="U82" s="666"/>
      <c r="V82" s="666"/>
      <c r="W82" s="667"/>
      <c r="X82" s="668"/>
    </row>
    <row r="83" spans="1:34">
      <c r="A83" s="664"/>
      <c r="B83" s="665"/>
      <c r="C83" s="666"/>
      <c r="D83" s="666"/>
      <c r="E83" s="666"/>
      <c r="F83" s="666"/>
      <c r="G83" s="666"/>
      <c r="H83" s="666"/>
      <c r="I83" s="666"/>
      <c r="J83" s="666"/>
      <c r="K83" s="666"/>
      <c r="L83" s="666"/>
      <c r="M83" s="666"/>
      <c r="N83" s="666"/>
      <c r="O83" s="666"/>
      <c r="P83" s="666"/>
      <c r="Q83" s="666"/>
      <c r="R83" s="666"/>
      <c r="S83" s="666"/>
      <c r="T83" s="666"/>
      <c r="U83" s="666"/>
      <c r="V83" s="666"/>
      <c r="W83" s="667"/>
      <c r="X83" s="668"/>
    </row>
    <row r="84" spans="1:34">
      <c r="A84" s="664"/>
      <c r="B84" s="665"/>
      <c r="C84" s="666"/>
      <c r="D84" s="666"/>
      <c r="E84" s="666"/>
      <c r="F84" s="666"/>
      <c r="G84" s="666"/>
      <c r="H84" s="666"/>
      <c r="I84" s="666"/>
      <c r="J84" s="666"/>
      <c r="K84" s="666"/>
      <c r="L84" s="666"/>
      <c r="M84" s="666"/>
      <c r="N84" s="666"/>
      <c r="O84" s="666"/>
      <c r="P84" s="666"/>
      <c r="Q84" s="666"/>
      <c r="R84" s="666"/>
      <c r="S84" s="666"/>
      <c r="T84" s="666"/>
      <c r="U84" s="666"/>
      <c r="V84" s="666"/>
      <c r="W84" s="667"/>
      <c r="X84" s="668"/>
    </row>
    <row r="85" spans="1:34">
      <c r="A85" s="664"/>
      <c r="B85" s="665"/>
      <c r="C85" s="666"/>
      <c r="D85" s="666"/>
      <c r="E85" s="666"/>
      <c r="F85" s="666"/>
      <c r="G85" s="666"/>
      <c r="H85" s="666"/>
      <c r="I85" s="666"/>
      <c r="J85" s="666"/>
      <c r="K85" s="666"/>
      <c r="L85" s="666"/>
      <c r="M85" s="666"/>
      <c r="N85" s="666"/>
      <c r="O85" s="666"/>
      <c r="P85" s="666"/>
      <c r="Q85" s="666"/>
      <c r="R85" s="666"/>
      <c r="S85" s="666"/>
      <c r="T85" s="666"/>
      <c r="U85" s="666"/>
      <c r="V85" s="666"/>
      <c r="W85" s="667"/>
      <c r="X85" s="668"/>
    </row>
    <row r="86" spans="1:34">
      <c r="A86" s="664"/>
      <c r="B86" s="665"/>
      <c r="C86" s="666"/>
      <c r="D86" s="666"/>
      <c r="E86" s="666"/>
      <c r="F86" s="666"/>
      <c r="G86" s="666"/>
      <c r="H86" s="666"/>
      <c r="I86" s="666"/>
      <c r="J86" s="666"/>
      <c r="K86" s="666"/>
      <c r="L86" s="666"/>
      <c r="M86" s="666"/>
      <c r="N86" s="666"/>
      <c r="O86" s="666"/>
      <c r="P86" s="666"/>
      <c r="Q86" s="666"/>
      <c r="R86" s="666"/>
      <c r="S86" s="666"/>
      <c r="T86" s="666"/>
      <c r="U86" s="666"/>
      <c r="V86" s="666"/>
      <c r="W86" s="667"/>
      <c r="X86" s="668"/>
    </row>
    <row r="87" spans="1:34">
      <c r="A87" s="664"/>
      <c r="B87" s="665"/>
      <c r="C87" s="666"/>
      <c r="D87" s="666"/>
      <c r="E87" s="666"/>
      <c r="F87" s="666"/>
      <c r="G87" s="666"/>
      <c r="H87" s="666"/>
      <c r="I87" s="666"/>
      <c r="J87" s="666"/>
      <c r="K87" s="666"/>
      <c r="L87" s="666"/>
      <c r="M87" s="666"/>
      <c r="N87" s="666"/>
      <c r="O87" s="666"/>
      <c r="P87" s="666"/>
      <c r="Q87" s="666"/>
      <c r="R87" s="666"/>
      <c r="S87" s="666"/>
      <c r="T87" s="666"/>
      <c r="U87" s="666"/>
      <c r="V87" s="666"/>
      <c r="W87" s="667"/>
      <c r="X87" s="668"/>
    </row>
    <row r="88" spans="1:34">
      <c r="A88" s="664"/>
      <c r="B88" s="665"/>
      <c r="C88" s="666"/>
      <c r="D88" s="666"/>
      <c r="E88" s="666"/>
      <c r="F88" s="666"/>
      <c r="G88" s="666"/>
      <c r="H88" s="666"/>
      <c r="I88" s="666"/>
      <c r="J88" s="666"/>
      <c r="K88" s="666"/>
      <c r="L88" s="666"/>
      <c r="M88" s="666"/>
      <c r="N88" s="666"/>
      <c r="O88" s="666"/>
      <c r="P88" s="666"/>
      <c r="Q88" s="666"/>
      <c r="R88" s="666"/>
      <c r="S88" s="666"/>
      <c r="T88" s="666"/>
      <c r="U88" s="666"/>
      <c r="V88" s="666"/>
      <c r="W88" s="667"/>
      <c r="X88" s="668"/>
    </row>
    <row r="89" spans="1:34">
      <c r="A89" s="664"/>
      <c r="B89" s="665"/>
      <c r="C89" s="666"/>
      <c r="D89" s="666"/>
      <c r="E89" s="666"/>
      <c r="F89" s="666"/>
      <c r="G89" s="666"/>
      <c r="H89" s="666"/>
      <c r="I89" s="666"/>
      <c r="J89" s="666"/>
      <c r="K89" s="666"/>
      <c r="L89" s="666"/>
      <c r="M89" s="666"/>
      <c r="N89" s="666"/>
      <c r="O89" s="666"/>
      <c r="P89" s="666"/>
      <c r="Q89" s="666"/>
      <c r="R89" s="666"/>
      <c r="S89" s="666"/>
      <c r="T89" s="666"/>
      <c r="U89" s="666"/>
      <c r="V89" s="666"/>
      <c r="W89" s="667"/>
      <c r="X89" s="668"/>
    </row>
    <row r="90" spans="1:34">
      <c r="A90" s="664"/>
      <c r="B90" s="665"/>
      <c r="C90" s="666"/>
      <c r="D90" s="666"/>
      <c r="E90" s="666"/>
      <c r="F90" s="666"/>
      <c r="G90" s="666"/>
      <c r="H90" s="666"/>
      <c r="I90" s="666"/>
      <c r="J90" s="666"/>
      <c r="K90" s="666"/>
      <c r="L90" s="666"/>
      <c r="M90" s="666"/>
      <c r="N90" s="666"/>
      <c r="O90" s="666"/>
      <c r="P90" s="666"/>
      <c r="Q90" s="666"/>
      <c r="R90" s="666"/>
      <c r="S90" s="666"/>
      <c r="T90" s="666"/>
      <c r="U90" s="666"/>
      <c r="V90" s="666"/>
      <c r="W90" s="667"/>
      <c r="X90" s="668"/>
    </row>
    <row r="91" spans="1:34">
      <c r="A91" s="664"/>
      <c r="B91" s="665"/>
      <c r="C91" s="666"/>
      <c r="D91" s="666"/>
      <c r="E91" s="666"/>
      <c r="F91" s="666"/>
      <c r="G91" s="666"/>
      <c r="H91" s="666"/>
      <c r="I91" s="666"/>
      <c r="J91" s="666"/>
      <c r="K91" s="666"/>
      <c r="L91" s="666"/>
      <c r="M91" s="666"/>
      <c r="N91" s="666"/>
      <c r="O91" s="666"/>
      <c r="P91" s="666"/>
      <c r="Q91" s="666"/>
      <c r="R91" s="666"/>
      <c r="S91" s="666"/>
      <c r="T91" s="666"/>
      <c r="U91" s="666"/>
      <c r="V91" s="666"/>
      <c r="W91" s="667"/>
      <c r="X91" s="668"/>
    </row>
    <row r="92" spans="1:34">
      <c r="A92" s="664"/>
      <c r="B92" s="665"/>
      <c r="C92" s="666"/>
      <c r="D92" s="666"/>
      <c r="E92" s="666"/>
      <c r="F92" s="666"/>
      <c r="G92" s="666"/>
      <c r="H92" s="666"/>
      <c r="I92" s="666"/>
      <c r="J92" s="666"/>
      <c r="K92" s="666"/>
      <c r="L92" s="666"/>
      <c r="M92" s="666"/>
      <c r="N92" s="666"/>
      <c r="O92" s="666"/>
      <c r="P92" s="666"/>
      <c r="Q92" s="666"/>
      <c r="R92" s="666"/>
      <c r="S92" s="666"/>
      <c r="T92" s="666"/>
      <c r="U92" s="666"/>
      <c r="V92" s="666"/>
      <c r="W92" s="667"/>
      <c r="X92" s="668"/>
    </row>
    <row r="93" spans="1:34">
      <c r="A93" s="664"/>
      <c r="B93" s="665"/>
      <c r="C93" s="666"/>
      <c r="D93" s="666"/>
      <c r="E93" s="666"/>
      <c r="F93" s="666"/>
      <c r="G93" s="666"/>
      <c r="H93" s="666"/>
      <c r="I93" s="666"/>
      <c r="J93" s="666"/>
      <c r="K93" s="666"/>
      <c r="L93" s="666"/>
      <c r="M93" s="666"/>
      <c r="N93" s="666"/>
      <c r="O93" s="666"/>
      <c r="P93" s="666"/>
      <c r="Q93" s="666"/>
      <c r="R93" s="666"/>
      <c r="S93" s="666"/>
      <c r="T93" s="666"/>
      <c r="U93" s="666"/>
      <c r="V93" s="666"/>
      <c r="W93" s="667"/>
      <c r="X93" s="668"/>
    </row>
    <row r="94" spans="1:34">
      <c r="A94" s="664"/>
      <c r="B94" s="665"/>
      <c r="C94" s="666"/>
      <c r="D94" s="666"/>
      <c r="E94" s="666"/>
      <c r="F94" s="666"/>
      <c r="G94" s="666"/>
      <c r="H94" s="666"/>
      <c r="I94" s="666"/>
      <c r="J94" s="666"/>
      <c r="K94" s="666"/>
      <c r="L94" s="666"/>
      <c r="M94" s="666"/>
      <c r="N94" s="666"/>
      <c r="O94" s="666"/>
      <c r="P94" s="666"/>
      <c r="Q94" s="666"/>
      <c r="R94" s="666"/>
      <c r="S94" s="666"/>
      <c r="T94" s="666"/>
      <c r="U94" s="666"/>
      <c r="V94" s="666"/>
      <c r="W94" s="667"/>
      <c r="X94" s="668"/>
    </row>
    <row r="95" spans="1:34">
      <c r="A95" s="664"/>
      <c r="W95" s="671"/>
      <c r="X95" s="672"/>
    </row>
    <row r="96" spans="1:34">
      <c r="A96" s="664"/>
      <c r="W96" s="671"/>
      <c r="X96" s="672"/>
    </row>
    <row r="97" spans="1:34">
      <c r="A97" s="664"/>
      <c r="W97" s="671"/>
      <c r="X97" s="672"/>
    </row>
    <row r="98" spans="1:34">
      <c r="A98" s="664"/>
      <c r="W98" s="671"/>
      <c r="X98" s="672"/>
    </row>
    <row r="99" spans="1:34">
      <c r="A99" s="664"/>
      <c r="W99" s="671"/>
      <c r="X99" s="672"/>
    </row>
    <row r="100" spans="1:34">
      <c r="A100" s="664"/>
      <c r="W100" s="671"/>
      <c r="X100" s="672"/>
    </row>
    <row r="101" spans="1:34">
      <c r="W101" s="671"/>
      <c r="X101" s="671"/>
    </row>
    <row r="102" spans="1:34">
      <c r="W102" s="671"/>
      <c r="X102" s="671"/>
    </row>
    <row r="103" spans="1:34">
      <c r="W103" s="671"/>
      <c r="X103" s="671"/>
    </row>
    <row r="104" spans="1:34">
      <c r="W104" s="671"/>
      <c r="X104" s="67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true"/>
  <mergeCells>
    <mergeCell ref="A1:E1"/>
  </mergeCells>
  <hyperlinks>
    <hyperlink ref="A1" location="Seznam!A1"/>
  </hyperlinks>
  <printOptions gridLines="false" gridLinesSet="true"/>
  <pageMargins left="0.25" right="0.25" top="0.75" bottom="0.75" header="0.3" footer="0.3"/>
  <pageSetup paperSize="9" orientation="landscape" scale="43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J100"/>
  <sheetViews>
    <sheetView tabSelected="0" workbookViewId="0" zoomScale="115" zoomScaleNormal="115" showGridLines="false" showRowColHeaders="1">
      <selection activeCell="W7" sqref="W7"/>
    </sheetView>
  </sheetViews>
  <sheetFormatPr defaultRowHeight="14.4" defaultColWidth="15.73046875" outlineLevelRow="0" outlineLevelCol="0"/>
  <cols>
    <col min="1" max="1" width="22.265625" customWidth="true" style="673"/>
    <col min="2" max="2" width="13.265625" customWidth="true" style="670"/>
    <col min="3" max="3" width="13.265625" customWidth="true" style="669"/>
    <col min="4" max="4" width="13.265625" customWidth="true" style="669"/>
    <col min="5" max="5" width="13.265625" customWidth="true" style="669"/>
    <col min="6" max="6" width="13.265625" customWidth="true" style="669"/>
    <col min="7" max="7" width="13.265625" customWidth="true" style="669"/>
    <col min="8" max="8" width="13.265625" customWidth="true" style="669"/>
    <col min="9" max="9" width="13.265625" customWidth="true" style="669"/>
    <col min="10" max="10" width="13.265625" customWidth="true" style="669"/>
    <col min="11" max="11" width="13.265625" customWidth="true" style="669"/>
    <col min="12" max="12" width="13.265625" customWidth="true" style="669"/>
    <col min="13" max="13" width="13.265625" customWidth="true" style="669"/>
    <col min="14" max="14" width="13.265625" customWidth="true" style="669"/>
    <col min="15" max="15" width="13.265625" customWidth="true" style="669"/>
    <col min="16" max="16" width="13.265625" customWidth="true" style="669"/>
    <col min="17" max="17" width="13.265625" customWidth="true" style="669"/>
    <col min="18" max="18" width="13.265625" customWidth="true" style="669"/>
    <col min="19" max="19" width="13.265625" customWidth="true" style="669"/>
    <col min="20" max="20" width="13.265625" customWidth="true" style="669"/>
    <col min="21" max="21" width="13.265625" customWidth="true" style="669"/>
    <col min="22" max="22" width="13.265625" customWidth="true" style="669"/>
    <col min="23" max="23" width="13.265625" customWidth="true" style="669"/>
    <col min="24" max="24" width="13.265625" customWidth="true" style="669"/>
    <col min="25" max="25" width="13.265625" customWidth="true" style="669"/>
    <col min="26" max="26" width="13.265625" customWidth="true" style="669"/>
    <col min="27" max="27" width="15.73046875" style="669"/>
  </cols>
  <sheetData>
    <row r="3" spans="1:36" s="679" customFormat="1">
      <c r="A3" s="674" t="s">
        <v>220</v>
      </c>
      <c r="B3" s="675" t="s">
        <v>221</v>
      </c>
      <c r="C3" s="676" t="s">
        <v>222</v>
      </c>
      <c r="D3" s="676" t="s">
        <v>223</v>
      </c>
      <c r="E3" s="676" t="s">
        <v>224</v>
      </c>
      <c r="F3" s="676" t="s">
        <v>225</v>
      </c>
      <c r="G3" s="676" t="s">
        <v>226</v>
      </c>
      <c r="H3" s="676" t="s">
        <v>227</v>
      </c>
      <c r="I3" s="676" t="s">
        <v>228</v>
      </c>
      <c r="J3" s="676" t="s">
        <v>229</v>
      </c>
      <c r="K3" s="676" t="s">
        <v>230</v>
      </c>
      <c r="L3" s="676" t="s">
        <v>231</v>
      </c>
      <c r="M3" s="676" t="s">
        <v>232</v>
      </c>
      <c r="N3" s="676" t="s">
        <v>233</v>
      </c>
      <c r="O3" s="676" t="s">
        <v>234</v>
      </c>
      <c r="P3" s="676" t="s">
        <v>235</v>
      </c>
      <c r="Q3" s="676" t="s">
        <v>236</v>
      </c>
      <c r="R3" s="676" t="s">
        <v>237</v>
      </c>
      <c r="S3" s="676" t="s">
        <v>238</v>
      </c>
      <c r="T3" s="676" t="s">
        <v>239</v>
      </c>
      <c r="U3" s="677" t="s">
        <v>240</v>
      </c>
      <c r="V3" s="677" t="s">
        <v>241</v>
      </c>
      <c r="W3" s="677" t="s">
        <v>242</v>
      </c>
      <c r="X3" s="677" t="s">
        <v>243</v>
      </c>
      <c r="Y3" s="677" t="s">
        <v>270</v>
      </c>
      <c r="Z3" s="678" t="s">
        <v>271</v>
      </c>
    </row>
    <row r="4" spans="1:36" s="653" customFormat="1">
      <c r="A4" s="648"/>
      <c r="B4" s="649"/>
      <c r="C4" s="650"/>
      <c r="D4" s="650"/>
      <c r="E4" s="650"/>
      <c r="F4" s="650"/>
      <c r="G4" s="650"/>
      <c r="H4" s="650"/>
      <c r="I4" s="650"/>
      <c r="J4" s="650"/>
      <c r="K4" s="650"/>
      <c r="L4" s="650"/>
      <c r="M4" s="650"/>
      <c r="N4" s="650"/>
      <c r="O4" s="650"/>
      <c r="P4" s="650"/>
      <c r="Q4" s="650"/>
      <c r="R4" s="650"/>
      <c r="S4" s="650"/>
      <c r="T4" s="650"/>
      <c r="U4" s="651"/>
      <c r="V4" s="651"/>
      <c r="W4" s="651"/>
      <c r="X4" s="651"/>
      <c r="Y4" s="651"/>
      <c r="Z4" s="652"/>
    </row>
    <row r="5" spans="1:36" s="658" customFormat="1">
      <c r="A5" s="654" t="s">
        <v>272</v>
      </c>
      <c r="B5" s="655" t="str">
        <f>ROUND(SUM(B7:B101),2)</f>
        <v>0</v>
      </c>
      <c r="C5" s="656" t="str">
        <f>ROUND(SUM(C7:C102),2)</f>
        <v>0</v>
      </c>
      <c r="D5" s="656" t="str">
        <f>ROUND(SUM(D7:D102),2)</f>
        <v>0</v>
      </c>
      <c r="E5" s="656" t="str">
        <f>ROUND(SUM(E7:E102),2)</f>
        <v>0</v>
      </c>
      <c r="F5" s="656" t="str">
        <f>ROUND(SUM(F7:F102),2)</f>
        <v>0</v>
      </c>
      <c r="G5" s="656" t="str">
        <f>ROUND(SUM(G7:G102),2)</f>
        <v>0</v>
      </c>
      <c r="H5" s="656" t="str">
        <f>ROUND(SUM(H7:H102),2)</f>
        <v>0</v>
      </c>
      <c r="I5" s="656" t="str">
        <f>ROUND(SUM(I7:I102),2)</f>
        <v>0</v>
      </c>
      <c r="J5" s="656" t="str">
        <f>ROUND(SUM(J7:J102),2)</f>
        <v>0</v>
      </c>
      <c r="K5" s="656" t="str">
        <f>ROUND(SUM(K7:K102),2)</f>
        <v>0</v>
      </c>
      <c r="L5" s="656" t="str">
        <f>ROUND(SUM(L7:L102),2)</f>
        <v>0</v>
      </c>
      <c r="M5" s="656" t="str">
        <f>ROUND(SUM(M7:M102),2)</f>
        <v>0</v>
      </c>
      <c r="N5" s="656" t="str">
        <f>ROUND(SUM(N7:N102),2)</f>
        <v>0</v>
      </c>
      <c r="O5" s="656" t="str">
        <f>ROUND(SUM(O7:O102),2)</f>
        <v>0</v>
      </c>
      <c r="P5" s="656" t="str">
        <f>ROUND(SUM(P7:P102),2)</f>
        <v>0</v>
      </c>
      <c r="Q5" s="656" t="str">
        <f>ROUND(SUM(Q7:Q102),2)</f>
        <v>0</v>
      </c>
      <c r="R5" s="656" t="str">
        <f>ROUND(SUM(R7:R102),2)</f>
        <v>0</v>
      </c>
      <c r="S5" s="656" t="str">
        <f>ROUND(SUM(S7:S102),2)</f>
        <v>0</v>
      </c>
      <c r="T5" s="656" t="str">
        <f>ROUND(SUM(T7:T102),2)</f>
        <v>0</v>
      </c>
      <c r="U5" s="656" t="str">
        <f>ROUND(SUM(U7:U102),2)</f>
        <v>0</v>
      </c>
      <c r="V5" s="656" t="str">
        <f>ROUND(SUM(V7:V102),2)</f>
        <v>0</v>
      </c>
      <c r="W5" s="680"/>
      <c r="X5" s="680"/>
      <c r="Y5" s="680"/>
      <c r="Z5" s="657" t="str">
        <f>ROUND(SUM(Z7:Z102),2)</f>
        <v>0</v>
      </c>
    </row>
    <row r="6" spans="1:36" s="663" customFormat="1">
      <c r="A6" s="681" t="s">
        <v>273</v>
      </c>
      <c r="B6" s="660"/>
      <c r="C6" s="661"/>
      <c r="D6" s="661"/>
      <c r="E6" s="661"/>
      <c r="F6" s="661"/>
      <c r="G6" s="661"/>
      <c r="H6" s="661"/>
      <c r="I6" s="661"/>
      <c r="J6" s="661"/>
      <c r="K6" s="661"/>
      <c r="L6" s="661"/>
      <c r="M6" s="661"/>
      <c r="N6" s="661"/>
      <c r="O6" s="661"/>
      <c r="P6" s="661"/>
      <c r="Q6" s="661"/>
      <c r="R6" s="661"/>
      <c r="S6" s="661"/>
      <c r="T6" s="661"/>
      <c r="U6" s="661"/>
      <c r="V6" s="661"/>
      <c r="W6" s="682"/>
      <c r="X6" s="682"/>
      <c r="Y6" s="682"/>
      <c r="Z6" s="662"/>
    </row>
    <row r="7" spans="1:36">
      <c r="A7" s="664"/>
      <c r="R7" s="671"/>
      <c r="V7" s="671"/>
      <c r="W7" s="671"/>
      <c r="X7" s="671"/>
      <c r="Y7" s="671"/>
      <c r="Z7" s="671"/>
    </row>
    <row r="8" spans="1:36">
      <c r="A8" s="664"/>
      <c r="R8" s="671"/>
      <c r="V8" s="671"/>
      <c r="W8" s="671"/>
      <c r="X8" s="671"/>
      <c r="Y8" s="671"/>
      <c r="Z8" s="671"/>
    </row>
    <row r="9" spans="1:36">
      <c r="A9" s="664"/>
      <c r="R9" s="671"/>
      <c r="V9" s="671"/>
      <c r="W9" s="671"/>
      <c r="X9" s="671"/>
      <c r="Y9" s="671"/>
      <c r="Z9" s="671"/>
    </row>
    <row r="10" spans="1:36">
      <c r="A10" s="664"/>
      <c r="R10" s="671"/>
      <c r="V10" s="671"/>
      <c r="W10" s="671"/>
      <c r="X10" s="671"/>
      <c r="Y10" s="671"/>
      <c r="Z10" s="671"/>
    </row>
    <row r="11" spans="1:36">
      <c r="A11" s="664"/>
      <c r="R11" s="671"/>
      <c r="V11" s="671"/>
      <c r="W11" s="671"/>
      <c r="X11" s="671"/>
      <c r="Y11" s="671"/>
      <c r="Z11" s="671"/>
      <c r="AJ11" s="669" t="s">
        <v>247</v>
      </c>
    </row>
    <row r="12" spans="1:36">
      <c r="A12" s="664"/>
      <c r="R12" s="671"/>
      <c r="V12" s="671"/>
      <c r="W12" s="671"/>
      <c r="X12" s="671"/>
      <c r="Y12" s="671"/>
      <c r="Z12" s="671"/>
      <c r="AJ12" s="669" t="s">
        <v>248</v>
      </c>
    </row>
    <row r="13" spans="1:36">
      <c r="A13" s="664"/>
      <c r="R13" s="671"/>
      <c r="V13" s="671"/>
      <c r="W13" s="671"/>
      <c r="X13" s="671"/>
      <c r="Y13" s="671"/>
      <c r="Z13" s="671"/>
      <c r="AJ13" s="669" t="s">
        <v>249</v>
      </c>
    </row>
    <row r="14" spans="1:36">
      <c r="A14" s="664"/>
      <c r="R14" s="671"/>
      <c r="V14" s="671"/>
      <c r="W14" s="671"/>
      <c r="X14" s="671"/>
      <c r="Y14" s="671"/>
      <c r="Z14" s="671"/>
      <c r="AJ14" s="669" t="s">
        <v>250</v>
      </c>
    </row>
    <row r="15" spans="1:36">
      <c r="A15" s="664"/>
      <c r="R15" s="671"/>
      <c r="V15" s="671"/>
      <c r="W15" s="671"/>
      <c r="X15" s="671"/>
      <c r="Y15" s="671"/>
      <c r="Z15" s="671"/>
      <c r="AJ15" s="669" t="s">
        <v>251</v>
      </c>
    </row>
    <row r="16" spans="1:36">
      <c r="A16" s="664"/>
      <c r="R16" s="671"/>
      <c r="V16" s="671"/>
      <c r="W16" s="671"/>
      <c r="X16" s="671"/>
      <c r="Y16" s="671"/>
      <c r="Z16" s="671"/>
      <c r="AJ16" s="669" t="s">
        <v>252</v>
      </c>
    </row>
    <row r="17" spans="1:36">
      <c r="A17" s="664"/>
      <c r="R17" s="671"/>
      <c r="V17" s="671"/>
      <c r="W17" s="671"/>
      <c r="X17" s="671"/>
      <c r="Y17" s="671"/>
      <c r="Z17" s="671"/>
      <c r="AJ17" s="669" t="s">
        <v>253</v>
      </c>
    </row>
    <row r="18" spans="1:36">
      <c r="A18" s="664"/>
      <c r="R18" s="671"/>
      <c r="V18" s="671"/>
      <c r="W18" s="671"/>
      <c r="Y18" s="671"/>
      <c r="Z18" s="671"/>
      <c r="AJ18" s="669" t="s">
        <v>254</v>
      </c>
    </row>
    <row r="19" spans="1:36">
      <c r="A19" s="664"/>
      <c r="R19" s="671"/>
      <c r="V19" s="671"/>
      <c r="W19" s="671"/>
      <c r="Y19" s="671"/>
      <c r="Z19" s="671"/>
      <c r="AJ19" s="669" t="s">
        <v>255</v>
      </c>
    </row>
    <row r="20" spans="1:36">
      <c r="A20" s="664"/>
      <c r="R20" s="671"/>
      <c r="V20" s="671"/>
      <c r="W20" s="671"/>
      <c r="Y20" s="671"/>
      <c r="Z20" s="671"/>
      <c r="AJ20" s="669" t="s">
        <v>256</v>
      </c>
    </row>
    <row r="21" spans="1:36">
      <c r="A21" s="664"/>
      <c r="R21" s="671"/>
      <c r="V21" s="671"/>
      <c r="W21" s="671"/>
      <c r="Y21" s="671"/>
      <c r="Z21" s="671"/>
      <c r="AJ21" s="669" t="s">
        <v>257</v>
      </c>
    </row>
    <row r="22" spans="1:36">
      <c r="A22" s="664"/>
      <c r="R22" s="671"/>
      <c r="V22" s="671"/>
      <c r="W22" s="671"/>
      <c r="Y22" s="671"/>
      <c r="Z22" s="671"/>
      <c r="AJ22" s="669" t="s">
        <v>115</v>
      </c>
    </row>
    <row r="23" spans="1:36">
      <c r="A23" s="664"/>
      <c r="R23" s="671"/>
      <c r="V23" s="671"/>
      <c r="W23" s="671"/>
      <c r="Y23" s="671"/>
      <c r="Z23" s="671"/>
      <c r="AJ23" s="669" t="s">
        <v>258</v>
      </c>
    </row>
    <row r="24" spans="1:36">
      <c r="A24" s="664"/>
      <c r="R24" s="671"/>
      <c r="V24" s="671"/>
      <c r="W24" s="671"/>
      <c r="Y24" s="671"/>
      <c r="Z24" s="671"/>
      <c r="AJ24" s="669" t="s">
        <v>259</v>
      </c>
    </row>
    <row r="25" spans="1:36">
      <c r="A25" s="664"/>
      <c r="R25" s="671"/>
      <c r="V25" s="671"/>
      <c r="W25" s="671"/>
      <c r="Y25" s="671"/>
      <c r="Z25" s="671"/>
      <c r="AJ25" s="669" t="s">
        <v>260</v>
      </c>
    </row>
    <row r="26" spans="1:36">
      <c r="A26" s="664"/>
      <c r="R26" s="671"/>
      <c r="V26" s="671"/>
      <c r="W26" s="671"/>
      <c r="Y26" s="671"/>
      <c r="Z26" s="671"/>
      <c r="AJ26" s="669" t="s">
        <v>261</v>
      </c>
    </row>
    <row r="27" spans="1:36">
      <c r="A27" s="664"/>
      <c r="R27" s="671"/>
      <c r="V27" s="671"/>
      <c r="W27" s="671"/>
      <c r="Y27" s="671"/>
      <c r="Z27" s="671"/>
      <c r="AJ27" s="669" t="s">
        <v>262</v>
      </c>
    </row>
    <row r="28" spans="1:36">
      <c r="A28" s="664"/>
      <c r="R28" s="671"/>
      <c r="V28" s="671"/>
      <c r="W28" s="671"/>
      <c r="Y28" s="671"/>
      <c r="Z28" s="671"/>
      <c r="AJ28" s="669" t="s">
        <v>263</v>
      </c>
    </row>
    <row r="29" spans="1:36">
      <c r="A29" s="664"/>
      <c r="R29" s="671"/>
      <c r="V29" s="671"/>
      <c r="W29" s="671"/>
      <c r="Y29" s="671"/>
      <c r="Z29" s="671"/>
      <c r="AJ29" s="669" t="s">
        <v>264</v>
      </c>
    </row>
    <row r="30" spans="1:36">
      <c r="A30" s="664"/>
      <c r="R30" s="671"/>
      <c r="V30" s="671"/>
      <c r="W30" s="671"/>
      <c r="Y30" s="671"/>
      <c r="Z30" s="671"/>
      <c r="AJ30" s="669" t="s">
        <v>265</v>
      </c>
    </row>
    <row r="31" spans="1:36">
      <c r="A31" s="664"/>
      <c r="R31" s="671"/>
      <c r="V31" s="671"/>
      <c r="W31" s="671"/>
      <c r="Y31" s="671"/>
      <c r="Z31" s="671"/>
      <c r="AJ31" s="669" t="s">
        <v>266</v>
      </c>
    </row>
    <row r="32" spans="1:36">
      <c r="A32" s="664"/>
      <c r="R32" s="671"/>
      <c r="V32" s="671"/>
      <c r="W32" s="671"/>
      <c r="Y32" s="671"/>
      <c r="Z32" s="671"/>
      <c r="AJ32" s="669" t="s">
        <v>267</v>
      </c>
    </row>
    <row r="33" spans="1:36">
      <c r="A33" s="664"/>
      <c r="R33" s="671"/>
      <c r="V33" s="671"/>
      <c r="W33" s="671"/>
      <c r="Y33" s="671"/>
      <c r="Z33" s="671"/>
      <c r="AJ33" s="669" t="s">
        <v>268</v>
      </c>
    </row>
    <row r="34" spans="1:36">
      <c r="A34" s="664"/>
      <c r="R34" s="671"/>
      <c r="V34" s="671"/>
      <c r="W34" s="671"/>
      <c r="Y34" s="671"/>
      <c r="Z34" s="671"/>
      <c r="AJ34" s="669" t="s">
        <v>269</v>
      </c>
    </row>
    <row r="35" spans="1:36">
      <c r="A35" s="664"/>
      <c r="R35" s="671"/>
      <c r="V35" s="671"/>
      <c r="W35" s="671"/>
      <c r="Y35" s="671"/>
      <c r="Z35" s="671"/>
    </row>
    <row r="36" spans="1:36">
      <c r="A36" s="664"/>
      <c r="R36" s="671"/>
      <c r="V36" s="671"/>
      <c r="W36" s="671"/>
      <c r="Y36" s="671"/>
      <c r="Z36" s="671"/>
    </row>
    <row r="37" spans="1:36">
      <c r="A37" s="664"/>
      <c r="R37" s="671"/>
      <c r="V37" s="671"/>
      <c r="W37" s="671"/>
      <c r="Y37" s="671"/>
      <c r="Z37" s="671"/>
    </row>
    <row r="38" spans="1:36">
      <c r="A38" s="664"/>
      <c r="R38" s="671"/>
      <c r="V38" s="671"/>
      <c r="W38" s="671"/>
      <c r="Y38" s="671"/>
      <c r="Z38" s="671"/>
    </row>
    <row r="39" spans="1:36">
      <c r="A39" s="664"/>
      <c r="R39" s="671"/>
      <c r="V39" s="671"/>
      <c r="W39" s="671"/>
      <c r="Y39" s="671"/>
      <c r="Z39" s="671"/>
    </row>
    <row r="40" spans="1:36">
      <c r="A40" s="664"/>
      <c r="R40" s="671"/>
      <c r="V40" s="671"/>
      <c r="W40" s="671"/>
      <c r="Y40" s="671"/>
      <c r="Z40" s="671"/>
    </row>
    <row r="41" spans="1:36">
      <c r="A41" s="664"/>
      <c r="R41" s="671"/>
      <c r="V41" s="671"/>
      <c r="W41" s="671"/>
      <c r="Y41" s="671"/>
      <c r="Z41" s="671"/>
    </row>
    <row r="42" spans="1:36">
      <c r="A42" s="664"/>
      <c r="R42" s="671"/>
      <c r="V42" s="671"/>
      <c r="W42" s="671"/>
      <c r="Y42" s="671"/>
      <c r="Z42" s="671"/>
    </row>
    <row r="43" spans="1:36">
      <c r="A43" s="664"/>
      <c r="R43" s="671"/>
      <c r="V43" s="671"/>
      <c r="W43" s="671"/>
      <c r="Y43" s="671"/>
      <c r="Z43" s="671"/>
    </row>
    <row r="44" spans="1:36">
      <c r="A44" s="664"/>
      <c r="R44" s="671"/>
      <c r="V44" s="671"/>
      <c r="W44" s="671"/>
      <c r="Y44" s="671"/>
      <c r="Z44" s="671"/>
    </row>
    <row r="45" spans="1:36">
      <c r="A45" s="664"/>
      <c r="R45" s="671"/>
      <c r="V45" s="671"/>
      <c r="W45" s="671"/>
      <c r="Y45" s="671"/>
      <c r="Z45" s="671"/>
    </row>
    <row r="46" spans="1:36">
      <c r="A46" s="664"/>
      <c r="R46" s="671"/>
      <c r="V46" s="671"/>
      <c r="W46" s="671"/>
      <c r="Y46" s="671"/>
      <c r="Z46" s="671"/>
    </row>
    <row r="47" spans="1:36">
      <c r="A47" s="664"/>
      <c r="R47" s="671"/>
      <c r="V47" s="671"/>
      <c r="W47" s="671"/>
      <c r="Y47" s="671"/>
      <c r="Z47" s="671"/>
    </row>
    <row r="48" spans="1:36">
      <c r="A48" s="664"/>
      <c r="R48" s="671"/>
      <c r="V48" s="671"/>
      <c r="W48" s="671"/>
      <c r="Y48" s="671"/>
      <c r="Z48" s="671"/>
    </row>
    <row r="49" spans="1:36">
      <c r="A49" s="664"/>
      <c r="R49" s="671"/>
      <c r="V49" s="671"/>
      <c r="W49" s="671"/>
      <c r="Y49" s="671"/>
      <c r="Z49" s="671"/>
    </row>
    <row r="50" spans="1:36">
      <c r="A50" s="664"/>
      <c r="R50" s="671"/>
      <c r="V50" s="671"/>
      <c r="W50" s="671"/>
      <c r="Y50" s="671"/>
      <c r="Z50" s="671"/>
    </row>
    <row r="51" spans="1:36">
      <c r="A51" s="664"/>
      <c r="R51" s="671"/>
      <c r="V51" s="671"/>
      <c r="W51" s="671"/>
      <c r="Y51" s="671"/>
      <c r="Z51" s="671"/>
    </row>
    <row r="52" spans="1:36">
      <c r="A52" s="664"/>
      <c r="R52" s="671"/>
      <c r="V52" s="671"/>
      <c r="W52" s="671"/>
      <c r="Y52" s="671"/>
      <c r="Z52" s="671"/>
    </row>
    <row r="53" spans="1:36">
      <c r="A53" s="664"/>
      <c r="R53" s="671"/>
      <c r="V53" s="671"/>
      <c r="W53" s="671"/>
      <c r="Y53" s="671"/>
      <c r="Z53" s="671"/>
    </row>
    <row r="54" spans="1:36">
      <c r="A54" s="664"/>
      <c r="R54" s="671"/>
      <c r="V54" s="671"/>
      <c r="W54" s="671"/>
      <c r="Y54" s="671"/>
      <c r="Z54" s="671"/>
    </row>
    <row r="55" spans="1:36">
      <c r="A55" s="664"/>
      <c r="R55" s="671"/>
      <c r="V55" s="671"/>
      <c r="W55" s="671"/>
      <c r="Y55" s="671"/>
      <c r="Z55" s="671"/>
    </row>
    <row r="56" spans="1:36">
      <c r="A56" s="664"/>
      <c r="R56" s="671"/>
      <c r="V56" s="671"/>
      <c r="W56" s="671"/>
      <c r="Y56" s="671"/>
      <c r="Z56" s="671"/>
    </row>
    <row r="57" spans="1:36">
      <c r="A57" s="664"/>
      <c r="R57" s="671"/>
      <c r="V57" s="671"/>
      <c r="W57" s="671"/>
      <c r="Y57" s="671"/>
      <c r="Z57" s="671"/>
    </row>
    <row r="58" spans="1:36">
      <c r="A58" s="664"/>
      <c r="R58" s="671"/>
      <c r="V58" s="671"/>
      <c r="W58" s="671"/>
      <c r="Y58" s="671"/>
      <c r="Z58" s="671"/>
    </row>
    <row r="59" spans="1:36">
      <c r="A59" s="664"/>
      <c r="R59" s="671"/>
      <c r="V59" s="671"/>
      <c r="W59" s="671"/>
      <c r="Y59" s="671"/>
      <c r="Z59" s="671"/>
    </row>
    <row r="60" spans="1:36">
      <c r="A60" s="664"/>
      <c r="R60" s="671"/>
      <c r="V60" s="671"/>
      <c r="W60" s="671"/>
      <c r="Y60" s="671"/>
      <c r="Z60" s="671"/>
    </row>
    <row r="61" spans="1:36">
      <c r="A61" s="664"/>
      <c r="R61" s="671"/>
      <c r="V61" s="671"/>
      <c r="W61" s="671"/>
      <c r="Y61" s="671"/>
      <c r="Z61" s="671"/>
    </row>
    <row r="62" spans="1:36">
      <c r="A62" s="664"/>
      <c r="R62" s="671"/>
      <c r="V62" s="671"/>
      <c r="W62" s="671"/>
      <c r="Y62" s="671"/>
      <c r="Z62" s="671"/>
    </row>
    <row r="63" spans="1:36">
      <c r="A63" s="664"/>
      <c r="R63" s="671"/>
      <c r="V63" s="671"/>
      <c r="W63" s="671"/>
      <c r="Y63" s="671"/>
      <c r="Z63" s="671"/>
    </row>
    <row r="64" spans="1:36">
      <c r="A64" s="664"/>
      <c r="R64" s="671"/>
      <c r="V64" s="671"/>
      <c r="W64" s="671"/>
      <c r="Y64" s="671"/>
      <c r="Z64" s="671"/>
    </row>
    <row r="65" spans="1:36">
      <c r="A65" s="664"/>
      <c r="V65" s="671"/>
      <c r="W65" s="671"/>
      <c r="Y65" s="671"/>
      <c r="Z65" s="671"/>
    </row>
    <row r="66" spans="1:36">
      <c r="A66" s="664"/>
      <c r="V66" s="671"/>
      <c r="W66" s="671"/>
      <c r="Y66" s="671"/>
      <c r="Z66" s="671"/>
    </row>
    <row r="67" spans="1:36">
      <c r="A67" s="664"/>
      <c r="V67" s="671"/>
      <c r="W67" s="671"/>
      <c r="Y67" s="671"/>
      <c r="Z67" s="671"/>
    </row>
    <row r="68" spans="1:36">
      <c r="A68" s="664"/>
      <c r="V68" s="671"/>
      <c r="W68" s="671"/>
      <c r="Y68" s="671"/>
      <c r="Z68" s="671"/>
    </row>
    <row r="69" spans="1:36">
      <c r="A69" s="664"/>
      <c r="V69" s="671"/>
      <c r="W69" s="671"/>
      <c r="Y69" s="671"/>
      <c r="Z69" s="671"/>
    </row>
    <row r="70" spans="1:36">
      <c r="A70" s="664"/>
    </row>
    <row r="71" spans="1:36">
      <c r="A71" s="664"/>
    </row>
    <row r="72" spans="1:36">
      <c r="A72" s="664"/>
    </row>
    <row r="73" spans="1:36">
      <c r="A73" s="664"/>
    </row>
    <row r="74" spans="1:36">
      <c r="A74" s="664"/>
    </row>
    <row r="75" spans="1:36">
      <c r="A75" s="664"/>
    </row>
    <row r="76" spans="1:36">
      <c r="A76" s="664"/>
    </row>
    <row r="77" spans="1:36">
      <c r="A77" s="664"/>
    </row>
    <row r="78" spans="1:36">
      <c r="A78" s="664"/>
    </row>
    <row r="79" spans="1:36">
      <c r="A79" s="664"/>
    </row>
    <row r="80" spans="1:36">
      <c r="A80" s="664"/>
    </row>
    <row r="81" spans="1:36">
      <c r="A81" s="664"/>
    </row>
    <row r="82" spans="1:36">
      <c r="A82" s="664"/>
    </row>
    <row r="83" spans="1:36">
      <c r="A83" s="664"/>
    </row>
    <row r="84" spans="1:36">
      <c r="A84" s="664"/>
    </row>
    <row r="85" spans="1:36">
      <c r="A85" s="664"/>
    </row>
    <row r="86" spans="1:36">
      <c r="A86" s="664"/>
    </row>
    <row r="87" spans="1:36">
      <c r="A87" s="664"/>
    </row>
    <row r="88" spans="1:36">
      <c r="A88" s="664"/>
    </row>
    <row r="89" spans="1:36">
      <c r="A89" s="664"/>
    </row>
    <row r="90" spans="1:36">
      <c r="A90" s="664"/>
    </row>
    <row r="91" spans="1:36">
      <c r="A91" s="664"/>
    </row>
    <row r="92" spans="1:36">
      <c r="A92" s="664"/>
    </row>
    <row r="93" spans="1:36">
      <c r="A93" s="664"/>
    </row>
    <row r="94" spans="1:36">
      <c r="A94" s="664"/>
    </row>
    <row r="95" spans="1:36">
      <c r="A95" s="664"/>
    </row>
    <row r="96" spans="1:36">
      <c r="A96" s="664"/>
    </row>
    <row r="97" spans="1:36">
      <c r="A97" s="664"/>
    </row>
    <row r="98" spans="1:36">
      <c r="A98" s="664"/>
    </row>
    <row r="99" spans="1:36">
      <c r="A99" s="664"/>
    </row>
    <row r="100" spans="1:36">
      <c r="A100" s="66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conditionalFormatting sqref="W7:W100">
    <cfRule type="cellIs" dxfId="1" priority="1" operator="lessThan">
      <formula>$V7</formula>
    </cfRule>
  </conditionalFormatting>
  <printOptions gridLines="false" gridLinesSet="true"/>
  <pageMargins left="0.7" right="0.7" top="0.75" bottom="0.75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J100"/>
  <sheetViews>
    <sheetView tabSelected="0" workbookViewId="0" zoomScale="115" zoomScaleNormal="115" showGridLines="true" showRowColHeaders="1">
      <selection activeCell="W7" sqref="W7"/>
    </sheetView>
  </sheetViews>
  <sheetFormatPr defaultRowHeight="14.4" defaultColWidth="9.1328125" outlineLevelRow="0" outlineLevelCol="0"/>
  <cols>
    <col min="1" max="1" width="22.265625" customWidth="true" style="673"/>
    <col min="2" max="2" width="13.265625" customWidth="true" style="670"/>
    <col min="3" max="3" width="13.265625" customWidth="true" style="669"/>
    <col min="4" max="4" width="13.265625" customWidth="true" style="669"/>
    <col min="5" max="5" width="13.265625" customWidth="true" style="669"/>
    <col min="6" max="6" width="13.265625" customWidth="true" style="669"/>
    <col min="7" max="7" width="13.265625" customWidth="true" style="669"/>
    <col min="8" max="8" width="13.265625" customWidth="true" style="669"/>
    <col min="9" max="9" width="13.265625" customWidth="true" style="669"/>
    <col min="10" max="10" width="13.265625" customWidth="true" style="669"/>
    <col min="11" max="11" width="13.265625" customWidth="true" style="669"/>
    <col min="12" max="12" width="13.265625" customWidth="true" style="669"/>
    <col min="13" max="13" width="13.265625" customWidth="true" style="669"/>
    <col min="14" max="14" width="13.265625" customWidth="true" style="669"/>
    <col min="15" max="15" width="13.265625" customWidth="true" style="669"/>
    <col min="16" max="16" width="13.265625" customWidth="true" style="669"/>
    <col min="17" max="17" width="13.265625" customWidth="true" style="669"/>
    <col min="18" max="18" width="13.265625" customWidth="true" style="669"/>
    <col min="19" max="19" width="13.265625" customWidth="true" style="669"/>
    <col min="20" max="20" width="13.265625" customWidth="true" style="669"/>
    <col min="21" max="21" width="13.265625" customWidth="true" style="669"/>
    <col min="22" max="22" width="13.265625" customWidth="true" style="669"/>
    <col min="23" max="23" width="13.265625" customWidth="true" style="669"/>
    <col min="24" max="24" width="13.265625" customWidth="true" style="669"/>
    <col min="25" max="25" width="13.265625" customWidth="true" style="669"/>
    <col min="26" max="26" width="13.265625" customWidth="true" style="669"/>
    <col min="27" max="27" width="9.1328125" style="669"/>
  </cols>
  <sheetData>
    <row r="1" spans="1:36">
      <c r="A1" s="673">
        <v>0</v>
      </c>
    </row>
    <row r="3" spans="1:36" customHeight="1" ht="39.75" s="679" customFormat="1">
      <c r="A3" s="674" t="s">
        <v>220</v>
      </c>
      <c r="B3" s="675" t="s">
        <v>247</v>
      </c>
      <c r="C3" s="676" t="s">
        <v>248</v>
      </c>
      <c r="D3" s="676" t="s">
        <v>249</v>
      </c>
      <c r="E3" s="676" t="s">
        <v>250</v>
      </c>
      <c r="F3" s="676" t="s">
        <v>274</v>
      </c>
      <c r="G3" s="676" t="s">
        <v>252</v>
      </c>
      <c r="H3" s="676" t="s">
        <v>275</v>
      </c>
      <c r="I3" s="676" t="s">
        <v>199</v>
      </c>
      <c r="J3" s="676" t="s">
        <v>254</v>
      </c>
      <c r="K3" s="676" t="s">
        <v>257</v>
      </c>
      <c r="L3" s="676" t="s">
        <v>276</v>
      </c>
      <c r="M3" s="676" t="s">
        <v>253</v>
      </c>
      <c r="N3" s="676" t="s">
        <v>115</v>
      </c>
      <c r="O3" s="676" t="s">
        <v>258</v>
      </c>
      <c r="P3" s="676" t="s">
        <v>277</v>
      </c>
      <c r="Q3" s="676" t="s">
        <v>278</v>
      </c>
      <c r="R3" s="676" t="s">
        <v>279</v>
      </c>
      <c r="S3" s="676" t="s">
        <v>264</v>
      </c>
      <c r="T3" s="676" t="s">
        <v>265</v>
      </c>
      <c r="U3" s="677" t="s">
        <v>261</v>
      </c>
      <c r="V3" s="677" t="s">
        <v>280</v>
      </c>
      <c r="W3" s="677" t="s">
        <v>281</v>
      </c>
      <c r="X3" s="677" t="s">
        <v>282</v>
      </c>
      <c r="Y3" s="677" t="s">
        <v>283</v>
      </c>
      <c r="Z3" s="678" t="s">
        <v>284</v>
      </c>
    </row>
    <row r="4" spans="1:36" s="683" customFormat="1">
      <c r="A4" s="648"/>
      <c r="B4" s="684"/>
      <c r="C4" s="685"/>
      <c r="D4" s="685"/>
      <c r="E4" s="685"/>
      <c r="F4" s="685"/>
      <c r="G4" s="685"/>
      <c r="H4" s="685"/>
      <c r="I4" s="685"/>
      <c r="J4" s="685"/>
      <c r="K4" s="685"/>
      <c r="L4" s="685"/>
      <c r="M4" s="685"/>
      <c r="N4" s="685"/>
      <c r="O4" s="685"/>
      <c r="P4" s="685"/>
      <c r="Q4" s="685"/>
      <c r="R4" s="685"/>
      <c r="S4" s="685"/>
      <c r="T4" s="685"/>
      <c r="U4" s="686"/>
      <c r="V4" s="686"/>
      <c r="W4" s="686"/>
      <c r="X4" s="686"/>
      <c r="Y4" s="686"/>
      <c r="Z4" s="687"/>
    </row>
    <row r="5" spans="1:36" s="658" customFormat="1">
      <c r="A5" s="654" t="s">
        <v>272</v>
      </c>
      <c r="B5" s="655" t="str">
        <f>ROUND(SUM(B7:B101),2)</f>
        <v>0</v>
      </c>
      <c r="C5" s="656" t="str">
        <f>ROUND(SUM(C7:C102),2)</f>
        <v>0</v>
      </c>
      <c r="D5" s="656" t="str">
        <f>ROUND(SUM(D7:D102),2)</f>
        <v>0</v>
      </c>
      <c r="E5" s="656" t="str">
        <f>ROUND(SUM(E7:E102),2)</f>
        <v>0</v>
      </c>
      <c r="F5" s="656" t="str">
        <f>ROUND(SUM(F7:F102),2)</f>
        <v>0</v>
      </c>
      <c r="G5" s="656" t="str">
        <f>ROUND(SUM(G7:G102),2)</f>
        <v>0</v>
      </c>
      <c r="H5" s="656" t="str">
        <f>ROUND(SUM(H7:H102),2)</f>
        <v>0</v>
      </c>
      <c r="I5" s="656" t="str">
        <f>ROUND(SUM(I7:I102),2)</f>
        <v>0</v>
      </c>
      <c r="J5" s="656" t="str">
        <f>ROUND(SUM(J7:J102),2)</f>
        <v>0</v>
      </c>
      <c r="K5" s="656" t="str">
        <f>ROUND(SUM(K7:K102),2)</f>
        <v>0</v>
      </c>
      <c r="L5" s="656" t="str">
        <f>ROUND(SUM(L7:L102),2)</f>
        <v>0</v>
      </c>
      <c r="M5" s="656" t="str">
        <f>ROUND(SUM(M7:M102),2)</f>
        <v>0</v>
      </c>
      <c r="N5" s="656" t="str">
        <f>ROUND(SUM(N7:N102),2)</f>
        <v>0</v>
      </c>
      <c r="O5" s="656" t="str">
        <f>ROUND(SUM(O7:O102),2)</f>
        <v>0</v>
      </c>
      <c r="P5" s="656" t="str">
        <f>ROUND(SUM(P7:P102),2)</f>
        <v>0</v>
      </c>
      <c r="Q5" s="656" t="str">
        <f>ROUND(SUM(Q7:Q102),2)</f>
        <v>0</v>
      </c>
      <c r="R5" s="656" t="str">
        <f>ROUND(SUM(R7:R102),2)</f>
        <v>0</v>
      </c>
      <c r="S5" s="656" t="str">
        <f>ROUND(SUM(S7:S102),2)</f>
        <v>0</v>
      </c>
      <c r="T5" s="656" t="str">
        <f>ROUND(SUM(T7:T102),2)</f>
        <v>0</v>
      </c>
      <c r="U5" s="656" t="str">
        <f>ROUND(SUM(U7:U102),2)</f>
        <v>0</v>
      </c>
      <c r="V5" s="656" t="str">
        <f>ROUND(SUM(V7:V102),2)</f>
        <v>0</v>
      </c>
      <c r="W5" s="680"/>
      <c r="X5" s="680"/>
      <c r="Y5" s="680"/>
      <c r="Z5" s="657" t="str">
        <f>ROUND(SUM(Z7:Z102),2)</f>
        <v>0</v>
      </c>
    </row>
    <row r="6" spans="1:36" customHeight="1" ht="14.25" s="663" customFormat="1">
      <c r="A6" s="681" t="s">
        <v>273</v>
      </c>
      <c r="B6" s="660"/>
      <c r="C6" s="661"/>
      <c r="D6" s="661"/>
      <c r="E6" s="661"/>
      <c r="F6" s="661"/>
      <c r="G6" s="661"/>
      <c r="H6" s="661"/>
      <c r="I6" s="661"/>
      <c r="J6" s="661"/>
      <c r="K6" s="661"/>
      <c r="L6" s="661"/>
      <c r="M6" s="661"/>
      <c r="N6" s="661"/>
      <c r="O6" s="661"/>
      <c r="P6" s="661"/>
      <c r="Q6" s="661"/>
      <c r="R6" s="661"/>
      <c r="S6" s="661"/>
      <c r="T6" s="661"/>
      <c r="U6" s="661"/>
      <c r="V6" s="661"/>
      <c r="W6" s="682"/>
      <c r="X6" s="682"/>
      <c r="Y6" s="682"/>
      <c r="Z6" s="662"/>
    </row>
    <row r="7" spans="1:36" customHeight="1" ht="14.25">
      <c r="A7" s="664"/>
      <c r="R7" s="671"/>
      <c r="V7" s="671"/>
      <c r="W7" s="671"/>
      <c r="X7" s="671"/>
      <c r="Y7" s="671"/>
      <c r="Z7" s="671"/>
    </row>
    <row r="8" spans="1:36">
      <c r="A8" s="664"/>
      <c r="R8" s="671"/>
      <c r="V8" s="671"/>
      <c r="W8" s="671"/>
      <c r="X8" s="671"/>
      <c r="Y8" s="671"/>
      <c r="Z8" s="671"/>
    </row>
    <row r="9" spans="1:36">
      <c r="A9" s="664"/>
      <c r="R9" s="671"/>
      <c r="V9" s="671"/>
      <c r="W9" s="671"/>
      <c r="X9" s="671"/>
      <c r="Y9" s="671"/>
      <c r="Z9" s="671"/>
    </row>
    <row r="10" spans="1:36">
      <c r="A10" s="664"/>
      <c r="R10" s="671"/>
      <c r="V10" s="671"/>
      <c r="W10" s="671"/>
      <c r="X10" s="671"/>
      <c r="Y10" s="671"/>
      <c r="Z10" s="671"/>
    </row>
    <row r="11" spans="1:36">
      <c r="A11" s="664"/>
      <c r="R11" s="671"/>
      <c r="V11" s="671"/>
      <c r="W11" s="671"/>
      <c r="X11" s="671"/>
      <c r="Y11" s="671"/>
      <c r="Z11" s="671"/>
      <c r="AJ11" s="669" t="s">
        <v>247</v>
      </c>
    </row>
    <row r="12" spans="1:36">
      <c r="A12" s="664"/>
      <c r="R12" s="671"/>
      <c r="V12" s="671"/>
      <c r="W12" s="671"/>
      <c r="X12" s="671"/>
      <c r="Y12" s="671"/>
      <c r="Z12" s="671"/>
      <c r="AJ12" s="669" t="s">
        <v>248</v>
      </c>
    </row>
    <row r="13" spans="1:36">
      <c r="A13" s="664"/>
      <c r="R13" s="671"/>
      <c r="V13" s="671"/>
      <c r="W13" s="671"/>
      <c r="X13" s="671"/>
      <c r="Y13" s="671"/>
      <c r="Z13" s="671"/>
      <c r="AJ13" s="669" t="s">
        <v>249</v>
      </c>
    </row>
    <row r="14" spans="1:36">
      <c r="A14" s="664"/>
      <c r="R14" s="671"/>
      <c r="V14" s="671"/>
      <c r="W14" s="671"/>
      <c r="X14" s="671"/>
      <c r="Y14" s="671"/>
      <c r="Z14" s="671"/>
      <c r="AJ14" s="669" t="s">
        <v>250</v>
      </c>
    </row>
    <row r="15" spans="1:36">
      <c r="A15" s="664"/>
      <c r="R15" s="671"/>
      <c r="V15" s="671"/>
      <c r="W15" s="671"/>
      <c r="X15" s="671"/>
      <c r="Y15" s="671"/>
      <c r="Z15" s="671"/>
      <c r="AJ15" s="669" t="s">
        <v>251</v>
      </c>
    </row>
    <row r="16" spans="1:36">
      <c r="A16" s="664"/>
      <c r="R16" s="671"/>
      <c r="V16" s="671"/>
      <c r="W16" s="671"/>
      <c r="X16" s="671"/>
      <c r="Y16" s="671"/>
      <c r="Z16" s="671"/>
      <c r="AJ16" s="669" t="s">
        <v>252</v>
      </c>
    </row>
    <row r="17" spans="1:36">
      <c r="A17" s="664"/>
      <c r="R17" s="671"/>
      <c r="V17" s="671"/>
      <c r="W17" s="671"/>
      <c r="X17" s="671"/>
      <c r="Y17" s="671"/>
      <c r="Z17" s="671"/>
      <c r="AJ17" s="669" t="s">
        <v>253</v>
      </c>
    </row>
    <row r="18" spans="1:36">
      <c r="A18" s="664"/>
      <c r="R18" s="671"/>
      <c r="V18" s="671"/>
      <c r="W18" s="671"/>
      <c r="Y18" s="671"/>
      <c r="Z18" s="671"/>
      <c r="AJ18" s="669" t="s">
        <v>254</v>
      </c>
    </row>
    <row r="19" spans="1:36">
      <c r="A19" s="664"/>
      <c r="R19" s="671"/>
      <c r="V19" s="671"/>
      <c r="W19" s="671"/>
      <c r="Y19" s="671"/>
      <c r="Z19" s="671"/>
      <c r="AJ19" s="669" t="s">
        <v>255</v>
      </c>
    </row>
    <row r="20" spans="1:36">
      <c r="A20" s="664"/>
      <c r="R20" s="671"/>
      <c r="V20" s="671"/>
      <c r="W20" s="671"/>
      <c r="Y20" s="671"/>
      <c r="Z20" s="671"/>
      <c r="AJ20" s="669" t="s">
        <v>256</v>
      </c>
    </row>
    <row r="21" spans="1:36">
      <c r="A21" s="664"/>
      <c r="R21" s="671"/>
      <c r="V21" s="671"/>
      <c r="W21" s="671"/>
      <c r="Y21" s="671"/>
      <c r="Z21" s="671"/>
      <c r="AJ21" s="669" t="s">
        <v>257</v>
      </c>
    </row>
    <row r="22" spans="1:36">
      <c r="A22" s="664"/>
      <c r="R22" s="671"/>
      <c r="V22" s="671"/>
      <c r="W22" s="671"/>
      <c r="Y22" s="671"/>
      <c r="Z22" s="671"/>
      <c r="AJ22" s="669" t="s">
        <v>115</v>
      </c>
    </row>
    <row r="23" spans="1:36">
      <c r="A23" s="664"/>
      <c r="R23" s="671"/>
      <c r="V23" s="671"/>
      <c r="W23" s="671"/>
      <c r="Y23" s="671"/>
      <c r="Z23" s="671"/>
      <c r="AJ23" s="669" t="s">
        <v>258</v>
      </c>
    </row>
    <row r="24" spans="1:36">
      <c r="A24" s="664"/>
      <c r="R24" s="671"/>
      <c r="V24" s="671"/>
      <c r="W24" s="671"/>
      <c r="Y24" s="671"/>
      <c r="Z24" s="671"/>
      <c r="AJ24" s="669" t="s">
        <v>259</v>
      </c>
    </row>
    <row r="25" spans="1:36">
      <c r="A25" s="664"/>
      <c r="R25" s="671"/>
      <c r="V25" s="671"/>
      <c r="W25" s="671"/>
      <c r="Y25" s="671"/>
      <c r="Z25" s="671"/>
      <c r="AJ25" s="669" t="s">
        <v>260</v>
      </c>
    </row>
    <row r="26" spans="1:36">
      <c r="A26" s="664"/>
      <c r="R26" s="671"/>
      <c r="V26" s="671"/>
      <c r="W26" s="671"/>
      <c r="Y26" s="671"/>
      <c r="Z26" s="671"/>
      <c r="AJ26" s="669" t="s">
        <v>261</v>
      </c>
    </row>
    <row r="27" spans="1:36">
      <c r="A27" s="664"/>
      <c r="R27" s="671"/>
      <c r="V27" s="671"/>
      <c r="W27" s="671"/>
      <c r="Y27" s="671"/>
      <c r="Z27" s="671"/>
      <c r="AJ27" s="669" t="s">
        <v>262</v>
      </c>
    </row>
    <row r="28" spans="1:36">
      <c r="A28" s="664"/>
      <c r="R28" s="671"/>
      <c r="V28" s="671"/>
      <c r="W28" s="671"/>
      <c r="Y28" s="671"/>
      <c r="Z28" s="671"/>
      <c r="AJ28" s="669" t="s">
        <v>263</v>
      </c>
    </row>
    <row r="29" spans="1:36">
      <c r="A29" s="664"/>
      <c r="R29" s="671"/>
      <c r="V29" s="671"/>
      <c r="W29" s="671"/>
      <c r="Y29" s="671"/>
      <c r="Z29" s="671"/>
      <c r="AJ29" s="669" t="s">
        <v>264</v>
      </c>
    </row>
    <row r="30" spans="1:36">
      <c r="A30" s="664"/>
      <c r="R30" s="671"/>
      <c r="V30" s="671"/>
      <c r="W30" s="671"/>
      <c r="Y30" s="671"/>
      <c r="Z30" s="671"/>
      <c r="AJ30" s="669" t="s">
        <v>265</v>
      </c>
    </row>
    <row r="31" spans="1:36">
      <c r="A31" s="664"/>
      <c r="R31" s="671"/>
      <c r="V31" s="671"/>
      <c r="W31" s="671"/>
      <c r="Y31" s="671"/>
      <c r="Z31" s="671"/>
      <c r="AJ31" s="669" t="s">
        <v>266</v>
      </c>
    </row>
    <row r="32" spans="1:36">
      <c r="A32" s="664"/>
      <c r="R32" s="671"/>
      <c r="V32" s="671"/>
      <c r="W32" s="671"/>
      <c r="Y32" s="671"/>
      <c r="Z32" s="671"/>
      <c r="AJ32" s="669" t="s">
        <v>267</v>
      </c>
    </row>
    <row r="33" spans="1:36">
      <c r="A33" s="664"/>
      <c r="R33" s="671"/>
      <c r="V33" s="671"/>
      <c r="W33" s="671"/>
      <c r="Y33" s="671"/>
      <c r="Z33" s="671"/>
      <c r="AJ33" s="669" t="s">
        <v>268</v>
      </c>
    </row>
    <row r="34" spans="1:36">
      <c r="A34" s="664"/>
      <c r="R34" s="671"/>
      <c r="V34" s="671"/>
      <c r="W34" s="671"/>
      <c r="Y34" s="671"/>
      <c r="Z34" s="671"/>
      <c r="AJ34" s="669" t="s">
        <v>269</v>
      </c>
    </row>
    <row r="35" spans="1:36">
      <c r="A35" s="664"/>
      <c r="R35" s="671"/>
      <c r="V35" s="671"/>
      <c r="W35" s="671"/>
      <c r="Y35" s="671"/>
      <c r="Z35" s="671"/>
    </row>
    <row r="36" spans="1:36">
      <c r="A36" s="664"/>
      <c r="R36" s="671"/>
      <c r="V36" s="671"/>
      <c r="W36" s="671"/>
      <c r="Y36" s="671"/>
      <c r="Z36" s="671"/>
    </row>
    <row r="37" spans="1:36">
      <c r="A37" s="664"/>
      <c r="R37" s="671"/>
      <c r="V37" s="671"/>
      <c r="W37" s="671"/>
      <c r="Y37" s="671"/>
      <c r="Z37" s="671"/>
    </row>
    <row r="38" spans="1:36">
      <c r="A38" s="664"/>
      <c r="R38" s="671"/>
      <c r="V38" s="671"/>
      <c r="W38" s="671"/>
      <c r="Y38" s="671"/>
      <c r="Z38" s="671"/>
    </row>
    <row r="39" spans="1:36">
      <c r="A39" s="664"/>
      <c r="R39" s="671"/>
      <c r="V39" s="671"/>
      <c r="W39" s="671"/>
      <c r="Y39" s="671"/>
      <c r="Z39" s="671"/>
    </row>
    <row r="40" spans="1:36">
      <c r="A40" s="664"/>
      <c r="R40" s="671"/>
      <c r="V40" s="671"/>
      <c r="W40" s="671"/>
      <c r="Y40" s="671"/>
      <c r="Z40" s="671"/>
    </row>
    <row r="41" spans="1:36">
      <c r="A41" s="664"/>
      <c r="R41" s="671"/>
      <c r="V41" s="671"/>
      <c r="W41" s="671"/>
      <c r="Y41" s="671"/>
      <c r="Z41" s="671"/>
    </row>
    <row r="42" spans="1:36">
      <c r="A42" s="664"/>
      <c r="R42" s="671"/>
      <c r="V42" s="671"/>
      <c r="W42" s="671"/>
      <c r="Y42" s="671"/>
      <c r="Z42" s="671"/>
    </row>
    <row r="43" spans="1:36">
      <c r="A43" s="664"/>
      <c r="R43" s="671"/>
      <c r="V43" s="671"/>
      <c r="W43" s="671"/>
      <c r="Y43" s="671"/>
      <c r="Z43" s="671"/>
    </row>
    <row r="44" spans="1:36">
      <c r="A44" s="664"/>
      <c r="R44" s="671"/>
      <c r="V44" s="671"/>
      <c r="W44" s="671"/>
      <c r="Y44" s="671"/>
      <c r="Z44" s="671"/>
    </row>
    <row r="45" spans="1:36">
      <c r="A45" s="664"/>
      <c r="R45" s="671"/>
      <c r="V45" s="671"/>
      <c r="W45" s="671"/>
      <c r="Y45" s="671"/>
      <c r="Z45" s="671"/>
    </row>
    <row r="46" spans="1:36">
      <c r="A46" s="664"/>
      <c r="R46" s="671"/>
      <c r="V46" s="671"/>
      <c r="W46" s="671"/>
      <c r="Y46" s="671"/>
      <c r="Z46" s="671"/>
    </row>
    <row r="47" spans="1:36">
      <c r="A47" s="664"/>
      <c r="R47" s="671"/>
      <c r="V47" s="671"/>
      <c r="W47" s="671"/>
      <c r="Y47" s="671"/>
      <c r="Z47" s="671"/>
    </row>
    <row r="48" spans="1:36">
      <c r="A48" s="664"/>
      <c r="R48" s="671"/>
      <c r="V48" s="671"/>
      <c r="W48" s="671"/>
      <c r="Y48" s="671"/>
      <c r="Z48" s="671"/>
    </row>
    <row r="49" spans="1:36">
      <c r="A49" s="664"/>
      <c r="R49" s="671"/>
      <c r="V49" s="671"/>
      <c r="W49" s="671"/>
      <c r="Y49" s="671"/>
      <c r="Z49" s="671"/>
    </row>
    <row r="50" spans="1:36">
      <c r="A50" s="664"/>
      <c r="R50" s="671"/>
      <c r="V50" s="671"/>
      <c r="W50" s="671"/>
      <c r="Y50" s="671"/>
      <c r="Z50" s="671"/>
    </row>
    <row r="51" spans="1:36">
      <c r="A51" s="664"/>
      <c r="R51" s="671"/>
      <c r="V51" s="671"/>
      <c r="W51" s="671"/>
      <c r="Y51" s="671"/>
      <c r="Z51" s="671"/>
    </row>
    <row r="52" spans="1:36">
      <c r="A52" s="664"/>
      <c r="R52" s="671"/>
      <c r="V52" s="671"/>
      <c r="W52" s="671"/>
      <c r="Y52" s="671"/>
      <c r="Z52" s="671"/>
    </row>
    <row r="53" spans="1:36">
      <c r="A53" s="664"/>
      <c r="R53" s="671"/>
      <c r="V53" s="671"/>
      <c r="W53" s="671"/>
      <c r="Y53" s="671"/>
      <c r="Z53" s="671"/>
    </row>
    <row r="54" spans="1:36">
      <c r="A54" s="664"/>
      <c r="R54" s="671"/>
      <c r="V54" s="671"/>
      <c r="W54" s="671"/>
      <c r="Y54" s="671"/>
      <c r="Z54" s="671"/>
    </row>
    <row r="55" spans="1:36">
      <c r="A55" s="664"/>
      <c r="R55" s="671"/>
      <c r="V55" s="671"/>
      <c r="W55" s="671"/>
      <c r="Y55" s="671"/>
      <c r="Z55" s="671"/>
    </row>
    <row r="56" spans="1:36">
      <c r="A56" s="664"/>
      <c r="R56" s="671"/>
      <c r="V56" s="671"/>
      <c r="W56" s="671"/>
      <c r="Y56" s="671"/>
      <c r="Z56" s="671"/>
    </row>
    <row r="57" spans="1:36">
      <c r="A57" s="664"/>
      <c r="R57" s="671"/>
      <c r="V57" s="671"/>
      <c r="W57" s="671"/>
      <c r="Y57" s="671"/>
      <c r="Z57" s="671"/>
    </row>
    <row r="58" spans="1:36">
      <c r="A58" s="664"/>
      <c r="R58" s="671"/>
      <c r="V58" s="671"/>
      <c r="W58" s="671"/>
      <c r="Y58" s="671"/>
      <c r="Z58" s="671"/>
    </row>
    <row r="59" spans="1:36">
      <c r="A59" s="664"/>
      <c r="R59" s="671"/>
      <c r="V59" s="671"/>
      <c r="W59" s="671"/>
      <c r="Y59" s="671"/>
      <c r="Z59" s="671"/>
    </row>
    <row r="60" spans="1:36">
      <c r="A60" s="664"/>
      <c r="R60" s="671"/>
      <c r="V60" s="671"/>
      <c r="W60" s="671"/>
      <c r="Y60" s="671"/>
      <c r="Z60" s="671"/>
    </row>
    <row r="61" spans="1:36">
      <c r="A61" s="664"/>
      <c r="R61" s="671"/>
      <c r="V61" s="671"/>
      <c r="W61" s="671"/>
      <c r="Y61" s="671"/>
      <c r="Z61" s="671"/>
    </row>
    <row r="62" spans="1:36">
      <c r="A62" s="664"/>
      <c r="R62" s="671"/>
      <c r="V62" s="671"/>
      <c r="W62" s="671"/>
      <c r="Y62" s="671"/>
      <c r="Z62" s="671"/>
    </row>
    <row r="63" spans="1:36">
      <c r="A63" s="664"/>
      <c r="R63" s="671"/>
      <c r="V63" s="671"/>
      <c r="W63" s="671"/>
      <c r="Y63" s="671"/>
      <c r="Z63" s="671"/>
    </row>
    <row r="64" spans="1:36">
      <c r="A64" s="664"/>
      <c r="R64" s="671"/>
      <c r="V64" s="671"/>
      <c r="W64" s="671"/>
      <c r="Y64" s="671"/>
      <c r="Z64" s="671"/>
    </row>
    <row r="65" spans="1:36">
      <c r="A65" s="664"/>
      <c r="V65" s="671"/>
      <c r="W65" s="671"/>
      <c r="Y65" s="671"/>
      <c r="Z65" s="671"/>
    </row>
    <row r="66" spans="1:36">
      <c r="A66" s="664"/>
      <c r="V66" s="671"/>
      <c r="W66" s="671"/>
      <c r="Y66" s="671"/>
      <c r="Z66" s="671"/>
    </row>
    <row r="67" spans="1:36">
      <c r="A67" s="664"/>
      <c r="V67" s="671"/>
      <c r="W67" s="671"/>
      <c r="Y67" s="671"/>
      <c r="Z67" s="671"/>
    </row>
    <row r="68" spans="1:36">
      <c r="A68" s="664"/>
      <c r="V68" s="671"/>
      <c r="W68" s="671"/>
      <c r="Y68" s="671"/>
      <c r="Z68" s="671"/>
    </row>
    <row r="69" spans="1:36">
      <c r="A69" s="664"/>
      <c r="V69" s="671"/>
      <c r="W69" s="671"/>
      <c r="Y69" s="671"/>
      <c r="Z69" s="671"/>
    </row>
    <row r="70" spans="1:36">
      <c r="A70" s="664"/>
    </row>
    <row r="71" spans="1:36">
      <c r="A71" s="664"/>
    </row>
    <row r="72" spans="1:36">
      <c r="A72" s="664"/>
    </row>
    <row r="73" spans="1:36">
      <c r="A73" s="664"/>
    </row>
    <row r="74" spans="1:36">
      <c r="A74" s="664"/>
    </row>
    <row r="75" spans="1:36">
      <c r="A75" s="664"/>
    </row>
    <row r="76" spans="1:36">
      <c r="A76" s="664"/>
    </row>
    <row r="77" spans="1:36">
      <c r="A77" s="664"/>
    </row>
    <row r="78" spans="1:36">
      <c r="A78" s="664"/>
    </row>
    <row r="79" spans="1:36">
      <c r="A79" s="664"/>
    </row>
    <row r="80" spans="1:36">
      <c r="A80" s="664"/>
    </row>
    <row r="81" spans="1:36">
      <c r="A81" s="664"/>
    </row>
    <row r="82" spans="1:36">
      <c r="A82" s="664"/>
    </row>
    <row r="83" spans="1:36">
      <c r="A83" s="664"/>
    </row>
    <row r="84" spans="1:36">
      <c r="A84" s="664"/>
    </row>
    <row r="85" spans="1:36">
      <c r="A85" s="664"/>
    </row>
    <row r="86" spans="1:36">
      <c r="A86" s="664"/>
    </row>
    <row r="87" spans="1:36">
      <c r="A87" s="664"/>
    </row>
    <row r="88" spans="1:36">
      <c r="A88" s="664"/>
    </row>
    <row r="89" spans="1:36">
      <c r="A89" s="664"/>
    </row>
    <row r="90" spans="1:36">
      <c r="A90" s="664"/>
    </row>
    <row r="91" spans="1:36">
      <c r="A91" s="664"/>
    </row>
    <row r="92" spans="1:36">
      <c r="A92" s="664"/>
    </row>
    <row r="93" spans="1:36">
      <c r="A93" s="664"/>
    </row>
    <row r="94" spans="1:36">
      <c r="A94" s="664"/>
    </row>
    <row r="95" spans="1:36">
      <c r="A95" s="664"/>
    </row>
    <row r="96" spans="1:36">
      <c r="A96" s="664"/>
    </row>
    <row r="97" spans="1:36">
      <c r="A97" s="664"/>
    </row>
    <row r="98" spans="1:36">
      <c r="A98" s="664"/>
    </row>
    <row r="99" spans="1:36">
      <c r="A99" s="664"/>
    </row>
    <row r="100" spans="1:36">
      <c r="A100" s="66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conditionalFormatting sqref="W7:W100">
    <cfRule type="cellIs" dxfId="1" priority="1" operator="lessThan">
      <formula>$V7</formula>
    </cfRule>
  </conditionalFormatting>
  <printOptions gridLines="false" gridLinesSet="true"/>
  <pageMargins left="0.7" right="0.7" top="0.75" bottom="0.75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3"/>
  <sheetViews>
    <sheetView tabSelected="0" workbookViewId="0" showGridLines="false" showRowColHeaders="1">
      <pane xSplit="1" ySplit="3" topLeftCell="B4" activePane="bottomRight" state="frozen"/>
      <selection pane="topRight"/>
      <selection pane="bottomLeft"/>
      <selection pane="bottomRight" activeCell="B1" sqref="B1"/>
    </sheetView>
  </sheetViews>
  <sheetFormatPr defaultRowHeight="14.4" defaultColWidth="87.73046875" outlineLevelRow="0" outlineLevelCol="0"/>
  <cols>
    <col min="1" max="1" width="4.86328125" customWidth="true" style="637"/>
    <col min="2" max="2" width="36.59765625" customWidth="true" style="636"/>
    <col min="3" max="3" width="7.265625" customWidth="true" style="636"/>
    <col min="4" max="4" width="10.3984375" customWidth="true" style="636"/>
    <col min="5" max="5" width="39.1328125" customWidth="true" style="638"/>
    <col min="6" max="6" width="25.265625" customWidth="true" style="638"/>
    <col min="7" max="7" width="9.59765625" customWidth="true" style="638"/>
    <col min="8" max="8" width="53.59765625" customWidth="true" style="638"/>
    <col min="9" max="9" width="22.1328125" customWidth="true" style="636"/>
    <col min="10" max="10" width="87.73046875" style="636"/>
  </cols>
  <sheetData>
    <row r="3" spans="1:10" customHeight="1" ht="13.9" s="634" customFormat="1">
      <c r="B3" s="634" t="s">
        <v>285</v>
      </c>
      <c r="C3" s="634" t="s">
        <v>5</v>
      </c>
      <c r="D3" s="634" t="s">
        <v>6</v>
      </c>
      <c r="E3" s="635" t="s">
        <v>8</v>
      </c>
      <c r="F3" s="635" t="s">
        <v>1</v>
      </c>
      <c r="G3" s="635" t="s">
        <v>4</v>
      </c>
      <c r="H3" s="635" t="s">
        <v>9</v>
      </c>
      <c r="I3" s="634" t="s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"/>
  <sheetViews>
    <sheetView tabSelected="0" workbookViewId="0" showGridLines="true" showRowColHeaders="1">
      <selection activeCell="D48" sqref="D48"/>
    </sheetView>
  </sheetViews>
  <sheetFormatPr defaultRowHeight="14.4" defaultColWidth="9.1328125" outlineLevelRow="0" outlineLevelCol="0"/>
  <cols>
    <col min="1" max="1" width="9.1328125" style="689"/>
    <col min="2" max="2" width="35.1328125" customWidth="true" style="636"/>
    <col min="3" max="3" width="18.265625" customWidth="true" style="636"/>
    <col min="4" max="4" width="18.265625" customWidth="true" style="636"/>
    <col min="5" max="5" width="35.73046875" customWidth="true" style="638"/>
    <col min="6" max="6" width="25.73046875" customWidth="true" style="638"/>
    <col min="7" max="7" width="15.73046875" customWidth="true" style="638"/>
    <col min="8" max="8" width="30.73046875" customWidth="true" style="638"/>
    <col min="9" max="9" width="13.265625" customWidth="true" style="636"/>
    <col min="10" max="10" width="13.265625" customWidth="true" style="636"/>
    <col min="11" max="11" width="9.1328125" style="636"/>
  </cols>
  <sheetData>
    <row r="3" spans="1:11" customHeight="1" ht="13.9" s="688" customFormat="1">
      <c r="B3" s="688" t="s">
        <v>285</v>
      </c>
      <c r="C3" s="688" t="s">
        <v>5</v>
      </c>
      <c r="D3" s="688" t="s">
        <v>6</v>
      </c>
      <c r="E3" s="690" t="s">
        <v>8</v>
      </c>
      <c r="F3" s="690" t="s">
        <v>1</v>
      </c>
      <c r="G3" s="690" t="s">
        <v>4</v>
      </c>
      <c r="H3" s="690" t="s">
        <v>9</v>
      </c>
      <c r="I3" s="688" t="s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23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29.86328125" customWidth="true" style="0"/>
    <col min="2" max="2" width="3.265625" customWidth="true" style="0"/>
    <col min="3" max="3" width="22.59765625" customWidth="true" style="212"/>
    <col min="4" max="4" width="21.3984375" customWidth="true" style="212"/>
    <col min="5" max="5" width="21.3984375" customWidth="true" style="370"/>
    <col min="6" max="6" width="21.3984375" customWidth="true" style="212"/>
    <col min="7" max="7" width="21.3984375" customWidth="true" style="212"/>
    <col min="8" max="8" width="21.3984375" customWidth="true" style="212"/>
    <col min="9" max="9" width="21.3984375" customWidth="true" style="212"/>
    <col min="10" max="10" width="21.3984375" customWidth="true" style="212"/>
    <col min="11" max="11" width="21.3984375" customWidth="true" style="212"/>
    <col min="12" max="12" width="35.3984375" customWidth="true" style="212"/>
  </cols>
  <sheetData>
    <row r="1" spans="1:12">
      <c r="A1" s="394" t="str">
        <f>BYT</f>
        <v>0</v>
      </c>
      <c r="B1" s="336"/>
      <c r="C1" s="336" t="s">
        <v>286</v>
      </c>
      <c r="D1" s="336" t="s">
        <v>69</v>
      </c>
      <c r="E1" s="368" t="s">
        <v>75</v>
      </c>
      <c r="F1" s="336" t="s">
        <v>287</v>
      </c>
      <c r="G1" s="336" t="s">
        <v>288</v>
      </c>
      <c r="H1" s="336" t="s">
        <v>289</v>
      </c>
      <c r="I1" s="336" t="s">
        <v>290</v>
      </c>
      <c r="J1" s="336" t="s">
        <v>291</v>
      </c>
      <c r="K1" s="336" t="s">
        <v>292</v>
      </c>
      <c r="L1" s="214" t="s">
        <v>293</v>
      </c>
    </row>
    <row r="2" spans="1:12">
      <c r="A2" s="219" t="s">
        <v>199</v>
      </c>
      <c r="B2" s="337"/>
      <c r="C2" s="65" t="s">
        <v>294</v>
      </c>
      <c r="D2" s="65"/>
      <c r="E2" s="369">
        <v>0</v>
      </c>
      <c r="F2" s="65"/>
      <c r="G2" s="65"/>
      <c r="H2" s="65"/>
      <c r="I2" s="65"/>
      <c r="J2" s="65"/>
      <c r="K2" s="65"/>
    </row>
    <row r="3" spans="1:12">
      <c r="A3" s="219" t="s">
        <v>295</v>
      </c>
      <c r="B3" s="337"/>
      <c r="C3" s="65" t="s">
        <v>296</v>
      </c>
      <c r="D3" s="65">
        <v>100</v>
      </c>
      <c r="E3" s="369">
        <v>100703.8</v>
      </c>
      <c r="F3" s="65">
        <v>22</v>
      </c>
      <c r="G3" s="65" t="str">
        <f>ROUND(IF(E3=0,0,E3/F3),2)</f>
        <v>0</v>
      </c>
      <c r="H3" s="65" t="str">
        <f>(IF(BYT="Bazén č. 318/23",0,1))/12*VD_počet_měsíců_úžívání</f>
        <v>0</v>
      </c>
      <c r="I3" s="65" t="str">
        <f>ROUND(G3*H3,2)</f>
        <v>0</v>
      </c>
      <c r="J3" s="65" t="str">
        <f>'vstupní data'!X31</f>
        <v>0</v>
      </c>
      <c r="K3" s="65" t="str">
        <f>ROUND(J3-I3,2)</f>
        <v>0</v>
      </c>
    </row>
    <row r="4" spans="1:12">
      <c r="A4" s="219" t="s">
        <v>297</v>
      </c>
      <c r="B4" s="337"/>
      <c r="C4" s="65" t="s">
        <v>296</v>
      </c>
      <c r="D4" s="65">
        <v>100</v>
      </c>
      <c r="E4" s="369">
        <v>56005</v>
      </c>
      <c r="F4" s="65">
        <v>22</v>
      </c>
      <c r="G4" s="65" t="str">
        <f>ROUND(IF(E4=0,0,E4/F4),2)</f>
        <v>0</v>
      </c>
      <c r="H4" s="65" t="str">
        <f>(IF(BYT="Bazén č. 318/23",0,1))/12*VD_počet_měsíců_úžívání</f>
        <v>0</v>
      </c>
      <c r="I4" s="65" t="str">
        <f>G4*H4</f>
        <v>0</v>
      </c>
      <c r="J4" s="65" t="str">
        <f>'vstupní data'!T31</f>
        <v>0</v>
      </c>
      <c r="K4" s="65" t="str">
        <f>ROUND(J4-I4,2)</f>
        <v>0</v>
      </c>
    </row>
    <row r="5" spans="1:12">
      <c r="A5" s="219" t="s">
        <v>298</v>
      </c>
      <c r="B5" s="337"/>
      <c r="C5" s="65" t="s">
        <v>299</v>
      </c>
      <c r="D5" s="65">
        <v>100</v>
      </c>
      <c r="E5" s="369">
        <v>167208</v>
      </c>
      <c r="F5" s="65" t="str">
        <f>ROUND('Vodoměry SV'!I104,2)+'Vodoměry TUV'!I115</f>
        <v>0</v>
      </c>
      <c r="G5" s="65" t="str">
        <f>ROUND(IF(E5=0,0,E5/F5),2)</f>
        <v>0</v>
      </c>
      <c r="H5" s="65" t="str">
        <f>VD_odečet_SV_vody_za_daný_rok+VD_odečet_TUV_za_daný_rok</f>
        <v>0</v>
      </c>
      <c r="I5" s="65" t="str">
        <f>ROUND(G5*H5,2)</f>
        <v>0</v>
      </c>
      <c r="J5" s="65" t="str">
        <f>'vstupní data'!U31</f>
        <v>0</v>
      </c>
      <c r="K5" s="65" t="str">
        <f>ROUND(J5-I5,2)</f>
        <v>0</v>
      </c>
    </row>
    <row r="6" spans="1:12">
      <c r="A6" s="219" t="s">
        <v>115</v>
      </c>
      <c r="B6" s="337"/>
      <c r="C6" s="65" t="s">
        <v>300</v>
      </c>
      <c r="D6" s="65">
        <v>100</v>
      </c>
      <c r="E6" s="369">
        <v>153365</v>
      </c>
      <c r="F6" s="65" t="s">
        <v>301</v>
      </c>
      <c r="G6" s="65" t="s">
        <v>301</v>
      </c>
      <c r="H6" s="65" t="s">
        <v>301</v>
      </c>
      <c r="I6" s="65" t="str">
        <f>ROUND(LOOKUP('vstupní data'!B4,Teplo!A:A,Teplo!J:J),2)</f>
        <v>0</v>
      </c>
      <c r="J6" s="65" t="str">
        <f>'vstupní data'!V31</f>
        <v>0</v>
      </c>
      <c r="K6" s="65" t="str">
        <f>ROUND(J6-I6,2)</f>
        <v>0</v>
      </c>
    </row>
    <row r="7" spans="1:12">
      <c r="A7" s="219" t="s">
        <v>275</v>
      </c>
      <c r="B7" s="337"/>
      <c r="C7" s="65">
        <v>0</v>
      </c>
      <c r="D7" s="65">
        <v>0</v>
      </c>
      <c r="E7" s="369">
        <v>0</v>
      </c>
      <c r="F7" s="65">
        <v>0</v>
      </c>
      <c r="G7" s="65">
        <v>0</v>
      </c>
      <c r="H7" s="65">
        <v>0</v>
      </c>
      <c r="I7" s="65">
        <v>0</v>
      </c>
      <c r="J7" s="65">
        <v>0</v>
      </c>
      <c r="K7" s="65">
        <v>0</v>
      </c>
    </row>
    <row r="8" spans="1:12">
      <c r="A8" s="219" t="s">
        <v>247</v>
      </c>
      <c r="B8" s="337"/>
      <c r="C8" s="65" t="s">
        <v>302</v>
      </c>
      <c r="D8" s="65">
        <v>100</v>
      </c>
      <c r="E8" s="369">
        <v>99606</v>
      </c>
      <c r="F8" s="65">
        <v>100</v>
      </c>
      <c r="G8" s="65" t="str">
        <f>ROUND(IF(E8=0,0,E8/F8),2)</f>
        <v>0</v>
      </c>
      <c r="H8" s="65" t="str">
        <f>ROUND(VD_výpočet_vlastnického_podílu/12*VD_počet_měsíců_úžívání,2)
</f>
        <v>0</v>
      </c>
      <c r="I8" s="65" t="str">
        <f>ROUND(G8*H8,2)</f>
        <v>0</v>
      </c>
      <c r="J8" s="65" t="str">
        <f>'vstupní data'!Z31</f>
        <v>0</v>
      </c>
      <c r="K8" s="65" t="str">
        <f>ROUND(J8-I8,2)</f>
        <v>0</v>
      </c>
    </row>
    <row r="9" spans="1:12">
      <c r="A9" s="219" t="s">
        <v>303</v>
      </c>
      <c r="B9" s="337"/>
      <c r="C9" s="65" t="s">
        <v>302</v>
      </c>
      <c r="D9" s="65">
        <v>100</v>
      </c>
      <c r="E9" s="369">
        <v>56460</v>
      </c>
      <c r="F9" s="65">
        <v>100</v>
      </c>
      <c r="G9" s="65" t="str">
        <f>ROUND(IF(E9=0,0,E9/F9),2)</f>
        <v>0</v>
      </c>
      <c r="H9" s="65" t="str">
        <f>ROUND(VD_výpočet_vlastnického_podílu/12*VD_počet_měsíců_úžívání,2)</f>
        <v>0</v>
      </c>
      <c r="I9" s="65" t="str">
        <f>ROUND(G9*H9,2)</f>
        <v>0</v>
      </c>
      <c r="J9" s="65" t="str">
        <f>'vstupní data'!AA31</f>
        <v>0</v>
      </c>
      <c r="K9" s="65" t="str">
        <f>ROUND(J9-I9,2)</f>
        <v>0</v>
      </c>
    </row>
    <row r="10" spans="1:12">
      <c r="A10" s="219" t="s">
        <v>304</v>
      </c>
      <c r="B10" s="337"/>
      <c r="C10" s="65">
        <v>0</v>
      </c>
      <c r="D10" s="65">
        <v>0</v>
      </c>
      <c r="E10" s="369">
        <v>0</v>
      </c>
      <c r="F10" s="65">
        <v>0</v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</row>
    <row r="11" spans="1:12">
      <c r="A11" s="219" t="s">
        <v>252</v>
      </c>
      <c r="B11" s="337"/>
      <c r="C11" s="65" t="s">
        <v>302</v>
      </c>
      <c r="D11" s="65">
        <v>100</v>
      </c>
      <c r="E11" s="369">
        <v>33140</v>
      </c>
      <c r="F11" s="65">
        <v>100</v>
      </c>
      <c r="G11" s="65" t="str">
        <f>ROUND(IF(E11=0,0,E11/F11),2)</f>
        <v>0</v>
      </c>
      <c r="H11" s="65" t="str">
        <f>ROUND(VD_výpočet_vlastnického_podílu/12*VD_počet_měsíců_úžívání,2)</f>
        <v>0</v>
      </c>
      <c r="I11" s="65" t="str">
        <f>ROUND(G11*H11,2)</f>
        <v>0</v>
      </c>
      <c r="J11" s="65" t="str">
        <f>'vstupní data'!Y31</f>
        <v>0</v>
      </c>
      <c r="K11" s="65" t="str">
        <f>ROUND(J11-I11,2)</f>
        <v>0</v>
      </c>
    </row>
    <row r="12" spans="1:12">
      <c r="A12" s="219" t="s">
        <v>305</v>
      </c>
      <c r="B12" s="337"/>
      <c r="C12" s="65" t="s">
        <v>306</v>
      </c>
      <c r="D12" s="65">
        <v>100</v>
      </c>
      <c r="E12" s="369">
        <v>42746</v>
      </c>
      <c r="F12" s="65">
        <v>22</v>
      </c>
      <c r="G12" s="65" t="str">
        <f>IF(BYT="Bazén č. 318/23",0,ROUND(IF(E12=0,0,E12/F12),2))</f>
        <v>0</v>
      </c>
      <c r="H12" s="65" t="str">
        <f>(IF(BYT="Bazén č. 318/23",0,1))/12*VD_počet_měsíců_úžívání</f>
        <v>0</v>
      </c>
      <c r="I12" s="65" t="str">
        <f>G12*H12</f>
        <v>0</v>
      </c>
      <c r="J12" s="65" t="str">
        <f>'vstupní data'!AB31</f>
        <v>0</v>
      </c>
      <c r="K12" s="65" t="str">
        <f>ROUND(J12-I12,2)</f>
        <v>0</v>
      </c>
    </row>
    <row r="13" spans="1:12">
      <c r="A13" s="219" t="s">
        <v>264</v>
      </c>
      <c r="B13" s="337"/>
      <c r="C13" s="65">
        <v>0</v>
      </c>
      <c r="D13" s="65">
        <v>0</v>
      </c>
      <c r="E13" s="369">
        <v>0</v>
      </c>
      <c r="F13" s="65">
        <v>0</v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</row>
    <row r="14" spans="1:12">
      <c r="A14" s="219" t="s">
        <v>307</v>
      </c>
      <c r="B14" s="337"/>
      <c r="C14" s="65" t="s">
        <v>302</v>
      </c>
      <c r="D14" s="65">
        <v>100</v>
      </c>
      <c r="E14" s="369">
        <v>27725</v>
      </c>
      <c r="F14" s="65">
        <v>100</v>
      </c>
      <c r="G14" s="65" t="str">
        <f>ROUND(IF(E14=0,0,E14/F14),2)</f>
        <v>0</v>
      </c>
      <c r="H14" s="65" t="str">
        <f>ROUND(VD_výpočet_vlastnického_podílu/12*IF('vstupní data'!$D$15="první část roku",'vstupní data'!$B$15,'vstupní data'!$C$15),2)</f>
        <v>0</v>
      </c>
      <c r="I14" s="65" t="str">
        <f>ROUND(G14*H14,2)</f>
        <v>0</v>
      </c>
      <c r="J14" s="65" t="str">
        <f>'vstupní data'!AH31</f>
        <v>0</v>
      </c>
      <c r="K14" s="65" t="str">
        <f>ROUND(J14-I14,2)</f>
        <v>0</v>
      </c>
    </row>
    <row r="15" spans="1:12">
      <c r="A15" s="219" t="s">
        <v>308</v>
      </c>
      <c r="B15" s="337"/>
      <c r="C15" s="65">
        <v>0</v>
      </c>
      <c r="D15" s="65">
        <v>0</v>
      </c>
      <c r="E15" s="369">
        <v>0</v>
      </c>
      <c r="F15" s="65">
        <v>0</v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</row>
    <row r="16" spans="1:12">
      <c r="A16" s="219" t="s">
        <v>309</v>
      </c>
      <c r="B16" s="337"/>
      <c r="C16" s="65">
        <v>0</v>
      </c>
      <c r="D16" s="65">
        <v>0</v>
      </c>
      <c r="E16" s="369">
        <v>0</v>
      </c>
      <c r="F16" s="65">
        <v>0</v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</row>
    <row r="17" spans="1:12">
      <c r="A17" s="219" t="s">
        <v>309</v>
      </c>
      <c r="B17" s="337"/>
      <c r="C17" s="65">
        <v>0</v>
      </c>
      <c r="D17" s="65">
        <v>0</v>
      </c>
      <c r="E17" s="369">
        <v>0</v>
      </c>
      <c r="F17" s="65">
        <v>0</v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</row>
    <row r="18" spans="1:12">
      <c r="A18" s="219" t="s">
        <v>310</v>
      </c>
      <c r="B18" s="337"/>
      <c r="C18" s="65">
        <v>0</v>
      </c>
      <c r="D18" s="65">
        <v>0</v>
      </c>
      <c r="E18" s="369">
        <v>0</v>
      </c>
      <c r="F18" s="65">
        <v>0</v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</row>
    <row r="19" spans="1:12">
      <c r="A19" s="219" t="s">
        <v>309</v>
      </c>
      <c r="B19" s="337"/>
      <c r="C19" s="65">
        <v>0</v>
      </c>
      <c r="D19" s="65">
        <v>0</v>
      </c>
      <c r="E19" s="369">
        <v>0</v>
      </c>
      <c r="F19" s="65">
        <v>0</v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</row>
    <row r="20" spans="1:12">
      <c r="A20" s="219" t="s">
        <v>311</v>
      </c>
      <c r="B20" s="337"/>
      <c r="C20" s="65">
        <v>0</v>
      </c>
      <c r="D20" s="65">
        <v>0</v>
      </c>
      <c r="E20" s="369">
        <v>0</v>
      </c>
      <c r="F20" s="65">
        <v>0</v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</row>
    <row r="21" spans="1:12">
      <c r="A21" s="219" t="s">
        <v>312</v>
      </c>
      <c r="B21" s="337"/>
      <c r="C21" s="65">
        <v>0</v>
      </c>
      <c r="D21" s="65">
        <v>0</v>
      </c>
      <c r="E21" s="369">
        <v>0</v>
      </c>
      <c r="F21" s="65">
        <v>0</v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</row>
    <row r="22" spans="1:12">
      <c r="A22" s="0" t="s">
        <v>256</v>
      </c>
      <c r="C22" s="212" t="s">
        <v>313</v>
      </c>
      <c r="D22" s="212" t="str">
        <f>'vstupní data'!D46</f>
        <v>0</v>
      </c>
      <c r="E22" s="370">
        <v>76347</v>
      </c>
      <c r="F22" s="212" t="str">
        <f>'Vodoměry TUV'!I115
</f>
        <v>0</v>
      </c>
      <c r="G22" s="212" t="str">
        <f>ROUND(IF(E22=0,0,E22/F22),2)</f>
        <v>0</v>
      </c>
      <c r="H22" s="212" t="str">
        <f>VD_odečet_TUV_za_daný_rok</f>
        <v>0</v>
      </c>
      <c r="I22" s="212" t="str">
        <f>ROUND(G22*H22,2)</f>
        <v>0</v>
      </c>
      <c r="J22" s="212" t="str">
        <f>'vstupní data'!W31</f>
        <v>0</v>
      </c>
      <c r="K22" s="212" t="str">
        <f>ROUND(J22-I22-I23,2)</f>
        <v>0</v>
      </c>
    </row>
    <row r="23" spans="1:12">
      <c r="A23" s="0" t="s">
        <v>255</v>
      </c>
      <c r="C23" s="212" t="s">
        <v>314</v>
      </c>
      <c r="D23" s="212">
        <v>30</v>
      </c>
      <c r="E23" s="370">
        <v>32720</v>
      </c>
      <c r="F23" s="212" t="s">
        <v>315</v>
      </c>
      <c r="G23" s="212" t="str">
        <f>ROUND(IF(E23=0,0,E23/F23),2)</f>
        <v>0</v>
      </c>
      <c r="H23" s="212" t="str">
        <f>(VD_započitatelná_plocha_jednotky)/12*VD_počet_měsíců_úžívání</f>
        <v>0</v>
      </c>
      <c r="I23" s="212" t="str">
        <f>ROUND(G23*H23,2)</f>
        <v>0</v>
      </c>
      <c r="J23" s="212">
        <v>0</v>
      </c>
      <c r="K23" s="21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A1" location="Seznam!A1"/>
  </hyperlinks>
  <printOptions gridLines="false" gridLinesSet="true"/>
  <pageMargins left="0.7" right="0.7" top="0.787401575" bottom="0.787401575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W104"/>
  <sheetViews>
    <sheetView tabSelected="0" workbookViewId="0" zoomScale="115" zoomScaleNormal="115" showGridLines="true" showRowColHeaders="1">
      <selection activeCell="A1" sqref="A1"/>
    </sheetView>
  </sheetViews>
  <sheetFormatPr defaultRowHeight="14.4" defaultColWidth="65" outlineLevelRow="0" outlineLevelCol="0"/>
  <cols>
    <col min="1" max="1" width="23.86328125" customWidth="true" style="363"/>
    <col min="2" max="2" width="39.73046875" customWidth="true" style="172"/>
    <col min="3" max="3" width="38.59765625" customWidth="true" style="70"/>
    <col min="4" max="4" width="31.59765625" customWidth="true" style="70"/>
    <col min="5" max="5" width="31.86328125" customWidth="true" style="70"/>
    <col min="6" max="6" width="13.265625" customWidth="true" style="70"/>
    <col min="7" max="7" width="19.73046875" customWidth="true" style="70"/>
    <col min="8" max="8" width="24.86328125" customWidth="true" style="70"/>
    <col min="9" max="9" width="16.59765625" customWidth="true" style="172"/>
    <col min="10" max="10" width="23" customWidth="true" style="172"/>
    <col min="11" max="11" width="65" style="172"/>
    <col min="12" max="12" width="28.73046875" customWidth="true" style="27"/>
    <col min="13" max="13" width="49.86328125" customWidth="true" style="27"/>
    <col min="14" max="14" width="12.73046875" customWidth="true" style="27"/>
    <col min="15" max="15" width="16.73046875" customWidth="true" style="27"/>
    <col min="16" max="16" width="14.265625" customWidth="true" style="207"/>
    <col min="17" max="17" width="14.265625" customWidth="true" style="207"/>
    <col min="18" max="18" width="19.73046875" customWidth="true" style="471"/>
    <col min="19" max="19" width="14.73046875" customWidth="true" style="469"/>
    <col min="20" max="20" width="26.3984375" customWidth="true" style="469"/>
    <col min="21" max="21" width="27.86328125" customWidth="true" style="0"/>
    <col min="22" max="22" width="30.59765625" customWidth="true" style="27"/>
    <col min="23" max="23" width="65" style="27"/>
  </cols>
  <sheetData>
    <row r="1" spans="1:23">
      <c r="A1" s="359" t="s">
        <v>316</v>
      </c>
      <c r="B1" s="342" t="s">
        <v>317</v>
      </c>
      <c r="C1" s="71" t="s">
        <v>8</v>
      </c>
      <c r="D1" s="71" t="s">
        <v>1</v>
      </c>
      <c r="E1" s="71" t="s">
        <v>318</v>
      </c>
      <c r="F1" s="342" t="s">
        <v>186</v>
      </c>
      <c r="G1" s="342" t="s">
        <v>319</v>
      </c>
      <c r="H1" s="342" t="s">
        <v>320</v>
      </c>
      <c r="I1" s="342" t="s">
        <v>321</v>
      </c>
      <c r="J1" s="160" t="s">
        <v>146</v>
      </c>
      <c r="K1" s="200" t="s">
        <v>322</v>
      </c>
      <c r="L1" s="28" t="s">
        <v>323</v>
      </c>
      <c r="M1" s="28" t="s">
        <v>324</v>
      </c>
      <c r="N1" s="84" t="s">
        <v>69</v>
      </c>
      <c r="O1" s="166" t="s">
        <v>325</v>
      </c>
      <c r="P1" s="472" t="s">
        <v>326</v>
      </c>
      <c r="Q1" s="472" t="s">
        <v>327</v>
      </c>
      <c r="R1" s="466" t="s">
        <v>328</v>
      </c>
      <c r="S1" s="467"/>
      <c r="T1" s="467"/>
      <c r="V1" s="88" t="s">
        <v>329</v>
      </c>
      <c r="W1" s="332" t="s">
        <v>330</v>
      </c>
    </row>
    <row r="2" spans="1:23">
      <c r="A2" s="360" t="s">
        <v>331</v>
      </c>
      <c r="B2" s="233" t="s">
        <v>332</v>
      </c>
      <c r="C2" s="343" t="s">
        <v>333</v>
      </c>
      <c r="D2" s="344"/>
      <c r="E2" s="344"/>
      <c r="F2" s="345">
        <v>0</v>
      </c>
      <c r="G2" s="343">
        <v>57.5</v>
      </c>
      <c r="H2" s="343">
        <v>0</v>
      </c>
      <c r="I2" s="233">
        <v>0</v>
      </c>
      <c r="J2" s="346">
        <v>23</v>
      </c>
      <c r="K2" s="233"/>
      <c r="L2" s="63" t="str">
        <f>IF(I2=0,0,RIGHT(I2,LEN(I2)-SEARCH("/",I2,1)))</f>
        <v>0</v>
      </c>
      <c r="M2" s="155" t="str">
        <f>SUBSTITUTE(O2,L2,"")</f>
        <v>0</v>
      </c>
      <c r="N2" s="63" t="str">
        <f>IF(L2=0,0,ROUND(M2/L2,5)*100)</f>
        <v>0</v>
      </c>
      <c r="O2" s="27" t="str">
        <f>SUBSTITUTE(I2,"/","")</f>
        <v>0</v>
      </c>
      <c r="P2" s="207" t="s">
        <v>334</v>
      </c>
      <c r="Q2" s="207" t="s">
        <v>335</v>
      </c>
      <c r="R2" s="468" t="s">
        <v>336</v>
      </c>
      <c r="V2" s="27">
        <v>239</v>
      </c>
    </row>
    <row r="3" spans="1:23">
      <c r="A3" s="360" t="s">
        <v>337</v>
      </c>
      <c r="B3" s="233" t="s">
        <v>338</v>
      </c>
      <c r="C3" s="344" t="s">
        <v>339</v>
      </c>
      <c r="D3" s="344" t="s">
        <v>340</v>
      </c>
      <c r="E3" s="344" t="s">
        <v>341</v>
      </c>
      <c r="F3" s="347">
        <v>0</v>
      </c>
      <c r="G3" s="344">
        <v>76.4</v>
      </c>
      <c r="H3" s="344">
        <v>71.8</v>
      </c>
      <c r="I3" s="233" t="s">
        <v>342</v>
      </c>
      <c r="J3" s="346">
        <v>318001</v>
      </c>
      <c r="K3" s="233" t="s">
        <v>343</v>
      </c>
      <c r="L3" s="63" t="str">
        <f>IF(I3=0,0,RIGHT(I3,LEN(I3)-SEARCH("/",I3,1)))</f>
        <v>0</v>
      </c>
      <c r="M3" s="155" t="str">
        <f>SUBSTITUTE(O3,L3,"")</f>
        <v>0</v>
      </c>
      <c r="N3" s="63" t="str">
        <f>IF(L3=0,0,ROUND(M3/L3,5)*100)</f>
        <v>0</v>
      </c>
      <c r="O3" s="27" t="str">
        <f>SUBSTITUTE(I3,"/","")</f>
        <v>0</v>
      </c>
      <c r="P3" s="207" t="s">
        <v>344</v>
      </c>
      <c r="Q3" s="207" t="s">
        <v>335</v>
      </c>
      <c r="R3" s="468" t="s">
        <v>345</v>
      </c>
      <c r="V3" s="27">
        <v>3180019</v>
      </c>
    </row>
    <row r="4" spans="1:23">
      <c r="A4" s="360" t="s">
        <v>346</v>
      </c>
      <c r="B4" s="233" t="s">
        <v>347</v>
      </c>
      <c r="C4" s="344" t="s">
        <v>348</v>
      </c>
      <c r="D4" s="344" t="s">
        <v>349</v>
      </c>
      <c r="E4" s="344">
        <v>723345665</v>
      </c>
      <c r="F4" s="347">
        <v>0</v>
      </c>
      <c r="G4" s="344">
        <v>76.4</v>
      </c>
      <c r="H4" s="344">
        <v>71.8</v>
      </c>
      <c r="I4" s="233" t="s">
        <v>342</v>
      </c>
      <c r="J4" s="346">
        <v>1</v>
      </c>
      <c r="K4" s="233" t="s">
        <v>350</v>
      </c>
      <c r="L4" s="63" t="str">
        <f>IF(I4=0,0,RIGHT(I4,LEN(I4)-SEARCH("/",I4,1)))</f>
        <v>0</v>
      </c>
      <c r="M4" s="155" t="str">
        <f>SUBSTITUTE(O4,L4,"")</f>
        <v>0</v>
      </c>
      <c r="N4" s="63" t="str">
        <f>IF(L4=0,0,ROUND(M4/L4,5)*100)</f>
        <v>0</v>
      </c>
      <c r="O4" s="27" t="str">
        <f>SUBSTITUTE(I4,"/","")</f>
        <v>0</v>
      </c>
      <c r="P4" s="207" t="s">
        <v>334</v>
      </c>
      <c r="Q4" s="207" t="s">
        <v>351</v>
      </c>
      <c r="R4" s="468" t="s">
        <v>352</v>
      </c>
      <c r="V4" s="27">
        <v>19</v>
      </c>
    </row>
    <row r="5" spans="1:23">
      <c r="A5" s="360" t="s">
        <v>353</v>
      </c>
      <c r="B5" s="233" t="s">
        <v>354</v>
      </c>
      <c r="C5" s="344" t="s">
        <v>355</v>
      </c>
      <c r="D5" s="344" t="s">
        <v>356</v>
      </c>
      <c r="E5" s="344">
        <v>605268505</v>
      </c>
      <c r="F5" s="347">
        <v>0</v>
      </c>
      <c r="G5" s="344">
        <v>34.9</v>
      </c>
      <c r="H5" s="344">
        <v>30</v>
      </c>
      <c r="I5" s="233" t="s">
        <v>357</v>
      </c>
      <c r="J5" s="346">
        <v>2</v>
      </c>
      <c r="K5" s="233" t="s">
        <v>358</v>
      </c>
      <c r="L5" s="63" t="str">
        <f>IF(I5=0,0,RIGHT(I5,LEN(I5)-SEARCH("/",I5,1)))</f>
        <v>0</v>
      </c>
      <c r="M5" s="155" t="str">
        <f>SUBSTITUTE(O5,L5,"")</f>
        <v>0</v>
      </c>
      <c r="N5" s="63" t="str">
        <f>IF(L5=0,0,ROUND(M5/L5,5)*100)</f>
        <v>0</v>
      </c>
      <c r="O5" s="27" t="str">
        <f>SUBSTITUTE(I5,"/","")</f>
        <v>0</v>
      </c>
      <c r="P5" s="207" t="s">
        <v>334</v>
      </c>
      <c r="Q5" s="207" t="s">
        <v>335</v>
      </c>
      <c r="R5" s="468" t="s">
        <v>336</v>
      </c>
      <c r="V5" s="27">
        <v>29</v>
      </c>
    </row>
    <row r="6" spans="1:23">
      <c r="A6" s="360" t="s">
        <v>359</v>
      </c>
      <c r="B6" s="233" t="s">
        <v>360</v>
      </c>
      <c r="C6" s="344" t="s">
        <v>361</v>
      </c>
      <c r="D6" s="344" t="s">
        <v>362</v>
      </c>
      <c r="E6" s="344">
        <v>721716526</v>
      </c>
      <c r="F6" s="347">
        <v>0</v>
      </c>
      <c r="G6" s="344">
        <v>45.3</v>
      </c>
      <c r="H6" s="344">
        <v>40.7</v>
      </c>
      <c r="I6" s="233" t="s">
        <v>363</v>
      </c>
      <c r="J6" s="346">
        <v>3</v>
      </c>
      <c r="K6" s="233" t="s">
        <v>364</v>
      </c>
      <c r="L6" s="63" t="str">
        <f>IF(I6=0,0,RIGHT(I6,LEN(I6)-SEARCH("/",I6,1)))</f>
        <v>0</v>
      </c>
      <c r="M6" s="155" t="str">
        <f>SUBSTITUTE(O6,L6,"")</f>
        <v>0</v>
      </c>
      <c r="N6" s="63" t="str">
        <f>IF(L6=0,0,ROUND(M6/L6,5)*100)</f>
        <v>0</v>
      </c>
      <c r="O6" s="27" t="str">
        <f>SUBSTITUTE(I6,"/","")</f>
        <v>0</v>
      </c>
      <c r="P6" s="207" t="s">
        <v>334</v>
      </c>
      <c r="Q6" s="207" t="s">
        <v>335</v>
      </c>
      <c r="R6" s="468" t="s">
        <v>336</v>
      </c>
      <c r="V6" s="27">
        <v>39</v>
      </c>
    </row>
    <row r="7" spans="1:23">
      <c r="A7" s="360" t="s">
        <v>365</v>
      </c>
      <c r="B7" s="233" t="s">
        <v>366</v>
      </c>
      <c r="C7" s="344" t="s">
        <v>367</v>
      </c>
      <c r="D7" s="344" t="s">
        <v>368</v>
      </c>
      <c r="E7" s="344">
        <v>777193533</v>
      </c>
      <c r="F7" s="347">
        <v>0</v>
      </c>
      <c r="G7" s="344">
        <v>82.8</v>
      </c>
      <c r="H7" s="344">
        <v>78.2</v>
      </c>
      <c r="I7" s="233" t="s">
        <v>369</v>
      </c>
      <c r="J7" s="346">
        <v>4</v>
      </c>
      <c r="K7" s="233" t="s">
        <v>370</v>
      </c>
      <c r="L7" s="63" t="str">
        <f>IF(I7=0,0,RIGHT(I7,LEN(I7)-SEARCH("/",I7,1)))</f>
        <v>0</v>
      </c>
      <c r="M7" s="155" t="str">
        <f>SUBSTITUTE(O7,L7,"")</f>
        <v>0</v>
      </c>
      <c r="N7" s="63" t="str">
        <f>IF(L7=0,0,ROUND(M7/L7,5)*100)</f>
        <v>0</v>
      </c>
      <c r="O7" s="27" t="str">
        <f>SUBSTITUTE(I7,"/","")</f>
        <v>0</v>
      </c>
      <c r="P7" s="207" t="s">
        <v>334</v>
      </c>
      <c r="Q7" s="207" t="s">
        <v>335</v>
      </c>
      <c r="R7" s="468" t="s">
        <v>336</v>
      </c>
      <c r="V7" s="27">
        <v>49</v>
      </c>
    </row>
    <row r="8" spans="1:23">
      <c r="A8" s="360" t="s">
        <v>371</v>
      </c>
      <c r="B8" s="233" t="s">
        <v>372</v>
      </c>
      <c r="C8" s="344" t="s">
        <v>373</v>
      </c>
      <c r="D8" s="344" t="s">
        <v>374</v>
      </c>
      <c r="E8" s="344">
        <v>776012553</v>
      </c>
      <c r="F8" s="347">
        <v>0</v>
      </c>
      <c r="G8" s="344">
        <v>65.1</v>
      </c>
      <c r="H8" s="344">
        <v>60.2</v>
      </c>
      <c r="I8" s="233" t="s">
        <v>375</v>
      </c>
      <c r="J8" s="346">
        <v>5</v>
      </c>
      <c r="K8" s="233" t="s">
        <v>376</v>
      </c>
      <c r="L8" s="63" t="str">
        <f>IF(I8=0,0,RIGHT(I8,LEN(I8)-SEARCH("/",I8,1)))</f>
        <v>0</v>
      </c>
      <c r="M8" s="155" t="str">
        <f>SUBSTITUTE(O8,L8,"")</f>
        <v>0</v>
      </c>
      <c r="N8" s="63" t="str">
        <f>IF(L8=0,0,ROUND(M8/L8,5)*100)</f>
        <v>0</v>
      </c>
      <c r="O8" s="27" t="str">
        <f>SUBSTITUTE(I8,"/","")</f>
        <v>0</v>
      </c>
      <c r="P8" s="207" t="s">
        <v>334</v>
      </c>
      <c r="Q8" s="207" t="s">
        <v>335</v>
      </c>
      <c r="R8" s="468" t="s">
        <v>336</v>
      </c>
      <c r="V8" s="27">
        <v>59</v>
      </c>
    </row>
    <row r="9" spans="1:23">
      <c r="A9" s="360" t="s">
        <v>377</v>
      </c>
      <c r="B9" s="233" t="s">
        <v>354</v>
      </c>
      <c r="C9" s="344" t="s">
        <v>355</v>
      </c>
      <c r="D9" s="344" t="s">
        <v>356</v>
      </c>
      <c r="E9" s="344">
        <v>605268505</v>
      </c>
      <c r="F9" s="347">
        <v>0</v>
      </c>
      <c r="G9" s="344">
        <v>61.1</v>
      </c>
      <c r="H9" s="344">
        <v>54.9</v>
      </c>
      <c r="I9" s="233" t="s">
        <v>378</v>
      </c>
      <c r="J9" s="348">
        <v>6</v>
      </c>
      <c r="K9" s="233" t="s">
        <v>358</v>
      </c>
      <c r="L9" s="63" t="str">
        <f>IF(I9=0,0,RIGHT(I9,LEN(I9)-SEARCH("/",I9,1)))</f>
        <v>0</v>
      </c>
      <c r="M9" s="155" t="str">
        <f>SUBSTITUTE(O9,L9,"")</f>
        <v>0</v>
      </c>
      <c r="N9" s="63" t="str">
        <f>IF(L9=0,0,ROUND(M9/L9,5)*100)</f>
        <v>0</v>
      </c>
      <c r="O9" s="27" t="str">
        <f>SUBSTITUTE(I9,"/","")</f>
        <v>0</v>
      </c>
      <c r="P9" s="207" t="s">
        <v>334</v>
      </c>
      <c r="Q9" s="207" t="s">
        <v>335</v>
      </c>
      <c r="R9" s="468" t="s">
        <v>336</v>
      </c>
      <c r="V9" s="27">
        <v>69</v>
      </c>
    </row>
    <row r="10" spans="1:23">
      <c r="A10" s="360" t="s">
        <v>379</v>
      </c>
      <c r="B10" s="233" t="s">
        <v>380</v>
      </c>
      <c r="C10" s="344" t="s">
        <v>381</v>
      </c>
      <c r="D10" s="344" t="s">
        <v>382</v>
      </c>
      <c r="E10" s="344">
        <v>774192856</v>
      </c>
      <c r="F10" s="347">
        <v>0</v>
      </c>
      <c r="G10" s="344">
        <v>73.4</v>
      </c>
      <c r="H10" s="344">
        <v>68.2</v>
      </c>
      <c r="I10" s="233" t="s">
        <v>383</v>
      </c>
      <c r="J10" s="346">
        <v>7</v>
      </c>
      <c r="K10" s="233" t="s">
        <v>384</v>
      </c>
      <c r="L10" s="63" t="str">
        <f>IF(I10=0,0,RIGHT(I10,LEN(I10)-SEARCH("/",I10,1)))</f>
        <v>0</v>
      </c>
      <c r="M10" s="155" t="str">
        <f>SUBSTITUTE(O10,L10,"")</f>
        <v>0</v>
      </c>
      <c r="N10" s="63" t="str">
        <f>IF(L10=0,0,ROUND(M10/L10,5)*100)</f>
        <v>0</v>
      </c>
      <c r="O10" s="27" t="str">
        <f>SUBSTITUTE(I10,"/","")</f>
        <v>0</v>
      </c>
      <c r="P10" s="207" t="s">
        <v>334</v>
      </c>
      <c r="Q10" s="207" t="s">
        <v>335</v>
      </c>
      <c r="R10" s="468" t="s">
        <v>336</v>
      </c>
      <c r="V10" s="27">
        <v>79</v>
      </c>
    </row>
    <row r="11" spans="1:23">
      <c r="A11" s="360" t="s">
        <v>385</v>
      </c>
      <c r="B11" s="233" t="s">
        <v>386</v>
      </c>
      <c r="C11" s="344" t="s">
        <v>387</v>
      </c>
      <c r="D11" s="344" t="s">
        <v>388</v>
      </c>
      <c r="E11" s="344">
        <v>728883809</v>
      </c>
      <c r="F11" s="347">
        <v>0</v>
      </c>
      <c r="G11" s="344">
        <v>70.5</v>
      </c>
      <c r="H11" s="344">
        <v>65.3</v>
      </c>
      <c r="I11" s="233" t="s">
        <v>389</v>
      </c>
      <c r="J11" s="346">
        <v>8</v>
      </c>
      <c r="K11" s="233" t="s">
        <v>390</v>
      </c>
      <c r="L11" s="63" t="str">
        <f>IF(I11=0,0,RIGHT(I11,LEN(I11)-SEARCH("/",I11,1)))</f>
        <v>0</v>
      </c>
      <c r="M11" s="155" t="str">
        <f>SUBSTITUTE(O11,L11,"")</f>
        <v>0</v>
      </c>
      <c r="N11" s="63" t="str">
        <f>IF(L11=0,0,ROUND(M11/L11,5)*100)</f>
        <v>0</v>
      </c>
      <c r="O11" s="27" t="str">
        <f>SUBSTITUTE(I11,"/","")</f>
        <v>0</v>
      </c>
      <c r="P11" s="207" t="s">
        <v>334</v>
      </c>
      <c r="Q11" s="207" t="s">
        <v>335</v>
      </c>
      <c r="R11" s="468" t="s">
        <v>336</v>
      </c>
      <c r="V11" s="27">
        <v>89</v>
      </c>
    </row>
    <row r="12" spans="1:23">
      <c r="A12" s="360" t="s">
        <v>391</v>
      </c>
      <c r="B12" s="233" t="s">
        <v>392</v>
      </c>
      <c r="C12" s="344" t="s">
        <v>393</v>
      </c>
      <c r="D12" s="344" t="s">
        <v>394</v>
      </c>
      <c r="E12" s="344">
        <v>604505327</v>
      </c>
      <c r="F12" s="347">
        <v>0</v>
      </c>
      <c r="G12" s="344">
        <v>62.8</v>
      </c>
      <c r="H12" s="344">
        <v>57.7</v>
      </c>
      <c r="I12" s="233" t="s">
        <v>395</v>
      </c>
      <c r="J12" s="346">
        <v>9</v>
      </c>
      <c r="K12" s="233" t="s">
        <v>396</v>
      </c>
      <c r="L12" s="63" t="str">
        <f>IF(I12=0,0,RIGHT(I12,LEN(I12)-SEARCH("/",I12,1)))</f>
        <v>0</v>
      </c>
      <c r="M12" s="155" t="str">
        <f>SUBSTITUTE(O12,L12,"")</f>
        <v>0</v>
      </c>
      <c r="N12" s="63" t="str">
        <f>IF(L12=0,0,ROUND(M12/L12,5)*100)</f>
        <v>0</v>
      </c>
      <c r="O12" s="27" t="str">
        <f>SUBSTITUTE(I12,"/","")</f>
        <v>0</v>
      </c>
      <c r="P12" s="207" t="s">
        <v>334</v>
      </c>
      <c r="Q12" s="207" t="s">
        <v>335</v>
      </c>
      <c r="R12" s="468" t="s">
        <v>336</v>
      </c>
      <c r="V12" s="27">
        <v>99</v>
      </c>
    </row>
    <row r="13" spans="1:23">
      <c r="A13" s="360" t="s">
        <v>397</v>
      </c>
      <c r="B13" s="233" t="s">
        <v>398</v>
      </c>
      <c r="C13" s="344" t="s">
        <v>333</v>
      </c>
      <c r="D13" s="344" t="s">
        <v>399</v>
      </c>
      <c r="E13" s="344">
        <v>602562943</v>
      </c>
      <c r="F13" s="347">
        <v>0</v>
      </c>
      <c r="G13" s="344">
        <v>52.2</v>
      </c>
      <c r="H13" s="344">
        <v>47.2</v>
      </c>
      <c r="I13" s="233" t="s">
        <v>400</v>
      </c>
      <c r="J13" s="346">
        <v>10</v>
      </c>
      <c r="K13" s="233" t="s">
        <v>401</v>
      </c>
      <c r="L13" s="63" t="str">
        <f>IF(I13=0,0,RIGHT(I13,LEN(I13)-SEARCH("/",I13,1)))</f>
        <v>0</v>
      </c>
      <c r="M13" s="155" t="str">
        <f>SUBSTITUTE(O13,L13,"")</f>
        <v>0</v>
      </c>
      <c r="N13" s="63" t="str">
        <f>IF(L13=0,0,ROUND(M13/L13,5)*100)</f>
        <v>0</v>
      </c>
      <c r="O13" s="27" t="str">
        <f>SUBSTITUTE(I13,"/","")</f>
        <v>0</v>
      </c>
      <c r="P13" s="207" t="s">
        <v>334</v>
      </c>
      <c r="Q13" s="207" t="s">
        <v>335</v>
      </c>
      <c r="R13" s="468" t="s">
        <v>336</v>
      </c>
      <c r="V13" s="27">
        <v>109</v>
      </c>
    </row>
    <row r="14" spans="1:23">
      <c r="A14" s="360" t="s">
        <v>402</v>
      </c>
      <c r="B14" s="233" t="s">
        <v>403</v>
      </c>
      <c r="C14" s="344" t="s">
        <v>404</v>
      </c>
      <c r="D14" s="344" t="s">
        <v>405</v>
      </c>
      <c r="E14" s="344">
        <v>776230101</v>
      </c>
      <c r="F14" s="347">
        <v>0</v>
      </c>
      <c r="G14" s="344">
        <v>89</v>
      </c>
      <c r="H14" s="344">
        <v>84</v>
      </c>
      <c r="I14" s="233" t="s">
        <v>406</v>
      </c>
      <c r="J14" s="346">
        <v>31804002</v>
      </c>
      <c r="K14" s="233" t="s">
        <v>407</v>
      </c>
      <c r="L14" s="63" t="str">
        <f>IF(I14=0,0,RIGHT(I14,LEN(I14)-SEARCH("/",I14,1)))</f>
        <v>0</v>
      </c>
      <c r="M14" s="155" t="str">
        <f>SUBSTITUTE(O14,L14,"")</f>
        <v>0</v>
      </c>
      <c r="N14" s="63" t="str">
        <f>IF(L14=0,0,ROUND(M14/L14,5)*100)</f>
        <v>0</v>
      </c>
      <c r="O14" s="27" t="str">
        <f>SUBSTITUTE(I14,"/","")</f>
        <v>0</v>
      </c>
      <c r="P14" s="207" t="s">
        <v>334</v>
      </c>
      <c r="Q14" s="207" t="s">
        <v>335</v>
      </c>
      <c r="R14" s="468" t="s">
        <v>336</v>
      </c>
      <c r="V14" s="27">
        <v>318040029</v>
      </c>
    </row>
    <row r="15" spans="1:23">
      <c r="A15" s="360" t="s">
        <v>408</v>
      </c>
      <c r="B15" s="233" t="s">
        <v>409</v>
      </c>
      <c r="C15" s="344" t="s">
        <v>410</v>
      </c>
      <c r="D15" s="344" t="s">
        <v>411</v>
      </c>
      <c r="E15" s="344">
        <v>703193550</v>
      </c>
      <c r="F15" s="347">
        <v>0</v>
      </c>
      <c r="G15" s="344">
        <v>84.8</v>
      </c>
      <c r="H15" s="344">
        <v>80.1</v>
      </c>
      <c r="I15" s="233" t="s">
        <v>412</v>
      </c>
      <c r="J15" s="346">
        <v>12</v>
      </c>
      <c r="K15" s="233" t="s">
        <v>413</v>
      </c>
      <c r="L15" s="63" t="str">
        <f>IF(I15=0,0,RIGHT(I15,LEN(I15)-SEARCH("/",I15,1)))</f>
        <v>0</v>
      </c>
      <c r="M15" s="155" t="str">
        <f>SUBSTITUTE(O15,L15,"")</f>
        <v>0</v>
      </c>
      <c r="N15" s="63" t="str">
        <f>IF(L15=0,0,ROUND(M15/L15,5)*100)</f>
        <v>0</v>
      </c>
      <c r="O15" s="27" t="str">
        <f>SUBSTITUTE(I15,"/","")</f>
        <v>0</v>
      </c>
      <c r="P15" s="207" t="s">
        <v>334</v>
      </c>
      <c r="Q15" s="207" t="s">
        <v>335</v>
      </c>
      <c r="R15" s="468" t="s">
        <v>336</v>
      </c>
      <c r="V15" s="27">
        <v>129</v>
      </c>
    </row>
    <row r="16" spans="1:23">
      <c r="A16" s="360" t="s">
        <v>414</v>
      </c>
      <c r="B16" s="233" t="s">
        <v>415</v>
      </c>
      <c r="C16" s="344" t="s">
        <v>416</v>
      </c>
      <c r="D16" s="344" t="s">
        <v>417</v>
      </c>
      <c r="E16" s="344">
        <v>777030340</v>
      </c>
      <c r="F16" s="347">
        <v>0</v>
      </c>
      <c r="G16" s="344">
        <v>57.2</v>
      </c>
      <c r="H16" s="344">
        <v>52.4</v>
      </c>
      <c r="I16" s="233" t="s">
        <v>418</v>
      </c>
      <c r="J16" s="346">
        <v>13</v>
      </c>
      <c r="K16" s="233" t="s">
        <v>419</v>
      </c>
      <c r="L16" s="63" t="str">
        <f>IF(I16=0,0,RIGHT(I16,LEN(I16)-SEARCH("/",I16,1)))</f>
        <v>0</v>
      </c>
      <c r="M16" s="155" t="str">
        <f>SUBSTITUTE(O16,L16,"")</f>
        <v>0</v>
      </c>
      <c r="N16" s="63" t="str">
        <f>IF(L16=0,0,ROUND(M16/L16,5)*100)</f>
        <v>0</v>
      </c>
      <c r="O16" s="27" t="str">
        <f>SUBSTITUTE(I16,"/","")</f>
        <v>0</v>
      </c>
      <c r="P16" s="207" t="s">
        <v>334</v>
      </c>
      <c r="Q16" s="207" t="s">
        <v>335</v>
      </c>
      <c r="R16" s="468" t="s">
        <v>336</v>
      </c>
      <c r="V16" s="27">
        <v>139</v>
      </c>
    </row>
    <row r="17" spans="1:23">
      <c r="A17" s="360" t="s">
        <v>420</v>
      </c>
      <c r="B17" s="233" t="s">
        <v>421</v>
      </c>
      <c r="C17" s="344" t="s">
        <v>387</v>
      </c>
      <c r="D17" s="344" t="s">
        <v>422</v>
      </c>
      <c r="E17" s="344">
        <v>724689179</v>
      </c>
      <c r="F17" s="347">
        <v>0</v>
      </c>
      <c r="G17" s="344">
        <v>53.2</v>
      </c>
      <c r="H17" s="344">
        <v>48.3</v>
      </c>
      <c r="I17" s="233" t="s">
        <v>423</v>
      </c>
      <c r="J17" s="346">
        <v>14</v>
      </c>
      <c r="K17" s="233" t="s">
        <v>424</v>
      </c>
      <c r="L17" s="63" t="str">
        <f>IF(I17=0,0,RIGHT(I17,LEN(I17)-SEARCH("/",I17,1)))</f>
        <v>0</v>
      </c>
      <c r="M17" s="155" t="str">
        <f>SUBSTITUTE(O17,L17,"")</f>
        <v>0</v>
      </c>
      <c r="N17" s="63" t="str">
        <f>IF(L17=0,0,ROUND(M17/L17,5)*100)</f>
        <v>0</v>
      </c>
      <c r="O17" s="27" t="str">
        <f>SUBSTITUTE(I17,"/","")</f>
        <v>0</v>
      </c>
      <c r="P17" s="207" t="s">
        <v>334</v>
      </c>
      <c r="Q17" s="207" t="s">
        <v>335</v>
      </c>
      <c r="R17" s="468" t="s">
        <v>336</v>
      </c>
      <c r="V17" s="27">
        <v>149</v>
      </c>
    </row>
    <row r="18" spans="1:23">
      <c r="A18" s="360" t="s">
        <v>425</v>
      </c>
      <c r="B18" s="233" t="s">
        <v>426</v>
      </c>
      <c r="C18" s="344" t="s">
        <v>143</v>
      </c>
      <c r="D18" s="344" t="s">
        <v>427</v>
      </c>
      <c r="E18" s="344">
        <v>774533682</v>
      </c>
      <c r="F18" s="347">
        <v>0</v>
      </c>
      <c r="G18" s="344">
        <v>98.2</v>
      </c>
      <c r="H18" s="344">
        <v>92.4</v>
      </c>
      <c r="I18" s="233" t="s">
        <v>428</v>
      </c>
      <c r="J18" s="346">
        <v>15</v>
      </c>
      <c r="K18" s="233" t="s">
        <v>429</v>
      </c>
      <c r="L18" s="63" t="str">
        <f>IF(I18=0,0,RIGHT(I18,LEN(I18)-SEARCH("/",I18,1)))</f>
        <v>0</v>
      </c>
      <c r="M18" s="155" t="str">
        <f>SUBSTITUTE(O18,L18,"")</f>
        <v>0</v>
      </c>
      <c r="N18" s="63" t="str">
        <f>IF(L18=0,0,ROUND(M18/L18,5)*100)</f>
        <v>0</v>
      </c>
      <c r="O18" s="27" t="str">
        <f>SUBSTITUTE(I18,"/","")</f>
        <v>0</v>
      </c>
      <c r="P18" s="207" t="s">
        <v>334</v>
      </c>
      <c r="Q18" s="207" t="s">
        <v>335</v>
      </c>
      <c r="R18" s="468" t="s">
        <v>336</v>
      </c>
      <c r="V18" s="27">
        <v>159</v>
      </c>
    </row>
    <row r="19" spans="1:23">
      <c r="A19" s="360" t="s">
        <v>430</v>
      </c>
      <c r="B19" s="233" t="s">
        <v>431</v>
      </c>
      <c r="C19" s="344" t="s">
        <v>387</v>
      </c>
      <c r="D19" s="344" t="s">
        <v>432</v>
      </c>
      <c r="E19" s="344">
        <v>725484436</v>
      </c>
      <c r="F19" s="347">
        <v>0</v>
      </c>
      <c r="G19" s="344">
        <v>62.7</v>
      </c>
      <c r="H19" s="344">
        <v>58.2</v>
      </c>
      <c r="I19" s="233" t="s">
        <v>433</v>
      </c>
      <c r="J19" s="346">
        <v>16</v>
      </c>
      <c r="K19" s="233" t="s">
        <v>434</v>
      </c>
      <c r="L19" s="63" t="str">
        <f>IF(I19=0,0,RIGHT(I19,LEN(I19)-SEARCH("/",I19,1)))</f>
        <v>0</v>
      </c>
      <c r="M19" s="155" t="str">
        <f>SUBSTITUTE(O19,L19,"")</f>
        <v>0</v>
      </c>
      <c r="N19" s="63" t="str">
        <f>IF(L19=0,0,ROUND(M19/L19,5)*100)</f>
        <v>0</v>
      </c>
      <c r="O19" s="27" t="str">
        <f>SUBSTITUTE(I19,"/","")</f>
        <v>0</v>
      </c>
      <c r="P19" s="207" t="s">
        <v>334</v>
      </c>
      <c r="Q19" s="207" t="s">
        <v>335</v>
      </c>
      <c r="R19" s="468" t="s">
        <v>336</v>
      </c>
      <c r="V19" s="27">
        <v>169</v>
      </c>
    </row>
    <row r="20" spans="1:23">
      <c r="A20" s="360" t="s">
        <v>435</v>
      </c>
      <c r="B20" s="233" t="s">
        <v>431</v>
      </c>
      <c r="C20" s="344" t="s">
        <v>387</v>
      </c>
      <c r="D20" s="344" t="s">
        <v>432</v>
      </c>
      <c r="E20" s="344">
        <v>725484436</v>
      </c>
      <c r="F20" s="347">
        <v>0</v>
      </c>
      <c r="G20" s="344">
        <v>53.3</v>
      </c>
      <c r="H20" s="344">
        <v>49.2</v>
      </c>
      <c r="I20" s="233" t="s">
        <v>436</v>
      </c>
      <c r="J20" s="346">
        <v>17</v>
      </c>
      <c r="K20" s="233" t="s">
        <v>434</v>
      </c>
      <c r="L20" s="63" t="str">
        <f>IF(I20=0,0,RIGHT(I20,LEN(I20)-SEARCH("/",I20,1)))</f>
        <v>0</v>
      </c>
      <c r="M20" s="155" t="str">
        <f>SUBSTITUTE(O20,L20,"")</f>
        <v>0</v>
      </c>
      <c r="N20" s="63" t="str">
        <f>IF(L20=0,0,ROUND(M20/L20,5)*100)</f>
        <v>0</v>
      </c>
      <c r="O20" s="27" t="str">
        <f>SUBSTITUTE(I20,"/","")</f>
        <v>0</v>
      </c>
      <c r="P20" s="207" t="s">
        <v>334</v>
      </c>
      <c r="Q20" s="207" t="s">
        <v>335</v>
      </c>
      <c r="R20" s="468" t="s">
        <v>336</v>
      </c>
      <c r="V20" s="27">
        <v>179</v>
      </c>
    </row>
    <row r="21" spans="1:23">
      <c r="A21" s="360" t="s">
        <v>437</v>
      </c>
      <c r="B21" s="233" t="s">
        <v>438</v>
      </c>
      <c r="C21" s="344" t="s">
        <v>387</v>
      </c>
      <c r="D21" s="344" t="s">
        <v>439</v>
      </c>
      <c r="E21" s="344">
        <v>777162767</v>
      </c>
      <c r="F21" s="347">
        <v>0</v>
      </c>
      <c r="G21" s="344">
        <v>63.7</v>
      </c>
      <c r="H21" s="344">
        <v>58.9</v>
      </c>
      <c r="I21" s="233" t="s">
        <v>440</v>
      </c>
      <c r="J21" s="348">
        <v>18</v>
      </c>
      <c r="K21" s="233" t="s">
        <v>441</v>
      </c>
      <c r="L21" s="63" t="str">
        <f>IF(I21=0,0,RIGHT(I21,LEN(I21)-SEARCH("/",I21,1)))</f>
        <v>0</v>
      </c>
      <c r="M21" s="155" t="str">
        <f>SUBSTITUTE(O21,L21,"")</f>
        <v>0</v>
      </c>
      <c r="N21" s="63" t="str">
        <f>IF(L21=0,0,ROUND(M21/L21,5)*100)</f>
        <v>0</v>
      </c>
      <c r="O21" s="27" t="str">
        <f>SUBSTITUTE(I21,"/","")</f>
        <v>0</v>
      </c>
      <c r="P21" s="207" t="s">
        <v>334</v>
      </c>
      <c r="Q21" s="207" t="s">
        <v>335</v>
      </c>
      <c r="R21" s="468" t="s">
        <v>336</v>
      </c>
      <c r="V21" s="27">
        <v>189</v>
      </c>
    </row>
    <row r="22" spans="1:23">
      <c r="A22" s="360" t="s">
        <v>442</v>
      </c>
      <c r="B22" s="233" t="s">
        <v>443</v>
      </c>
      <c r="C22" s="233" t="s">
        <v>444</v>
      </c>
      <c r="D22" s="233" t="s">
        <v>445</v>
      </c>
      <c r="E22" s="233">
        <v>774047770</v>
      </c>
      <c r="F22" s="349">
        <v>0</v>
      </c>
      <c r="G22" s="233">
        <v>60.6</v>
      </c>
      <c r="H22" s="233">
        <v>55.7</v>
      </c>
      <c r="I22" s="233" t="s">
        <v>446</v>
      </c>
      <c r="J22" s="346">
        <v>19</v>
      </c>
      <c r="K22" s="233" t="s">
        <v>447</v>
      </c>
      <c r="L22" s="63" t="str">
        <f>IF(I22=0,0,RIGHT(I22,LEN(I22)-SEARCH("/",I22,1)))</f>
        <v>0</v>
      </c>
      <c r="M22" s="155" t="str">
        <f>SUBSTITUTE(O22,L22,"")</f>
        <v>0</v>
      </c>
      <c r="N22" s="63" t="str">
        <f>IF(L22=0,0,ROUND(M22/L22,5)*100)</f>
        <v>0</v>
      </c>
      <c r="O22" s="27" t="str">
        <f>SUBSTITUTE(I22,"/","")</f>
        <v>0</v>
      </c>
      <c r="P22" s="207" t="s">
        <v>334</v>
      </c>
      <c r="Q22" s="207" t="s">
        <v>335</v>
      </c>
      <c r="R22" s="468" t="s">
        <v>336</v>
      </c>
      <c r="V22" s="27">
        <v>199</v>
      </c>
    </row>
    <row r="23" spans="1:23">
      <c r="A23" s="360" t="s">
        <v>448</v>
      </c>
      <c r="B23" s="233" t="s">
        <v>449</v>
      </c>
      <c r="C23" s="343" t="s">
        <v>450</v>
      </c>
      <c r="D23" s="344" t="s">
        <v>451</v>
      </c>
      <c r="E23" s="344">
        <v>603898820</v>
      </c>
      <c r="F23" s="345">
        <v>0</v>
      </c>
      <c r="G23" s="343">
        <v>61.9</v>
      </c>
      <c r="H23" s="343">
        <v>57.4</v>
      </c>
      <c r="I23" s="233" t="s">
        <v>452</v>
      </c>
      <c r="J23" s="346">
        <v>20</v>
      </c>
      <c r="K23" s="233" t="s">
        <v>453</v>
      </c>
      <c r="L23" s="63" t="str">
        <f>IF(I23=0,0,RIGHT(I23,LEN(I23)-SEARCH("/",I23,1)))</f>
        <v>0</v>
      </c>
      <c r="M23" s="155" t="str">
        <f>SUBSTITUTE(O23,L23,"")</f>
        <v>0</v>
      </c>
      <c r="N23" s="63" t="str">
        <f>IF(L23=0,0,ROUND(M23/L23,5)*100)</f>
        <v>0</v>
      </c>
      <c r="O23" s="27" t="str">
        <f>SUBSTITUTE(I23,"/","")</f>
        <v>0</v>
      </c>
      <c r="P23" s="207" t="s">
        <v>334</v>
      </c>
      <c r="Q23" s="207" t="s">
        <v>335</v>
      </c>
      <c r="R23" s="468" t="s">
        <v>336</v>
      </c>
      <c r="V23" s="27">
        <v>209</v>
      </c>
    </row>
    <row r="24" spans="1:23">
      <c r="A24" s="360" t="s">
        <v>454</v>
      </c>
      <c r="B24" s="233" t="s">
        <v>455</v>
      </c>
      <c r="C24" s="344" t="s">
        <v>387</v>
      </c>
      <c r="D24" s="344" t="s">
        <v>456</v>
      </c>
      <c r="E24" s="344">
        <v>734323587</v>
      </c>
      <c r="F24" s="347">
        <v>0</v>
      </c>
      <c r="G24" s="344">
        <v>69.1</v>
      </c>
      <c r="H24" s="344">
        <v>63.1</v>
      </c>
      <c r="I24" s="233" t="s">
        <v>457</v>
      </c>
      <c r="J24" s="346">
        <v>21</v>
      </c>
      <c r="K24" s="233" t="s">
        <v>458</v>
      </c>
      <c r="L24" s="63" t="str">
        <f>IF(I24=0,0,RIGHT(I24,LEN(I24)-SEARCH("/",I24,1)))</f>
        <v>0</v>
      </c>
      <c r="M24" s="155" t="str">
        <f>SUBSTITUTE(O24,L24,"")</f>
        <v>0</v>
      </c>
      <c r="N24" s="63" t="str">
        <f>IF(L24=0,0,ROUND(M24/L24,5)*100)</f>
        <v>0</v>
      </c>
      <c r="O24" s="27" t="str">
        <f>SUBSTITUTE(I24,"/","")</f>
        <v>0</v>
      </c>
      <c r="P24" s="207" t="s">
        <v>334</v>
      </c>
      <c r="Q24" s="207" t="s">
        <v>335</v>
      </c>
      <c r="R24" s="468" t="s">
        <v>336</v>
      </c>
      <c r="V24" s="27">
        <v>219</v>
      </c>
    </row>
    <row r="25" spans="1:23">
      <c r="A25" s="360" t="s">
        <v>459</v>
      </c>
      <c r="B25" s="233" t="s">
        <v>460</v>
      </c>
      <c r="C25" s="344" t="s">
        <v>461</v>
      </c>
      <c r="D25" s="344" t="s">
        <v>462</v>
      </c>
      <c r="E25" s="344">
        <v>605176107</v>
      </c>
      <c r="F25" s="347">
        <v>0</v>
      </c>
      <c r="G25" s="344">
        <v>45.6</v>
      </c>
      <c r="H25" s="344">
        <v>41.7</v>
      </c>
      <c r="I25" s="233" t="s">
        <v>463</v>
      </c>
      <c r="J25" s="346">
        <v>22</v>
      </c>
      <c r="K25" s="233" t="s">
        <v>464</v>
      </c>
      <c r="L25" s="63" t="str">
        <f>IF(I25=0,0,RIGHT(I25,LEN(I25)-SEARCH("/",I25,1)))</f>
        <v>0</v>
      </c>
      <c r="M25" s="155" t="str">
        <f>SUBSTITUTE(O25,L25,"")</f>
        <v>0</v>
      </c>
      <c r="N25" s="63" t="str">
        <f>IF(L25=0,0,ROUND(M25/L25,5)*100)</f>
        <v>0</v>
      </c>
      <c r="O25" s="27" t="str">
        <f>SUBSTITUTE(I25,"/","")</f>
        <v>0</v>
      </c>
      <c r="P25" s="207" t="s">
        <v>334</v>
      </c>
      <c r="Q25" s="207" t="s">
        <v>335</v>
      </c>
      <c r="R25" s="468" t="s">
        <v>336</v>
      </c>
      <c r="V25" s="27">
        <v>229</v>
      </c>
    </row>
    <row r="26" spans="1:23">
      <c r="A26" s="360"/>
      <c r="B26" s="233"/>
      <c r="C26" s="344"/>
      <c r="D26" s="344"/>
      <c r="E26" s="344"/>
      <c r="F26" s="347"/>
      <c r="G26" s="344"/>
      <c r="H26" s="344"/>
      <c r="I26" s="233"/>
      <c r="J26" s="346"/>
      <c r="K26" s="233"/>
      <c r="L26" s="63" t="str">
        <f>IF(I26=0,0,RIGHT(I26,LEN(I26)-SEARCH("/",I26,1)))</f>
        <v>0</v>
      </c>
      <c r="M26" s="155" t="str">
        <f>SUBSTITUTE(O26,L26,"")</f>
        <v>0</v>
      </c>
      <c r="N26" s="63" t="str">
        <f>IF(L26=0,0,ROUND(M26/L26,5)*100)</f>
        <v>0</v>
      </c>
      <c r="O26" s="27" t="str">
        <f>SUBSTITUTE(I26,"/","")</f>
        <v>0</v>
      </c>
      <c r="R26" s="468"/>
      <c r="V26" s="27">
        <v>427259</v>
      </c>
    </row>
    <row r="27" spans="1:23">
      <c r="A27" s="360"/>
      <c r="B27" s="233"/>
      <c r="C27" s="344"/>
      <c r="D27" s="344"/>
      <c r="E27" s="344"/>
      <c r="F27" s="347"/>
      <c r="G27" s="344"/>
      <c r="H27" s="344"/>
      <c r="I27" s="233"/>
      <c r="J27" s="346"/>
      <c r="K27" s="233"/>
      <c r="L27" s="63" t="str">
        <f>IF(I27=0,0,RIGHT(I27,LEN(I27)-SEARCH("/",I27,1)))</f>
        <v>0</v>
      </c>
      <c r="M27" s="155" t="str">
        <f>SUBSTITUTE(O27,L27,"")</f>
        <v>0</v>
      </c>
      <c r="N27" s="63" t="str">
        <f>IF(L27=0,0,ROUND(M27/L27,5)*100)</f>
        <v>0</v>
      </c>
      <c r="O27" s="27" t="str">
        <f>SUBSTITUTE(I27,"/","")</f>
        <v>0</v>
      </c>
      <c r="R27" s="468"/>
      <c r="V27" s="27">
        <v>427269</v>
      </c>
    </row>
    <row r="28" spans="1:23">
      <c r="A28" s="360"/>
      <c r="B28" s="233"/>
      <c r="C28" s="344"/>
      <c r="D28" s="344"/>
      <c r="E28" s="344"/>
      <c r="F28" s="347"/>
      <c r="G28" s="344"/>
      <c r="H28" s="344"/>
      <c r="I28" s="233"/>
      <c r="J28" s="346"/>
      <c r="K28" s="233"/>
      <c r="L28" s="63" t="str">
        <f>IF(I28=0,0,RIGHT(I28,LEN(I28)-SEARCH("/",I28,1)))</f>
        <v>0</v>
      </c>
      <c r="M28" s="155" t="str">
        <f>SUBSTITUTE(O28,L28,"")</f>
        <v>0</v>
      </c>
      <c r="N28" s="63" t="str">
        <f>IF(L28=0,0,ROUND(M28/L28,5)*100)</f>
        <v>0</v>
      </c>
      <c r="O28" s="27" t="str">
        <f>SUBSTITUTE(I28,"/","")</f>
        <v>0</v>
      </c>
      <c r="R28" s="468"/>
      <c r="V28" s="27">
        <v>428019</v>
      </c>
    </row>
    <row r="29" spans="1:23">
      <c r="A29" s="360"/>
      <c r="B29" s="233"/>
      <c r="C29" s="344"/>
      <c r="D29" s="344"/>
      <c r="E29" s="344"/>
      <c r="F29" s="350"/>
      <c r="G29" s="344"/>
      <c r="H29" s="344"/>
      <c r="I29" s="233"/>
      <c r="J29" s="346"/>
      <c r="K29" s="233"/>
      <c r="L29" s="63" t="str">
        <f>IF(I29=0,0,RIGHT(I29,LEN(I29)-SEARCH("/",I29,1)))</f>
        <v>0</v>
      </c>
      <c r="M29" s="155" t="str">
        <f>SUBSTITUTE(O29,L29,"")</f>
        <v>0</v>
      </c>
      <c r="N29" s="63" t="str">
        <f>IF(L29=0,0,ROUND(M29/L29,5)*100)</f>
        <v>0</v>
      </c>
      <c r="O29" s="27" t="str">
        <f>SUBSTITUTE(I29,"/","")</f>
        <v>0</v>
      </c>
      <c r="R29" s="468"/>
      <c r="V29" s="27">
        <v>428029</v>
      </c>
    </row>
    <row r="30" spans="1:23">
      <c r="A30" s="360"/>
      <c r="B30" s="233"/>
      <c r="C30" s="344"/>
      <c r="D30" s="344"/>
      <c r="E30" s="344"/>
      <c r="F30" s="350"/>
      <c r="G30" s="344"/>
      <c r="H30" s="344"/>
      <c r="I30" s="233"/>
      <c r="J30" s="348"/>
      <c r="K30" s="233"/>
      <c r="L30" s="63" t="str">
        <f>IF(I30=0,0,RIGHT(I30,LEN(I30)-SEARCH("/",I30,1)))</f>
        <v>0</v>
      </c>
      <c r="M30" s="155" t="str">
        <f>SUBSTITUTE(O30,L30,"")</f>
        <v>0</v>
      </c>
      <c r="N30" s="63" t="str">
        <f>IF(L30=0,0,ROUND(M30/L30,5)*100)</f>
        <v>0</v>
      </c>
      <c r="O30" s="27" t="str">
        <f>SUBSTITUTE(I30,"/","")</f>
        <v>0</v>
      </c>
      <c r="R30" s="468"/>
      <c r="V30" s="27">
        <v>428039</v>
      </c>
    </row>
    <row r="31" spans="1:23">
      <c r="A31" s="360"/>
      <c r="B31" s="233"/>
      <c r="C31" s="344"/>
      <c r="D31" s="344"/>
      <c r="E31" s="344"/>
      <c r="F31" s="350"/>
      <c r="G31" s="344"/>
      <c r="H31" s="344"/>
      <c r="I31" s="233"/>
      <c r="J31" s="346"/>
      <c r="K31" s="233"/>
      <c r="L31" s="63" t="str">
        <f>IF(I31=0,0,RIGHT(I31,LEN(I31)-SEARCH("/",I31,1)))</f>
        <v>0</v>
      </c>
      <c r="M31" s="155" t="str">
        <f>SUBSTITUTE(O31,L31,"")</f>
        <v>0</v>
      </c>
      <c r="N31" s="63" t="str">
        <f>IF(L31=0,0,ROUND(M31/L31,5)*100)</f>
        <v>0</v>
      </c>
      <c r="O31" s="27" t="str">
        <f>SUBSTITUTE(I31,"/","")</f>
        <v>0</v>
      </c>
      <c r="R31" s="468"/>
      <c r="V31" s="27">
        <v>428049</v>
      </c>
    </row>
    <row r="32" spans="1:23">
      <c r="A32" s="360"/>
      <c r="B32" s="233"/>
      <c r="C32" s="344"/>
      <c r="D32" s="344"/>
      <c r="E32" s="344"/>
      <c r="F32" s="350"/>
      <c r="G32" s="344"/>
      <c r="H32" s="344"/>
      <c r="I32" s="233"/>
      <c r="J32" s="346"/>
      <c r="K32" s="233"/>
      <c r="L32" s="63" t="str">
        <f>IF(I32=0,0,RIGHT(I32,LEN(I32)-SEARCH("/",I32,1)))</f>
        <v>0</v>
      </c>
      <c r="M32" s="155" t="str">
        <f>SUBSTITUTE(O32,L32,"")</f>
        <v>0</v>
      </c>
      <c r="N32" s="63" t="str">
        <f>IF(L32=0,0,ROUND(M32/L32,5)*100)</f>
        <v>0</v>
      </c>
      <c r="O32" s="27" t="str">
        <f>SUBSTITUTE(I32,"/","")</f>
        <v>0</v>
      </c>
      <c r="R32" s="468"/>
      <c r="V32" s="27">
        <v>428059</v>
      </c>
    </row>
    <row r="33" spans="1:23">
      <c r="A33" s="360"/>
      <c r="B33" s="233"/>
      <c r="C33" s="344"/>
      <c r="D33" s="344"/>
      <c r="E33" s="344"/>
      <c r="F33" s="350"/>
      <c r="G33" s="344"/>
      <c r="H33" s="344"/>
      <c r="I33" s="233"/>
      <c r="J33" s="346"/>
      <c r="K33" s="233"/>
      <c r="L33" s="63" t="str">
        <f>IF(I33=0,0,RIGHT(I33,LEN(I33)-SEARCH("/",I33,1)))</f>
        <v>0</v>
      </c>
      <c r="M33" s="155" t="str">
        <f>SUBSTITUTE(O33,L33,"")</f>
        <v>0</v>
      </c>
      <c r="N33" s="63" t="str">
        <f>IF(L33=0,0,ROUND(M33/L33,5)*100)</f>
        <v>0</v>
      </c>
      <c r="O33" s="27" t="str">
        <f>SUBSTITUTE(I33,"/","")</f>
        <v>0</v>
      </c>
      <c r="R33" s="468"/>
      <c r="V33" s="27">
        <v>428069</v>
      </c>
    </row>
    <row r="34" spans="1:23">
      <c r="A34" s="360"/>
      <c r="B34" s="233"/>
      <c r="C34" s="344"/>
      <c r="D34" s="344"/>
      <c r="E34" s="344"/>
      <c r="F34" s="350"/>
      <c r="G34" s="344"/>
      <c r="H34" s="344"/>
      <c r="I34" s="233"/>
      <c r="J34" s="346"/>
      <c r="K34" s="233"/>
      <c r="L34" s="63" t="str">
        <f>IF(I34=0,0,RIGHT(I34,LEN(I34)-SEARCH("/",I34,1)))</f>
        <v>0</v>
      </c>
      <c r="M34" s="155" t="str">
        <f>SUBSTITUTE(O34,L34,"")</f>
        <v>0</v>
      </c>
      <c r="N34" s="63" t="str">
        <f>IF(L34=0,0,ROUND(M34/L34,5)*100)</f>
        <v>0</v>
      </c>
      <c r="O34" s="27" t="str">
        <f>SUBSTITUTE(I34,"/","")</f>
        <v>0</v>
      </c>
      <c r="R34" s="468"/>
      <c r="V34" s="27">
        <v>428079</v>
      </c>
    </row>
    <row r="35" spans="1:23">
      <c r="A35" s="360"/>
      <c r="B35" s="233"/>
      <c r="C35" s="344"/>
      <c r="D35" s="344"/>
      <c r="E35" s="344"/>
      <c r="F35" s="350"/>
      <c r="G35" s="344"/>
      <c r="H35" s="344"/>
      <c r="I35" s="233"/>
      <c r="J35" s="346"/>
      <c r="K35" s="233"/>
      <c r="L35" s="63" t="str">
        <f>IF(I35=0,0,RIGHT(I35,LEN(I35)-SEARCH("/",I35,1)))</f>
        <v>0</v>
      </c>
      <c r="M35" s="155" t="str">
        <f>SUBSTITUTE(O35,L35,"")</f>
        <v>0</v>
      </c>
      <c r="N35" s="63" t="str">
        <f>IF(L35=0,0,ROUND(M35/L35,5)*100)</f>
        <v>0</v>
      </c>
      <c r="O35" s="27" t="str">
        <f>SUBSTITUTE(I35,"/","")</f>
        <v>0</v>
      </c>
      <c r="R35" s="468"/>
      <c r="V35" s="27">
        <v>4285908019</v>
      </c>
    </row>
    <row r="36" spans="1:23">
      <c r="A36" s="360"/>
      <c r="B36" s="233"/>
      <c r="C36" s="344"/>
      <c r="D36" s="344"/>
      <c r="E36" s="344"/>
      <c r="F36" s="350"/>
      <c r="G36" s="344"/>
      <c r="H36" s="344"/>
      <c r="I36" s="233"/>
      <c r="J36" s="346"/>
      <c r="K36" s="233"/>
      <c r="L36" s="63" t="str">
        <f>IF(I36=0,0,RIGHT(I36,LEN(I36)-SEARCH("/",I36,1)))</f>
        <v>0</v>
      </c>
      <c r="M36" s="155" t="str">
        <f>SUBSTITUTE(O36,L36,"")</f>
        <v>0</v>
      </c>
      <c r="N36" s="63" t="str">
        <f>IF(L36=0,0,ROUND(M36/L36,5)*100)</f>
        <v>0</v>
      </c>
      <c r="O36" s="27" t="str">
        <f>SUBSTITUTE(I36,"/","")</f>
        <v>0</v>
      </c>
      <c r="R36" s="468"/>
      <c r="V36" s="27">
        <v>428099</v>
      </c>
    </row>
    <row r="37" spans="1:23">
      <c r="A37" s="360"/>
      <c r="B37" s="233"/>
      <c r="C37" s="344"/>
      <c r="D37" s="344"/>
      <c r="E37" s="344"/>
      <c r="F37" s="350"/>
      <c r="G37" s="344"/>
      <c r="H37" s="344"/>
      <c r="I37" s="233"/>
      <c r="J37" s="346"/>
      <c r="K37" s="233"/>
      <c r="L37" s="63" t="str">
        <f>IF(I37=0,0,RIGHT(I37,LEN(I37)-SEARCH("/",I37,1)))</f>
        <v>0</v>
      </c>
      <c r="M37" s="155" t="str">
        <f>SUBSTITUTE(O37,L37,"")</f>
        <v>0</v>
      </c>
      <c r="N37" s="63" t="str">
        <f>IF(L37=0,0,ROUND(M37/L37,5)*100)</f>
        <v>0</v>
      </c>
      <c r="O37" s="27" t="str">
        <f>SUBSTITUTE(I37,"/","")</f>
        <v>0</v>
      </c>
      <c r="R37" s="468"/>
      <c r="V37" s="27">
        <v>428109</v>
      </c>
    </row>
    <row r="38" spans="1:23">
      <c r="A38" s="360"/>
      <c r="B38" s="233"/>
      <c r="C38" s="344"/>
      <c r="D38" s="344"/>
      <c r="E38" s="344"/>
      <c r="F38" s="350"/>
      <c r="G38" s="344"/>
      <c r="H38" s="344"/>
      <c r="I38" s="233"/>
      <c r="J38" s="346"/>
      <c r="K38" s="233"/>
      <c r="L38" s="63" t="str">
        <f>IF(I38=0,0,RIGHT(I38,LEN(I38)-SEARCH("/",I38,1)))</f>
        <v>0</v>
      </c>
      <c r="M38" s="155" t="str">
        <f>SUBSTITUTE(O38,L38,"")</f>
        <v>0</v>
      </c>
      <c r="N38" s="63" t="str">
        <f>IF(L38=0,0,ROUND(M38/L38,5)*100)</f>
        <v>0</v>
      </c>
      <c r="O38" s="27" t="str">
        <f>SUBSTITUTE(I38,"/","")</f>
        <v>0</v>
      </c>
      <c r="R38" s="468"/>
      <c r="U38" s="212"/>
      <c r="V38" s="27">
        <v>428119</v>
      </c>
    </row>
    <row r="39" spans="1:23">
      <c r="A39" s="360"/>
      <c r="B39" s="233"/>
      <c r="C39" s="344"/>
      <c r="D39" s="344"/>
      <c r="E39" s="344"/>
      <c r="F39" s="350"/>
      <c r="G39" s="344"/>
      <c r="H39" s="344"/>
      <c r="I39" s="233"/>
      <c r="J39" s="346"/>
      <c r="K39" s="233"/>
      <c r="L39" s="63" t="str">
        <f>IF(I39=0,0,RIGHT(I39,LEN(I39)-SEARCH("/",I39,1)))</f>
        <v>0</v>
      </c>
      <c r="M39" s="155" t="str">
        <f>SUBSTITUTE(O39,L39,"")</f>
        <v>0</v>
      </c>
      <c r="N39" s="63" t="str">
        <f>IF(L39=0,0,ROUND(M39/L39,5)*100)</f>
        <v>0</v>
      </c>
      <c r="O39" s="27" t="str">
        <f>SUBSTITUTE(I39,"/","")</f>
        <v>0</v>
      </c>
      <c r="R39" s="468"/>
      <c r="U39" s="470"/>
      <c r="V39" s="27">
        <v>428129</v>
      </c>
    </row>
    <row r="40" spans="1:23">
      <c r="A40" s="360"/>
      <c r="B40" s="233"/>
      <c r="C40" s="344"/>
      <c r="D40" s="344"/>
      <c r="E40" s="344"/>
      <c r="F40" s="350"/>
      <c r="G40" s="344"/>
      <c r="H40" s="344"/>
      <c r="I40" s="233"/>
      <c r="J40" s="346"/>
      <c r="K40" s="233"/>
      <c r="L40" s="63" t="str">
        <f>IF(I40=0,0,RIGHT(I40,LEN(I40)-SEARCH("/",I40,1)))</f>
        <v>0</v>
      </c>
      <c r="M40" s="155" t="str">
        <f>SUBSTITUTE(O40,L40,"")</f>
        <v>0</v>
      </c>
      <c r="N40" s="63" t="str">
        <f>IF(L40=0,0,ROUND(M40/L40,5)*100)</f>
        <v>0</v>
      </c>
      <c r="O40" s="27" t="str">
        <f>SUBSTITUTE(I40,"/","")</f>
        <v>0</v>
      </c>
      <c r="R40" s="468"/>
      <c r="V40" s="27">
        <v>428139</v>
      </c>
    </row>
    <row r="41" spans="1:23">
      <c r="A41" s="361"/>
      <c r="B41" s="21"/>
      <c r="C41" s="351"/>
      <c r="D41" s="351"/>
      <c r="E41" s="351"/>
      <c r="F41" s="352"/>
      <c r="G41" s="351"/>
      <c r="H41" s="351"/>
      <c r="I41" s="21"/>
      <c r="J41" s="199"/>
      <c r="K41" s="353"/>
      <c r="L41" s="63" t="str">
        <f>IF(I41=0,0,RIGHT(I41,LEN(I41)-SEARCH("/",I41,1)))</f>
        <v>0</v>
      </c>
      <c r="M41" s="155" t="str">
        <f>SUBSTITUTE(O41,L41,"")</f>
        <v>0</v>
      </c>
      <c r="N41" s="63" t="str">
        <f>IF(L41=0,0,ROUND(M41/L41,5)*100)</f>
        <v>0</v>
      </c>
      <c r="O41" s="27" t="str">
        <f>SUBSTITUTE(I41,"/","")</f>
        <v>0</v>
      </c>
      <c r="R41" s="468"/>
      <c r="V41" s="27">
        <v>428149</v>
      </c>
    </row>
    <row r="42" spans="1:23">
      <c r="A42" s="361"/>
      <c r="B42" s="21"/>
      <c r="C42" s="351"/>
      <c r="D42" s="351"/>
      <c r="E42" s="351"/>
      <c r="F42" s="352"/>
      <c r="G42" s="351"/>
      <c r="H42" s="351"/>
      <c r="I42" s="21"/>
      <c r="J42" s="354"/>
      <c r="K42" s="353"/>
      <c r="L42" s="63" t="str">
        <f>IF(I42=0,0,RIGHT(I42,LEN(I42)-SEARCH("/",I42,1)))</f>
        <v>0</v>
      </c>
      <c r="M42" s="155" t="str">
        <f>SUBSTITUTE(O42,L42,"")</f>
        <v>0</v>
      </c>
      <c r="N42" s="63" t="str">
        <f>IF(L42=0,0,ROUND(M42/L42,5)*100)</f>
        <v>0</v>
      </c>
      <c r="O42" s="27" t="str">
        <f>SUBSTITUTE(I42,"/","")</f>
        <v>0</v>
      </c>
      <c r="R42" s="468"/>
      <c r="V42" s="27">
        <v>428159</v>
      </c>
    </row>
    <row r="43" spans="1:23">
      <c r="A43" s="361"/>
      <c r="B43" s="21"/>
      <c r="C43" s="21"/>
      <c r="D43" s="21"/>
      <c r="E43" s="21"/>
      <c r="F43" s="21"/>
      <c r="G43" s="21"/>
      <c r="H43" s="21"/>
      <c r="I43" s="21"/>
      <c r="J43" s="199"/>
      <c r="K43" s="353"/>
      <c r="L43" s="63" t="str">
        <f>IF(I43=0,0,RIGHT(I43,LEN(I43)-SEARCH("/",I43,1)))</f>
        <v>0</v>
      </c>
      <c r="M43" s="155" t="str">
        <f>SUBSTITUTE(O43,L43,"")</f>
        <v>0</v>
      </c>
      <c r="N43" s="63" t="str">
        <f>IF(L43=0,0,ROUND(M43/L43,5)*100)</f>
        <v>0</v>
      </c>
      <c r="O43" s="27" t="str">
        <f>SUBSTITUTE(I43,"/","")</f>
        <v>0</v>
      </c>
      <c r="V43" s="27">
        <v>428169</v>
      </c>
    </row>
    <row r="44" spans="1:23">
      <c r="A44" s="361"/>
      <c r="B44" s="21"/>
      <c r="C44" s="351"/>
      <c r="D44" s="351"/>
      <c r="E44" s="351"/>
      <c r="F44" s="352"/>
      <c r="G44" s="351"/>
      <c r="H44" s="351"/>
      <c r="I44" s="21"/>
      <c r="J44" s="199"/>
      <c r="K44" s="353"/>
      <c r="L44" s="63" t="str">
        <f>IF(I44=0,0,RIGHT(I44,LEN(I44)-SEARCH("/",I44,1)))</f>
        <v>0</v>
      </c>
      <c r="M44" s="155" t="str">
        <f>SUBSTITUTE(O44,L44,"")</f>
        <v>0</v>
      </c>
      <c r="N44" s="63" t="str">
        <f>IF(L44=0,0,ROUND(M44/L44,5)*100)</f>
        <v>0</v>
      </c>
      <c r="O44" s="27" t="str">
        <f>SUBSTITUTE(I44,"/","")</f>
        <v>0</v>
      </c>
      <c r="V44" s="27">
        <v>428179</v>
      </c>
    </row>
    <row r="45" spans="1:23">
      <c r="A45" s="361"/>
      <c r="B45" s="21"/>
      <c r="C45" s="351"/>
      <c r="D45" s="351"/>
      <c r="E45" s="351"/>
      <c r="F45" s="352"/>
      <c r="G45" s="351"/>
      <c r="H45" s="351"/>
      <c r="I45" s="21"/>
      <c r="J45" s="199"/>
      <c r="K45" s="353"/>
      <c r="L45" s="63" t="str">
        <f>IF(I45=0,0,RIGHT(I45,LEN(I45)-SEARCH("/",I45,1)))</f>
        <v>0</v>
      </c>
      <c r="M45" s="155" t="str">
        <f>SUBSTITUTE(O45,L45,"")</f>
        <v>0</v>
      </c>
      <c r="N45" s="63" t="str">
        <f>IF(L45=0,0,ROUND(M45/L45,5)*100)</f>
        <v>0</v>
      </c>
      <c r="O45" s="27" t="str">
        <f>SUBSTITUTE(I45,"/","")</f>
        <v>0</v>
      </c>
      <c r="V45" s="27">
        <v>428189</v>
      </c>
    </row>
    <row r="46" spans="1:23">
      <c r="A46" s="361"/>
      <c r="B46" s="21"/>
      <c r="C46" s="351"/>
      <c r="D46" s="351"/>
      <c r="E46" s="351"/>
      <c r="F46" s="352"/>
      <c r="G46" s="351"/>
      <c r="H46" s="351"/>
      <c r="I46" s="21"/>
      <c r="J46" s="199"/>
      <c r="K46" s="353"/>
      <c r="L46" s="63" t="str">
        <f>IF(I46=0,0,RIGHT(I46,LEN(I46)-SEARCH("/",I46,1)))</f>
        <v>0</v>
      </c>
      <c r="M46" s="155" t="str">
        <f>SUBSTITUTE(O46,L46,"")</f>
        <v>0</v>
      </c>
      <c r="N46" s="63" t="str">
        <f>IF(L46=0,0,ROUND(M46/L46,5)*100)</f>
        <v>0</v>
      </c>
      <c r="O46" s="27" t="str">
        <f>SUBSTITUTE(I46,"/","")</f>
        <v>0</v>
      </c>
      <c r="V46" s="27">
        <v>428199</v>
      </c>
    </row>
    <row r="47" spans="1:23">
      <c r="A47" s="361"/>
      <c r="B47" s="21"/>
      <c r="C47" s="351"/>
      <c r="D47" s="351"/>
      <c r="E47" s="351"/>
      <c r="F47" s="352"/>
      <c r="G47" s="351"/>
      <c r="H47" s="351"/>
      <c r="I47" s="21"/>
      <c r="J47" s="199"/>
      <c r="K47" s="353"/>
      <c r="L47" s="63" t="str">
        <f>IF(I47=0,0,RIGHT(I47,LEN(I47)-SEARCH("/",I47,1)))</f>
        <v>0</v>
      </c>
      <c r="M47" s="155" t="str">
        <f>SUBSTITUTE(O47,L47,"")</f>
        <v>0</v>
      </c>
      <c r="N47" s="63" t="str">
        <f>IF(L47=0,0,ROUND(M47/L47,5)*100)</f>
        <v>0</v>
      </c>
      <c r="O47" s="27" t="str">
        <f>SUBSTITUTE(I47,"/","")</f>
        <v>0</v>
      </c>
      <c r="V47" s="27">
        <v>428209</v>
      </c>
    </row>
    <row r="48" spans="1:23">
      <c r="A48" s="361"/>
      <c r="B48" s="21"/>
      <c r="C48" s="351"/>
      <c r="D48" s="351"/>
      <c r="E48" s="351"/>
      <c r="F48" s="352"/>
      <c r="G48" s="351"/>
      <c r="H48" s="351"/>
      <c r="I48" s="21"/>
      <c r="J48" s="199"/>
      <c r="K48" s="353"/>
      <c r="L48" s="63" t="str">
        <f>IF(I48=0,0,RIGHT(I48,LEN(I48)-SEARCH("/",I48,1)))</f>
        <v>0</v>
      </c>
      <c r="M48" s="155" t="str">
        <f>SUBSTITUTE(O48,L48,"")</f>
        <v>0</v>
      </c>
      <c r="N48" s="63" t="str">
        <f>IF(L48=0,0,ROUND(M48/L48,5)*100)</f>
        <v>0</v>
      </c>
      <c r="O48" s="27" t="str">
        <f>SUBSTITUTE(I48,"/","")</f>
        <v>0</v>
      </c>
      <c r="V48" s="27">
        <v>428219</v>
      </c>
    </row>
    <row r="49" spans="1:23">
      <c r="A49" s="361"/>
      <c r="B49" s="21"/>
      <c r="C49" s="351"/>
      <c r="D49" s="351"/>
      <c r="E49" s="351"/>
      <c r="F49" s="352"/>
      <c r="G49" s="351"/>
      <c r="H49" s="351"/>
      <c r="I49" s="21"/>
      <c r="J49" s="199"/>
      <c r="K49" s="353"/>
      <c r="L49" s="63" t="str">
        <f>IF(I49=0,0,RIGHT(I49,LEN(I49)-SEARCH("/",I49,1)))</f>
        <v>0</v>
      </c>
      <c r="M49" s="155" t="str">
        <f>SUBSTITUTE(O49,L49,"")</f>
        <v>0</v>
      </c>
      <c r="N49" s="63" t="str">
        <f>IF(L49=0,0,ROUND(M49/L49,5)*100)</f>
        <v>0</v>
      </c>
      <c r="O49" s="27" t="str">
        <f>SUBSTITUTE(I49,"/","")</f>
        <v>0</v>
      </c>
      <c r="V49" s="27">
        <v>428229</v>
      </c>
    </row>
    <row r="50" spans="1:23">
      <c r="A50" s="361"/>
      <c r="B50" s="21"/>
      <c r="C50" s="351"/>
      <c r="D50" s="351"/>
      <c r="E50" s="351"/>
      <c r="F50" s="352"/>
      <c r="G50" s="351"/>
      <c r="H50" s="351"/>
      <c r="I50" s="21"/>
      <c r="J50" s="199"/>
      <c r="K50" s="353"/>
      <c r="L50" s="63" t="str">
        <f>IF(I50=0,0,RIGHT(I50,LEN(I50)-SEARCH("/",I50,1)))</f>
        <v>0</v>
      </c>
      <c r="M50" s="155" t="str">
        <f>SUBSTITUTE(O50,L50,"")</f>
        <v>0</v>
      </c>
      <c r="N50" s="63" t="str">
        <f>IF(L50=0,0,ROUND(M50/L50,5)*100)</f>
        <v>0</v>
      </c>
      <c r="O50" s="27" t="str">
        <f>SUBSTITUTE(I50,"/","")</f>
        <v>0</v>
      </c>
      <c r="V50" s="27">
        <v>428239</v>
      </c>
    </row>
    <row r="51" spans="1:23">
      <c r="A51" s="361"/>
      <c r="B51" s="21"/>
      <c r="C51" s="351"/>
      <c r="D51" s="351"/>
      <c r="E51" s="351"/>
      <c r="F51" s="352"/>
      <c r="G51" s="351"/>
      <c r="H51" s="351"/>
      <c r="I51" s="21"/>
      <c r="J51" s="199"/>
      <c r="K51" s="353"/>
      <c r="L51" s="63" t="str">
        <f>IF(I51=0,0,RIGHT(I51,LEN(I51)-SEARCH("/",I51,1)))</f>
        <v>0</v>
      </c>
      <c r="M51" s="155" t="str">
        <f>SUBSTITUTE(O51,L51,"")</f>
        <v>0</v>
      </c>
      <c r="N51" s="63" t="str">
        <f>IF(L51=0,0,ROUND(M51/L51,5)*100)</f>
        <v>0</v>
      </c>
      <c r="O51" s="27" t="str">
        <f>SUBSTITUTE(I51,"/","")</f>
        <v>0</v>
      </c>
      <c r="V51" s="27">
        <v>428249</v>
      </c>
    </row>
    <row r="52" spans="1:23">
      <c r="A52" s="361"/>
      <c r="B52" s="21"/>
      <c r="C52" s="351"/>
      <c r="D52" s="351"/>
      <c r="E52" s="351"/>
      <c r="F52" s="352"/>
      <c r="G52" s="351"/>
      <c r="H52" s="351"/>
      <c r="I52" s="21"/>
      <c r="J52" s="199"/>
      <c r="K52" s="353"/>
      <c r="L52" s="63" t="str">
        <f>IF(I52=0,0,RIGHT(I52,LEN(I52)-SEARCH("/",I52,1)))</f>
        <v>0</v>
      </c>
      <c r="M52" s="155" t="str">
        <f>SUBSTITUTE(O52,L52,"")</f>
        <v>0</v>
      </c>
      <c r="N52" s="63" t="str">
        <f>IF(L52=0,0,ROUND(M52/L52,5)*100)</f>
        <v>0</v>
      </c>
      <c r="O52" s="27" t="str">
        <f>SUBSTITUTE(I52,"/","")</f>
        <v>0</v>
      </c>
      <c r="V52" s="27">
        <v>428259</v>
      </c>
    </row>
    <row r="53" spans="1:23">
      <c r="A53" s="361"/>
      <c r="B53" s="21"/>
      <c r="C53" s="351"/>
      <c r="D53" s="351"/>
      <c r="E53" s="351"/>
      <c r="F53" s="352"/>
      <c r="G53" s="351"/>
      <c r="H53" s="351"/>
      <c r="I53" s="21"/>
      <c r="J53" s="199"/>
      <c r="K53" s="353"/>
      <c r="L53" s="63" t="str">
        <f>IF(I53=0,0,RIGHT(I53,LEN(I53)-SEARCH("/",I53,1)))</f>
        <v>0</v>
      </c>
      <c r="M53" s="155" t="str">
        <f>SUBSTITUTE(O53,L53,"")</f>
        <v>0</v>
      </c>
      <c r="N53" s="63" t="str">
        <f>IF(L53=0,0,ROUND(M53/L53,5)*100)</f>
        <v>0</v>
      </c>
      <c r="O53" s="27" t="str">
        <f>SUBSTITUTE(I53,"/","")</f>
        <v>0</v>
      </c>
      <c r="V53" s="27">
        <v>428269</v>
      </c>
    </row>
    <row r="54" spans="1:23">
      <c r="A54" s="361"/>
      <c r="B54" s="21"/>
      <c r="C54" s="351"/>
      <c r="D54" s="351"/>
      <c r="E54" s="351"/>
      <c r="F54" s="352"/>
      <c r="G54" s="351"/>
      <c r="H54" s="351"/>
      <c r="I54" s="21"/>
      <c r="J54" s="199"/>
      <c r="K54" s="353"/>
      <c r="L54" s="63" t="str">
        <f>IF(I54=0,0,RIGHT(I54,LEN(I54)-SEARCH("/",I54,1)))</f>
        <v>0</v>
      </c>
      <c r="M54" s="155" t="str">
        <f>SUBSTITUTE(O54,L54,"")</f>
        <v>0</v>
      </c>
      <c r="N54" s="63" t="str">
        <f>IF(L54=0,0,ROUND(M54/L54,5)*100)</f>
        <v>0</v>
      </c>
      <c r="O54" s="27" t="str">
        <f>SUBSTITUTE(I54,"/","")</f>
        <v>0</v>
      </c>
      <c r="V54" s="27">
        <v>428279</v>
      </c>
    </row>
    <row r="55" spans="1:23">
      <c r="A55" s="361"/>
      <c r="B55" s="21"/>
      <c r="C55" s="351"/>
      <c r="D55" s="351"/>
      <c r="E55" s="351"/>
      <c r="F55" s="352"/>
      <c r="G55" s="351"/>
      <c r="H55" s="351"/>
      <c r="I55" s="21"/>
      <c r="J55" s="199"/>
      <c r="K55" s="353"/>
      <c r="L55" s="63" t="str">
        <f>IF(I55=0,0,RIGHT(I55,LEN(I55)-SEARCH("/",I55,1)))</f>
        <v>0</v>
      </c>
      <c r="M55" s="155" t="str">
        <f>SUBSTITUTE(O55,L55,"")</f>
        <v>0</v>
      </c>
      <c r="N55" s="63" t="str">
        <f>IF(L55=0,0,ROUND(M55/L55,5)*100)</f>
        <v>0</v>
      </c>
      <c r="O55" s="27" t="str">
        <f>SUBSTITUTE(I55,"/","")</f>
        <v>0</v>
      </c>
      <c r="V55" s="27">
        <v>428289</v>
      </c>
    </row>
    <row r="56" spans="1:23">
      <c r="A56" s="361"/>
      <c r="B56" s="21"/>
      <c r="C56" s="351"/>
      <c r="D56" s="351"/>
      <c r="E56" s="351"/>
      <c r="F56" s="352"/>
      <c r="G56" s="351"/>
      <c r="H56" s="351"/>
      <c r="I56" s="21"/>
      <c r="J56" s="199"/>
      <c r="K56" s="353"/>
      <c r="L56" s="63" t="str">
        <f>IF(I56=0,0,RIGHT(I56,LEN(I56)-SEARCH("/",I56,1)))</f>
        <v>0</v>
      </c>
      <c r="M56" s="155" t="str">
        <f>SUBSTITUTE(O56,L56,"")</f>
        <v>0</v>
      </c>
      <c r="N56" s="63" t="str">
        <f>IF(L56=0,0,ROUND(M56/L56,5)*100)</f>
        <v>0</v>
      </c>
      <c r="O56" s="27" t="str">
        <f>SUBSTITUTE(I56,"/","")</f>
        <v>0</v>
      </c>
      <c r="V56" s="27">
        <v>428299</v>
      </c>
    </row>
    <row r="57" spans="1:23">
      <c r="A57" s="361"/>
      <c r="B57" s="21"/>
      <c r="C57" s="351"/>
      <c r="D57" s="351"/>
      <c r="E57" s="351"/>
      <c r="F57" s="352"/>
      <c r="G57" s="351"/>
      <c r="H57" s="351"/>
      <c r="I57" s="21"/>
      <c r="J57" s="199"/>
      <c r="K57" s="353"/>
      <c r="L57" s="63" t="str">
        <f>IF(I57=0,0,RIGHT(I57,LEN(I57)-SEARCH("/",I57,1)))</f>
        <v>0</v>
      </c>
      <c r="M57" s="155" t="str">
        <f>SUBSTITUTE(O57,L57,"")</f>
        <v>0</v>
      </c>
      <c r="N57" s="63" t="str">
        <f>IF(L57=0,0,ROUND(M57/L57,5)*100)</f>
        <v>0</v>
      </c>
      <c r="O57" s="27" t="str">
        <f>SUBSTITUTE(I57,"/","")</f>
        <v>0</v>
      </c>
      <c r="V57" s="27">
        <v>428309</v>
      </c>
    </row>
    <row r="58" spans="1:23">
      <c r="A58" s="361"/>
      <c r="B58" s="21"/>
      <c r="C58" s="351"/>
      <c r="D58" s="351"/>
      <c r="E58" s="351"/>
      <c r="F58" s="352"/>
      <c r="G58" s="351"/>
      <c r="H58" s="351"/>
      <c r="I58" s="21"/>
      <c r="J58" s="199"/>
      <c r="K58" s="353"/>
      <c r="L58" s="63" t="str">
        <f>IF(I58=0,0,RIGHT(I58,LEN(I58)-SEARCH("/",I58,1)))</f>
        <v>0</v>
      </c>
      <c r="M58" s="155" t="str">
        <f>SUBSTITUTE(O58,L58,"")</f>
        <v>0</v>
      </c>
      <c r="N58" s="63" t="str">
        <f>IF(L58=0,0,ROUND(M58/L58,5)*100)</f>
        <v>0</v>
      </c>
      <c r="O58" s="27" t="str">
        <f>SUBSTITUTE(I58,"/","")</f>
        <v>0</v>
      </c>
      <c r="V58" s="27">
        <v>428319</v>
      </c>
    </row>
    <row r="59" spans="1:23">
      <c r="A59" s="361"/>
      <c r="B59" s="21"/>
      <c r="C59" s="351"/>
      <c r="D59" s="351"/>
      <c r="E59" s="351"/>
      <c r="F59" s="352"/>
      <c r="G59" s="351"/>
      <c r="H59" s="351"/>
      <c r="I59" s="21"/>
      <c r="J59" s="199"/>
      <c r="K59" s="353"/>
      <c r="L59" s="63" t="str">
        <f>IF(I59=0,0,RIGHT(I59,LEN(I59)-SEARCH("/",I59,1)))</f>
        <v>0</v>
      </c>
      <c r="M59" s="155" t="str">
        <f>SUBSTITUTE(O59,L59,"")</f>
        <v>0</v>
      </c>
      <c r="N59" s="63" t="str">
        <f>IF(L59=0,0,ROUND(M59/L59,5)*100)</f>
        <v>0</v>
      </c>
      <c r="O59" s="27" t="str">
        <f>SUBSTITUTE(I59,"/","")</f>
        <v>0</v>
      </c>
      <c r="V59" s="27">
        <v>428329</v>
      </c>
    </row>
    <row r="60" spans="1:23">
      <c r="A60" s="361"/>
      <c r="B60" s="21"/>
      <c r="C60" s="351"/>
      <c r="D60" s="351"/>
      <c r="E60" s="351"/>
      <c r="F60" s="352"/>
      <c r="G60" s="351"/>
      <c r="H60" s="351"/>
      <c r="I60" s="21"/>
      <c r="J60" s="199"/>
      <c r="K60" s="353"/>
      <c r="L60" s="63" t="str">
        <f>IF(I60=0,0,RIGHT(I60,LEN(I60)-SEARCH("/",I60,1)))</f>
        <v>0</v>
      </c>
      <c r="M60" s="155" t="str">
        <f>SUBSTITUTE(O60,L60,"")</f>
        <v>0</v>
      </c>
      <c r="N60" s="63" t="str">
        <f>IF(L60=0,0,ROUND(M60/L60,5)*100)</f>
        <v>0</v>
      </c>
      <c r="O60" s="27" t="str">
        <f>SUBSTITUTE(I60,"/","")</f>
        <v>0</v>
      </c>
    </row>
    <row r="61" spans="1:23">
      <c r="A61" s="361"/>
      <c r="B61" s="21"/>
      <c r="C61" s="351"/>
      <c r="D61" s="351"/>
      <c r="E61" s="351"/>
      <c r="F61" s="352"/>
      <c r="G61" s="351"/>
      <c r="H61" s="351"/>
      <c r="I61" s="21"/>
      <c r="J61" s="199"/>
      <c r="K61" s="353"/>
      <c r="L61" s="63" t="str">
        <f>IF(I61=0,0,RIGHT(I61,LEN(I61)-SEARCH("/",I61,1)))</f>
        <v>0</v>
      </c>
      <c r="M61" s="155" t="str">
        <f>SUBSTITUTE(O61,L61,"")</f>
        <v>0</v>
      </c>
      <c r="N61" s="63" t="str">
        <f>IF(L61=0,0,ROUND(M61/L61,5)*100)</f>
        <v>0</v>
      </c>
      <c r="O61" s="27" t="str">
        <f>SUBSTITUTE(I61,"/","")</f>
        <v>0</v>
      </c>
    </row>
    <row r="62" spans="1:23">
      <c r="A62" s="361"/>
      <c r="B62" s="21"/>
      <c r="C62" s="351"/>
      <c r="D62" s="351"/>
      <c r="E62" s="351"/>
      <c r="F62" s="352"/>
      <c r="G62" s="351"/>
      <c r="H62" s="351"/>
      <c r="I62" s="21"/>
      <c r="J62" s="199"/>
      <c r="K62" s="353"/>
      <c r="L62" s="63" t="str">
        <f>IF(I62=0,0,RIGHT(I62,LEN(I62)-SEARCH("/",I62,1)))</f>
        <v>0</v>
      </c>
      <c r="M62" s="155" t="str">
        <f>SUBSTITUTE(O62,L62,"")</f>
        <v>0</v>
      </c>
      <c r="N62" s="63" t="str">
        <f>IF(L62=0,0,ROUND(M62/L62,5)*100)</f>
        <v>0</v>
      </c>
      <c r="O62" s="27" t="str">
        <f>SUBSTITUTE(I62,"/","")</f>
        <v>0</v>
      </c>
    </row>
    <row r="63" spans="1:23">
      <c r="A63" s="361"/>
      <c r="B63" s="21"/>
      <c r="C63" s="351"/>
      <c r="D63" s="351"/>
      <c r="E63" s="351"/>
      <c r="F63" s="352"/>
      <c r="G63" s="351"/>
      <c r="H63" s="351"/>
      <c r="I63" s="21"/>
      <c r="J63" s="199"/>
      <c r="K63" s="353"/>
      <c r="L63" s="63" t="str">
        <f>IF(I63=0,0,RIGHT(I63,LEN(I63)-SEARCH("/",I63,1)))</f>
        <v>0</v>
      </c>
      <c r="M63" s="155" t="str">
        <f>SUBSTITUTE(O63,L63,"")</f>
        <v>0</v>
      </c>
      <c r="N63" s="63" t="str">
        <f>IF(L63=0,0,ROUND(M63/L63,5)*100)</f>
        <v>0</v>
      </c>
      <c r="O63" s="27" t="str">
        <f>SUBSTITUTE(I63,"/","")</f>
        <v>0</v>
      </c>
    </row>
    <row r="64" spans="1:23">
      <c r="A64" s="361"/>
      <c r="B64" s="21"/>
      <c r="C64" s="351"/>
      <c r="D64" s="351"/>
      <c r="E64" s="351"/>
      <c r="F64" s="352"/>
      <c r="G64" s="351"/>
      <c r="H64" s="351"/>
      <c r="I64" s="21"/>
      <c r="J64" s="199"/>
      <c r="K64" s="353"/>
      <c r="L64" s="63" t="str">
        <f>IF(I64=0,0,RIGHT(I64,LEN(I64)-SEARCH("/",I64,1)))</f>
        <v>0</v>
      </c>
      <c r="M64" s="155" t="str">
        <f>SUBSTITUTE(O64,L64,"")</f>
        <v>0</v>
      </c>
      <c r="N64" s="63" t="str">
        <f>IF(L64=0,0,ROUND(M64/L64,5)*100)</f>
        <v>0</v>
      </c>
      <c r="O64" s="27" t="str">
        <f>SUBSTITUTE(I64,"/","")</f>
        <v>0</v>
      </c>
    </row>
    <row r="65" spans="1:23">
      <c r="A65" s="361"/>
      <c r="B65" s="21"/>
      <c r="C65" s="351"/>
      <c r="D65" s="351"/>
      <c r="E65" s="351"/>
      <c r="F65" s="352"/>
      <c r="G65" s="351"/>
      <c r="H65" s="351"/>
      <c r="I65" s="21"/>
      <c r="J65" s="199"/>
      <c r="K65" s="353"/>
      <c r="L65" s="63" t="str">
        <f>IF(I65=0,0,RIGHT(I65,LEN(I65)-SEARCH("/",I65,1)))</f>
        <v>0</v>
      </c>
      <c r="M65" s="155" t="str">
        <f>SUBSTITUTE(O65,L65,"")</f>
        <v>0</v>
      </c>
      <c r="N65" s="63" t="str">
        <f>IF(L65=0,0,ROUND(M65/L65,5)*100)</f>
        <v>0</v>
      </c>
      <c r="O65" s="27" t="str">
        <f>SUBSTITUTE(I65,"/","")</f>
        <v>0</v>
      </c>
    </row>
    <row r="66" spans="1:23">
      <c r="A66" s="361"/>
      <c r="B66" s="21"/>
      <c r="C66" s="351"/>
      <c r="D66" s="351"/>
      <c r="E66" s="351"/>
      <c r="F66" s="352"/>
      <c r="G66" s="351"/>
      <c r="H66" s="351"/>
      <c r="I66" s="21"/>
      <c r="J66" s="199"/>
      <c r="K66" s="353"/>
      <c r="L66" s="63" t="str">
        <f>IF(I66=0,0,RIGHT(I66,LEN(I66)-SEARCH("/",I66,1)))</f>
        <v>0</v>
      </c>
      <c r="M66" s="155" t="str">
        <f>SUBSTITUTE(O66,L66,"")</f>
        <v>0</v>
      </c>
      <c r="N66" s="63" t="str">
        <f>IF(L66=0,0,ROUND(M66/L66,5)*100)</f>
        <v>0</v>
      </c>
      <c r="O66" s="27" t="str">
        <f>SUBSTITUTE(I66,"/","")</f>
        <v>0</v>
      </c>
    </row>
    <row r="67" spans="1:23">
      <c r="A67" s="361"/>
      <c r="B67" s="21"/>
      <c r="C67" s="351"/>
      <c r="D67" s="351"/>
      <c r="E67" s="351"/>
      <c r="F67" s="352"/>
      <c r="G67" s="351"/>
      <c r="H67" s="351"/>
      <c r="I67" s="21"/>
      <c r="J67" s="199"/>
      <c r="K67" s="353"/>
      <c r="L67" s="63" t="str">
        <f>IF(I67=0,0,RIGHT(I67,LEN(I67)-SEARCH("/",I67,1)))</f>
        <v>0</v>
      </c>
      <c r="M67" s="155" t="str">
        <f>SUBSTITUTE(O67,L67,"")</f>
        <v>0</v>
      </c>
      <c r="N67" s="63" t="str">
        <f>IF(L67=0,0,ROUND(M67/L67,5)*100)</f>
        <v>0</v>
      </c>
      <c r="O67" s="27" t="str">
        <f>SUBSTITUTE(I67,"/","")</f>
        <v>0</v>
      </c>
    </row>
    <row r="68" spans="1:23">
      <c r="A68" s="361"/>
      <c r="B68" s="21"/>
      <c r="C68" s="351"/>
      <c r="D68" s="351"/>
      <c r="E68" s="351"/>
      <c r="F68" s="352"/>
      <c r="G68" s="351"/>
      <c r="H68" s="351"/>
      <c r="I68" s="21"/>
      <c r="J68" s="199"/>
      <c r="K68" s="353"/>
      <c r="L68" s="63" t="str">
        <f>IF(I68=0,0,RIGHT(I68,LEN(I68)-SEARCH("/",I68,1)))</f>
        <v>0</v>
      </c>
      <c r="M68" s="155" t="str">
        <f>SUBSTITUTE(O68,L68,"")</f>
        <v>0</v>
      </c>
      <c r="N68" s="63" t="str">
        <f>IF(L68=0,0,ROUND(M68/L68,5)*100)</f>
        <v>0</v>
      </c>
      <c r="O68" s="27" t="str">
        <f>SUBSTITUTE(I68,"/","")</f>
        <v>0</v>
      </c>
    </row>
    <row r="69" spans="1:23">
      <c r="A69" s="361"/>
      <c r="B69" s="21"/>
      <c r="C69" s="351"/>
      <c r="D69" s="351"/>
      <c r="E69" s="351"/>
      <c r="F69" s="352"/>
      <c r="G69" s="351"/>
      <c r="H69" s="351"/>
      <c r="I69" s="21"/>
      <c r="J69" s="199"/>
      <c r="K69" s="353"/>
      <c r="L69" s="63" t="str">
        <f>IF(I69=0,0,RIGHT(I69,LEN(I69)-SEARCH("/",I69,1)))</f>
        <v>0</v>
      </c>
      <c r="M69" s="155" t="str">
        <f>SUBSTITUTE(O69,L69,"")</f>
        <v>0</v>
      </c>
      <c r="N69" s="63" t="str">
        <f>IF(L69=0,0,ROUND(M69/L69,5)*100)</f>
        <v>0</v>
      </c>
      <c r="O69" s="27" t="str">
        <f>SUBSTITUTE(I69,"/","")</f>
        <v>0</v>
      </c>
    </row>
    <row r="70" spans="1:23">
      <c r="A70" s="361"/>
      <c r="B70" s="21"/>
      <c r="C70" s="351"/>
      <c r="D70" s="351"/>
      <c r="E70" s="351"/>
      <c r="F70" s="352"/>
      <c r="G70" s="351"/>
      <c r="H70" s="351"/>
      <c r="I70" s="21"/>
      <c r="J70" s="199"/>
      <c r="K70" s="353"/>
      <c r="L70" s="63" t="str">
        <f>IF(I70=0,0,RIGHT(I70,LEN(I70)-SEARCH("/",I70,1)))</f>
        <v>0</v>
      </c>
      <c r="M70" s="155" t="str">
        <f>SUBSTITUTE(O70,L70,"")</f>
        <v>0</v>
      </c>
      <c r="N70" s="63" t="str">
        <f>IF(L70=0,0,ROUND(M70/L70,5)*100)</f>
        <v>0</v>
      </c>
      <c r="O70" s="27" t="str">
        <f>SUBSTITUTE(I70,"/","")</f>
        <v>0</v>
      </c>
    </row>
    <row r="71" spans="1:23">
      <c r="A71" s="361"/>
      <c r="B71" s="21"/>
      <c r="C71" s="351"/>
      <c r="D71" s="351"/>
      <c r="E71" s="351"/>
      <c r="F71" s="352"/>
      <c r="G71" s="351"/>
      <c r="H71" s="351"/>
      <c r="I71" s="21"/>
      <c r="J71" s="199"/>
      <c r="K71" s="353"/>
      <c r="L71" s="63" t="str">
        <f>IF(I71=0,0,RIGHT(I71,LEN(I71)-SEARCH("/",I71,1)))</f>
        <v>0</v>
      </c>
      <c r="M71" s="155" t="str">
        <f>SUBSTITUTE(O71,L71,"")</f>
        <v>0</v>
      </c>
      <c r="N71" s="63" t="str">
        <f>IF(L71=0,0,ROUND(M71/L71,5)*100)</f>
        <v>0</v>
      </c>
      <c r="O71" s="27" t="str">
        <f>SUBSTITUTE(I71,"/","")</f>
        <v>0</v>
      </c>
    </row>
    <row r="72" spans="1:23">
      <c r="A72" s="361"/>
      <c r="B72" s="21"/>
      <c r="C72" s="351"/>
      <c r="D72" s="351"/>
      <c r="E72" s="351"/>
      <c r="F72" s="352"/>
      <c r="G72" s="351"/>
      <c r="H72" s="351"/>
      <c r="I72" s="21"/>
      <c r="J72" s="199"/>
      <c r="K72" s="353"/>
      <c r="L72" s="63" t="str">
        <f>IF(I72=0,0,RIGHT(I72,LEN(I72)-SEARCH("/",I72,1)))</f>
        <v>0</v>
      </c>
      <c r="M72" s="155" t="str">
        <f>SUBSTITUTE(O72,L72,"")</f>
        <v>0</v>
      </c>
      <c r="N72" s="63" t="str">
        <f>IF(L72=0,0,ROUND(M72/L72,5)*100)</f>
        <v>0</v>
      </c>
      <c r="O72" s="27" t="str">
        <f>SUBSTITUTE(I72,"/","")</f>
        <v>0</v>
      </c>
    </row>
    <row r="73" spans="1:23">
      <c r="A73" s="361"/>
      <c r="B73" s="21"/>
      <c r="C73" s="351"/>
      <c r="D73" s="351"/>
      <c r="E73" s="351"/>
      <c r="F73" s="352"/>
      <c r="G73" s="351"/>
      <c r="H73" s="351"/>
      <c r="I73" s="21"/>
      <c r="J73" s="199"/>
      <c r="K73" s="353"/>
      <c r="L73" s="63" t="str">
        <f>IF(I73=0,0,RIGHT(I73,LEN(I73)-SEARCH("/",I73,1)))</f>
        <v>0</v>
      </c>
      <c r="M73" s="155" t="str">
        <f>SUBSTITUTE(O73,L73,"")</f>
        <v>0</v>
      </c>
      <c r="N73" s="63" t="str">
        <f>IF(L73=0,0,ROUND(M73/L73,5)*100)</f>
        <v>0</v>
      </c>
      <c r="O73" s="27" t="str">
        <f>SUBSTITUTE(I73,"/","")</f>
        <v>0</v>
      </c>
    </row>
    <row r="74" spans="1:23">
      <c r="A74" s="361"/>
      <c r="B74" s="21"/>
      <c r="C74" s="351"/>
      <c r="D74" s="351"/>
      <c r="E74" s="351"/>
      <c r="F74" s="352"/>
      <c r="G74" s="351"/>
      <c r="H74" s="351"/>
      <c r="I74" s="21"/>
      <c r="J74" s="199"/>
      <c r="K74" s="353"/>
      <c r="L74" s="63" t="str">
        <f>IF(I74=0,0,RIGHT(I74,LEN(I74)-SEARCH("/",I74,1)))</f>
        <v>0</v>
      </c>
      <c r="M74" s="155" t="str">
        <f>SUBSTITUTE(O74,L74,"")</f>
        <v>0</v>
      </c>
      <c r="N74" s="63" t="str">
        <f>IF(L74=0,0,ROUND(M74/L74,5)*100)</f>
        <v>0</v>
      </c>
      <c r="O74" s="27" t="str">
        <f>SUBSTITUTE(I74,"/","")</f>
        <v>0</v>
      </c>
    </row>
    <row r="75" spans="1:23">
      <c r="A75" s="361"/>
      <c r="B75" s="21"/>
      <c r="C75" s="351"/>
      <c r="D75" s="351"/>
      <c r="E75" s="351"/>
      <c r="F75" s="352"/>
      <c r="G75" s="351"/>
      <c r="H75" s="351"/>
      <c r="I75" s="21"/>
      <c r="J75" s="199"/>
      <c r="K75" s="353"/>
      <c r="L75" s="63" t="str">
        <f>IF(I75=0,0,RIGHT(I75,LEN(I75)-SEARCH("/",I75,1)))</f>
        <v>0</v>
      </c>
      <c r="M75" s="155" t="str">
        <f>SUBSTITUTE(O75,L75,"")</f>
        <v>0</v>
      </c>
      <c r="N75" s="63" t="str">
        <f>IF(L75=0,0,ROUND(M75/L75,5)*100)</f>
        <v>0</v>
      </c>
      <c r="O75" s="27" t="str">
        <f>SUBSTITUTE(I75,"/","")</f>
        <v>0</v>
      </c>
    </row>
    <row r="76" spans="1:23">
      <c r="A76" s="361"/>
      <c r="B76" s="21"/>
      <c r="C76" s="351"/>
      <c r="D76" s="351"/>
      <c r="E76" s="351"/>
      <c r="F76" s="352"/>
      <c r="G76" s="351"/>
      <c r="H76" s="351"/>
      <c r="I76" s="21"/>
      <c r="J76" s="199"/>
      <c r="K76" s="353"/>
      <c r="L76" s="63" t="str">
        <f>IF(I76=0,0,RIGHT(I76,LEN(I76)-SEARCH("/",I76,1)))</f>
        <v>0</v>
      </c>
      <c r="M76" s="155" t="str">
        <f>SUBSTITUTE(O76,L76,"")</f>
        <v>0</v>
      </c>
      <c r="N76" s="63" t="str">
        <f>IF(L76=0,0,ROUND(M76/L76,5)*100)</f>
        <v>0</v>
      </c>
      <c r="O76" s="27" t="str">
        <f>SUBSTITUTE(I76,"/","")</f>
        <v>0</v>
      </c>
    </row>
    <row r="77" spans="1:23">
      <c r="A77" s="361"/>
      <c r="B77" s="21"/>
      <c r="C77" s="351"/>
      <c r="D77" s="351"/>
      <c r="E77" s="351"/>
      <c r="F77" s="352"/>
      <c r="G77" s="351"/>
      <c r="H77" s="351"/>
      <c r="I77" s="21"/>
      <c r="J77" s="199"/>
      <c r="K77" s="353"/>
      <c r="L77" s="63" t="str">
        <f>IF(I77=0,0,RIGHT(I77,LEN(I77)-SEARCH("/",I77,1)))</f>
        <v>0</v>
      </c>
      <c r="M77" s="155" t="str">
        <f>SUBSTITUTE(O77,L77,"")</f>
        <v>0</v>
      </c>
      <c r="N77" s="63" t="str">
        <f>IF(L77=0,0,ROUND(M77/L77,5)*100)</f>
        <v>0</v>
      </c>
      <c r="O77" s="27" t="str">
        <f>SUBSTITUTE(I77,"/","")</f>
        <v>0</v>
      </c>
    </row>
    <row r="78" spans="1:23">
      <c r="A78" s="361"/>
      <c r="B78" s="21"/>
      <c r="C78" s="351"/>
      <c r="D78" s="351"/>
      <c r="E78" s="351"/>
      <c r="F78" s="352"/>
      <c r="G78" s="351"/>
      <c r="H78" s="351"/>
      <c r="I78" s="21"/>
      <c r="J78" s="199"/>
      <c r="K78" s="353"/>
      <c r="L78" s="63" t="str">
        <f>IF(I78=0,0,RIGHT(I78,LEN(I78)-SEARCH("/",I78,1)))</f>
        <v>0</v>
      </c>
      <c r="M78" s="155" t="str">
        <f>SUBSTITUTE(O78,L78,"")</f>
        <v>0</v>
      </c>
      <c r="N78" s="63" t="str">
        <f>IF(L78=0,0,ROUND(M78/L78,5)*100)</f>
        <v>0</v>
      </c>
      <c r="O78" s="27" t="str">
        <f>SUBSTITUTE(I78,"/","")</f>
        <v>0</v>
      </c>
    </row>
    <row r="79" spans="1:23">
      <c r="A79" s="361"/>
      <c r="B79" s="21"/>
      <c r="C79" s="351"/>
      <c r="D79" s="351"/>
      <c r="E79" s="351"/>
      <c r="F79" s="352"/>
      <c r="G79" s="351"/>
      <c r="H79" s="351"/>
      <c r="I79" s="21"/>
      <c r="J79" s="199"/>
      <c r="K79" s="353"/>
      <c r="L79" s="63" t="str">
        <f>IF(I79=0,0,RIGHT(I79,LEN(I79)-SEARCH("/",I79,1)))</f>
        <v>0</v>
      </c>
      <c r="M79" s="155" t="str">
        <f>SUBSTITUTE(O79,L79,"")</f>
        <v>0</v>
      </c>
      <c r="N79" s="63" t="str">
        <f>IF(L79=0,0,ROUND(M79/L79,5)*100)</f>
        <v>0</v>
      </c>
      <c r="O79" s="27" t="str">
        <f>SUBSTITUTE(I79,"/","")</f>
        <v>0</v>
      </c>
    </row>
    <row r="80" spans="1:23">
      <c r="A80" s="361"/>
      <c r="B80" s="21"/>
      <c r="C80" s="351"/>
      <c r="D80" s="351"/>
      <c r="E80" s="351"/>
      <c r="F80" s="352"/>
      <c r="G80" s="351"/>
      <c r="H80" s="351"/>
      <c r="I80" s="21"/>
      <c r="J80" s="199"/>
      <c r="K80" s="353"/>
      <c r="L80" s="63" t="str">
        <f>IF(I80=0,0,RIGHT(I80,LEN(I80)-SEARCH("/",I80,1)))</f>
        <v>0</v>
      </c>
      <c r="M80" s="155" t="str">
        <f>SUBSTITUTE(O80,L80,"")</f>
        <v>0</v>
      </c>
      <c r="N80" s="63" t="str">
        <f>IF(L80=0,0,ROUND(M80/L80,5)*100)</f>
        <v>0</v>
      </c>
      <c r="O80" s="27" t="str">
        <f>SUBSTITUTE(I80,"/","")</f>
        <v>0</v>
      </c>
    </row>
    <row r="81" spans="1:23">
      <c r="A81" s="361"/>
      <c r="B81" s="21"/>
      <c r="C81" s="351"/>
      <c r="D81" s="351"/>
      <c r="E81" s="351"/>
      <c r="F81" s="352"/>
      <c r="G81" s="351"/>
      <c r="H81" s="351"/>
      <c r="I81" s="21"/>
      <c r="J81" s="199"/>
      <c r="K81" s="353"/>
      <c r="L81" s="63" t="str">
        <f>IF(I81=0,0,RIGHT(I81,LEN(I81)-SEARCH("/",I81,1)))</f>
        <v>0</v>
      </c>
      <c r="M81" s="155" t="str">
        <f>SUBSTITUTE(O81,L81,"")</f>
        <v>0</v>
      </c>
      <c r="N81" s="63" t="str">
        <f>IF(L81=0,0,ROUND(M81/L81,5)*100)</f>
        <v>0</v>
      </c>
      <c r="O81" s="27" t="str">
        <f>SUBSTITUTE(I81,"/","")</f>
        <v>0</v>
      </c>
    </row>
    <row r="82" spans="1:23">
      <c r="A82" s="361"/>
      <c r="B82" s="21"/>
      <c r="C82" s="351"/>
      <c r="D82" s="351"/>
      <c r="E82" s="351"/>
      <c r="F82" s="352"/>
      <c r="G82" s="351"/>
      <c r="H82" s="351"/>
      <c r="I82" s="21"/>
      <c r="J82" s="199"/>
      <c r="K82" s="353"/>
      <c r="L82" s="63" t="str">
        <f>IF(I82=0,0,RIGHT(I82,LEN(I82)-SEARCH("/",I82,1)))</f>
        <v>0</v>
      </c>
      <c r="M82" s="155" t="str">
        <f>SUBSTITUTE(O82,L82,"")</f>
        <v>0</v>
      </c>
      <c r="N82" s="63" t="str">
        <f>IF(L82=0,0,ROUND(M82/L82,5)*100)</f>
        <v>0</v>
      </c>
      <c r="O82" s="27" t="str">
        <f>SUBSTITUTE(I82,"/","")</f>
        <v>0</v>
      </c>
    </row>
    <row r="83" spans="1:23">
      <c r="A83" s="361"/>
      <c r="B83" s="21"/>
      <c r="C83" s="351"/>
      <c r="D83" s="351"/>
      <c r="E83" s="351"/>
      <c r="F83" s="352"/>
      <c r="G83" s="351"/>
      <c r="H83" s="351"/>
      <c r="I83" s="21"/>
      <c r="J83" s="199"/>
      <c r="K83" s="353"/>
      <c r="L83" s="63" t="str">
        <f>IF(I83=0,0,RIGHT(I83,LEN(I83)-SEARCH("/",I83,1)))</f>
        <v>0</v>
      </c>
      <c r="M83" s="155" t="str">
        <f>SUBSTITUTE(O83,L83,"")</f>
        <v>0</v>
      </c>
      <c r="N83" s="63" t="str">
        <f>IF(L83=0,0,ROUND(M83/L83,5)*100)</f>
        <v>0</v>
      </c>
      <c r="O83" s="27" t="str">
        <f>SUBSTITUTE(I83,"/","")</f>
        <v>0</v>
      </c>
    </row>
    <row r="84" spans="1:23">
      <c r="A84" s="361"/>
      <c r="B84" s="21"/>
      <c r="C84" s="351"/>
      <c r="D84" s="351"/>
      <c r="E84" s="351"/>
      <c r="F84" s="352"/>
      <c r="G84" s="351"/>
      <c r="H84" s="351"/>
      <c r="I84" s="21"/>
      <c r="J84" s="199"/>
      <c r="K84" s="353"/>
      <c r="L84" s="63" t="str">
        <f>IF(I84=0,0,RIGHT(I84,LEN(I84)-SEARCH("/",I84,1)))</f>
        <v>0</v>
      </c>
      <c r="M84" s="155" t="str">
        <f>SUBSTITUTE(O84,L84,"")</f>
        <v>0</v>
      </c>
      <c r="N84" s="63" t="str">
        <f>IF(L84=0,0,ROUND(M84/L84,5)*100)</f>
        <v>0</v>
      </c>
      <c r="O84" s="27" t="str">
        <f>SUBSTITUTE(I84,"/","")</f>
        <v>0</v>
      </c>
    </row>
    <row r="85" spans="1:23">
      <c r="A85" s="361"/>
      <c r="B85" s="21"/>
      <c r="C85" s="351"/>
      <c r="D85" s="351"/>
      <c r="E85" s="351"/>
      <c r="F85" s="352"/>
      <c r="G85" s="351"/>
      <c r="H85" s="351"/>
      <c r="I85" s="21"/>
      <c r="J85" s="199"/>
      <c r="K85" s="353"/>
      <c r="L85" s="63" t="str">
        <f>IF(I85=0,0,RIGHT(I85,LEN(I85)-SEARCH("/",I85,1)))</f>
        <v>0</v>
      </c>
      <c r="M85" s="155" t="str">
        <f>SUBSTITUTE(O85,L85,"")</f>
        <v>0</v>
      </c>
      <c r="N85" s="63" t="str">
        <f>IF(L85=0,0,ROUND(M85/L85,5)*100)</f>
        <v>0</v>
      </c>
      <c r="O85" s="27" t="str">
        <f>SUBSTITUTE(I85,"/","")</f>
        <v>0</v>
      </c>
    </row>
    <row r="86" spans="1:23">
      <c r="A86" s="361"/>
      <c r="B86" s="21"/>
      <c r="C86" s="351"/>
      <c r="D86" s="351"/>
      <c r="E86" s="351"/>
      <c r="F86" s="352"/>
      <c r="G86" s="351"/>
      <c r="H86" s="351"/>
      <c r="I86" s="21"/>
      <c r="J86" s="199"/>
      <c r="K86" s="353"/>
      <c r="L86" s="63" t="str">
        <f>IF(I86=0,0,RIGHT(I86,LEN(I86)-SEARCH("/",I86,1)))</f>
        <v>0</v>
      </c>
      <c r="M86" s="155" t="str">
        <f>SUBSTITUTE(O86,L86,"")</f>
        <v>0</v>
      </c>
      <c r="N86" s="63" t="str">
        <f>IF(L86=0,0,ROUND(M86/L86,5)*100)</f>
        <v>0</v>
      </c>
      <c r="O86" s="27" t="str">
        <f>SUBSTITUTE(I86,"/","")</f>
        <v>0</v>
      </c>
    </row>
    <row r="87" spans="1:23">
      <c r="A87" s="361"/>
      <c r="B87" s="21"/>
      <c r="C87" s="351"/>
      <c r="D87" s="351"/>
      <c r="E87" s="351"/>
      <c r="F87" s="352"/>
      <c r="G87" s="351"/>
      <c r="H87" s="351"/>
      <c r="I87" s="21"/>
      <c r="J87" s="199"/>
      <c r="K87" s="353"/>
      <c r="L87" s="63" t="str">
        <f>IF(I87=0,0,RIGHT(I87,LEN(I87)-SEARCH("/",I87,1)))</f>
        <v>0</v>
      </c>
      <c r="M87" s="155" t="str">
        <f>SUBSTITUTE(O87,L87,"")</f>
        <v>0</v>
      </c>
      <c r="N87" s="63" t="str">
        <f>IF(L87=0,0,ROUND(M87/L87,5)*100)</f>
        <v>0</v>
      </c>
      <c r="O87" s="27" t="str">
        <f>SUBSTITUTE(I87,"/","")</f>
        <v>0</v>
      </c>
    </row>
    <row r="88" spans="1:23">
      <c r="A88" s="361"/>
      <c r="B88" s="21"/>
      <c r="C88" s="351"/>
      <c r="D88" s="351"/>
      <c r="E88" s="351"/>
      <c r="F88" s="352"/>
      <c r="G88" s="351"/>
      <c r="H88" s="351"/>
      <c r="I88" s="21"/>
      <c r="J88" s="199"/>
      <c r="K88" s="353"/>
      <c r="L88" s="63" t="str">
        <f>IF(I88=0,0,RIGHT(I88,LEN(I88)-SEARCH("/",I88,1)))</f>
        <v>0</v>
      </c>
      <c r="M88" s="155" t="str">
        <f>SUBSTITUTE(O88,L88,"")</f>
        <v>0</v>
      </c>
      <c r="N88" s="63" t="str">
        <f>IF(L88=0,0,ROUND(M88/L88,5)*100)</f>
        <v>0</v>
      </c>
      <c r="O88" s="27" t="str">
        <f>SUBSTITUTE(I88,"/","")</f>
        <v>0</v>
      </c>
    </row>
    <row r="89" spans="1:23">
      <c r="A89" s="361"/>
      <c r="B89" s="21"/>
      <c r="C89" s="351"/>
      <c r="D89" s="351"/>
      <c r="E89" s="351"/>
      <c r="F89" s="352"/>
      <c r="G89" s="351"/>
      <c r="H89" s="351"/>
      <c r="I89" s="21"/>
      <c r="J89" s="199"/>
      <c r="K89" s="353"/>
      <c r="L89" s="63" t="str">
        <f>IF(I89=0,0,RIGHT(I89,LEN(I89)-SEARCH("/",I89,1)))</f>
        <v>0</v>
      </c>
      <c r="M89" s="155" t="str">
        <f>SUBSTITUTE(O89,L89,"")</f>
        <v>0</v>
      </c>
      <c r="N89" s="63" t="str">
        <f>IF(L89=0,0,ROUND(M89/L89,5)*100)</f>
        <v>0</v>
      </c>
      <c r="O89" s="27" t="str">
        <f>SUBSTITUTE(I89,"/","")</f>
        <v>0</v>
      </c>
    </row>
    <row r="90" spans="1:23">
      <c r="A90" s="361"/>
      <c r="B90" s="21"/>
      <c r="C90" s="351"/>
      <c r="D90" s="351"/>
      <c r="E90" s="351"/>
      <c r="F90" s="352"/>
      <c r="G90" s="351"/>
      <c r="H90" s="351"/>
      <c r="I90" s="21"/>
      <c r="J90" s="199"/>
      <c r="K90" s="353"/>
      <c r="L90" s="63" t="str">
        <f>IF(I90=0,0,RIGHT(I90,LEN(I90)-SEARCH("/",I90,1)))</f>
        <v>0</v>
      </c>
      <c r="M90" s="155" t="str">
        <f>SUBSTITUTE(O90,L90,"")</f>
        <v>0</v>
      </c>
      <c r="N90" s="63" t="str">
        <f>IF(L90=0,0,ROUND(M90/L90,5)*100)</f>
        <v>0</v>
      </c>
      <c r="O90" s="27" t="str">
        <f>SUBSTITUTE(I90,"/","")</f>
        <v>0</v>
      </c>
    </row>
    <row r="91" spans="1:23">
      <c r="A91" s="361"/>
      <c r="B91" s="21"/>
      <c r="C91" s="351"/>
      <c r="D91" s="351"/>
      <c r="E91" s="351"/>
      <c r="F91" s="352"/>
      <c r="G91" s="351"/>
      <c r="H91" s="351"/>
      <c r="I91" s="21"/>
      <c r="J91" s="199"/>
      <c r="K91" s="353"/>
      <c r="L91" s="63" t="str">
        <f>IF(I91=0,0,RIGHT(I91,LEN(I91)-SEARCH("/",I91,1)))</f>
        <v>0</v>
      </c>
      <c r="M91" s="155" t="str">
        <f>SUBSTITUTE(O91,L91,"")</f>
        <v>0</v>
      </c>
      <c r="N91" s="63" t="str">
        <f>IF(L91=0,0,ROUND(M91/L91,5)*100)</f>
        <v>0</v>
      </c>
      <c r="O91" s="27" t="str">
        <f>SUBSTITUTE(I91,"/","")</f>
        <v>0</v>
      </c>
    </row>
    <row r="92" spans="1:23">
      <c r="A92" s="361"/>
      <c r="B92" s="21"/>
      <c r="C92" s="351"/>
      <c r="D92" s="351"/>
      <c r="E92" s="351"/>
      <c r="F92" s="352"/>
      <c r="G92" s="351"/>
      <c r="H92" s="351"/>
      <c r="I92" s="21"/>
      <c r="J92" s="199"/>
      <c r="K92" s="353"/>
      <c r="L92" s="63" t="str">
        <f>IF(I92=0,0,RIGHT(I92,LEN(I92)-SEARCH("/",I92,1)))</f>
        <v>0</v>
      </c>
      <c r="M92" s="155" t="str">
        <f>SUBSTITUTE(O92,L92,"")</f>
        <v>0</v>
      </c>
      <c r="N92" s="63" t="str">
        <f>IF(L92=0,0,ROUND(M92/L92,5)*100)</f>
        <v>0</v>
      </c>
      <c r="O92" s="27" t="str">
        <f>SUBSTITUTE(I92,"/","")</f>
        <v>0</v>
      </c>
    </row>
    <row r="93" spans="1:23">
      <c r="A93" s="361"/>
      <c r="B93" s="21"/>
      <c r="C93" s="351"/>
      <c r="D93" s="351"/>
      <c r="E93" s="351"/>
      <c r="F93" s="352"/>
      <c r="G93" s="351"/>
      <c r="H93" s="351"/>
      <c r="I93" s="21"/>
      <c r="J93" s="199"/>
      <c r="K93" s="353"/>
      <c r="L93" s="63" t="str">
        <f>IF(I93=0,0,RIGHT(I93,LEN(I93)-SEARCH("/",I93,1)))</f>
        <v>0</v>
      </c>
      <c r="M93" s="155" t="str">
        <f>SUBSTITUTE(O93,L93,"")</f>
        <v>0</v>
      </c>
      <c r="N93" s="63" t="str">
        <f>IF(L93=0,0,ROUND(M93/L93,5)*100)</f>
        <v>0</v>
      </c>
      <c r="O93" s="27" t="str">
        <f>SUBSTITUTE(I93,"/","")</f>
        <v>0</v>
      </c>
    </row>
    <row r="94" spans="1:23">
      <c r="A94" s="361"/>
      <c r="B94" s="21"/>
      <c r="C94" s="351"/>
      <c r="D94" s="351"/>
      <c r="E94" s="351"/>
      <c r="F94" s="352"/>
      <c r="G94" s="351"/>
      <c r="H94" s="351"/>
      <c r="I94" s="21"/>
      <c r="J94" s="199"/>
      <c r="K94" s="353"/>
      <c r="L94" s="63" t="str">
        <f>IF(I94=0,0,RIGHT(I94,LEN(I94)-SEARCH("/",I94,1)))</f>
        <v>0</v>
      </c>
      <c r="M94" s="155" t="str">
        <f>SUBSTITUTE(O94,L94,"")</f>
        <v>0</v>
      </c>
      <c r="N94" s="63" t="str">
        <f>IF(L94=0,0,ROUND(M94/L94,5)*100)</f>
        <v>0</v>
      </c>
      <c r="O94" s="27" t="str">
        <f>SUBSTITUTE(I94,"/","")</f>
        <v>0</v>
      </c>
    </row>
    <row r="95" spans="1:23">
      <c r="A95" s="361"/>
      <c r="B95" s="21"/>
      <c r="C95" s="351"/>
      <c r="D95" s="351"/>
      <c r="E95" s="351"/>
      <c r="F95" s="352"/>
      <c r="G95" s="351"/>
      <c r="H95" s="351"/>
      <c r="I95" s="21"/>
      <c r="J95" s="199"/>
      <c r="K95" s="353"/>
      <c r="L95" s="63" t="str">
        <f>IF(I95=0,0,RIGHT(I95,LEN(I95)-SEARCH("/",I95,1)))</f>
        <v>0</v>
      </c>
      <c r="M95" s="155" t="str">
        <f>SUBSTITUTE(O95,L95,"")</f>
        <v>0</v>
      </c>
      <c r="N95" s="63" t="str">
        <f>IF(L95=0,0,ROUND(M95/L95,5)*100)</f>
        <v>0</v>
      </c>
      <c r="O95" s="27" t="str">
        <f>SUBSTITUTE(I95,"/","")</f>
        <v>0</v>
      </c>
    </row>
    <row r="96" spans="1:23">
      <c r="A96" s="361"/>
      <c r="B96" s="21"/>
      <c r="C96" s="351"/>
      <c r="D96" s="351"/>
      <c r="E96" s="351"/>
      <c r="F96" s="352"/>
      <c r="G96" s="351"/>
      <c r="H96" s="351"/>
      <c r="I96" s="21"/>
      <c r="J96" s="199"/>
      <c r="K96" s="353"/>
      <c r="L96" s="63" t="str">
        <f>IF(I96=0,0,RIGHT(I96,LEN(I96)-SEARCH("/",I96,1)))</f>
        <v>0</v>
      </c>
      <c r="M96" s="155" t="str">
        <f>SUBSTITUTE(O96,L96,"")</f>
        <v>0</v>
      </c>
      <c r="N96" s="63" t="str">
        <f>IF(L96=0,0,ROUND(M96/L96,5)*100)</f>
        <v>0</v>
      </c>
      <c r="O96" s="27" t="str">
        <f>SUBSTITUTE(I96,"/","")</f>
        <v>0</v>
      </c>
    </row>
    <row r="97" spans="1:23">
      <c r="A97" s="361"/>
      <c r="B97" s="21"/>
      <c r="C97" s="351"/>
      <c r="D97" s="351"/>
      <c r="E97" s="351"/>
      <c r="F97" s="352"/>
      <c r="G97" s="351"/>
      <c r="H97" s="351"/>
      <c r="I97" s="21"/>
      <c r="J97" s="199"/>
      <c r="K97" s="353"/>
      <c r="L97" s="63" t="str">
        <f>IF(I97=0,0,RIGHT(I97,LEN(I97)-SEARCH("/",I97,1)))</f>
        <v>0</v>
      </c>
      <c r="M97" s="155" t="str">
        <f>SUBSTITUTE(O97,L97,"")</f>
        <v>0</v>
      </c>
      <c r="N97" s="63" t="str">
        <f>IF(L97=0,0,ROUND(M97/L97,5)*100)</f>
        <v>0</v>
      </c>
      <c r="O97" s="27" t="str">
        <f>SUBSTITUTE(I97,"/","")</f>
        <v>0</v>
      </c>
    </row>
    <row r="98" spans="1:23">
      <c r="A98" s="361"/>
      <c r="B98" s="21"/>
      <c r="C98" s="351"/>
      <c r="D98" s="351"/>
      <c r="E98" s="351"/>
      <c r="F98" s="352"/>
      <c r="G98" s="351"/>
      <c r="H98" s="351"/>
      <c r="I98" s="21"/>
      <c r="J98" s="199"/>
      <c r="K98" s="353"/>
      <c r="L98" s="63" t="str">
        <f>IF(I98=0,0,RIGHT(I98,LEN(I98)-SEARCH("/",I98,1)))</f>
        <v>0</v>
      </c>
      <c r="M98" s="155" t="str">
        <f>SUBSTITUTE(O98,L98,"")</f>
        <v>0</v>
      </c>
      <c r="N98" s="63" t="str">
        <f>IF(L98=0,0,ROUND(M98/L98,5)*100)</f>
        <v>0</v>
      </c>
      <c r="O98" s="27" t="str">
        <f>SUBSTITUTE(I98,"/","")</f>
        <v>0</v>
      </c>
    </row>
    <row r="99" spans="1:23">
      <c r="A99" s="361"/>
      <c r="B99" s="21"/>
      <c r="C99" s="351"/>
      <c r="D99" s="351"/>
      <c r="E99" s="351"/>
      <c r="F99" s="352"/>
      <c r="G99" s="351"/>
      <c r="H99" s="351"/>
      <c r="I99" s="21"/>
      <c r="J99" s="199"/>
      <c r="K99" s="353"/>
      <c r="L99" s="63" t="str">
        <f>IF(I99=0,0,RIGHT(I99,LEN(I99)-SEARCH("/",I99,1)))</f>
        <v>0</v>
      </c>
      <c r="M99" s="155" t="str">
        <f>SUBSTITUTE(O99,L99,"")</f>
        <v>0</v>
      </c>
      <c r="N99" s="63" t="str">
        <f>IF(L99=0,0,ROUND(M99/L99,5)*100)</f>
        <v>0</v>
      </c>
      <c r="O99" s="27" t="str">
        <f>SUBSTITUTE(I99,"/","")</f>
        <v>0</v>
      </c>
    </row>
    <row r="100" spans="1:23">
      <c r="A100" s="361"/>
      <c r="B100" s="21"/>
      <c r="C100" s="351"/>
      <c r="D100" s="351"/>
      <c r="E100" s="351"/>
      <c r="F100" s="352"/>
      <c r="G100" s="351"/>
      <c r="H100" s="351"/>
      <c r="I100" s="21"/>
      <c r="J100" s="199"/>
      <c r="K100" s="353"/>
      <c r="L100" s="63" t="str">
        <f>IF(I100=0,0,RIGHT(I100,LEN(I100)-SEARCH("/",I100,1)))</f>
        <v>0</v>
      </c>
      <c r="M100" s="155" t="str">
        <f>SUBSTITUTE(O100,L100,"")</f>
        <v>0</v>
      </c>
      <c r="N100" s="63" t="str">
        <f>IF(L100=0,0,ROUND(M100/L100,5)*100)</f>
        <v>0</v>
      </c>
      <c r="O100" s="27" t="str">
        <f>SUBSTITUTE(I100,"/","")</f>
        <v>0</v>
      </c>
    </row>
    <row r="101" spans="1:23">
      <c r="A101" s="361"/>
      <c r="B101" s="21"/>
      <c r="C101" s="351"/>
      <c r="D101" s="351"/>
      <c r="E101" s="351"/>
      <c r="F101" s="352"/>
      <c r="G101" s="351"/>
      <c r="H101" s="351"/>
      <c r="I101" s="21"/>
      <c r="J101" s="199"/>
      <c r="K101" s="353"/>
      <c r="L101" s="63" t="str">
        <f>IF(I101=0,0,RIGHT(I101,LEN(I101)-SEARCH("/",I101,1)))</f>
        <v>0</v>
      </c>
      <c r="M101" s="155" t="str">
        <f>SUBSTITUTE(O101,L101,"")</f>
        <v>0</v>
      </c>
      <c r="N101" s="63" t="str">
        <f>IF(L101=0,0,ROUND(M101/L101,5)*100)</f>
        <v>0</v>
      </c>
      <c r="O101" s="27" t="str">
        <f>SUBSTITUTE(I101,"/","")</f>
        <v>0</v>
      </c>
    </row>
    <row r="102" spans="1:23">
      <c r="A102" s="361"/>
      <c r="B102" s="21"/>
      <c r="C102" s="351"/>
      <c r="D102" s="351"/>
      <c r="E102" s="351"/>
      <c r="F102" s="352"/>
      <c r="G102" s="351"/>
      <c r="H102" s="351"/>
      <c r="I102" s="21"/>
      <c r="J102" s="354"/>
      <c r="K102" s="353"/>
      <c r="L102" s="63" t="str">
        <f>IF(I102=0,0,RIGHT(I102,LEN(I102)-SEARCH("/",I102,1)))</f>
        <v>0</v>
      </c>
      <c r="M102" s="155" t="str">
        <f>SUBSTITUTE(O102,L102,"")</f>
        <v>0</v>
      </c>
      <c r="N102" s="63" t="str">
        <f>IF(L102=0,0,ROUND(M102/L102,5)*100)</f>
        <v>0</v>
      </c>
      <c r="O102" s="27" t="str">
        <f>SUBSTITUTE(I102,"/","")</f>
        <v>0</v>
      </c>
    </row>
    <row r="103" spans="1:23" customHeight="1" ht="15.95">
      <c r="A103" s="362"/>
      <c r="B103" s="73"/>
      <c r="C103" s="73"/>
      <c r="D103" s="73"/>
      <c r="E103" s="73"/>
      <c r="F103" s="73"/>
      <c r="G103" s="73"/>
      <c r="H103" s="73"/>
      <c r="I103" s="73"/>
      <c r="J103" s="338"/>
      <c r="K103" s="355"/>
      <c r="L103" s="63" t="str">
        <f>IF(I103=0,0,RIGHT(I103,LEN(I103)-SEARCH("/",I103,1)))</f>
        <v>0</v>
      </c>
      <c r="M103" s="339" t="str">
        <f>SUBSTITUTE(O103,L103,"")</f>
        <v>0</v>
      </c>
      <c r="N103" s="63" t="str">
        <f>IF(L103=0,0,ROUND(M103/L103,5)*100)</f>
        <v>0</v>
      </c>
      <c r="O103" s="27" t="str">
        <f>SUBSTITUTE(I103,"/","")</f>
        <v>0</v>
      </c>
    </row>
    <row r="104" spans="1:23" customHeight="1" ht="15.95" s="212" customFormat="1">
      <c r="A104" s="90" t="str">
        <f>COUNTA(A2:A103)</f>
        <v>0</v>
      </c>
      <c r="B104" s="90"/>
      <c r="C104" s="356"/>
      <c r="D104" s="356"/>
      <c r="E104" s="356"/>
      <c r="F104" s="356" t="str">
        <f>SUM(F2:F103)</f>
        <v>0</v>
      </c>
      <c r="G104" s="357" t="str">
        <f>SUM(G2:G103)</f>
        <v>0</v>
      </c>
      <c r="H104" s="357" t="str">
        <f>SUM(H2:H103)</f>
        <v>0</v>
      </c>
      <c r="I104" s="90"/>
      <c r="J104" s="90"/>
      <c r="K104" s="358"/>
      <c r="L104" s="340" t="str">
        <f>SUM(L2:L103)</f>
        <v>0</v>
      </c>
      <c r="M104" s="341"/>
      <c r="N104" s="340" t="str">
        <f>SUM(N2:N103)</f>
        <v>0</v>
      </c>
      <c r="O104" s="80"/>
      <c r="P104" s="207"/>
      <c r="Q104" s="207"/>
      <c r="R104" s="471"/>
      <c r="S104" s="469"/>
      <c r="T104" s="469"/>
      <c r="V104" s="80"/>
      <c r="W104" s="8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A1" location="Seznam!A1"/>
  </hyperlinks>
  <printOptions gridLines="false" gridLinesSet="true"/>
  <pageMargins left="0.7" right="0.7" top="0.787401575" bottom="0.7874015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56"/>
  <sheetViews>
    <sheetView tabSelected="0" workbookViewId="0" showGridLines="true" showRowColHeaders="1">
      <selection activeCell="A17" sqref="A17"/>
    </sheetView>
  </sheetViews>
  <sheetFormatPr defaultRowHeight="14.4" defaultColWidth="9.1328125" outlineLevelRow="0" outlineLevelCol="0"/>
  <cols>
    <col min="1" max="1" width="10.1328125" customWidth="true" style="27"/>
    <col min="2" max="2" width="5" customWidth="true" style="27"/>
    <col min="3" max="3" width="23.73046875" customWidth="true" style="80"/>
    <col min="4" max="4" width="17.59765625" customWidth="true" style="80"/>
    <col min="5" max="5" width="37" customWidth="true" style="80"/>
    <col min="6" max="6" width="20.1328125" customWidth="true" style="80"/>
    <col min="7" max="7" width="4" customWidth="true" style="80"/>
    <col min="8" max="8" width="4" customWidth="true" style="80"/>
    <col min="9" max="9" width="22.86328125" customWidth="true" style="80"/>
    <col min="10" max="10" width="20.3984375" customWidth="true" style="80"/>
    <col min="11" max="11" width="20.3984375" customWidth="true" style="80"/>
    <col min="12" max="12" width="20" customWidth="true" style="80"/>
    <col min="13" max="13" width="20.265625" customWidth="true" style="80"/>
    <col min="14" max="14" width="36.3984375" customWidth="true" style="80"/>
    <col min="15" max="15" width="27.1328125" customWidth="true" style="27"/>
    <col min="16" max="16" width="22.73046875" customWidth="true" style="80"/>
    <col min="17" max="17" width="22.73046875" customWidth="true" style="27"/>
    <col min="18" max="18" width="24.1328125" customWidth="true" style="27"/>
    <col min="19" max="19" width="12.3984375" customWidth="true" style="27"/>
    <col min="20" max="20" width="11.3984375" customWidth="true" style="27"/>
    <col min="21" max="21" width="15.59765625" customWidth="true" style="27"/>
    <col min="22" max="22" width="14.86328125" customWidth="true" style="27"/>
    <col min="23" max="23" width="29.1328125" customWidth="true" style="27"/>
    <col min="24" max="24" width="9.1328125" style="27"/>
  </cols>
  <sheetData>
    <row r="1" spans="1:24" hidden="true">
      <c r="A1" s="371" t="s">
        <v>465</v>
      </c>
      <c r="B1" s="72" t="s">
        <v>466</v>
      </c>
      <c r="C1" s="72" t="str">
        <f>'vstupní data'!#REF!</f>
        <v>0</v>
      </c>
      <c r="D1" s="72" t="str">
        <f>'vstupní data'!#REF!</f>
        <v>0</v>
      </c>
      <c r="E1" s="72" t="str">
        <f>'vstupní data'!#REF!</f>
        <v>0</v>
      </c>
      <c r="F1" s="72" t="str">
        <f>'vstupní data'!#REF!</f>
        <v>0</v>
      </c>
      <c r="G1" s="72" t="str">
        <f>'vstupní data'!#REF!</f>
        <v>0</v>
      </c>
      <c r="H1" s="72" t="str">
        <f>'vstupní data'!#REF!</f>
        <v>0</v>
      </c>
      <c r="I1" s="72" t="str">
        <f>'vstupní data'!#REF!</f>
        <v>0</v>
      </c>
      <c r="J1" s="72" t="str">
        <f>'vstupní data'!#REF!</f>
        <v>0</v>
      </c>
      <c r="K1" s="72" t="str">
        <f>'vstupní data'!#REF!</f>
        <v>0</v>
      </c>
      <c r="L1" s="72" t="str">
        <f>'vstupní data'!#REF!</f>
        <v>0</v>
      </c>
      <c r="M1" s="72" t="str">
        <f>'vstupní data'!#REF!</f>
        <v>0</v>
      </c>
      <c r="N1" s="72" t="str">
        <f>'vstupní data'!#REF!</f>
        <v>0</v>
      </c>
      <c r="O1" s="81" t="str">
        <f>'vstupní data'!#REF!</f>
        <v>0</v>
      </c>
      <c r="P1" s="72" t="str">
        <f>'vstupní data'!#REF!</f>
        <v>0</v>
      </c>
      <c r="Q1" s="81" t="str">
        <f>'vstupní data'!#REF!</f>
        <v>0</v>
      </c>
      <c r="R1" s="72" t="str">
        <f>'vstupní data'!#REF!</f>
        <v>0</v>
      </c>
      <c r="S1" s="81" t="s">
        <v>467</v>
      </c>
      <c r="T1" s="81" t="s">
        <v>468</v>
      </c>
      <c r="U1" s="81" t="str">
        <f>'vstupní data'!#REF!</f>
        <v>0</v>
      </c>
      <c r="V1" s="81" t="str">
        <f>'vstupní data'!#REF!</f>
        <v>0</v>
      </c>
      <c r="W1" s="72" t="s">
        <v>90</v>
      </c>
    </row>
    <row r="2" spans="1:24" hidden="true">
      <c r="A2" s="423" t="str">
        <f>'Bytové domy'!A2</f>
        <v>0</v>
      </c>
      <c r="B2" s="304" t="str">
        <f>VD_za_rok</f>
        <v>0</v>
      </c>
      <c r="C2" s="378">
        <v>12423.11</v>
      </c>
      <c r="D2" s="378">
        <v>22886</v>
      </c>
      <c r="E2" s="378">
        <v>2250</v>
      </c>
      <c r="F2" s="378">
        <v>16437</v>
      </c>
      <c r="G2" s="378">
        <v>0</v>
      </c>
      <c r="H2" s="378">
        <v>68956</v>
      </c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306" t="str">
        <f>SUM(C2:V2)</f>
        <v>0</v>
      </c>
    </row>
    <row r="3" spans="1:24" hidden="true">
      <c r="A3" s="423" t="str">
        <f>'Bytové domy'!A3</f>
        <v>0</v>
      </c>
      <c r="B3" s="304" t="str">
        <f>VD_za_rok</f>
        <v>0</v>
      </c>
      <c r="C3" s="378">
        <v>6612.58</v>
      </c>
      <c r="D3" s="378">
        <v>26000</v>
      </c>
      <c r="E3" s="378">
        <v>6766</v>
      </c>
      <c r="F3" s="378">
        <v>18644</v>
      </c>
      <c r="G3" s="82"/>
      <c r="H3" s="378">
        <v>79773</v>
      </c>
      <c r="I3" s="82"/>
      <c r="J3" s="82"/>
      <c r="K3" s="82"/>
      <c r="L3" s="82"/>
      <c r="M3" s="378" t="str">
        <f>2280*12</f>
        <v>0</v>
      </c>
      <c r="N3" s="82"/>
      <c r="O3" s="378">
        <v>44839</v>
      </c>
      <c r="P3" s="82"/>
      <c r="Q3" s="82"/>
      <c r="R3" s="82"/>
      <c r="S3" s="82"/>
      <c r="T3" s="82"/>
      <c r="U3" s="82"/>
      <c r="V3" s="82"/>
      <c r="W3" s="306" t="str">
        <f>SUM(C3:V3)</f>
        <v>0</v>
      </c>
    </row>
    <row r="4" spans="1:24" hidden="true">
      <c r="A4" s="423" t="str">
        <f>'Bytové domy'!A4</f>
        <v>0</v>
      </c>
      <c r="B4" s="304" t="str">
        <f>VD_za_rok</f>
        <v>0</v>
      </c>
      <c r="C4" s="378">
        <v>29932.15</v>
      </c>
      <c r="D4" s="378">
        <v>36360</v>
      </c>
      <c r="E4" s="82"/>
      <c r="F4" s="378">
        <v>18434</v>
      </c>
      <c r="G4" s="82"/>
      <c r="H4" s="306" t="str">
        <f>I31</f>
        <v>0</v>
      </c>
      <c r="I4" s="82"/>
      <c r="J4" s="82"/>
      <c r="K4" s="82"/>
      <c r="L4" s="378">
        <v>333447.09</v>
      </c>
      <c r="M4" s="378">
        <v>51480</v>
      </c>
      <c r="N4" s="378">
        <v>16514</v>
      </c>
      <c r="O4" s="82"/>
      <c r="P4" s="306" t="str">
        <f>O27</f>
        <v>0</v>
      </c>
      <c r="Q4" s="306" t="str">
        <f>O26</f>
        <v>0</v>
      </c>
      <c r="R4" s="82"/>
      <c r="S4" s="82"/>
      <c r="T4" s="82"/>
      <c r="U4" s="82"/>
      <c r="V4" s="82"/>
      <c r="W4" s="306" t="str">
        <f>SUM(C4:V4)</f>
        <v>0</v>
      </c>
    </row>
    <row r="5" spans="1:24" hidden="true">
      <c r="A5" s="423" t="str">
        <f>'Bytové domy'!A5</f>
        <v>0</v>
      </c>
      <c r="B5" s="304" t="str">
        <f>VD_za_rok</f>
        <v>0</v>
      </c>
      <c r="C5" s="378" t="str">
        <f>2349.67+3759.85</f>
        <v>0</v>
      </c>
      <c r="D5" s="378">
        <v>13858</v>
      </c>
      <c r="E5" s="82"/>
      <c r="F5" s="82"/>
      <c r="G5" s="82"/>
      <c r="H5" s="306" t="str">
        <f>D20</f>
        <v>0</v>
      </c>
      <c r="I5" s="306" t="str">
        <f>E20</f>
        <v>0</v>
      </c>
      <c r="J5" s="306" t="str">
        <f>F24*1.15</f>
        <v>0</v>
      </c>
      <c r="K5" s="306" t="str">
        <f>F25*1.15</f>
        <v>0</v>
      </c>
      <c r="L5" s="378" t="s">
        <v>469</v>
      </c>
      <c r="M5" s="378" t="str">
        <f>16*120*12</f>
        <v>0</v>
      </c>
      <c r="N5" s="82"/>
      <c r="O5" s="82"/>
      <c r="P5" s="82"/>
      <c r="Q5" s="82"/>
      <c r="R5" s="82"/>
      <c r="S5" s="82"/>
      <c r="T5" s="82"/>
      <c r="U5" s="82"/>
      <c r="V5" s="82"/>
      <c r="W5" s="306" t="str">
        <f>IFERROR(SUM(C5:V5),0)</f>
        <v>0</v>
      </c>
    </row>
    <row r="6" spans="1:24" hidden="true">
      <c r="A6" s="423" t="str">
        <f>'Bytové domy'!A6</f>
        <v>0</v>
      </c>
      <c r="B6" s="304" t="str">
        <f>VD_za_rok</f>
        <v>0</v>
      </c>
      <c r="C6" s="378">
        <v>3806.08</v>
      </c>
      <c r="D6" s="378">
        <v>14160</v>
      </c>
      <c r="E6" s="82"/>
      <c r="F6" s="378">
        <v>18487.3</v>
      </c>
      <c r="G6" s="82"/>
      <c r="H6" s="306" t="str">
        <f>C38</f>
        <v>0</v>
      </c>
      <c r="I6" s="306" t="str">
        <f>D48</f>
        <v>0</v>
      </c>
      <c r="J6" s="306" t="str">
        <f>F43</f>
        <v>0</v>
      </c>
      <c r="K6" s="306" t="str">
        <f>F44</f>
        <v>0</v>
      </c>
      <c r="L6" s="378">
        <v>118041.22</v>
      </c>
      <c r="M6" s="378">
        <v>28880</v>
      </c>
      <c r="N6" s="378">
        <v>16446</v>
      </c>
      <c r="O6" s="82"/>
      <c r="P6" s="82"/>
      <c r="Q6" s="82"/>
      <c r="R6" s="378">
        <v>28800</v>
      </c>
      <c r="S6" s="82"/>
      <c r="T6" s="82"/>
      <c r="U6" s="82"/>
      <c r="V6" s="378" t="str">
        <f>3600+4102</f>
        <v>0</v>
      </c>
      <c r="W6" s="306" t="str">
        <f>SUM(C6:V6)-J6-K6</f>
        <v>0</v>
      </c>
    </row>
    <row r="7" spans="1:24" hidden="true">
      <c r="A7" s="423" t="str">
        <f>'Bytové domy'!A7</f>
        <v>0</v>
      </c>
      <c r="B7" s="304" t="str">
        <f>VD_za_rok</f>
        <v>0</v>
      </c>
      <c r="C7" s="378">
        <v>10065.22</v>
      </c>
      <c r="D7" s="378">
        <v>19440</v>
      </c>
      <c r="E7" s="82"/>
      <c r="F7" s="82"/>
      <c r="G7" s="82"/>
      <c r="H7" s="378">
        <v>58696.09</v>
      </c>
      <c r="I7" s="378">
        <v>31197.38</v>
      </c>
      <c r="J7" s="265"/>
      <c r="K7" s="265"/>
      <c r="L7" s="378">
        <v>46796.07</v>
      </c>
      <c r="M7" s="378">
        <v>31680</v>
      </c>
      <c r="N7" s="378">
        <v>0</v>
      </c>
      <c r="O7" s="82"/>
      <c r="P7" s="82"/>
      <c r="Q7" s="82"/>
      <c r="R7" s="82"/>
      <c r="S7" s="82"/>
      <c r="T7" s="82"/>
      <c r="U7" s="82"/>
      <c r="V7" s="82"/>
      <c r="W7" s="306" t="str">
        <f>SUM(C7:V7)-J7-K7</f>
        <v>0</v>
      </c>
    </row>
    <row r="8" spans="1:24" hidden="true">
      <c r="A8" s="424" t="str">
        <f>'Bytové domy'!A8</f>
        <v>0</v>
      </c>
      <c r="B8" s="305" t="str">
        <f>VD_za_rok</f>
        <v>0</v>
      </c>
      <c r="C8" s="379">
        <v>9421.24</v>
      </c>
      <c r="D8" s="379">
        <v>84399</v>
      </c>
      <c r="E8" s="267"/>
      <c r="F8" s="379">
        <v>9427.73</v>
      </c>
      <c r="G8" s="267"/>
      <c r="H8" s="379">
        <v>135028.97</v>
      </c>
      <c r="I8" s="379">
        <v>54399.99</v>
      </c>
      <c r="J8" s="379">
        <v>341476.35</v>
      </c>
      <c r="K8" s="266"/>
      <c r="L8" s="379">
        <v>279864</v>
      </c>
      <c r="M8" s="379">
        <v>97440</v>
      </c>
      <c r="N8" s="379">
        <v>32756</v>
      </c>
      <c r="O8" s="267"/>
      <c r="P8" s="267"/>
      <c r="Q8" s="267"/>
      <c r="R8" s="379" t="str">
        <f>48029+12006</f>
        <v>0</v>
      </c>
      <c r="S8" s="380">
        <v>0</v>
      </c>
      <c r="T8" s="380">
        <v>0</v>
      </c>
      <c r="U8" s="380">
        <v>252684.53</v>
      </c>
      <c r="V8" s="380">
        <v>62534</v>
      </c>
      <c r="W8" s="328" t="str">
        <f>SUM(C8:V8)</f>
        <v>0</v>
      </c>
    </row>
    <row r="9" spans="1:24" hidden="true" s="219" customFormat="1">
      <c r="A9" s="423" t="str">
        <f>'Bytové domy'!A9</f>
        <v>0</v>
      </c>
      <c r="B9" s="305" t="str">
        <f>VD_za_rok</f>
        <v>0</v>
      </c>
      <c r="C9" s="378">
        <v>2640.96</v>
      </c>
      <c r="D9" s="378">
        <v>14400</v>
      </c>
      <c r="E9" s="82"/>
      <c r="F9" s="378">
        <v>12624</v>
      </c>
      <c r="G9" s="82"/>
      <c r="H9" s="378">
        <v>122155.55</v>
      </c>
      <c r="I9" s="378">
        <v>98648.23</v>
      </c>
      <c r="J9" s="378">
        <v>102254.65</v>
      </c>
      <c r="K9" s="265"/>
      <c r="L9" s="378">
        <v>148507.57</v>
      </c>
      <c r="M9" s="378">
        <v>31200</v>
      </c>
      <c r="N9" s="378">
        <v>4504</v>
      </c>
      <c r="O9" s="378">
        <v>13920</v>
      </c>
      <c r="P9" s="82"/>
      <c r="Q9" s="82"/>
      <c r="R9" s="82"/>
      <c r="S9" s="384">
        <v>672000</v>
      </c>
      <c r="T9" s="381">
        <v>0</v>
      </c>
      <c r="U9" s="82"/>
      <c r="V9" s="82"/>
      <c r="W9" s="306" t="str">
        <f>SUM(C9:V9)-J9-K9</f>
        <v>0</v>
      </c>
      <c r="X9" s="155"/>
    </row>
    <row r="10" spans="1:24" hidden="true" s="219" customFormat="1">
      <c r="A10" s="423" t="str">
        <f>'Bytové domy'!A10</f>
        <v>0</v>
      </c>
      <c r="B10" s="305" t="str">
        <f>VD_za_rok</f>
        <v>0</v>
      </c>
      <c r="C10" s="378">
        <v>61059.44</v>
      </c>
      <c r="D10" s="378">
        <v>14400</v>
      </c>
      <c r="E10" s="82"/>
      <c r="F10" s="378">
        <v>11674.02</v>
      </c>
      <c r="G10" s="82"/>
      <c r="H10" s="79">
        <v>70272.48</v>
      </c>
      <c r="I10" s="79">
        <v>44699.56</v>
      </c>
      <c r="J10" s="79">
        <v>102251.44</v>
      </c>
      <c r="K10" s="265"/>
      <c r="L10" s="79">
        <v>153377.47</v>
      </c>
      <c r="M10" s="79" t="str">
        <f>2600*3+9*110*20</f>
        <v>0</v>
      </c>
      <c r="N10" s="79">
        <v>4504</v>
      </c>
      <c r="O10" s="79">
        <v>14400</v>
      </c>
      <c r="P10" s="82"/>
      <c r="Q10" s="82"/>
      <c r="R10" s="82"/>
      <c r="S10" s="268">
        <v>0</v>
      </c>
      <c r="T10" s="268">
        <v>0</v>
      </c>
      <c r="U10" s="82"/>
      <c r="V10" s="82"/>
      <c r="W10" s="79" t="str">
        <f>SUM(C10:V10)-J10-K10</f>
        <v>0</v>
      </c>
      <c r="X10" s="155"/>
    </row>
    <row r="11" spans="1:24" hidden="true">
      <c r="A11" s="423" t="str">
        <f>'Bytové domy'!A11</f>
        <v>0</v>
      </c>
      <c r="B11" s="305" t="str">
        <f>VD_za_rok</f>
        <v>0</v>
      </c>
      <c r="C11" s="378">
        <v>115521</v>
      </c>
      <c r="D11" s="378">
        <v>45000</v>
      </c>
      <c r="E11" s="378">
        <v>47768</v>
      </c>
      <c r="F11" s="378">
        <v>6027</v>
      </c>
      <c r="G11" s="82"/>
      <c r="H11" s="378">
        <v>127870.02</v>
      </c>
      <c r="I11" s="378">
        <v>181127</v>
      </c>
      <c r="J11" s="79"/>
      <c r="K11" s="265"/>
      <c r="L11" s="378">
        <v>271690</v>
      </c>
      <c r="M11" s="378">
        <v>44330</v>
      </c>
      <c r="N11" s="378">
        <v>25534</v>
      </c>
      <c r="O11" s="378"/>
      <c r="P11" s="82"/>
      <c r="Q11" s="82"/>
      <c r="R11" s="82"/>
      <c r="S11" s="384">
        <v>62400</v>
      </c>
      <c r="T11" s="384">
        <v>22039</v>
      </c>
      <c r="U11" s="381">
        <v>4219</v>
      </c>
      <c r="V11" s="381">
        <v>595</v>
      </c>
      <c r="W11" s="306" t="str">
        <f>SUM(C11:V11)-J10-K10</f>
        <v>0</v>
      </c>
    </row>
    <row r="12" spans="1:24" hidden="true">
      <c r="A12" s="423" t="str">
        <f>'Bytové domy'!A12</f>
        <v>0</v>
      </c>
      <c r="B12" s="305" t="str">
        <f>VD_za_rok</f>
        <v>0</v>
      </c>
      <c r="C12" s="333"/>
      <c r="D12" s="333"/>
      <c r="E12" s="333"/>
      <c r="F12" s="333"/>
      <c r="G12" s="333"/>
      <c r="H12" s="333"/>
      <c r="I12" s="333"/>
      <c r="J12" s="333"/>
      <c r="K12" s="333"/>
      <c r="L12" s="333"/>
      <c r="M12" s="333"/>
      <c r="N12" s="333"/>
      <c r="O12" s="333"/>
      <c r="P12" s="333"/>
      <c r="Q12" s="333"/>
      <c r="R12" s="333"/>
      <c r="S12" s="333"/>
      <c r="T12" s="333"/>
      <c r="U12" s="333"/>
      <c r="V12" s="333"/>
      <c r="W12" s="333"/>
    </row>
    <row r="13" spans="1:24" hidden="true">
      <c r="A13" s="423" t="str">
        <f>'Bytové domy'!A13</f>
        <v>0</v>
      </c>
      <c r="B13" s="426" t="str">
        <f>VD_za_rok</f>
        <v>0</v>
      </c>
      <c r="C13" s="333"/>
      <c r="D13" s="333"/>
      <c r="E13" s="333"/>
      <c r="F13" s="333"/>
      <c r="G13" s="333"/>
      <c r="H13" s="333"/>
      <c r="I13" s="333"/>
      <c r="J13" s="333"/>
      <c r="K13" s="333"/>
      <c r="L13" s="333"/>
      <c r="M13" s="333"/>
      <c r="N13" s="333"/>
      <c r="O13" s="333"/>
      <c r="P13" s="333"/>
      <c r="Q13" s="333"/>
      <c r="R13" s="333"/>
      <c r="S13" s="333"/>
      <c r="T13" s="333"/>
      <c r="U13" s="333"/>
      <c r="V13" s="333"/>
      <c r="W13" s="333"/>
    </row>
    <row r="14" spans="1:24" hidden="true">
      <c r="A14" s="423" t="str">
        <f>'Bytové domy'!A14</f>
        <v>0</v>
      </c>
      <c r="B14" s="426" t="str">
        <f>VD_za_rok</f>
        <v>0</v>
      </c>
      <c r="C14" s="333"/>
      <c r="D14" s="333"/>
      <c r="E14" s="333"/>
      <c r="F14" s="333"/>
      <c r="G14" s="333"/>
      <c r="H14" s="333"/>
      <c r="I14" s="333"/>
      <c r="J14" s="333"/>
      <c r="K14" s="333"/>
      <c r="L14" s="333"/>
      <c r="M14" s="333"/>
      <c r="N14" s="333"/>
      <c r="O14" s="333"/>
      <c r="P14" s="333"/>
      <c r="Q14" s="333"/>
      <c r="R14" s="333"/>
      <c r="S14" s="333"/>
      <c r="T14" s="333"/>
      <c r="U14" s="333"/>
      <c r="V14" s="333"/>
      <c r="W14" s="333"/>
    </row>
    <row r="15" spans="1:24" hidden="true">
      <c r="A15" s="423" t="str">
        <f>'Bytové domy'!A15</f>
        <v>0</v>
      </c>
      <c r="B15" s="426" t="str">
        <f>VD_za_rok</f>
        <v>0</v>
      </c>
      <c r="C15" s="333"/>
      <c r="D15" s="333"/>
      <c r="E15" s="333"/>
      <c r="F15" s="333"/>
      <c r="G15" s="333"/>
      <c r="H15" s="333"/>
      <c r="I15" s="333"/>
      <c r="J15" s="333"/>
      <c r="K15" s="333"/>
      <c r="L15" s="333"/>
      <c r="M15" s="333"/>
      <c r="N15" s="333"/>
      <c r="O15" s="333"/>
      <c r="P15" s="333"/>
      <c r="Q15" s="333"/>
      <c r="R15" s="333"/>
      <c r="S15" s="333"/>
      <c r="T15" s="333"/>
      <c r="U15" s="333"/>
      <c r="V15" s="333"/>
      <c r="W15" s="333"/>
    </row>
    <row r="16" spans="1:24" customHeight="1" ht="15.75" s="212" customFormat="1">
      <c r="A16" s="80">
        <v>1</v>
      </c>
      <c r="B16" s="80">
        <v>2</v>
      </c>
      <c r="C16" s="80">
        <v>3</v>
      </c>
      <c r="D16" s="80">
        <v>4</v>
      </c>
      <c r="E16" s="80">
        <v>5</v>
      </c>
      <c r="F16" s="80">
        <v>6</v>
      </c>
      <c r="G16" s="80">
        <v>7</v>
      </c>
      <c r="H16" s="80">
        <v>8</v>
      </c>
      <c r="I16" s="80">
        <v>9</v>
      </c>
      <c r="J16" s="80">
        <v>10</v>
      </c>
      <c r="K16" s="80">
        <v>11</v>
      </c>
      <c r="L16" s="80">
        <v>12</v>
      </c>
      <c r="M16" s="80">
        <v>13</v>
      </c>
      <c r="N16" s="80">
        <v>14</v>
      </c>
      <c r="O16" s="80">
        <v>15</v>
      </c>
      <c r="P16" s="80">
        <v>16</v>
      </c>
      <c r="Q16" s="80">
        <v>17</v>
      </c>
      <c r="R16" s="80">
        <v>18</v>
      </c>
      <c r="S16" s="80">
        <v>19</v>
      </c>
      <c r="T16" s="80">
        <v>20</v>
      </c>
      <c r="U16" s="80">
        <v>21</v>
      </c>
      <c r="V16" s="80">
        <v>22</v>
      </c>
      <c r="W16" s="80">
        <v>23</v>
      </c>
    </row>
    <row r="17" spans="1:24" customHeight="1" ht="21">
      <c r="A17" s="584" t="s">
        <v>60</v>
      </c>
      <c r="B17" s="2"/>
      <c r="C17" s="780" t="str">
        <f>("Zborovská 32 a 34 rozpočítání vody "&amp;'vstupní data'!B12&amp;"")</f>
        <v>0</v>
      </c>
      <c r="D17" s="781"/>
      <c r="E17" s="781"/>
      <c r="F17" s="782"/>
      <c r="I17" s="797" t="s">
        <v>470</v>
      </c>
      <c r="J17" s="798"/>
      <c r="K17" s="798"/>
      <c r="L17" s="798"/>
      <c r="M17" s="799"/>
      <c r="N17" s="397" t="s">
        <v>471</v>
      </c>
      <c r="P17" s="172"/>
      <c r="Q17" s="80"/>
      <c r="S17" s="80"/>
    </row>
    <row r="18" spans="1:24">
      <c r="A18" s="2"/>
      <c r="B18" s="2"/>
      <c r="C18" s="193" t="s">
        <v>472</v>
      </c>
      <c r="D18" s="88" t="s">
        <v>473</v>
      </c>
      <c r="E18" s="88" t="s">
        <v>474</v>
      </c>
      <c r="F18" s="218" t="s">
        <v>475</v>
      </c>
      <c r="I18" s="220" t="s">
        <v>476</v>
      </c>
      <c r="J18" s="191" t="s">
        <v>477</v>
      </c>
      <c r="K18" s="191" t="s">
        <v>478</v>
      </c>
      <c r="L18" s="191" t="s">
        <v>139</v>
      </c>
      <c r="M18" s="221" t="s">
        <v>479</v>
      </c>
      <c r="N18" s="561" t="str">
        <f>51098+43449+13973</f>
        <v>0</v>
      </c>
      <c r="Q18" s="80"/>
      <c r="S18" s="80"/>
    </row>
    <row r="19" spans="1:24">
      <c r="A19" s="2"/>
      <c r="B19" s="2"/>
      <c r="C19" s="454">
        <v>98157</v>
      </c>
      <c r="D19" s="517" t="str">
        <f>'Vodoměry SV'!I104</f>
        <v>0</v>
      </c>
      <c r="E19" s="517" t="str">
        <f>'Vodoměry TUV'!I115</f>
        <v>0</v>
      </c>
      <c r="F19" s="518" t="str">
        <f>D19+E19</f>
        <v>0</v>
      </c>
      <c r="I19" s="222" t="s">
        <v>480</v>
      </c>
      <c r="J19" s="557">
        <v>9.823</v>
      </c>
      <c r="K19" s="557">
        <v>10.248</v>
      </c>
      <c r="L19" s="558" t="str">
        <f>K19-J19</f>
        <v>0</v>
      </c>
      <c r="M19" s="559" t="str">
        <f>L19</f>
        <v>0</v>
      </c>
      <c r="N19" s="80" t="s">
        <v>481</v>
      </c>
    </row>
    <row r="20" spans="1:24">
      <c r="A20" s="2"/>
      <c r="B20" s="2"/>
      <c r="C20" s="802" t="s">
        <v>482</v>
      </c>
      <c r="D20" s="519" t="str">
        <f>ROUND(D19/$F$19*$C$19,2)</f>
        <v>0</v>
      </c>
      <c r="E20" s="519" t="str">
        <f>ROUND(E19/$F$19*$C$19,2)</f>
        <v>0</v>
      </c>
      <c r="F20" s="194"/>
      <c r="I20" s="222" t="s">
        <v>483</v>
      </c>
      <c r="J20" s="557" t="s">
        <v>484</v>
      </c>
      <c r="K20" s="557" t="s">
        <v>484</v>
      </c>
      <c r="L20" s="558">
        <v>1064</v>
      </c>
      <c r="M20" s="559" t="str">
        <f>'faktury za služby'!L20-'Vodoměry SV'!I104</f>
        <v>0</v>
      </c>
      <c r="N20" s="398" t="str">
        <f>N18-Faktury!E10</f>
        <v>0</v>
      </c>
    </row>
    <row r="21" spans="1:24" customHeight="1" ht="15.75">
      <c r="A21" s="2"/>
      <c r="B21" s="2"/>
      <c r="C21" s="802"/>
      <c r="F21" s="194"/>
      <c r="I21" s="800" t="s">
        <v>485</v>
      </c>
      <c r="J21" s="801"/>
      <c r="K21" s="801"/>
      <c r="L21" s="801"/>
      <c r="M21" s="560" t="str">
        <f>M20</f>
        <v>0</v>
      </c>
    </row>
    <row r="22" spans="1:24">
      <c r="A22" s="2"/>
      <c r="B22" s="2"/>
      <c r="C22" s="783" t="s">
        <v>486</v>
      </c>
      <c r="D22" s="784"/>
      <c r="E22" s="784"/>
      <c r="F22" s="785"/>
    </row>
    <row r="23" spans="1:24" customHeight="1" ht="15.75">
      <c r="A23" s="70"/>
      <c r="B23" s="70"/>
      <c r="C23" s="195"/>
      <c r="D23" s="88" t="s">
        <v>487</v>
      </c>
      <c r="E23" s="88" t="s">
        <v>488</v>
      </c>
      <c r="F23" s="80" t="s">
        <v>489</v>
      </c>
    </row>
    <row r="24" spans="1:24">
      <c r="A24" s="70"/>
      <c r="B24" s="70"/>
      <c r="C24" s="520" t="s">
        <v>490</v>
      </c>
      <c r="D24" s="451" t="str">
        <f>25220.68+6159.96</f>
        <v>0</v>
      </c>
      <c r="E24" s="88">
        <v>10</v>
      </c>
      <c r="F24" s="522" t="str">
        <f>ROUND(D24*(E24/100+1),2)</f>
        <v>0</v>
      </c>
      <c r="I24" s="797" t="s">
        <v>491</v>
      </c>
      <c r="J24" s="798"/>
      <c r="K24" s="798"/>
      <c r="L24" s="798"/>
      <c r="M24" s="798"/>
      <c r="N24" s="798"/>
      <c r="O24" s="799"/>
    </row>
    <row r="25" spans="1:24">
      <c r="A25" s="70"/>
      <c r="B25" s="70"/>
      <c r="C25" s="521" t="s">
        <v>492</v>
      </c>
      <c r="D25" s="451">
        <v>73222.03</v>
      </c>
      <c r="E25" s="88">
        <v>10</v>
      </c>
      <c r="F25" s="522" t="str">
        <f>ROUND(D25*(E25/100+1),2)</f>
        <v>0</v>
      </c>
      <c r="I25" s="445"/>
      <c r="J25" s="446" t="s">
        <v>493</v>
      </c>
      <c r="K25" s="446" t="s">
        <v>494</v>
      </c>
      <c r="L25" s="447" t="s">
        <v>495</v>
      </c>
      <c r="M25" s="446" t="s">
        <v>496</v>
      </c>
      <c r="N25" s="446" t="s">
        <v>497</v>
      </c>
      <c r="O25" s="448" t="s">
        <v>498</v>
      </c>
    </row>
    <row r="26" spans="1:24" customHeight="1" ht="15">
      <c r="A26" s="70"/>
      <c r="B26" s="70"/>
      <c r="C26" s="777" t="s">
        <v>499</v>
      </c>
      <c r="D26" s="778"/>
      <c r="E26" s="778"/>
      <c r="F26" s="779"/>
      <c r="I26" s="449" t="s">
        <v>500</v>
      </c>
      <c r="J26" s="513" t="str">
        <f>Faktury!G4</f>
        <v>0</v>
      </c>
      <c r="K26" s="513" t="str">
        <f>Faktury!G11</f>
        <v>0</v>
      </c>
      <c r="L26" s="507">
        <v>3.75</v>
      </c>
      <c r="M26" s="513" t="str">
        <f>Faktury!E12*L26/100</f>
        <v>0</v>
      </c>
      <c r="N26" s="308">
        <v>0</v>
      </c>
      <c r="O26" s="515" t="str">
        <f>K26+M26+N26+J26</f>
        <v>0</v>
      </c>
    </row>
    <row r="27" spans="1:24" customHeight="1" ht="15.75">
      <c r="A27" s="70"/>
      <c r="B27" s="70"/>
      <c r="C27" s="777"/>
      <c r="D27" s="778"/>
      <c r="E27" s="778"/>
      <c r="F27" s="779"/>
      <c r="I27" s="450" t="s">
        <v>501</v>
      </c>
      <c r="J27" s="514" t="str">
        <f>Faktury!G4</f>
        <v>0</v>
      </c>
      <c r="K27" s="514" t="str">
        <f>Faktury!G11</f>
        <v>0</v>
      </c>
      <c r="L27" s="524">
        <v>8.63</v>
      </c>
      <c r="M27" s="514" t="str">
        <f>Faktury!E12*L27/100</f>
        <v>0</v>
      </c>
      <c r="N27" s="309">
        <v>0</v>
      </c>
      <c r="O27" s="516" t="str">
        <f>K27+M27+N27+J27</f>
        <v>0</v>
      </c>
    </row>
    <row r="28" spans="1:24" customHeight="1" ht="15.75">
      <c r="A28" s="70"/>
      <c r="B28" s="70"/>
      <c r="C28" s="195"/>
      <c r="F28" s="194"/>
      <c r="O28" s="2"/>
    </row>
    <row r="29" spans="1:24">
      <c r="C29" s="195"/>
      <c r="F29" s="194"/>
      <c r="I29" s="780" t="s">
        <v>502</v>
      </c>
      <c r="J29" s="781"/>
      <c r="K29" s="781"/>
      <c r="L29" s="782"/>
      <c r="O29" s="2"/>
    </row>
    <row r="30" spans="1:24">
      <c r="C30" s="195"/>
      <c r="F30" s="194"/>
      <c r="I30" s="193" t="s">
        <v>472</v>
      </c>
      <c r="J30" s="88" t="s">
        <v>473</v>
      </c>
      <c r="K30" s="88" t="s">
        <v>474</v>
      </c>
      <c r="L30" s="218" t="s">
        <v>475</v>
      </c>
      <c r="O30" s="2"/>
    </row>
    <row r="31" spans="1:24">
      <c r="C31" s="195"/>
      <c r="F31" s="194"/>
      <c r="I31" s="307"/>
      <c r="J31" s="451" t="str">
        <f>'Vodoměry SV'!I123</f>
        <v>0</v>
      </c>
      <c r="K31" s="451" t="str">
        <f>'Vodoměry TUV'!I123</f>
        <v>0</v>
      </c>
      <c r="L31" s="452" t="str">
        <f>J31+K31</f>
        <v>0</v>
      </c>
      <c r="O31" s="2"/>
    </row>
    <row r="32" spans="1:24">
      <c r="C32" s="195"/>
      <c r="F32" s="194"/>
      <c r="I32" s="195"/>
      <c r="J32" s="451" t="str">
        <f>J31/$F$38*$C$38</f>
        <v>0</v>
      </c>
      <c r="K32" s="451" t="str">
        <f>K31/$F$38*$C$38</f>
        <v>0</v>
      </c>
      <c r="L32" s="194"/>
      <c r="O32" s="2"/>
    </row>
    <row r="34" spans="1:24" customHeight="1" ht="15.75">
      <c r="C34" s="196"/>
      <c r="D34" s="197"/>
      <c r="E34" s="197"/>
      <c r="F34" s="198"/>
      <c r="I34" s="791" t="str">
        <f>("Faktury zaplacané za rok "&amp;'vstupní data'!B12&amp;"")</f>
        <v>0</v>
      </c>
      <c r="J34" s="792"/>
      <c r="K34" s="792"/>
      <c r="L34" s="793"/>
    </row>
    <row r="35" spans="1:24" customHeight="1" ht="15.75">
      <c r="I35" s="195" t="s">
        <v>503</v>
      </c>
      <c r="J35" s="375">
        <v>153503</v>
      </c>
      <c r="K35" s="786" t="s">
        <v>504</v>
      </c>
      <c r="L35" s="787"/>
    </row>
    <row r="36" spans="1:24" customHeight="1" ht="15.75">
      <c r="C36" s="780" t="str">
        <f>("Kotlářská 38 "&amp;'vstupní data'!B12&amp;"")</f>
        <v>0</v>
      </c>
      <c r="D36" s="781"/>
      <c r="E36" s="781"/>
      <c r="F36" s="782"/>
      <c r="I36" s="196"/>
      <c r="J36" s="376"/>
      <c r="K36" s="377"/>
      <c r="L36" s="198"/>
    </row>
    <row r="37" spans="1:24" customHeight="1" ht="15.75">
      <c r="C37" s="193" t="s">
        <v>505</v>
      </c>
      <c r="D37" s="88" t="s">
        <v>473</v>
      </c>
      <c r="E37" s="88" t="s">
        <v>474</v>
      </c>
      <c r="F37" s="218" t="s">
        <v>475</v>
      </c>
    </row>
    <row r="38" spans="1:24">
      <c r="C38" s="453" t="str">
        <f>SUM(D42:D47)</f>
        <v>0</v>
      </c>
      <c r="D38" s="517" t="str">
        <f>'Vodoměry SV'!I104</f>
        <v>0</v>
      </c>
      <c r="E38" s="517" t="str">
        <f>'Vodoměry TUV'!I115</f>
        <v>0</v>
      </c>
      <c r="F38" s="518" t="str">
        <f>D38+E38</f>
        <v>0</v>
      </c>
      <c r="I38" s="788" t="s">
        <v>506</v>
      </c>
      <c r="J38" s="789"/>
      <c r="K38" s="789"/>
      <c r="L38" s="789"/>
      <c r="M38" s="789"/>
      <c r="N38" s="790"/>
    </row>
    <row r="39" spans="1:24">
      <c r="C39" s="195"/>
      <c r="D39" s="517" t="str">
        <f>D38/$F$38*$C$38</f>
        <v>0</v>
      </c>
      <c r="E39" s="517" t="str">
        <f>E38/$F$38*$C$38</f>
        <v>0</v>
      </c>
      <c r="F39" s="194"/>
      <c r="I39" s="253" t="s">
        <v>507</v>
      </c>
      <c r="J39" s="509">
        <v>868</v>
      </c>
      <c r="K39" s="251" t="s">
        <v>508</v>
      </c>
      <c r="L39" s="252"/>
      <c r="M39" s="251" t="s">
        <v>509</v>
      </c>
      <c r="N39" s="254"/>
      <c r="O39" s="332" t="s">
        <v>510</v>
      </c>
    </row>
    <row r="40" spans="1:24" customHeight="1" ht="15.75">
      <c r="C40" s="195"/>
      <c r="F40" s="194"/>
      <c r="I40" s="255" t="s">
        <v>511</v>
      </c>
      <c r="J40" s="441" t="str">
        <f>'Vodoměry SV'!I104</f>
        <v>0</v>
      </c>
      <c r="K40" s="442" t="str">
        <f>J40*1.05</f>
        <v>0</v>
      </c>
      <c r="L40" s="256"/>
      <c r="M40" s="510" t="str">
        <f>J39-K40</f>
        <v>0</v>
      </c>
      <c r="N40" s="257"/>
    </row>
    <row r="41" spans="1:24" customHeight="1" ht="15.75">
      <c r="C41" s="783" t="str">
        <f>("Faktury zaplacané za rok "&amp;'vstupní data'!#REF!&amp;"")</f>
        <v>0</v>
      </c>
      <c r="D41" s="784"/>
      <c r="E41" s="784"/>
      <c r="F41" s="785"/>
      <c r="I41" s="255" t="s">
        <v>512</v>
      </c>
      <c r="J41" s="511">
        <v>88529</v>
      </c>
      <c r="K41" s="34" t="s">
        <v>513</v>
      </c>
      <c r="L41" s="212"/>
      <c r="M41" s="212"/>
      <c r="N41" s="5"/>
      <c r="O41" s="332" t="s">
        <v>510</v>
      </c>
    </row>
    <row r="42" spans="1:24">
      <c r="C42" s="195" t="s">
        <v>503</v>
      </c>
      <c r="D42" s="396">
        <v>106211.71</v>
      </c>
      <c r="E42" s="786" t="s">
        <v>504</v>
      </c>
      <c r="F42" s="787"/>
      <c r="I42" s="201" t="s">
        <v>514</v>
      </c>
      <c r="J42" s="443" t="str">
        <f>'Počet osob'!W29</f>
        <v>0</v>
      </c>
      <c r="K42" s="211"/>
    </row>
    <row r="43" spans="1:24">
      <c r="C43" s="195"/>
      <c r="E43" s="27" t="s">
        <v>515</v>
      </c>
      <c r="F43" s="523" t="str">
        <f>ROUND(F45*0.3,2)</f>
        <v>0</v>
      </c>
      <c r="I43" s="201" t="s">
        <v>516</v>
      </c>
      <c r="J43" s="444" t="str">
        <f>J41-J42</f>
        <v>0</v>
      </c>
    </row>
    <row r="44" spans="1:24">
      <c r="C44" s="195"/>
      <c r="E44" s="27" t="s">
        <v>517</v>
      </c>
      <c r="F44" s="523" t="str">
        <f>ROUND(F45*0.7,2)</f>
        <v>0</v>
      </c>
      <c r="I44" s="201" t="s">
        <v>518</v>
      </c>
      <c r="J44" s="443" t="str">
        <f>J43+J42</f>
        <v>0</v>
      </c>
    </row>
    <row r="45" spans="1:24" customHeight="1" ht="15.75">
      <c r="C45" s="195"/>
      <c r="E45" s="80" t="s">
        <v>475</v>
      </c>
      <c r="F45" s="523" t="str">
        <f>ROUND(70618.12*1.15,2)</f>
        <v>0</v>
      </c>
      <c r="I45" s="202" t="s">
        <v>475</v>
      </c>
      <c r="J45" s="512" t="str">
        <f>J41</f>
        <v>0</v>
      </c>
    </row>
    <row r="46" spans="1:24">
      <c r="C46" s="195"/>
      <c r="F46" s="258" t="s">
        <v>519</v>
      </c>
    </row>
    <row r="47" spans="1:24">
      <c r="C47" s="195"/>
      <c r="F47" s="194"/>
    </row>
    <row r="48" spans="1:24">
      <c r="C48" s="195" t="s">
        <v>520</v>
      </c>
      <c r="D48" s="374">
        <v>29501.41</v>
      </c>
      <c r="F48" s="194"/>
    </row>
    <row r="51" spans="1:24">
      <c r="C51" s="780" t="s">
        <v>521</v>
      </c>
      <c r="D51" s="781"/>
      <c r="E51" s="781"/>
      <c r="F51" s="782"/>
      <c r="I51" s="794" t="s">
        <v>522</v>
      </c>
      <c r="J51" s="795"/>
      <c r="K51" s="795"/>
      <c r="L51" s="795"/>
      <c r="M51" s="796"/>
    </row>
    <row r="52" spans="1:24" customHeight="1" ht="30">
      <c r="C52" s="385" t="s">
        <v>134</v>
      </c>
      <c r="D52" s="154" t="s">
        <v>523</v>
      </c>
      <c r="E52" s="386" t="s">
        <v>524</v>
      </c>
      <c r="F52" s="387" t="s">
        <v>71</v>
      </c>
      <c r="I52" s="420" t="s">
        <v>525</v>
      </c>
      <c r="J52" s="418" t="s">
        <v>526</v>
      </c>
      <c r="K52" s="418" t="s">
        <v>527</v>
      </c>
      <c r="L52" s="418" t="s">
        <v>528</v>
      </c>
      <c r="M52" s="419" t="s">
        <v>529</v>
      </c>
    </row>
    <row r="53" spans="1:24" customHeight="1" ht="15.75">
      <c r="C53" s="201" t="s">
        <v>530</v>
      </c>
      <c r="D53" s="408" t="str">
        <f>25377.69-14988.92</f>
        <v>0</v>
      </c>
      <c r="E53" s="388" t="s">
        <v>531</v>
      </c>
      <c r="F53" s="389">
        <v>1577.41</v>
      </c>
      <c r="G53" s="572" t="s">
        <v>510</v>
      </c>
      <c r="H53" s="562"/>
      <c r="I53" s="505">
        <v>6053</v>
      </c>
      <c r="J53" s="506">
        <v>60267</v>
      </c>
      <c r="K53" s="415" t="str">
        <f>ROUND(J53/I53,2)</f>
        <v>0</v>
      </c>
      <c r="L53" s="507">
        <v>717.71</v>
      </c>
      <c r="M53" s="507" t="str">
        <f>ROUND(I53-L53,2)</f>
        <v>0</v>
      </c>
      <c r="N53" s="562" t="s">
        <v>510</v>
      </c>
    </row>
    <row r="54" spans="1:24">
      <c r="C54" s="201" t="s">
        <v>532</v>
      </c>
      <c r="D54" s="408">
        <v>12424.46</v>
      </c>
      <c r="E54" s="388"/>
      <c r="F54" s="389">
        <v>2035.11</v>
      </c>
      <c r="G54" s="572" t="s">
        <v>510</v>
      </c>
      <c r="H54" s="562"/>
      <c r="K54" s="456" t="s">
        <v>533</v>
      </c>
      <c r="L54" s="408">
        <v>11897</v>
      </c>
      <c r="M54" s="508"/>
      <c r="N54" s="562" t="s">
        <v>510</v>
      </c>
    </row>
    <row r="55" spans="1:24" customHeight="1" ht="15.75">
      <c r="C55" s="201" t="s">
        <v>534</v>
      </c>
      <c r="D55" s="408">
        <v>12085.17</v>
      </c>
      <c r="E55" s="388" t="s">
        <v>535</v>
      </c>
      <c r="F55" s="389">
        <v>1577.41</v>
      </c>
      <c r="G55" s="572" t="s">
        <v>510</v>
      </c>
      <c r="H55" s="562"/>
      <c r="K55" s="416" t="s">
        <v>536</v>
      </c>
      <c r="L55" s="417" t="str">
        <f>ROUND(L53*K53+L54,2)</f>
        <v>0</v>
      </c>
      <c r="M55" s="417" t="str">
        <f>ROUND(M53*K53,2)</f>
        <v>0</v>
      </c>
      <c r="N55" s="562" t="s">
        <v>510</v>
      </c>
    </row>
    <row r="56" spans="1:24" customHeight="1" ht="16.5">
      <c r="C56" s="202" t="s">
        <v>537</v>
      </c>
      <c r="D56" s="409">
        <v>6924.72</v>
      </c>
      <c r="E56" s="390"/>
      <c r="F56" s="391">
        <v>2035.11</v>
      </c>
      <c r="G56" s="572" t="s">
        <v>510</v>
      </c>
      <c r="H56" s="56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I24:O24"/>
    <mergeCell ref="I17:M17"/>
    <mergeCell ref="C17:F17"/>
    <mergeCell ref="C22:F22"/>
    <mergeCell ref="I21:L21"/>
    <mergeCell ref="C20:C21"/>
    <mergeCell ref="C26:F27"/>
    <mergeCell ref="C51:F51"/>
    <mergeCell ref="C41:F41"/>
    <mergeCell ref="E42:F42"/>
    <mergeCell ref="I38:N38"/>
    <mergeCell ref="I29:L29"/>
    <mergeCell ref="I34:L34"/>
    <mergeCell ref="K35:L35"/>
    <mergeCell ref="C36:F36"/>
    <mergeCell ref="I51:M51"/>
  </mergeCells>
  <hyperlinks>
    <hyperlink ref="A1" location="Seznam!A1"/>
    <hyperlink ref="I51" r:id="rId_hyperlink_1"/>
    <hyperlink ref="J51" r:id="rId_hyperlink_2"/>
    <hyperlink ref="K51" r:id="rId_hyperlink_3"/>
    <hyperlink ref="L51" r:id="rId_hyperlink_4"/>
    <hyperlink ref="M51" r:id="rId_hyperlink_5"/>
    <hyperlink ref="A17" location="Seznam!A1"/>
  </hyperlinks>
  <printOptions gridLines="false" gridLinesSet="true"/>
  <pageMargins left="0.7" right="0.7" top="0.787401575" bottom="0.787401575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1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5"/>
  <sheetViews>
    <sheetView tabSelected="0" workbookViewId="0" showGridLines="true" showRowColHeaders="1">
      <selection activeCell="A1" sqref="A1"/>
    </sheetView>
  </sheetViews>
  <sheetFormatPr defaultRowHeight="14.4" defaultColWidth="24.3984375" outlineLevelRow="0" outlineLevelCol="0"/>
  <cols>
    <col min="1" max="1" width="20.86328125" customWidth="true" style="0"/>
    <col min="2" max="2" width="24.3984375" style="414"/>
    <col min="3" max="3" width="24.3984375" style="414"/>
    <col min="4" max="4" width="24.3984375" style="414"/>
    <col min="5" max="5" width="24.3984375" style="414"/>
    <col min="6" max="6" width="24.3984375" style="414"/>
    <col min="7" max="7" width="24.3984375" style="414"/>
    <col min="8" max="8" width="24.3984375" style="414"/>
  </cols>
  <sheetData>
    <row r="1" spans="1:13" customHeight="1" ht="15.95" s="311" customFormat="1">
      <c r="A1" s="413" t="s">
        <v>68</v>
      </c>
      <c r="B1" s="311" t="s">
        <v>66</v>
      </c>
      <c r="C1" s="311" t="s">
        <v>68</v>
      </c>
      <c r="D1" s="311" t="s">
        <v>69</v>
      </c>
      <c r="E1" s="311" t="s">
        <v>70</v>
      </c>
      <c r="F1" s="311" t="s">
        <v>71</v>
      </c>
      <c r="G1" s="311" t="s">
        <v>538</v>
      </c>
      <c r="H1" s="311" t="s">
        <v>539</v>
      </c>
      <c r="I1" s="311" t="s">
        <v>70</v>
      </c>
      <c r="J1" s="311" t="s">
        <v>131</v>
      </c>
      <c r="K1" s="311" t="s">
        <v>246</v>
      </c>
      <c r="L1" s="311" t="s">
        <v>540</v>
      </c>
      <c r="M1" s="311" t="s">
        <v>541</v>
      </c>
    </row>
    <row r="2" spans="1:13">
      <c r="A2" s="0" t="s">
        <v>331</v>
      </c>
      <c r="B2" s="414">
        <v>0</v>
      </c>
      <c r="C2" s="414">
        <v>0</v>
      </c>
      <c r="D2" s="414">
        <v>0</v>
      </c>
      <c r="E2" s="414">
        <v>0</v>
      </c>
      <c r="F2" s="414">
        <v>0</v>
      </c>
      <c r="G2" s="414">
        <v>0</v>
      </c>
      <c r="H2" s="414">
        <v>0</v>
      </c>
      <c r="I2" s="0">
        <v>0</v>
      </c>
      <c r="J2" s="0">
        <v>0</v>
      </c>
      <c r="K2" s="0">
        <v>0</v>
      </c>
      <c r="L2" s="0" t="s">
        <v>542</v>
      </c>
      <c r="M2" s="0">
        <v>0</v>
      </c>
    </row>
    <row r="3" spans="1:13">
      <c r="A3" s="0" t="s">
        <v>337</v>
      </c>
      <c r="B3" s="414">
        <v>0</v>
      </c>
      <c r="C3" s="414">
        <v>0</v>
      </c>
      <c r="D3" s="414">
        <v>0</v>
      </c>
      <c r="E3" s="414">
        <v>0</v>
      </c>
      <c r="F3" s="414">
        <v>0</v>
      </c>
      <c r="G3" s="414">
        <v>0</v>
      </c>
      <c r="H3" s="414">
        <v>0</v>
      </c>
      <c r="I3" s="0">
        <v>0</v>
      </c>
      <c r="J3" s="0">
        <v>0</v>
      </c>
      <c r="K3" s="0">
        <v>0</v>
      </c>
      <c r="L3" s="0" t="s">
        <v>542</v>
      </c>
      <c r="M3" s="0">
        <v>0</v>
      </c>
    </row>
    <row r="4" spans="1:13">
      <c r="A4" s="0" t="s">
        <v>346</v>
      </c>
      <c r="B4" s="414">
        <v>0</v>
      </c>
      <c r="C4" s="414">
        <v>0</v>
      </c>
      <c r="D4" s="414">
        <v>0</v>
      </c>
      <c r="E4" s="414">
        <v>0</v>
      </c>
      <c r="F4" s="414">
        <v>0</v>
      </c>
      <c r="G4" s="414">
        <v>0</v>
      </c>
      <c r="H4" s="414">
        <v>0</v>
      </c>
      <c r="I4" s="0">
        <v>0</v>
      </c>
      <c r="J4" s="0">
        <v>0</v>
      </c>
      <c r="K4" s="0">
        <v>0</v>
      </c>
      <c r="L4" s="0" t="s">
        <v>542</v>
      </c>
      <c r="M4" s="0">
        <v>0</v>
      </c>
    </row>
    <row r="5" spans="1:13">
      <c r="A5" s="0" t="s">
        <v>353</v>
      </c>
      <c r="B5" s="414">
        <v>0</v>
      </c>
      <c r="C5" s="414">
        <v>0</v>
      </c>
      <c r="D5" s="414">
        <v>0</v>
      </c>
      <c r="E5" s="414">
        <v>0</v>
      </c>
      <c r="F5" s="414">
        <v>0</v>
      </c>
      <c r="G5" s="414">
        <v>0</v>
      </c>
      <c r="H5" s="414">
        <v>0</v>
      </c>
      <c r="I5" s="0">
        <v>0</v>
      </c>
      <c r="J5" s="0">
        <v>0</v>
      </c>
      <c r="K5" s="0">
        <v>0</v>
      </c>
      <c r="L5" s="0" t="s">
        <v>542</v>
      </c>
      <c r="M5" s="0">
        <v>0</v>
      </c>
    </row>
    <row r="6" spans="1:13">
      <c r="A6" s="0" t="s">
        <v>359</v>
      </c>
      <c r="B6" s="414">
        <v>0</v>
      </c>
      <c r="C6" s="414">
        <v>0</v>
      </c>
      <c r="D6" s="414">
        <v>0</v>
      </c>
      <c r="E6" s="414">
        <v>0</v>
      </c>
      <c r="F6" s="414">
        <v>0</v>
      </c>
      <c r="G6" s="414">
        <v>0</v>
      </c>
      <c r="H6" s="414">
        <v>0</v>
      </c>
      <c r="I6" s="0">
        <v>0</v>
      </c>
      <c r="J6" s="0">
        <v>0</v>
      </c>
      <c r="K6" s="0">
        <v>0</v>
      </c>
      <c r="L6" s="0" t="s">
        <v>542</v>
      </c>
      <c r="M6" s="0">
        <v>0</v>
      </c>
    </row>
    <row r="7" spans="1:13">
      <c r="A7" s="0" t="s">
        <v>365</v>
      </c>
      <c r="B7" s="414" t="s">
        <v>543</v>
      </c>
      <c r="C7" s="414" t="s">
        <v>544</v>
      </c>
      <c r="D7" s="414">
        <v>100</v>
      </c>
      <c r="E7" s="414">
        <v>100383</v>
      </c>
      <c r="F7" s="414">
        <v>11579</v>
      </c>
      <c r="G7" s="414">
        <v>8.669</v>
      </c>
      <c r="H7" s="414">
        <v>1.7</v>
      </c>
      <c r="I7" s="0">
        <v>14.74</v>
      </c>
      <c r="J7" s="0">
        <v>0</v>
      </c>
      <c r="K7" s="0">
        <v>-14.74</v>
      </c>
      <c r="L7" s="0" t="s">
        <v>542</v>
      </c>
      <c r="M7" s="0">
        <v>0</v>
      </c>
    </row>
    <row r="8" spans="1:13">
      <c r="A8" s="0" t="s">
        <v>371</v>
      </c>
      <c r="B8" s="414">
        <v>0</v>
      </c>
      <c r="C8" s="414">
        <v>0</v>
      </c>
      <c r="D8" s="414">
        <v>0</v>
      </c>
      <c r="E8" s="414">
        <v>0</v>
      </c>
      <c r="F8" s="414">
        <v>0</v>
      </c>
      <c r="G8" s="414">
        <v>0</v>
      </c>
      <c r="H8" s="414">
        <v>0</v>
      </c>
      <c r="I8" s="0">
        <v>0</v>
      </c>
      <c r="J8" s="0">
        <v>0</v>
      </c>
      <c r="K8" s="0">
        <v>0</v>
      </c>
      <c r="L8" s="0" t="s">
        <v>542</v>
      </c>
      <c r="M8" s="0">
        <v>0</v>
      </c>
    </row>
    <row r="9" spans="1:13">
      <c r="A9" s="0" t="s">
        <v>377</v>
      </c>
      <c r="B9" s="414" t="s">
        <v>543</v>
      </c>
      <c r="C9" s="414" t="s">
        <v>544</v>
      </c>
      <c r="D9" s="414">
        <v>100</v>
      </c>
      <c r="E9" s="414">
        <v>100383</v>
      </c>
      <c r="F9" s="414">
        <v>11579</v>
      </c>
      <c r="G9" s="414">
        <v>8.669</v>
      </c>
      <c r="H9" s="414">
        <v>0.2</v>
      </c>
      <c r="I9" s="0">
        <v>1.73</v>
      </c>
      <c r="J9" s="0">
        <v>0</v>
      </c>
      <c r="K9" s="0">
        <v>-1.73</v>
      </c>
      <c r="L9" s="0" t="s">
        <v>542</v>
      </c>
      <c r="M9" s="0">
        <v>0</v>
      </c>
    </row>
    <row r="10" spans="1:13">
      <c r="A10" s="0" t="s">
        <v>379</v>
      </c>
      <c r="B10" s="414">
        <v>0</v>
      </c>
      <c r="C10" s="414">
        <v>0</v>
      </c>
      <c r="D10" s="414">
        <v>0</v>
      </c>
      <c r="E10" s="414">
        <v>0</v>
      </c>
      <c r="F10" s="414">
        <v>0</v>
      </c>
      <c r="G10" s="414">
        <v>0</v>
      </c>
      <c r="H10" s="414">
        <v>0</v>
      </c>
      <c r="I10" s="0">
        <v>0</v>
      </c>
      <c r="J10" s="0">
        <v>0</v>
      </c>
      <c r="K10" s="0">
        <v>0</v>
      </c>
      <c r="L10" s="0" t="s">
        <v>542</v>
      </c>
      <c r="M10" s="0">
        <v>0</v>
      </c>
    </row>
    <row r="11" spans="1:13">
      <c r="A11" s="0" t="s">
        <v>385</v>
      </c>
      <c r="B11" s="414">
        <v>0</v>
      </c>
      <c r="C11" s="414">
        <v>0</v>
      </c>
      <c r="D11" s="414">
        <v>0</v>
      </c>
      <c r="E11" s="414">
        <v>0</v>
      </c>
      <c r="F11" s="414">
        <v>0</v>
      </c>
      <c r="G11" s="414">
        <v>0</v>
      </c>
      <c r="H11" s="414">
        <v>0</v>
      </c>
      <c r="I11" s="0">
        <v>0</v>
      </c>
      <c r="J11" s="0">
        <v>0</v>
      </c>
      <c r="K11" s="0">
        <v>0</v>
      </c>
      <c r="L11" s="0" t="s">
        <v>542</v>
      </c>
      <c r="M11" s="0">
        <v>0</v>
      </c>
    </row>
    <row r="12" spans="1:13">
      <c r="A12" s="0" t="s">
        <v>391</v>
      </c>
      <c r="B12" s="414">
        <v>0</v>
      </c>
      <c r="C12" s="414">
        <v>0</v>
      </c>
      <c r="D12" s="414">
        <v>0</v>
      </c>
      <c r="E12" s="414">
        <v>0</v>
      </c>
      <c r="F12" s="414">
        <v>0</v>
      </c>
      <c r="G12" s="414">
        <v>0</v>
      </c>
      <c r="H12" s="414">
        <v>0</v>
      </c>
      <c r="I12" s="0">
        <v>0</v>
      </c>
      <c r="J12" s="0">
        <v>0</v>
      </c>
      <c r="K12" s="0">
        <v>0</v>
      </c>
      <c r="L12" s="0" t="s">
        <v>542</v>
      </c>
      <c r="M12" s="0">
        <v>0</v>
      </c>
    </row>
    <row r="13" spans="1:13">
      <c r="A13" s="0" t="s">
        <v>397</v>
      </c>
      <c r="B13" s="414">
        <v>0</v>
      </c>
      <c r="C13" s="414">
        <v>0</v>
      </c>
      <c r="D13" s="414">
        <v>0</v>
      </c>
      <c r="E13" s="414">
        <v>0</v>
      </c>
      <c r="F13" s="414">
        <v>0</v>
      </c>
      <c r="G13" s="414">
        <v>0</v>
      </c>
      <c r="H13" s="414">
        <v>0</v>
      </c>
      <c r="I13" s="0">
        <v>0</v>
      </c>
      <c r="J13" s="0">
        <v>0</v>
      </c>
      <c r="K13" s="0">
        <v>0</v>
      </c>
      <c r="L13" s="0" t="s">
        <v>542</v>
      </c>
      <c r="M13" s="0">
        <v>0</v>
      </c>
    </row>
    <row r="14" spans="1:13">
      <c r="A14" s="0" t="s">
        <v>402</v>
      </c>
      <c r="B14" s="414">
        <v>0</v>
      </c>
      <c r="C14" s="414">
        <v>0</v>
      </c>
      <c r="D14" s="414">
        <v>0</v>
      </c>
      <c r="E14" s="414">
        <v>0</v>
      </c>
      <c r="F14" s="414">
        <v>0</v>
      </c>
      <c r="G14" s="414">
        <v>0</v>
      </c>
      <c r="H14" s="414">
        <v>0</v>
      </c>
      <c r="I14" s="0">
        <v>0</v>
      </c>
      <c r="J14" s="0">
        <v>0</v>
      </c>
      <c r="K14" s="0">
        <v>0</v>
      </c>
      <c r="L14" s="0" t="s">
        <v>542</v>
      </c>
      <c r="M14" s="0">
        <v>0</v>
      </c>
    </row>
    <row r="15" spans="1:13">
      <c r="A15" s="0" t="s">
        <v>408</v>
      </c>
      <c r="B15" s="414">
        <v>0</v>
      </c>
      <c r="C15" s="414">
        <v>0</v>
      </c>
      <c r="D15" s="414">
        <v>0</v>
      </c>
      <c r="E15" s="414">
        <v>0</v>
      </c>
      <c r="F15" s="414">
        <v>0</v>
      </c>
      <c r="G15" s="414">
        <v>0</v>
      </c>
      <c r="H15" s="414">
        <v>0</v>
      </c>
      <c r="I15" s="0">
        <v>0</v>
      </c>
      <c r="J15" s="0">
        <v>0</v>
      </c>
      <c r="K15" s="0">
        <v>0</v>
      </c>
      <c r="L15" s="0" t="s">
        <v>542</v>
      </c>
      <c r="M15" s="0">
        <v>0</v>
      </c>
    </row>
    <row r="16" spans="1:13">
      <c r="A16" s="0" t="s">
        <v>414</v>
      </c>
      <c r="B16" s="414">
        <v>0</v>
      </c>
      <c r="C16" s="414">
        <v>0</v>
      </c>
      <c r="D16" s="414">
        <v>0</v>
      </c>
      <c r="E16" s="414">
        <v>0</v>
      </c>
      <c r="F16" s="414">
        <v>0</v>
      </c>
      <c r="G16" s="414">
        <v>0</v>
      </c>
      <c r="H16" s="414">
        <v>0</v>
      </c>
      <c r="I16" s="0">
        <v>0</v>
      </c>
      <c r="J16" s="0">
        <v>0</v>
      </c>
      <c r="K16" s="0">
        <v>0</v>
      </c>
      <c r="L16" s="0" t="s">
        <v>542</v>
      </c>
      <c r="M16" s="0">
        <v>0</v>
      </c>
    </row>
    <row r="17" spans="1:13">
      <c r="A17" s="0" t="s">
        <v>420</v>
      </c>
      <c r="B17" s="414">
        <v>0</v>
      </c>
      <c r="C17" s="414">
        <v>0</v>
      </c>
      <c r="D17" s="414">
        <v>0</v>
      </c>
      <c r="E17" s="414">
        <v>0</v>
      </c>
      <c r="F17" s="414">
        <v>0</v>
      </c>
      <c r="G17" s="414">
        <v>0</v>
      </c>
      <c r="H17" s="414">
        <v>0</v>
      </c>
      <c r="I17" s="0">
        <v>0</v>
      </c>
      <c r="J17" s="0">
        <v>0</v>
      </c>
      <c r="K17" s="0">
        <v>0</v>
      </c>
      <c r="L17" s="0" t="s">
        <v>542</v>
      </c>
      <c r="M17" s="0">
        <v>0</v>
      </c>
    </row>
    <row r="18" spans="1:13">
      <c r="A18" s="0" t="s">
        <v>425</v>
      </c>
      <c r="B18" s="414">
        <v>0</v>
      </c>
      <c r="C18" s="414">
        <v>0</v>
      </c>
      <c r="D18" s="414">
        <v>0</v>
      </c>
      <c r="E18" s="414">
        <v>0</v>
      </c>
      <c r="F18" s="414">
        <v>0</v>
      </c>
      <c r="G18" s="414">
        <v>0</v>
      </c>
      <c r="H18" s="414">
        <v>0</v>
      </c>
      <c r="I18" s="0">
        <v>0</v>
      </c>
      <c r="J18" s="0">
        <v>0</v>
      </c>
      <c r="K18" s="0">
        <v>0</v>
      </c>
      <c r="L18" s="0" t="s">
        <v>542</v>
      </c>
      <c r="M18" s="0">
        <v>0</v>
      </c>
    </row>
    <row r="19" spans="1:13">
      <c r="A19" s="0" t="s">
        <v>430</v>
      </c>
      <c r="B19" s="414">
        <v>0</v>
      </c>
      <c r="C19" s="414">
        <v>0</v>
      </c>
      <c r="D19" s="414">
        <v>0</v>
      </c>
      <c r="E19" s="414">
        <v>0</v>
      </c>
      <c r="F19" s="414">
        <v>0</v>
      </c>
      <c r="G19" s="414">
        <v>0</v>
      </c>
      <c r="H19" s="414">
        <v>0</v>
      </c>
      <c r="I19" s="0">
        <v>0</v>
      </c>
      <c r="J19" s="0">
        <v>0</v>
      </c>
      <c r="K19" s="0">
        <v>0</v>
      </c>
      <c r="L19" s="0" t="s">
        <v>542</v>
      </c>
      <c r="M19" s="0">
        <v>0</v>
      </c>
    </row>
    <row r="20" spans="1:13">
      <c r="A20" s="0" t="s">
        <v>435</v>
      </c>
      <c r="B20" s="414">
        <v>0</v>
      </c>
      <c r="C20" s="414">
        <v>0</v>
      </c>
      <c r="D20" s="414">
        <v>0</v>
      </c>
      <c r="E20" s="414">
        <v>0</v>
      </c>
      <c r="F20" s="414">
        <v>0</v>
      </c>
      <c r="G20" s="414">
        <v>0</v>
      </c>
      <c r="H20" s="414">
        <v>0</v>
      </c>
      <c r="I20" s="0">
        <v>0</v>
      </c>
      <c r="J20" s="0">
        <v>0</v>
      </c>
      <c r="K20" s="0">
        <v>0</v>
      </c>
      <c r="L20" s="0" t="s">
        <v>542</v>
      </c>
      <c r="M20" s="0">
        <v>0</v>
      </c>
    </row>
    <row r="21" spans="1:13">
      <c r="A21" s="0" t="s">
        <v>437</v>
      </c>
      <c r="B21" s="414">
        <v>0</v>
      </c>
      <c r="C21" s="414">
        <v>0</v>
      </c>
      <c r="D21" s="414">
        <v>0</v>
      </c>
      <c r="E21" s="414">
        <v>0</v>
      </c>
      <c r="F21" s="414">
        <v>0</v>
      </c>
      <c r="G21" s="414">
        <v>0</v>
      </c>
      <c r="H21" s="414">
        <v>0</v>
      </c>
      <c r="I21" s="0">
        <v>0</v>
      </c>
      <c r="J21" s="0">
        <v>0</v>
      </c>
      <c r="K21" s="0">
        <v>0</v>
      </c>
      <c r="L21" s="0" t="s">
        <v>542</v>
      </c>
      <c r="M21" s="0">
        <v>0</v>
      </c>
    </row>
    <row r="22" spans="1:13">
      <c r="A22" s="0" t="s">
        <v>442</v>
      </c>
      <c r="B22" s="414">
        <v>0</v>
      </c>
      <c r="C22" s="414">
        <v>0</v>
      </c>
      <c r="D22" s="414">
        <v>0</v>
      </c>
      <c r="E22" s="414">
        <v>0</v>
      </c>
      <c r="F22" s="414">
        <v>0</v>
      </c>
      <c r="G22" s="414">
        <v>0</v>
      </c>
      <c r="H22" s="414">
        <v>0</v>
      </c>
      <c r="I22" s="0">
        <v>0</v>
      </c>
      <c r="J22" s="0">
        <v>0</v>
      </c>
      <c r="K22" s="0">
        <v>0</v>
      </c>
      <c r="L22" s="0" t="s">
        <v>542</v>
      </c>
      <c r="M22" s="0">
        <v>0</v>
      </c>
    </row>
    <row r="23" spans="1:13">
      <c r="A23" s="0" t="s">
        <v>448</v>
      </c>
      <c r="B23" s="414">
        <v>0</v>
      </c>
      <c r="C23" s="414">
        <v>0</v>
      </c>
      <c r="D23" s="414">
        <v>0</v>
      </c>
      <c r="E23" s="414">
        <v>0</v>
      </c>
      <c r="F23" s="414">
        <v>0</v>
      </c>
      <c r="G23" s="414">
        <v>0</v>
      </c>
      <c r="H23" s="414">
        <v>0</v>
      </c>
      <c r="I23" s="0">
        <v>0</v>
      </c>
      <c r="J23" s="0">
        <v>0</v>
      </c>
      <c r="K23" s="0">
        <v>0</v>
      </c>
      <c r="L23" s="0" t="s">
        <v>542</v>
      </c>
      <c r="M23" s="0">
        <v>0</v>
      </c>
    </row>
    <row r="24" spans="1:13">
      <c r="A24" s="0" t="s">
        <v>454</v>
      </c>
      <c r="B24" s="414">
        <v>0</v>
      </c>
      <c r="C24" s="414">
        <v>0</v>
      </c>
      <c r="D24" s="414">
        <v>0</v>
      </c>
      <c r="E24" s="414">
        <v>0</v>
      </c>
      <c r="F24" s="414">
        <v>0</v>
      </c>
      <c r="G24" s="414">
        <v>0</v>
      </c>
      <c r="H24" s="414">
        <v>0</v>
      </c>
      <c r="I24" s="0">
        <v>0</v>
      </c>
      <c r="J24" s="0">
        <v>0</v>
      </c>
      <c r="K24" s="0">
        <v>0</v>
      </c>
      <c r="L24" s="0" t="s">
        <v>542</v>
      </c>
      <c r="M24" s="0">
        <v>0</v>
      </c>
    </row>
    <row r="25" spans="1:13">
      <c r="A25" s="0" t="s">
        <v>459</v>
      </c>
      <c r="B25" s="414">
        <v>0</v>
      </c>
      <c r="C25" s="414">
        <v>0</v>
      </c>
      <c r="D25" s="414">
        <v>0</v>
      </c>
      <c r="E25" s="414">
        <v>0</v>
      </c>
      <c r="F25" s="414">
        <v>0</v>
      </c>
      <c r="G25" s="414">
        <v>0</v>
      </c>
      <c r="H25" s="414">
        <v>0</v>
      </c>
      <c r="I25" s="0">
        <v>0</v>
      </c>
      <c r="J25" s="0">
        <v>0</v>
      </c>
      <c r="K25" s="0">
        <v>0</v>
      </c>
      <c r="L25" s="0" t="s">
        <v>542</v>
      </c>
      <c r="M25" s="0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A1" location="Seznam!A1"/>
  </hyperlinks>
  <printOptions gridLines="false" gridLinesSet="true"/>
  <pageMargins left="0.7" right="0.7" top="0.75" bottom="0.75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D105"/>
  <sheetViews>
    <sheetView tabSelected="0" workbookViewId="0" showGridLines="true" showRowColHeaders="1">
      <selection activeCell="A1" sqref="A1"/>
    </sheetView>
  </sheetViews>
  <sheetFormatPr defaultRowHeight="14.4" defaultColWidth="16.265625" outlineLevelRow="0" outlineLevelCol="0"/>
  <cols>
    <col min="1" max="1" width="17.73046875" customWidth="true" style="27"/>
    <col min="2" max="2" width="28.3984375" customWidth="true" style="27"/>
    <col min="3" max="3" width="5.59765625" customWidth="true" style="27"/>
    <col min="4" max="4" width="5.59765625" customWidth="true" style="27"/>
    <col min="5" max="5" width="5.59765625" customWidth="true" style="27"/>
    <col min="6" max="6" width="5.59765625" customWidth="true" style="27"/>
    <col min="7" max="7" width="5.59765625" customWidth="true" style="27"/>
    <col min="8" max="8" width="5.59765625" customWidth="true" style="27"/>
    <col min="9" max="9" width="5.59765625" customWidth="true" style="27"/>
    <col min="10" max="10" width="5.59765625" customWidth="true" style="27"/>
    <col min="11" max="11" width="5.59765625" customWidth="true" style="27"/>
    <col min="12" max="12" width="5.59765625" customWidth="true" style="27"/>
    <col min="13" max="13" width="5.59765625" customWidth="true" style="27"/>
    <col min="14" max="14" width="5.59765625" customWidth="true" style="27"/>
    <col min="15" max="15" width="6.86328125" customWidth="true" style="27"/>
    <col min="16" max="16" width="29" customWidth="true" style="27"/>
    <col min="17" max="17" width="18.1328125" customWidth="true" style="27"/>
    <col min="18" max="18" width="16.265625" style="27"/>
    <col min="19" max="19" width="17.265625" customWidth="true" style="27"/>
    <col min="20" max="20" width="23.265625" customWidth="true" style="213"/>
    <col min="21" max="21" width="17.265625" customWidth="true" style="212"/>
    <col min="22" max="22" width="16.265625" style="212"/>
    <col min="23" max="23" width="16.265625" style="212"/>
    <col min="24" max="24" width="42.86328125" customWidth="true" style="367"/>
    <col min="25" max="25" width="19.3984375" customWidth="true" style="212"/>
    <col min="26" max="26" width="16.265625" style="212"/>
    <col min="28" max="28" width="40.59765625" customWidth="true" style="0"/>
  </cols>
  <sheetData>
    <row r="1" spans="1:30">
      <c r="A1" s="598" t="s">
        <v>540</v>
      </c>
      <c r="B1" s="573" t="s">
        <v>545</v>
      </c>
      <c r="C1" s="573">
        <v>1</v>
      </c>
      <c r="D1" s="573">
        <v>2</v>
      </c>
      <c r="E1" s="573">
        <v>3</v>
      </c>
      <c r="F1" s="573">
        <v>4</v>
      </c>
      <c r="G1" s="573">
        <v>5</v>
      </c>
      <c r="H1" s="573">
        <v>6</v>
      </c>
      <c r="I1" s="573">
        <v>7</v>
      </c>
      <c r="J1" s="573">
        <v>8</v>
      </c>
      <c r="K1" s="573">
        <v>9</v>
      </c>
      <c r="L1" s="573">
        <v>10</v>
      </c>
      <c r="M1" s="573">
        <v>11</v>
      </c>
      <c r="N1" s="573">
        <v>12</v>
      </c>
      <c r="O1" s="573" t="s">
        <v>546</v>
      </c>
      <c r="P1" s="63" t="s">
        <v>547</v>
      </c>
      <c r="Q1" s="63" t="s">
        <v>548</v>
      </c>
      <c r="S1" s="166" t="s">
        <v>549</v>
      </c>
      <c r="T1" s="213" t="s">
        <v>550</v>
      </c>
      <c r="U1" s="212" t="s">
        <v>551</v>
      </c>
      <c r="V1" s="212" t="s">
        <v>552</v>
      </c>
      <c r="W1" s="212" t="s">
        <v>139</v>
      </c>
      <c r="X1" s="366" t="s">
        <v>553</v>
      </c>
      <c r="Y1" s="364" t="s">
        <v>554</v>
      </c>
      <c r="AB1" s="263" t="s">
        <v>555</v>
      </c>
      <c r="AC1" s="263" t="str">
        <f>'faktury za služby'!E11</f>
        <v>0</v>
      </c>
      <c r="AD1" s="0">
        <v>100</v>
      </c>
    </row>
    <row r="2" spans="1:30">
      <c r="A2" s="99" t="s">
        <v>331</v>
      </c>
      <c r="B2" s="99" t="s">
        <v>398</v>
      </c>
      <c r="C2" s="63">
        <v>0</v>
      </c>
      <c r="D2" s="63">
        <v>0</v>
      </c>
      <c r="E2" s="63">
        <v>0</v>
      </c>
      <c r="F2" s="63">
        <v>0</v>
      </c>
      <c r="G2" s="63">
        <v>0</v>
      </c>
      <c r="H2" s="63">
        <v>0</v>
      </c>
      <c r="I2" s="63">
        <v>0</v>
      </c>
      <c r="J2" s="63">
        <v>0</v>
      </c>
      <c r="K2" s="63">
        <v>0</v>
      </c>
      <c r="L2" s="63">
        <v>0</v>
      </c>
      <c r="M2" s="63">
        <v>0</v>
      </c>
      <c r="N2" s="63">
        <v>0</v>
      </c>
      <c r="O2" s="154" t="str">
        <f>SUM(C2:N2)</f>
        <v>0</v>
      </c>
      <c r="P2" s="154" t="str">
        <f>IF(Výtahy!B2="ano",O2,0)</f>
        <v>0</v>
      </c>
      <c r="Q2" s="154" t="str">
        <f>O2</f>
        <v>0</v>
      </c>
      <c r="R2" s="27" t="s">
        <v>556</v>
      </c>
      <c r="S2" s="27" t="str">
        <f>IF(OR(ISNUMBER(SEARCH("Byt č. 939/16", A2)), ISNUMBER(SEARCH("Byt č. 939/17", A2)), ISNUMBER(SEARCH("Byt č. 939/18", A2)), ISNUMBER(SEARCH("Byt č. 939/19", A2))),  "vodomer",0)</f>
        <v>0</v>
      </c>
      <c r="T2" s="803">
        <v>35</v>
      </c>
      <c r="U2" s="212" t="str">
        <f>ROUND(IF(S2=0,O2/12*$T$2,0),2)</f>
        <v>0</v>
      </c>
      <c r="V2" s="212" t="str">
        <f>ROUND(U2*'faktury za služby'!$M$40/$U$29,3)</f>
        <v>0</v>
      </c>
      <c r="W2" s="212" t="str">
        <f>ROUND(V2*VD_Cena_BVak,2)</f>
        <v>0</v>
      </c>
      <c r="X2" s="367">
        <v>10</v>
      </c>
      <c r="Y2" s="212" t="str">
        <f>X2*Evidence!N2/100</f>
        <v>0</v>
      </c>
      <c r="Z2" s="212" t="str">
        <f>ROUND(Y2/$Y$104*100,2)</f>
        <v>0</v>
      </c>
      <c r="AA2" s="0" t="str">
        <f>ROUND($AC$1*Z2/100,2)</f>
        <v>0</v>
      </c>
      <c r="AB2" s="263" t="s">
        <v>557</v>
      </c>
      <c r="AC2" s="0">
        <v>11</v>
      </c>
    </row>
    <row r="3" spans="1:30">
      <c r="A3" s="99" t="s">
        <v>337</v>
      </c>
      <c r="B3" s="99" t="s">
        <v>338</v>
      </c>
      <c r="C3" s="63">
        <v>0</v>
      </c>
      <c r="D3" s="63">
        <v>0</v>
      </c>
      <c r="E3" s="63">
        <v>0</v>
      </c>
      <c r="F3" s="63">
        <v>0</v>
      </c>
      <c r="G3" s="63">
        <v>0</v>
      </c>
      <c r="H3" s="63">
        <v>0</v>
      </c>
      <c r="I3" s="63">
        <v>0</v>
      </c>
      <c r="J3" s="63">
        <v>0</v>
      </c>
      <c r="K3" s="63">
        <v>0</v>
      </c>
      <c r="L3" s="63">
        <v>0</v>
      </c>
      <c r="M3" s="63">
        <v>0</v>
      </c>
      <c r="N3" s="63">
        <v>0</v>
      </c>
      <c r="O3" s="154" t="str">
        <f>SUM(C3:N3)</f>
        <v>0</v>
      </c>
      <c r="P3" s="154" t="str">
        <f>IF(Výtahy!B3="ano",O3,0)</f>
        <v>0</v>
      </c>
      <c r="Q3" s="154" t="str">
        <f>O3</f>
        <v>0</v>
      </c>
      <c r="R3" s="27" t="s">
        <v>556</v>
      </c>
      <c r="S3" s="27" t="str">
        <f>IF(OR(ISNUMBER(SEARCH("Byt č. 939/16", A3)), ISNUMBER(SEARCH("Byt č. 939/17", A3)), ISNUMBER(SEARCH("Byt č. 939/18", A3)), ISNUMBER(SEARCH("Byt č. 939/19", A3))),  "vodomer",0)</f>
        <v>0</v>
      </c>
      <c r="T3" s="803"/>
      <c r="U3" s="212" t="str">
        <f>ROUND(IF(S3=0,O3/12*$T$2,0),2)</f>
        <v>0</v>
      </c>
      <c r="V3" s="212" t="str">
        <f>ROUND(U3*'faktury za služby'!$M$40/$U$29,3)</f>
        <v>0</v>
      </c>
      <c r="W3" s="212" t="str">
        <f>ROUND(V3*VD_Cena_BVak,2)</f>
        <v>0</v>
      </c>
      <c r="X3" s="367">
        <v>7</v>
      </c>
      <c r="Y3" s="212" t="str">
        <f>X3*Evidence!N3/100</f>
        <v>0</v>
      </c>
      <c r="Z3" s="212" t="str">
        <f>ROUND(Y3/$Y$104*100,2)</f>
        <v>0</v>
      </c>
      <c r="AA3" s="0" t="str">
        <f>ROUND($AC$1*Z3/100,2)</f>
        <v>0</v>
      </c>
    </row>
    <row r="4" spans="1:30">
      <c r="A4" s="99" t="s">
        <v>346</v>
      </c>
      <c r="B4" s="99" t="s">
        <v>558</v>
      </c>
      <c r="C4" s="63">
        <v>0</v>
      </c>
      <c r="D4" s="63">
        <v>0</v>
      </c>
      <c r="E4" s="63">
        <v>0</v>
      </c>
      <c r="F4" s="63">
        <v>0</v>
      </c>
      <c r="G4" s="63">
        <v>0</v>
      </c>
      <c r="H4" s="63">
        <v>0</v>
      </c>
      <c r="I4" s="63">
        <v>0</v>
      </c>
      <c r="J4" s="63">
        <v>0</v>
      </c>
      <c r="K4" s="63">
        <v>0</v>
      </c>
      <c r="L4" s="63">
        <v>0</v>
      </c>
      <c r="M4" s="63">
        <v>0</v>
      </c>
      <c r="N4" s="63">
        <v>0</v>
      </c>
      <c r="O4" s="154" t="str">
        <f>SUM(C4:N4)</f>
        <v>0</v>
      </c>
      <c r="P4" s="154" t="str">
        <f>IF(Výtahy!B4="ano",O4,0)</f>
        <v>0</v>
      </c>
      <c r="Q4" s="154" t="str">
        <f>O4</f>
        <v>0</v>
      </c>
      <c r="R4" s="27" t="s">
        <v>556</v>
      </c>
      <c r="S4" s="27" t="str">
        <f>IF(OR(ISNUMBER(SEARCH("Byt č. 939/16", A4)), ISNUMBER(SEARCH("Byt č. 939/17", A4)), ISNUMBER(SEARCH("Byt č. 939/18", A4)), ISNUMBER(SEARCH("Byt č. 939/19", A4))),  "vodomer",0)</f>
        <v>0</v>
      </c>
      <c r="T4" s="803"/>
      <c r="U4" s="212" t="str">
        <f>ROUND(IF(S4=0,O4/12*$T$2,0),2)</f>
        <v>0</v>
      </c>
      <c r="V4" s="212" t="str">
        <f>ROUND(U4*'faktury za služby'!$M$40/$U$29,3)</f>
        <v>0</v>
      </c>
      <c r="W4" s="212" t="str">
        <f>ROUND(V4*VD_Cena_BVak,2)</f>
        <v>0</v>
      </c>
      <c r="X4" s="367">
        <v>10</v>
      </c>
      <c r="Y4" s="212" t="str">
        <f>X4*Evidence!N4/100</f>
        <v>0</v>
      </c>
      <c r="Z4" s="212" t="str">
        <f>ROUND(Y4/$Y$104*100,2)</f>
        <v>0</v>
      </c>
      <c r="AA4" s="0" t="str">
        <f>ROUND($AC$1*Z4/100,2)</f>
        <v>0</v>
      </c>
    </row>
    <row r="5" spans="1:30">
      <c r="A5" s="99" t="s">
        <v>353</v>
      </c>
      <c r="B5" s="99" t="s">
        <v>354</v>
      </c>
      <c r="C5" s="63">
        <v>0</v>
      </c>
      <c r="D5" s="63">
        <v>0</v>
      </c>
      <c r="E5" s="63">
        <v>0</v>
      </c>
      <c r="F5" s="63">
        <v>0</v>
      </c>
      <c r="G5" s="63">
        <v>0</v>
      </c>
      <c r="H5" s="63">
        <v>0</v>
      </c>
      <c r="I5" s="63">
        <v>0</v>
      </c>
      <c r="J5" s="63">
        <v>0</v>
      </c>
      <c r="K5" s="63">
        <v>0</v>
      </c>
      <c r="L5" s="63">
        <v>0</v>
      </c>
      <c r="M5" s="63">
        <v>0</v>
      </c>
      <c r="N5" s="63">
        <v>0</v>
      </c>
      <c r="O5" s="154" t="str">
        <f>SUM(C5:N5)</f>
        <v>0</v>
      </c>
      <c r="P5" s="154" t="str">
        <f>IF(Výtahy!B5="ano",O5,0)</f>
        <v>0</v>
      </c>
      <c r="Q5" s="154" t="str">
        <f>O5</f>
        <v>0</v>
      </c>
      <c r="S5" s="27" t="str">
        <f>IF(OR(ISNUMBER(SEARCH("Byt č. 939/16", A5)), ISNUMBER(SEARCH("Byt č. 939/17", A5)), ISNUMBER(SEARCH("Byt č. 939/18", A5)), ISNUMBER(SEARCH("Byt č. 939/19", A5))),  "vodomer",0)</f>
        <v>0</v>
      </c>
      <c r="T5" s="803"/>
      <c r="U5" s="212" t="str">
        <f>ROUND(IF(S5=0,O5/12*$T$2,0),2)</f>
        <v>0</v>
      </c>
      <c r="V5" s="212" t="str">
        <f>ROUND(U5*'faktury za služby'!$M$40/$U$29,3)</f>
        <v>0</v>
      </c>
      <c r="W5" s="212" t="str">
        <f>ROUND(V5*VD_Cena_BVak,2)</f>
        <v>0</v>
      </c>
      <c r="X5" s="367">
        <v>9</v>
      </c>
      <c r="Y5" s="212" t="str">
        <f>X5*Evidence!N5/100</f>
        <v>0</v>
      </c>
      <c r="Z5" s="212" t="str">
        <f>ROUND(Y5/$Y$104*100,2)</f>
        <v>0</v>
      </c>
      <c r="AA5" s="0" t="str">
        <f>ROUND($AC$1*Z5/100,2)</f>
        <v>0</v>
      </c>
    </row>
    <row r="6" spans="1:30">
      <c r="A6" s="99" t="s">
        <v>359</v>
      </c>
      <c r="B6" s="99" t="s">
        <v>559</v>
      </c>
      <c r="C6" s="63">
        <v>0</v>
      </c>
      <c r="D6" s="63">
        <v>0</v>
      </c>
      <c r="E6" s="63">
        <v>0</v>
      </c>
      <c r="F6" s="63">
        <v>0</v>
      </c>
      <c r="G6" s="63">
        <v>0</v>
      </c>
      <c r="H6" s="63">
        <v>0</v>
      </c>
      <c r="I6" s="63">
        <v>0</v>
      </c>
      <c r="J6" s="63">
        <v>0</v>
      </c>
      <c r="K6" s="63">
        <v>0</v>
      </c>
      <c r="L6" s="63">
        <v>0</v>
      </c>
      <c r="M6" s="63">
        <v>0</v>
      </c>
      <c r="N6" s="63">
        <v>0</v>
      </c>
      <c r="O6" s="154" t="str">
        <f>SUM(C6:N6)</f>
        <v>0</v>
      </c>
      <c r="P6" s="154" t="str">
        <f>IF(Výtahy!B6="ano",O6,0)</f>
        <v>0</v>
      </c>
      <c r="Q6" s="154" t="str">
        <f>O6</f>
        <v>0</v>
      </c>
      <c r="S6" s="27" t="str">
        <f>IF(OR(ISNUMBER(SEARCH("Byt č. 939/16", A6)), ISNUMBER(SEARCH("Byt č. 939/17", A6)), ISNUMBER(SEARCH("Byt č. 939/18", A6)), ISNUMBER(SEARCH("Byt č. 939/19", A6))),  "vodomer",0)</f>
        <v>0</v>
      </c>
      <c r="T6" s="803"/>
      <c r="U6" s="212" t="str">
        <f>ROUND(IF(S6=0,O6/12*$T$2,0),2)</f>
        <v>0</v>
      </c>
      <c r="V6" s="212" t="str">
        <f>ROUND(U6*'faktury za služby'!$M$40/$U$29,3)</f>
        <v>0</v>
      </c>
      <c r="W6" s="212" t="str">
        <f>ROUND(V6*VD_Cena_BVak,2)</f>
        <v>0</v>
      </c>
      <c r="X6" s="367">
        <v>10</v>
      </c>
      <c r="Y6" s="212" t="str">
        <f>X6*Evidence!N6/100</f>
        <v>0</v>
      </c>
      <c r="Z6" s="212" t="str">
        <f>ROUND(Y6/$Y$104*100,2)</f>
        <v>0</v>
      </c>
      <c r="AA6" s="0" t="str">
        <f>ROUND($AC$1*Z6/100,2)</f>
        <v>0</v>
      </c>
    </row>
    <row r="7" spans="1:30">
      <c r="A7" s="99" t="s">
        <v>365</v>
      </c>
      <c r="B7" s="99" t="s">
        <v>560</v>
      </c>
      <c r="C7" s="63">
        <v>0</v>
      </c>
      <c r="D7" s="63">
        <v>0</v>
      </c>
      <c r="E7" s="63">
        <v>0</v>
      </c>
      <c r="F7" s="63">
        <v>0</v>
      </c>
      <c r="G7" s="63">
        <v>0</v>
      </c>
      <c r="H7" s="63">
        <v>0</v>
      </c>
      <c r="I7" s="63">
        <v>0</v>
      </c>
      <c r="J7" s="63">
        <v>0</v>
      </c>
      <c r="K7" s="63">
        <v>0</v>
      </c>
      <c r="L7" s="63">
        <v>0</v>
      </c>
      <c r="M7" s="63">
        <v>0</v>
      </c>
      <c r="N7" s="63">
        <v>0</v>
      </c>
      <c r="O7" s="154" t="str">
        <f>SUM(C7:N7)</f>
        <v>0</v>
      </c>
      <c r="P7" s="154" t="str">
        <f>IF(Výtahy!B7="ano",O7,0)</f>
        <v>0</v>
      </c>
      <c r="Q7" s="154" t="str">
        <f>O7</f>
        <v>0</v>
      </c>
      <c r="S7" s="27" t="str">
        <f>IF(OR(ISNUMBER(SEARCH("Byt č. 939/16", A7)), ISNUMBER(SEARCH("Byt č. 939/17", A7)), ISNUMBER(SEARCH("Byt č. 939/18", A7)), ISNUMBER(SEARCH("Byt č. 939/19", A7))),  "vodomer",0)</f>
        <v>0</v>
      </c>
      <c r="T7" s="803"/>
      <c r="U7" s="212" t="str">
        <f>ROUND(IF(S7=0,O7/12*$T$2,0),2)</f>
        <v>0</v>
      </c>
      <c r="V7" s="212" t="str">
        <f>ROUND(U7*'faktury za služby'!$M$40/$U$29,3)</f>
        <v>0</v>
      </c>
      <c r="W7" s="212" t="str">
        <f>ROUND(V7*VD_Cena_BVak,2)</f>
        <v>0</v>
      </c>
      <c r="X7" s="367">
        <v>7</v>
      </c>
      <c r="Y7" s="212" t="str">
        <f>X7*Evidence!N7/100</f>
        <v>0</v>
      </c>
      <c r="Z7" s="212" t="str">
        <f>ROUND(Y7/$Y$104*100,2)</f>
        <v>0</v>
      </c>
      <c r="AA7" s="0" t="str">
        <f>ROUND($AC$1*Z7/100,2)</f>
        <v>0</v>
      </c>
    </row>
    <row r="8" spans="1:30">
      <c r="A8" s="99" t="s">
        <v>371</v>
      </c>
      <c r="B8" s="99" t="s">
        <v>372</v>
      </c>
      <c r="C8" s="63">
        <v>0</v>
      </c>
      <c r="D8" s="63">
        <v>0</v>
      </c>
      <c r="E8" s="63">
        <v>0</v>
      </c>
      <c r="F8" s="63">
        <v>0</v>
      </c>
      <c r="G8" s="63">
        <v>0</v>
      </c>
      <c r="H8" s="63">
        <v>0</v>
      </c>
      <c r="I8" s="63">
        <v>0</v>
      </c>
      <c r="J8" s="63">
        <v>0</v>
      </c>
      <c r="K8" s="63">
        <v>0</v>
      </c>
      <c r="L8" s="63">
        <v>0</v>
      </c>
      <c r="M8" s="63">
        <v>0</v>
      </c>
      <c r="N8" s="63">
        <v>0</v>
      </c>
      <c r="O8" s="154" t="str">
        <f>SUM(C8:N8)</f>
        <v>0</v>
      </c>
      <c r="P8" s="154" t="str">
        <f>IF(Výtahy!B8="ano",O8,0)</f>
        <v>0</v>
      </c>
      <c r="Q8" s="154" t="str">
        <f>O8</f>
        <v>0</v>
      </c>
      <c r="S8" s="27" t="str">
        <f>IF(OR(ISNUMBER(SEARCH("Byt č. 939/16", A8)), ISNUMBER(SEARCH("Byt č. 939/17", A8)), ISNUMBER(SEARCH("Byt č. 939/18", A8)), ISNUMBER(SEARCH("Byt č. 939/19", A8))),  "vodomer",0)</f>
        <v>0</v>
      </c>
      <c r="T8" s="803"/>
      <c r="U8" s="212" t="str">
        <f>ROUND(IF(S8=0,O8/12*$T$2,0),2)</f>
        <v>0</v>
      </c>
      <c r="V8" s="212" t="str">
        <f>ROUND(U8*'faktury za služby'!$M$40/$U$29,3)</f>
        <v>0</v>
      </c>
      <c r="W8" s="212" t="str">
        <f>ROUND(V8*VD_Cena_BVak,2)</f>
        <v>0</v>
      </c>
      <c r="X8" s="367">
        <v>11</v>
      </c>
      <c r="Y8" s="212" t="str">
        <f>X8*Evidence!N8/100</f>
        <v>0</v>
      </c>
      <c r="Z8" s="212" t="str">
        <f>ROUND(Y8/$Y$104*100,2)</f>
        <v>0</v>
      </c>
      <c r="AA8" s="0" t="str">
        <f>ROUND($AC$1*Z8/100,2)</f>
        <v>0</v>
      </c>
    </row>
    <row r="9" spans="1:30">
      <c r="A9" s="99" t="s">
        <v>377</v>
      </c>
      <c r="B9" s="99" t="s">
        <v>354</v>
      </c>
      <c r="C9" s="63">
        <v>0</v>
      </c>
      <c r="D9" s="63">
        <v>0</v>
      </c>
      <c r="E9" s="63">
        <v>0</v>
      </c>
      <c r="F9" s="63">
        <v>0</v>
      </c>
      <c r="G9" s="63">
        <v>0</v>
      </c>
      <c r="H9" s="63">
        <v>0</v>
      </c>
      <c r="I9" s="63">
        <v>0</v>
      </c>
      <c r="J9" s="63">
        <v>0</v>
      </c>
      <c r="K9" s="63">
        <v>0</v>
      </c>
      <c r="L9" s="63">
        <v>0</v>
      </c>
      <c r="M9" s="63">
        <v>0</v>
      </c>
      <c r="N9" s="63">
        <v>0</v>
      </c>
      <c r="O9" s="154" t="str">
        <f>SUM(C9:N9)</f>
        <v>0</v>
      </c>
      <c r="P9" s="154" t="str">
        <f>IF(Výtahy!B9="ano",O9,0)</f>
        <v>0</v>
      </c>
      <c r="Q9" s="154" t="str">
        <f>O9</f>
        <v>0</v>
      </c>
      <c r="S9" s="27" t="str">
        <f>IF(OR(ISNUMBER(SEARCH("Byt č. 939/16", A9)), ISNUMBER(SEARCH("Byt č. 939/17", A9)), ISNUMBER(SEARCH("Byt č. 939/18", A9)), ISNUMBER(SEARCH("Byt č. 939/19", A9))),  "vodomer",0)</f>
        <v>0</v>
      </c>
      <c r="T9" s="803"/>
      <c r="U9" s="212" t="str">
        <f>ROUND(IF(S9=0,O9/12*$T$2,0),2)</f>
        <v>0</v>
      </c>
      <c r="V9" s="212" t="str">
        <f>ROUND(U9*'faktury za služby'!$M$40/$U$29,3)</f>
        <v>0</v>
      </c>
      <c r="W9" s="212" t="str">
        <f>ROUND(V9*VD_Cena_BVak,2)</f>
        <v>0</v>
      </c>
      <c r="X9" s="367">
        <v>11</v>
      </c>
      <c r="Y9" s="212" t="str">
        <f>X9*Evidence!N9/100</f>
        <v>0</v>
      </c>
      <c r="Z9" s="212" t="str">
        <f>ROUND(Y9/$Y$104*100,2)</f>
        <v>0</v>
      </c>
      <c r="AA9" s="0" t="str">
        <f>ROUND($AC$1*Z9/100,2)</f>
        <v>0</v>
      </c>
    </row>
    <row r="10" spans="1:30">
      <c r="A10" s="99" t="s">
        <v>379</v>
      </c>
      <c r="B10" s="99" t="s">
        <v>380</v>
      </c>
      <c r="C10" s="63">
        <v>0</v>
      </c>
      <c r="D10" s="63">
        <v>0</v>
      </c>
      <c r="E10" s="63">
        <v>0</v>
      </c>
      <c r="F10" s="63">
        <v>0</v>
      </c>
      <c r="G10" s="63">
        <v>0</v>
      </c>
      <c r="H10" s="63">
        <v>0</v>
      </c>
      <c r="I10" s="63">
        <v>0</v>
      </c>
      <c r="J10" s="63">
        <v>0</v>
      </c>
      <c r="K10" s="63">
        <v>0</v>
      </c>
      <c r="L10" s="63">
        <v>0</v>
      </c>
      <c r="M10" s="63">
        <v>0</v>
      </c>
      <c r="N10" s="63">
        <v>0</v>
      </c>
      <c r="O10" s="154" t="str">
        <f>SUM(C10:N10)</f>
        <v>0</v>
      </c>
      <c r="P10" s="154" t="str">
        <f>IF(Výtahy!B10="ano",O10,0)</f>
        <v>0</v>
      </c>
      <c r="Q10" s="154" t="str">
        <f>O10</f>
        <v>0</v>
      </c>
      <c r="S10" s="27" t="str">
        <f>IF(OR(ISNUMBER(SEARCH("Byt č. 939/16", A10)), ISNUMBER(SEARCH("Byt č. 939/17", A10)), ISNUMBER(SEARCH("Byt č. 939/18", A10)), ISNUMBER(SEARCH("Byt č. 939/19", A10))),  "vodomer",0)</f>
        <v>0</v>
      </c>
      <c r="T10" s="803"/>
      <c r="U10" s="212" t="str">
        <f>ROUND(IF(S10=0,O10/12*$T$2,0),2)</f>
        <v>0</v>
      </c>
      <c r="V10" s="212" t="str">
        <f>ROUND(U10*'faktury za služby'!$M$40/$U$29,3)</f>
        <v>0</v>
      </c>
      <c r="W10" s="212" t="str">
        <f>ROUND(V10*VD_Cena_BVak,2)</f>
        <v>0</v>
      </c>
      <c r="X10" s="367">
        <v>11</v>
      </c>
      <c r="Y10" s="212" t="str">
        <f>X10*Evidence!N10/100</f>
        <v>0</v>
      </c>
      <c r="Z10" s="212" t="str">
        <f>ROUND(Y10/$Y$104*100,2)</f>
        <v>0</v>
      </c>
      <c r="AA10" s="0" t="str">
        <f>ROUND($AC$1*Z10/100,2)</f>
        <v>0</v>
      </c>
    </row>
    <row r="11" spans="1:30">
      <c r="A11" s="99" t="s">
        <v>385</v>
      </c>
      <c r="B11" s="99" t="s">
        <v>386</v>
      </c>
      <c r="C11" s="63">
        <v>0</v>
      </c>
      <c r="D11" s="63">
        <v>0</v>
      </c>
      <c r="E11" s="63">
        <v>0</v>
      </c>
      <c r="F11" s="63">
        <v>0</v>
      </c>
      <c r="G11" s="63">
        <v>0</v>
      </c>
      <c r="H11" s="63">
        <v>0</v>
      </c>
      <c r="I11" s="63">
        <v>0</v>
      </c>
      <c r="J11" s="63">
        <v>0</v>
      </c>
      <c r="K11" s="63">
        <v>0</v>
      </c>
      <c r="L11" s="63">
        <v>0</v>
      </c>
      <c r="M11" s="63">
        <v>0</v>
      </c>
      <c r="N11" s="63">
        <v>0</v>
      </c>
      <c r="O11" s="154" t="str">
        <f>SUM(C11:N11)</f>
        <v>0</v>
      </c>
      <c r="P11" s="154" t="str">
        <f>IF(Výtahy!B11="ano",O11,0)</f>
        <v>0</v>
      </c>
      <c r="Q11" s="154" t="str">
        <f>O11</f>
        <v>0</v>
      </c>
      <c r="S11" s="27" t="str">
        <f>IF(OR(ISNUMBER(SEARCH("Byt č. 939/16", A11)), ISNUMBER(SEARCH("Byt č. 939/17", A11)), ISNUMBER(SEARCH("Byt č. 939/18", A11)), ISNUMBER(SEARCH("Byt č. 939/19", A11))),  "vodomer",0)</f>
        <v>0</v>
      </c>
      <c r="T11" s="803"/>
      <c r="U11" s="212" t="str">
        <f>ROUND(IF(S11=0,O11/12*$T$2,0),2)</f>
        <v>0</v>
      </c>
      <c r="V11" s="212" t="str">
        <f>ROUND(U11*'faktury za služby'!$M$40/$U$29,3)</f>
        <v>0</v>
      </c>
      <c r="W11" s="212" t="str">
        <f>ROUND(V11*VD_Cena_BVak,2)</f>
        <v>0</v>
      </c>
      <c r="X11" s="367">
        <v>11</v>
      </c>
      <c r="Y11" s="212" t="str">
        <f>X11*Evidence!N11/100</f>
        <v>0</v>
      </c>
      <c r="Z11" s="212" t="str">
        <f>ROUND(Y11/$Y$104*100,2)</f>
        <v>0</v>
      </c>
      <c r="AA11" s="0" t="str">
        <f>ROUND($AC$1*Z11/100,2)</f>
        <v>0</v>
      </c>
    </row>
    <row r="12" spans="1:30">
      <c r="A12" s="99" t="s">
        <v>391</v>
      </c>
      <c r="B12" s="99" t="s">
        <v>392</v>
      </c>
      <c r="C12" s="63">
        <v>0</v>
      </c>
      <c r="D12" s="63">
        <v>0</v>
      </c>
      <c r="E12" s="63">
        <v>0</v>
      </c>
      <c r="F12" s="63">
        <v>0</v>
      </c>
      <c r="G12" s="63">
        <v>0</v>
      </c>
      <c r="H12" s="63">
        <v>0</v>
      </c>
      <c r="I12" s="63">
        <v>0</v>
      </c>
      <c r="J12" s="63">
        <v>0</v>
      </c>
      <c r="K12" s="63">
        <v>0</v>
      </c>
      <c r="L12" s="63">
        <v>0</v>
      </c>
      <c r="M12" s="63">
        <v>0</v>
      </c>
      <c r="N12" s="63">
        <v>0</v>
      </c>
      <c r="O12" s="154" t="str">
        <f>SUM(C12:N12)</f>
        <v>0</v>
      </c>
      <c r="P12" s="154" t="str">
        <f>IF(Výtahy!B12="ano",O12,0)</f>
        <v>0</v>
      </c>
      <c r="Q12" s="154" t="str">
        <f>O12</f>
        <v>0</v>
      </c>
      <c r="S12" s="27" t="str">
        <f>IF(OR(ISNUMBER(SEARCH("Byt č. 939/16", A12)), ISNUMBER(SEARCH("Byt č. 939/17", A12)), ISNUMBER(SEARCH("Byt č. 939/18", A12)), ISNUMBER(SEARCH("Byt č. 939/19", A12))),  "vodomer",0)</f>
        <v>0</v>
      </c>
      <c r="T12" s="803"/>
      <c r="U12" s="212" t="str">
        <f>ROUND(IF(S12=0,O12/12*$T$2,0),2)</f>
        <v>0</v>
      </c>
      <c r="V12" s="212" t="str">
        <f>ROUND(U12*'faktury za služby'!$M$40/$U$29,3)</f>
        <v>0</v>
      </c>
      <c r="W12" s="212" t="str">
        <f>ROUND(V12*VD_Cena_BVak,2)</f>
        <v>0</v>
      </c>
      <c r="X12" s="367">
        <v>11</v>
      </c>
      <c r="Y12" s="212" t="str">
        <f>X12*Evidence!N12/100</f>
        <v>0</v>
      </c>
      <c r="Z12" s="212" t="str">
        <f>ROUND(Y12/$Y$104*100,2)</f>
        <v>0</v>
      </c>
      <c r="AA12" s="0" t="str">
        <f>ROUND($AC$1*Z12/100,2)</f>
        <v>0</v>
      </c>
    </row>
    <row r="13" spans="1:30">
      <c r="A13" s="99" t="s">
        <v>397</v>
      </c>
      <c r="B13" s="99" t="s">
        <v>398</v>
      </c>
      <c r="C13" s="63">
        <v>0</v>
      </c>
      <c r="D13" s="63">
        <v>0</v>
      </c>
      <c r="E13" s="63">
        <v>0</v>
      </c>
      <c r="F13" s="63">
        <v>0</v>
      </c>
      <c r="G13" s="63">
        <v>0</v>
      </c>
      <c r="H13" s="63">
        <v>0</v>
      </c>
      <c r="I13" s="63">
        <v>0</v>
      </c>
      <c r="J13" s="63">
        <v>0</v>
      </c>
      <c r="K13" s="63">
        <v>0</v>
      </c>
      <c r="L13" s="63">
        <v>0</v>
      </c>
      <c r="M13" s="63">
        <v>0</v>
      </c>
      <c r="N13" s="63">
        <v>0</v>
      </c>
      <c r="O13" s="154" t="str">
        <f>SUM(C13:N13)</f>
        <v>0</v>
      </c>
      <c r="P13" s="154" t="str">
        <f>IF(Výtahy!B13="ano",O13,0)</f>
        <v>0</v>
      </c>
      <c r="Q13" s="154" t="str">
        <f>O13</f>
        <v>0</v>
      </c>
      <c r="S13" s="27" t="str">
        <f>IF(OR(ISNUMBER(SEARCH("Byt č. 939/16", A13)), ISNUMBER(SEARCH("Byt č. 939/17", A13)), ISNUMBER(SEARCH("Byt č. 939/18", A13)), ISNUMBER(SEARCH("Byt č. 939/19", A13))),  "vodomer",0)</f>
        <v>0</v>
      </c>
      <c r="T13" s="803"/>
      <c r="U13" s="212" t="str">
        <f>ROUND(IF(S13=0,O13/12*$T$2,0),2)</f>
        <v>0</v>
      </c>
      <c r="V13" s="212" t="str">
        <f>ROUND(U13*'faktury za služby'!$M$40/$U$29,3)</f>
        <v>0</v>
      </c>
      <c r="W13" s="212" t="str">
        <f>ROUND(V13*VD_Cena_BVak,2)</f>
        <v>0</v>
      </c>
      <c r="X13" s="367">
        <v>10</v>
      </c>
      <c r="Y13" s="212" t="str">
        <f>X13*Evidence!N13/100</f>
        <v>0</v>
      </c>
      <c r="Z13" s="212" t="str">
        <f>ROUND(Y13/$Y$104*100,2)</f>
        <v>0</v>
      </c>
      <c r="AA13" s="0" t="str">
        <f>ROUND($AC$1*Z13/100,2)</f>
        <v>0</v>
      </c>
    </row>
    <row r="14" spans="1:30">
      <c r="A14" s="99" t="s">
        <v>402</v>
      </c>
      <c r="B14" s="99" t="s">
        <v>403</v>
      </c>
      <c r="C14" s="63">
        <v>0</v>
      </c>
      <c r="D14" s="63">
        <v>0</v>
      </c>
      <c r="E14" s="63">
        <v>0</v>
      </c>
      <c r="F14" s="63">
        <v>0</v>
      </c>
      <c r="G14" s="63">
        <v>0</v>
      </c>
      <c r="H14" s="63">
        <v>0</v>
      </c>
      <c r="I14" s="63">
        <v>0</v>
      </c>
      <c r="J14" s="63">
        <v>0</v>
      </c>
      <c r="K14" s="63">
        <v>0</v>
      </c>
      <c r="L14" s="63">
        <v>0</v>
      </c>
      <c r="M14" s="63">
        <v>0</v>
      </c>
      <c r="N14" s="63">
        <v>0</v>
      </c>
      <c r="O14" s="154" t="str">
        <f>SUM(C14:N14)</f>
        <v>0</v>
      </c>
      <c r="P14" s="154" t="str">
        <f>IF(Výtahy!B14="ano",O14,0)</f>
        <v>0</v>
      </c>
      <c r="Q14" s="154" t="str">
        <f>O14</f>
        <v>0</v>
      </c>
      <c r="S14" s="27" t="str">
        <f>IF(OR(ISNUMBER(SEARCH("Byt č. 939/16", A14)), ISNUMBER(SEARCH("Byt č. 939/17", A14)), ISNUMBER(SEARCH("Byt č. 939/18", A14)), ISNUMBER(SEARCH("Byt č. 939/19", A14))),  "vodomer",0)</f>
        <v>0</v>
      </c>
      <c r="T14" s="803"/>
      <c r="U14" s="212" t="str">
        <f>ROUND(IF(S14=0,O14/12*$T$2,0),2)</f>
        <v>0</v>
      </c>
      <c r="V14" s="212" t="str">
        <f>ROUND(U14*'faktury za služby'!$M$40/$U$29,3)</f>
        <v>0</v>
      </c>
      <c r="W14" s="212" t="str">
        <f>ROUND(V14*VD_Cena_BVak,2)</f>
        <v>0</v>
      </c>
      <c r="X14" s="367">
        <v>10</v>
      </c>
      <c r="Y14" s="212" t="str">
        <f>X14*Evidence!N14/100</f>
        <v>0</v>
      </c>
      <c r="Z14" s="212" t="str">
        <f>ROUND(Y14/$Y$104*100,2)</f>
        <v>0</v>
      </c>
      <c r="AA14" s="0" t="str">
        <f>ROUND($AC$1*Z14/100,2)</f>
        <v>0</v>
      </c>
    </row>
    <row r="15" spans="1:30">
      <c r="A15" s="99" t="s">
        <v>408</v>
      </c>
      <c r="B15" s="99" t="s">
        <v>561</v>
      </c>
      <c r="C15" s="63">
        <v>0</v>
      </c>
      <c r="D15" s="63">
        <v>0</v>
      </c>
      <c r="E15" s="63">
        <v>0</v>
      </c>
      <c r="F15" s="63">
        <v>0</v>
      </c>
      <c r="G15" s="63">
        <v>0</v>
      </c>
      <c r="H15" s="63">
        <v>0</v>
      </c>
      <c r="I15" s="63">
        <v>0</v>
      </c>
      <c r="J15" s="63">
        <v>0</v>
      </c>
      <c r="K15" s="63">
        <v>0</v>
      </c>
      <c r="L15" s="63">
        <v>0</v>
      </c>
      <c r="M15" s="63">
        <v>0</v>
      </c>
      <c r="N15" s="63">
        <v>0</v>
      </c>
      <c r="O15" s="154" t="str">
        <f>SUM(C15:N15)</f>
        <v>0</v>
      </c>
      <c r="P15" s="154" t="str">
        <f>IF(Výtahy!B15="ano",O15,0)</f>
        <v>0</v>
      </c>
      <c r="Q15" s="154" t="str">
        <f>O15</f>
        <v>0</v>
      </c>
      <c r="S15" s="27" t="str">
        <f>IF(OR(ISNUMBER(SEARCH("Byt č. 939/16", A15)), ISNUMBER(SEARCH("Byt č. 939/17", A15)), ISNUMBER(SEARCH("Byt č. 939/18", A15)), ISNUMBER(SEARCH("Byt č. 939/19", A15))),  "vodomer",0)</f>
        <v>0</v>
      </c>
      <c r="T15" s="803"/>
      <c r="U15" s="212" t="str">
        <f>ROUND(IF(S15=0,O15/12*$T$2,0),2)</f>
        <v>0</v>
      </c>
      <c r="V15" s="212" t="str">
        <f>ROUND(U15*'faktury za služby'!$M$40/$U$29,3)</f>
        <v>0</v>
      </c>
      <c r="W15" s="212" t="str">
        <f>ROUND(V15*VD_Cena_BVak,2)</f>
        <v>0</v>
      </c>
      <c r="X15" s="367">
        <v>10</v>
      </c>
      <c r="Y15" s="212" t="str">
        <f>X15*Evidence!N15/100</f>
        <v>0</v>
      </c>
      <c r="Z15" s="212" t="str">
        <f>ROUND(Y15/$Y$104*100,2)</f>
        <v>0</v>
      </c>
      <c r="AA15" s="0" t="str">
        <f>ROUND($AC$1*Z15/100,2)</f>
        <v>0</v>
      </c>
    </row>
    <row r="16" spans="1:30">
      <c r="A16" s="99" t="s">
        <v>414</v>
      </c>
      <c r="B16" s="99" t="s">
        <v>562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154" t="str">
        <f>SUM(C16:N16)</f>
        <v>0</v>
      </c>
      <c r="P16" s="154" t="str">
        <f>IF(Výtahy!B16="ano",O16,0)</f>
        <v>0</v>
      </c>
      <c r="Q16" s="154" t="str">
        <f>O16</f>
        <v>0</v>
      </c>
      <c r="S16" s="27" t="str">
        <f>IF(OR(ISNUMBER(SEARCH("Byt č. 939/16", A16)), ISNUMBER(SEARCH("Byt č. 939/17", A16)), ISNUMBER(SEARCH("Byt č. 939/18", A16)), ISNUMBER(SEARCH("Byt č. 939/19", A16))),  "vodomer",0)</f>
        <v>0</v>
      </c>
      <c r="T16" s="803"/>
      <c r="U16" s="212" t="str">
        <f>ROUND(IF(S16=0,O16/12*$T$2,0),2)</f>
        <v>0</v>
      </c>
      <c r="V16" s="212" t="str">
        <f>ROUND(U16*'faktury za služby'!$M$40/$U$29,3)</f>
        <v>0</v>
      </c>
      <c r="W16" s="212" t="str">
        <f>ROUND(V16*VD_Cena_BVak,2)</f>
        <v>0</v>
      </c>
      <c r="X16" s="367">
        <v>8</v>
      </c>
      <c r="Y16" s="212" t="str">
        <f>X16*Evidence!N16/100</f>
        <v>0</v>
      </c>
      <c r="Z16" s="212" t="str">
        <f>ROUND(Y16/$Y$104*100,2)</f>
        <v>0</v>
      </c>
      <c r="AA16" s="0" t="str">
        <f>ROUND($AC$1*Z16/100,2)</f>
        <v>0</v>
      </c>
    </row>
    <row r="17" spans="1:30">
      <c r="A17" s="99" t="s">
        <v>420</v>
      </c>
      <c r="B17" s="99" t="s">
        <v>563</v>
      </c>
      <c r="C17" s="63">
        <v>0</v>
      </c>
      <c r="D17" s="63">
        <v>0</v>
      </c>
      <c r="E17" s="63">
        <v>0</v>
      </c>
      <c r="F17" s="63">
        <v>0</v>
      </c>
      <c r="G17" s="63">
        <v>0</v>
      </c>
      <c r="H17" s="63">
        <v>0</v>
      </c>
      <c r="I17" s="63">
        <v>0</v>
      </c>
      <c r="J17" s="63">
        <v>0</v>
      </c>
      <c r="K17" s="63">
        <v>0</v>
      </c>
      <c r="L17" s="63">
        <v>0</v>
      </c>
      <c r="M17" s="63">
        <v>0</v>
      </c>
      <c r="N17" s="63">
        <v>0</v>
      </c>
      <c r="O17" s="154" t="str">
        <f>SUM(C17:N17)</f>
        <v>0</v>
      </c>
      <c r="P17" s="154" t="str">
        <f>IF(Výtahy!B17="ano",O17,0)</f>
        <v>0</v>
      </c>
      <c r="Q17" s="154" t="str">
        <f>O17</f>
        <v>0</v>
      </c>
      <c r="S17" s="27" t="str">
        <f>IF(OR(ISNUMBER(SEARCH("Byt č. 939/16", A17)), ISNUMBER(SEARCH("Byt č. 939/17", A17)), ISNUMBER(SEARCH("Byt č. 939/18", A17)), ISNUMBER(SEARCH("Byt č. 939/19", A17))),  "vodomer",0)</f>
        <v>0</v>
      </c>
      <c r="T17" s="803"/>
      <c r="U17" s="212" t="str">
        <f>ROUND(IF(S17=0,O17/12*$T$2,0),2)</f>
        <v>0</v>
      </c>
      <c r="V17" s="212" t="str">
        <f>ROUND(U17*'faktury za služby'!$M$40/$U$29,3)</f>
        <v>0</v>
      </c>
      <c r="W17" s="212" t="str">
        <f>ROUND(V17*VD_Cena_BVak,2)</f>
        <v>0</v>
      </c>
      <c r="X17" s="367">
        <v>10</v>
      </c>
      <c r="Y17" s="212" t="str">
        <f>X17*Evidence!N17/100</f>
        <v>0</v>
      </c>
      <c r="Z17" s="212" t="str">
        <f>ROUND(Y17/$Y$104*100,2)</f>
        <v>0</v>
      </c>
      <c r="AA17" s="0" t="str">
        <f>ROUND($AC$1*Z17/100,2)</f>
        <v>0</v>
      </c>
    </row>
    <row r="18" spans="1:30">
      <c r="A18" s="99" t="s">
        <v>425</v>
      </c>
      <c r="B18" s="99" t="s">
        <v>564</v>
      </c>
      <c r="C18" s="63">
        <v>0</v>
      </c>
      <c r="D18" s="63">
        <v>0</v>
      </c>
      <c r="E18" s="63">
        <v>0</v>
      </c>
      <c r="F18" s="63">
        <v>0</v>
      </c>
      <c r="G18" s="63">
        <v>0</v>
      </c>
      <c r="H18" s="63">
        <v>0</v>
      </c>
      <c r="I18" s="63">
        <v>0</v>
      </c>
      <c r="J18" s="63">
        <v>0</v>
      </c>
      <c r="K18" s="63">
        <v>0</v>
      </c>
      <c r="L18" s="63">
        <v>0</v>
      </c>
      <c r="M18" s="63">
        <v>0</v>
      </c>
      <c r="N18" s="63">
        <v>0</v>
      </c>
      <c r="O18" s="154" t="str">
        <f>SUM(C18:N18)</f>
        <v>0</v>
      </c>
      <c r="P18" s="154" t="str">
        <f>IF(Výtahy!B18="ano",O18,0)</f>
        <v>0</v>
      </c>
      <c r="Q18" s="154" t="str">
        <f>O18</f>
        <v>0</v>
      </c>
      <c r="S18" s="27" t="str">
        <f>IF(OR(ISNUMBER(SEARCH("Byt č. 939/16", A18)), ISNUMBER(SEARCH("Byt č. 939/17", A18)), ISNUMBER(SEARCH("Byt č. 939/18", A18)), ISNUMBER(SEARCH("Byt č. 939/19", A18))),  "vodomer",0)</f>
        <v>0</v>
      </c>
      <c r="T18" s="803"/>
      <c r="U18" s="212" t="str">
        <f>ROUND(IF(S18=0,O18/12*$T$2,0),2)</f>
        <v>0</v>
      </c>
      <c r="V18" s="212" t="str">
        <f>ROUND(U18*'faktury za služby'!$M$40/$U$29,3)</f>
        <v>0</v>
      </c>
      <c r="W18" s="212" t="str">
        <f>ROUND(V18*VD_Cena_BVak,2)</f>
        <v>0</v>
      </c>
      <c r="X18" s="367">
        <v>11</v>
      </c>
      <c r="Y18" s="212" t="str">
        <f>X18*Evidence!N18/100</f>
        <v>0</v>
      </c>
      <c r="Z18" s="212" t="str">
        <f>ROUND(Y18/$Y$104*100,2)</f>
        <v>0</v>
      </c>
      <c r="AA18" s="0" t="str">
        <f>ROUND($AC$1*Z18/100,2)</f>
        <v>0</v>
      </c>
    </row>
    <row r="19" spans="1:30">
      <c r="A19" s="99" t="s">
        <v>430</v>
      </c>
      <c r="B19" s="99" t="s">
        <v>565</v>
      </c>
      <c r="C19" s="63">
        <v>0</v>
      </c>
      <c r="D19" s="63">
        <v>0</v>
      </c>
      <c r="E19" s="63">
        <v>0</v>
      </c>
      <c r="F19" s="63">
        <v>0</v>
      </c>
      <c r="G19" s="63">
        <v>0</v>
      </c>
      <c r="H19" s="63">
        <v>0</v>
      </c>
      <c r="I19" s="63">
        <v>0</v>
      </c>
      <c r="J19" s="63">
        <v>0</v>
      </c>
      <c r="K19" s="63">
        <v>0</v>
      </c>
      <c r="L19" s="63">
        <v>0</v>
      </c>
      <c r="M19" s="63">
        <v>0</v>
      </c>
      <c r="N19" s="63">
        <v>0</v>
      </c>
      <c r="O19" s="154" t="str">
        <f>SUM(C19:N19)</f>
        <v>0</v>
      </c>
      <c r="P19" s="154" t="str">
        <f>IF(Výtahy!B19="ano",O19,0)</f>
        <v>0</v>
      </c>
      <c r="Q19" s="154" t="str">
        <f>O19</f>
        <v>0</v>
      </c>
      <c r="S19" s="27" t="str">
        <f>IF(OR(ISNUMBER(SEARCH("Byt č. 939/16", A19)), ISNUMBER(SEARCH("Byt č. 939/17", A19)), ISNUMBER(SEARCH("Byt č. 939/18", A19)), ISNUMBER(SEARCH("Byt č. 939/19", A19))),  "vodomer",0)</f>
        <v>0</v>
      </c>
      <c r="T19" s="803"/>
      <c r="U19" s="212" t="str">
        <f>ROUND(IF(S19=0,O19/12*$T$2,0),2)</f>
        <v>0</v>
      </c>
      <c r="V19" s="212" t="str">
        <f>ROUND(U19*'faktury za služby'!$M$40/$U$29,3)</f>
        <v>0</v>
      </c>
      <c r="W19" s="212" t="str">
        <f>ROUND(V19*VD_Cena_BVak,2)</f>
        <v>0</v>
      </c>
      <c r="X19" s="367">
        <v>11</v>
      </c>
      <c r="Y19" s="212" t="str">
        <f>X19*Evidence!N19/100</f>
        <v>0</v>
      </c>
      <c r="Z19" s="212" t="str">
        <f>ROUND(Y19/$Y$104*100,2)</f>
        <v>0</v>
      </c>
      <c r="AA19" s="0" t="str">
        <f>ROUND($AC$1*Z19/100,2)</f>
        <v>0</v>
      </c>
    </row>
    <row r="20" spans="1:30">
      <c r="A20" s="99" t="s">
        <v>435</v>
      </c>
      <c r="B20" s="99" t="s">
        <v>565</v>
      </c>
      <c r="C20" s="63">
        <v>0</v>
      </c>
      <c r="D20" s="63">
        <v>0</v>
      </c>
      <c r="E20" s="63">
        <v>0</v>
      </c>
      <c r="F20" s="63">
        <v>0</v>
      </c>
      <c r="G20" s="63">
        <v>0</v>
      </c>
      <c r="H20" s="63">
        <v>0</v>
      </c>
      <c r="I20" s="63">
        <v>0</v>
      </c>
      <c r="J20" s="63">
        <v>0</v>
      </c>
      <c r="K20" s="63">
        <v>0</v>
      </c>
      <c r="L20" s="63">
        <v>0</v>
      </c>
      <c r="M20" s="63">
        <v>0</v>
      </c>
      <c r="N20" s="63">
        <v>0</v>
      </c>
      <c r="O20" s="154" t="str">
        <f>SUM(C20:N20)</f>
        <v>0</v>
      </c>
      <c r="P20" s="154" t="str">
        <f>IF(Výtahy!B20="ano",O20,0)</f>
        <v>0</v>
      </c>
      <c r="Q20" s="154" t="str">
        <f>O20</f>
        <v>0</v>
      </c>
      <c r="S20" s="27" t="str">
        <f>IF(OR(ISNUMBER(SEARCH("Byt č. 939/16", A20)), ISNUMBER(SEARCH("Byt č. 939/17", A20)), ISNUMBER(SEARCH("Byt č. 939/18", A20)), ISNUMBER(SEARCH("Byt č. 939/19", A20))),  "vodomer",0)</f>
        <v>0</v>
      </c>
      <c r="T20" s="803"/>
      <c r="U20" s="212" t="str">
        <f>ROUND(IF(S20=0,O20/12*$T$2,0),2)</f>
        <v>0</v>
      </c>
      <c r="V20" s="212" t="str">
        <f>ROUND(U20*'faktury za služby'!$M$40/$U$29,3)</f>
        <v>0</v>
      </c>
      <c r="W20" s="212" t="str">
        <f>ROUND(V20*VD_Cena_BVak,2)</f>
        <v>0</v>
      </c>
      <c r="X20" s="367">
        <v>10</v>
      </c>
      <c r="Y20" s="212" t="str">
        <f>X20*Evidence!N20/100</f>
        <v>0</v>
      </c>
      <c r="Z20" s="212" t="str">
        <f>ROUND(Y20/$Y$104*100,2)</f>
        <v>0</v>
      </c>
      <c r="AA20" s="0" t="str">
        <f>ROUND($AC$1*Z20/100,2)</f>
        <v>0</v>
      </c>
    </row>
    <row r="21" spans="1:30">
      <c r="A21" s="99" t="s">
        <v>437</v>
      </c>
      <c r="B21" s="99" t="s">
        <v>566</v>
      </c>
      <c r="C21" s="63">
        <v>0</v>
      </c>
      <c r="D21" s="63">
        <v>0</v>
      </c>
      <c r="E21" s="63">
        <v>0</v>
      </c>
      <c r="F21" s="63">
        <v>0</v>
      </c>
      <c r="G21" s="63">
        <v>0</v>
      </c>
      <c r="H21" s="63">
        <v>0</v>
      </c>
      <c r="I21" s="63">
        <v>0</v>
      </c>
      <c r="J21" s="63">
        <v>0</v>
      </c>
      <c r="K21" s="63">
        <v>0</v>
      </c>
      <c r="L21" s="63">
        <v>0</v>
      </c>
      <c r="M21" s="63">
        <v>0</v>
      </c>
      <c r="N21" s="63">
        <v>0</v>
      </c>
      <c r="O21" s="154" t="str">
        <f>SUM(C21:N21)</f>
        <v>0</v>
      </c>
      <c r="P21" s="154" t="str">
        <f>IF(Výtahy!B21="ano",O21,0)</f>
        <v>0</v>
      </c>
      <c r="Q21" s="154" t="str">
        <f>O21</f>
        <v>0</v>
      </c>
      <c r="S21" s="27" t="str">
        <f>IF(OR(ISNUMBER(SEARCH("Byt č. 939/16", A21)), ISNUMBER(SEARCH("Byt č. 939/17", A21)), ISNUMBER(SEARCH("Byt č. 939/18", A21)), ISNUMBER(SEARCH("Byt č. 939/19", A21))),  "vodomer",0)</f>
        <v>0</v>
      </c>
      <c r="T21" s="803"/>
      <c r="U21" s="212" t="str">
        <f>ROUND(IF(S21=0,O21/12*$T$2,0),2)</f>
        <v>0</v>
      </c>
      <c r="V21" s="212" t="str">
        <f>ROUND(U21*'faktury za služby'!$M$40/$U$29,3)</f>
        <v>0</v>
      </c>
      <c r="W21" s="212" t="str">
        <f>ROUND(V21*VD_Cena_BVak,2)</f>
        <v>0</v>
      </c>
      <c r="X21" s="367">
        <v>11</v>
      </c>
      <c r="Y21" s="212" t="str">
        <f>X21*Evidence!N21/100</f>
        <v>0</v>
      </c>
      <c r="Z21" s="212" t="str">
        <f>ROUND(Y21/$Y$104*100,2)</f>
        <v>0</v>
      </c>
      <c r="AA21" s="0" t="str">
        <f>ROUND($AC$1*Z21/100,2)</f>
        <v>0</v>
      </c>
    </row>
    <row r="22" spans="1:30">
      <c r="A22" s="99" t="s">
        <v>442</v>
      </c>
      <c r="B22" s="99" t="s">
        <v>567</v>
      </c>
      <c r="C22" s="63">
        <v>0</v>
      </c>
      <c r="D22" s="63">
        <v>0</v>
      </c>
      <c r="E22" s="63">
        <v>0</v>
      </c>
      <c r="F22" s="63">
        <v>0</v>
      </c>
      <c r="G22" s="63">
        <v>0</v>
      </c>
      <c r="H22" s="63">
        <v>0</v>
      </c>
      <c r="I22" s="63">
        <v>0</v>
      </c>
      <c r="J22" s="63">
        <v>0</v>
      </c>
      <c r="K22" s="63">
        <v>0</v>
      </c>
      <c r="L22" s="63">
        <v>0</v>
      </c>
      <c r="M22" s="63">
        <v>0</v>
      </c>
      <c r="N22" s="63">
        <v>0</v>
      </c>
      <c r="O22" s="154" t="str">
        <f>SUM(C22:N22)</f>
        <v>0</v>
      </c>
      <c r="P22" s="154" t="str">
        <f>IF(Výtahy!B22="ano",O22,0)</f>
        <v>0</v>
      </c>
      <c r="Q22" s="154" t="str">
        <f>O22</f>
        <v>0</v>
      </c>
      <c r="S22" s="27" t="str">
        <f>IF(OR(ISNUMBER(SEARCH("Byt č. 939/16", A22)), ISNUMBER(SEARCH("Byt č. 939/17", A22)), ISNUMBER(SEARCH("Byt č. 939/18", A22)), ISNUMBER(SEARCH("Byt č. 939/19", A22))),  "vodomer",0)</f>
        <v>0</v>
      </c>
      <c r="T22" s="803"/>
      <c r="U22" s="212" t="str">
        <f>ROUND(IF(S22=0,O22/12*$T$2,0),2)</f>
        <v>0</v>
      </c>
      <c r="V22" s="212" t="str">
        <f>ROUND(U22*'faktury za služby'!$M$40/$U$29,3)</f>
        <v>0</v>
      </c>
      <c r="W22" s="212" t="str">
        <f>ROUND(V22*VD_Cena_BVak,2)</f>
        <v>0</v>
      </c>
      <c r="X22" s="367">
        <v>11</v>
      </c>
      <c r="Y22" s="212" t="str">
        <f>X22*Evidence!N22/100</f>
        <v>0</v>
      </c>
      <c r="Z22" s="212" t="str">
        <f>ROUND(Y22/$Y$104*100,2)</f>
        <v>0</v>
      </c>
      <c r="AA22" s="0" t="str">
        <f>ROUND($AC$1*Z22/100,2)</f>
        <v>0</v>
      </c>
    </row>
    <row r="23" spans="1:30">
      <c r="A23" s="99" t="s">
        <v>448</v>
      </c>
      <c r="B23" s="99" t="s">
        <v>568</v>
      </c>
      <c r="C23" s="63">
        <v>0</v>
      </c>
      <c r="D23" s="63">
        <v>0</v>
      </c>
      <c r="E23" s="63">
        <v>0</v>
      </c>
      <c r="F23" s="63">
        <v>0</v>
      </c>
      <c r="G23" s="63">
        <v>0</v>
      </c>
      <c r="H23" s="63">
        <v>0</v>
      </c>
      <c r="I23" s="63">
        <v>0</v>
      </c>
      <c r="J23" s="63">
        <v>0</v>
      </c>
      <c r="K23" s="63">
        <v>0</v>
      </c>
      <c r="L23" s="63">
        <v>0</v>
      </c>
      <c r="M23" s="63">
        <v>0</v>
      </c>
      <c r="N23" s="63">
        <v>0</v>
      </c>
      <c r="O23" s="154" t="str">
        <f>SUM(C23:N23)</f>
        <v>0</v>
      </c>
      <c r="P23" s="154" t="str">
        <f>IF(Výtahy!B23="ano",O23,0)</f>
        <v>0</v>
      </c>
      <c r="Q23" s="154" t="str">
        <f>O23</f>
        <v>0</v>
      </c>
      <c r="S23" s="27" t="str">
        <f>IF(OR(ISNUMBER(SEARCH("Byt č. 939/16", A23)), ISNUMBER(SEARCH("Byt č. 939/17", A23)), ISNUMBER(SEARCH("Byt č. 939/18", A23)), ISNUMBER(SEARCH("Byt č. 939/19", A23))),  "vodomer",0)</f>
        <v>0</v>
      </c>
      <c r="T23" s="803"/>
      <c r="U23" s="212" t="str">
        <f>ROUND(IF(S23=0,O23/12*$T$2,0),2)</f>
        <v>0</v>
      </c>
      <c r="V23" s="212" t="str">
        <f>ROUND(U23*'faktury za služby'!$M$40/$U$29,3)</f>
        <v>0</v>
      </c>
      <c r="W23" s="212" t="str">
        <f>ROUND(V23*VD_Cena_BVak,2)</f>
        <v>0</v>
      </c>
      <c r="X23" s="367">
        <v>11</v>
      </c>
      <c r="Y23" s="212" t="str">
        <f>X23*Evidence!N23/100</f>
        <v>0</v>
      </c>
      <c r="Z23" s="212" t="str">
        <f>ROUND(Y23/$Y$104*100,2)</f>
        <v>0</v>
      </c>
      <c r="AA23" s="0" t="str">
        <f>ROUND($AC$1*Z23/100,2)</f>
        <v>0</v>
      </c>
    </row>
    <row r="24" spans="1:30">
      <c r="A24" s="99" t="s">
        <v>454</v>
      </c>
      <c r="B24" s="99" t="s">
        <v>569</v>
      </c>
      <c r="C24" s="63">
        <v>0</v>
      </c>
      <c r="D24" s="63">
        <v>0</v>
      </c>
      <c r="E24" s="63">
        <v>0</v>
      </c>
      <c r="F24" s="63">
        <v>0</v>
      </c>
      <c r="G24" s="63">
        <v>0</v>
      </c>
      <c r="H24" s="63">
        <v>0</v>
      </c>
      <c r="I24" s="63">
        <v>0</v>
      </c>
      <c r="J24" s="63">
        <v>0</v>
      </c>
      <c r="K24" s="63">
        <v>0</v>
      </c>
      <c r="L24" s="63">
        <v>0</v>
      </c>
      <c r="M24" s="63">
        <v>0</v>
      </c>
      <c r="N24" s="63">
        <v>0</v>
      </c>
      <c r="O24" s="154" t="str">
        <f>SUM(C24:N24)</f>
        <v>0</v>
      </c>
      <c r="P24" s="154" t="str">
        <f>IF(Výtahy!B24="ano",O24,0)</f>
        <v>0</v>
      </c>
      <c r="Q24" s="154" t="str">
        <f>O24</f>
        <v>0</v>
      </c>
      <c r="S24" s="27" t="str">
        <f>IF(OR(ISNUMBER(SEARCH("Byt č. 939/16", A24)), ISNUMBER(SEARCH("Byt č. 939/17", A24)), ISNUMBER(SEARCH("Byt č. 939/18", A24)), ISNUMBER(SEARCH("Byt č. 939/19", A24))),  "vodomer",0)</f>
        <v>0</v>
      </c>
      <c r="T24" s="803"/>
      <c r="U24" s="212" t="str">
        <f>ROUND(IF(S24=0,O24/12*$T$2,0),2)</f>
        <v>0</v>
      </c>
      <c r="V24" s="212" t="str">
        <f>ROUND(U24*'faktury za služby'!$M$40/$U$29,3)</f>
        <v>0</v>
      </c>
      <c r="W24" s="212" t="str">
        <f>ROUND(V24*VD_Cena_BVak,2)</f>
        <v>0</v>
      </c>
      <c r="X24" s="367">
        <v>8</v>
      </c>
      <c r="Y24" s="212" t="str">
        <f>X24*Evidence!N24/100</f>
        <v>0</v>
      </c>
      <c r="Z24" s="212" t="str">
        <f>ROUND(Y24/$Y$104*100,2)</f>
        <v>0</v>
      </c>
      <c r="AA24" s="0" t="str">
        <f>ROUND($AC$1*Z24/100,2)</f>
        <v>0</v>
      </c>
    </row>
    <row r="25" spans="1:30">
      <c r="A25" s="99" t="s">
        <v>459</v>
      </c>
      <c r="B25" s="99" t="s">
        <v>460</v>
      </c>
      <c r="C25" s="63">
        <v>0</v>
      </c>
      <c r="D25" s="63">
        <v>0</v>
      </c>
      <c r="E25" s="63">
        <v>0</v>
      </c>
      <c r="F25" s="63">
        <v>0</v>
      </c>
      <c r="G25" s="63">
        <v>0</v>
      </c>
      <c r="H25" s="63">
        <v>0</v>
      </c>
      <c r="I25" s="63">
        <v>0</v>
      </c>
      <c r="J25" s="63">
        <v>0</v>
      </c>
      <c r="K25" s="63">
        <v>0</v>
      </c>
      <c r="L25" s="63">
        <v>0</v>
      </c>
      <c r="M25" s="63">
        <v>0</v>
      </c>
      <c r="N25" s="63">
        <v>0</v>
      </c>
      <c r="O25" s="154" t="str">
        <f>SUM(C25:N25)</f>
        <v>0</v>
      </c>
      <c r="P25" s="154" t="str">
        <f>IF(Výtahy!B25="ano",O25,0)</f>
        <v>0</v>
      </c>
      <c r="Q25" s="154" t="str">
        <f>O25</f>
        <v>0</v>
      </c>
      <c r="S25" s="27" t="str">
        <f>IF(OR(ISNUMBER(SEARCH("Byt č. 939/16", A25)), ISNUMBER(SEARCH("Byt č. 939/17", A25)), ISNUMBER(SEARCH("Byt č. 939/18", A25)), ISNUMBER(SEARCH("Byt č. 939/19", A25))),  "vodomer",0)</f>
        <v>0</v>
      </c>
      <c r="T25" s="803"/>
      <c r="U25" s="212" t="str">
        <f>ROUND(IF(S25=0,O25/12*$T$2,0),2)</f>
        <v>0</v>
      </c>
      <c r="V25" s="212" t="str">
        <f>ROUND(U25*'faktury za služby'!$M$40/$U$29,3)</f>
        <v>0</v>
      </c>
      <c r="W25" s="212" t="str">
        <f>ROUND(V25*VD_Cena_BVak,2)</f>
        <v>0</v>
      </c>
      <c r="X25" s="367">
        <v>9</v>
      </c>
      <c r="Y25" s="212" t="str">
        <f>X25*Evidence!N25/100</f>
        <v>0</v>
      </c>
      <c r="Z25" s="212" t="str">
        <f>ROUND(Y25/$Y$104*100,2)</f>
        <v>0</v>
      </c>
      <c r="AA25" s="0" t="str">
        <f>ROUND($AC$1*Z25/100,2)</f>
        <v>0</v>
      </c>
    </row>
    <row r="26" spans="1:30">
      <c r="A26" s="99"/>
      <c r="B26" s="99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154" t="str">
        <f>SUM(C26:N26)</f>
        <v>0</v>
      </c>
      <c r="P26" s="154" t="str">
        <f>IF(Výtahy!B26="ano",O26,0)</f>
        <v>0</v>
      </c>
      <c r="Q26" s="154" t="str">
        <f>O26</f>
        <v>0</v>
      </c>
      <c r="S26" s="27" t="str">
        <f>IF(OR(ISNUMBER(SEARCH("Byt č. 939/16", A26)), ISNUMBER(SEARCH("Byt č. 939/17", A26)), ISNUMBER(SEARCH("Byt č. 939/18", A26)), ISNUMBER(SEARCH("Byt č. 939/19", A26))),  "vodomer",0)</f>
        <v>0</v>
      </c>
      <c r="T26" s="803"/>
      <c r="U26" s="212" t="str">
        <f>ROUND(IF(S26=0,O26/12*$T$2,0),2)</f>
        <v>0</v>
      </c>
      <c r="V26" s="212" t="str">
        <f>ROUND(U26*'faktury za služby'!$M$40/$U$29,3)</f>
        <v>0</v>
      </c>
      <c r="W26" s="212" t="str">
        <f>ROUND(V26*VD_Cena_BVak,2)</f>
        <v>0</v>
      </c>
      <c r="X26" s="367">
        <v>9</v>
      </c>
      <c r="Y26" s="212" t="str">
        <f>X26*Evidence!N26/100</f>
        <v>0</v>
      </c>
      <c r="Z26" s="212" t="str">
        <f>ROUND(Y26/$Y$104*100,2)</f>
        <v>0</v>
      </c>
      <c r="AA26" s="0" t="str">
        <f>ROUND($AC$1*Z26/100,2)</f>
        <v>0</v>
      </c>
    </row>
    <row r="27" spans="1:30">
      <c r="A27" s="99"/>
      <c r="B27" s="99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154" t="str">
        <f>SUM(C27:N27)</f>
        <v>0</v>
      </c>
      <c r="P27" s="154" t="str">
        <f>IF(Výtahy!B27="ano",O27,0)</f>
        <v>0</v>
      </c>
      <c r="Q27" s="154" t="str">
        <f>O27</f>
        <v>0</v>
      </c>
      <c r="S27" s="27" t="str">
        <f>IF(OR(ISNUMBER(SEARCH("Byt č. 939/16", A27)), ISNUMBER(SEARCH("Byt č. 939/17", A27)), ISNUMBER(SEARCH("Byt č. 939/18", A27)), ISNUMBER(SEARCH("Byt č. 939/19", A27))),  "vodomer",0)</f>
        <v>0</v>
      </c>
      <c r="T27" s="803"/>
      <c r="U27" s="212" t="str">
        <f>ROUND(IF(S27=0,O27/12*$T$2,0),2)</f>
        <v>0</v>
      </c>
      <c r="V27" s="212" t="str">
        <f>ROUND(U27*'faktury za služby'!$M$40/$U$29,3)</f>
        <v>0</v>
      </c>
      <c r="W27" s="212" t="str">
        <f>ROUND(V27*VD_Cena_BVak,2)</f>
        <v>0</v>
      </c>
      <c r="X27" s="367">
        <v>9</v>
      </c>
      <c r="Y27" s="212" t="str">
        <f>X27*Evidence!N27/100</f>
        <v>0</v>
      </c>
      <c r="Z27" s="212" t="str">
        <f>ROUND(Y27/$Y$104*100,2)</f>
        <v>0</v>
      </c>
      <c r="AA27" s="0" t="str">
        <f>ROUND($AC$1*Z27/100,2)</f>
        <v>0</v>
      </c>
    </row>
    <row r="28" spans="1:30">
      <c r="A28" s="99"/>
      <c r="B28" s="99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154" t="str">
        <f>SUM(C28:N28)</f>
        <v>0</v>
      </c>
      <c r="P28" s="154" t="str">
        <f>IF(Výtahy!B28="ano",O28,0)</f>
        <v>0</v>
      </c>
      <c r="Q28" s="154" t="str">
        <f>O28</f>
        <v>0</v>
      </c>
      <c r="S28" s="27" t="str">
        <f>IF(OR(ISNUMBER(SEARCH("Byt č. 939/16", A28)), ISNUMBER(SEARCH("Byt č. 939/17", A28)), ISNUMBER(SEARCH("Byt č. 939/18", A28)), ISNUMBER(SEARCH("Byt č. 939/19", A28))),  "vodomer",0)</f>
        <v>0</v>
      </c>
      <c r="T28" s="803"/>
      <c r="U28" s="212" t="str">
        <f>ROUND(IF(S28=0,O28/12*$T$2,0),2)</f>
        <v>0</v>
      </c>
      <c r="V28" s="212" t="str">
        <f>ROUND(U28*'faktury za služby'!$M$40/$U$29,3)</f>
        <v>0</v>
      </c>
      <c r="W28" s="212" t="str">
        <f>ROUND(V28*VD_Cena_BVak,2)</f>
        <v>0</v>
      </c>
      <c r="X28" s="367">
        <v>7</v>
      </c>
      <c r="Y28" s="212" t="str">
        <f>X28*Evidence!N28/100</f>
        <v>0</v>
      </c>
      <c r="Z28" s="212" t="str">
        <f>ROUND(Y28/$Y$104*100,2)</f>
        <v>0</v>
      </c>
      <c r="AA28" s="0" t="str">
        <f>ROUND($AC$1*Z28/100,2)</f>
        <v>0</v>
      </c>
    </row>
    <row r="29" spans="1:30">
      <c r="A29" s="99"/>
      <c r="B29" s="99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154" t="str">
        <f>SUM(C29:N29)</f>
        <v>0</v>
      </c>
      <c r="P29" s="154" t="str">
        <f>IF(Výtahy!B29="ano",O29,0)</f>
        <v>0</v>
      </c>
      <c r="Q29" s="154" t="str">
        <f>O29</f>
        <v>0</v>
      </c>
      <c r="T29" s="213" t="s">
        <v>498</v>
      </c>
      <c r="U29" s="214" t="str">
        <f>ROUND(SUM(U2:U28),3)</f>
        <v>0</v>
      </c>
      <c r="W29" s="215" t="str">
        <f>SUM(W2:W28)</f>
        <v>0</v>
      </c>
      <c r="X29" s="367">
        <v>11</v>
      </c>
      <c r="Y29" s="212" t="str">
        <f>X29*Evidence!N29/100</f>
        <v>0</v>
      </c>
      <c r="Z29" s="212" t="str">
        <f>ROUND(Y29/$Y$104*100,2)</f>
        <v>0</v>
      </c>
      <c r="AA29" s="0" t="str">
        <f>ROUND($AC$1*Z29/100,2)</f>
        <v>0</v>
      </c>
    </row>
    <row r="30" spans="1:30">
      <c r="A30" s="99"/>
      <c r="B30" s="99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154" t="str">
        <f>SUM(C30:N30)</f>
        <v>0</v>
      </c>
      <c r="P30" s="154" t="str">
        <f>IF(Výtahy!B30="ano",O30,0)</f>
        <v>0</v>
      </c>
      <c r="Q30" s="154" t="str">
        <f>O30</f>
        <v>0</v>
      </c>
      <c r="X30" s="367">
        <v>7</v>
      </c>
      <c r="Y30" s="212" t="str">
        <f>X30*Evidence!N30/100</f>
        <v>0</v>
      </c>
      <c r="Z30" s="212" t="str">
        <f>ROUND(Y30/$Y$104*100,2)</f>
        <v>0</v>
      </c>
      <c r="AA30" s="0" t="str">
        <f>ROUND($AC$1*Z30/100,2)</f>
        <v>0</v>
      </c>
    </row>
    <row r="31" spans="1:30">
      <c r="A31" s="99"/>
      <c r="B31" s="99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154" t="str">
        <f>SUM(C31:N31)</f>
        <v>0</v>
      </c>
      <c r="P31" s="154" t="str">
        <f>IF(Výtahy!B31="ano",O31,0)</f>
        <v>0</v>
      </c>
      <c r="Q31" s="154" t="str">
        <f>O31</f>
        <v>0</v>
      </c>
      <c r="X31" s="367">
        <v>2</v>
      </c>
      <c r="Y31" s="212" t="str">
        <f>X31*Evidence!N31/100</f>
        <v>0</v>
      </c>
      <c r="Z31" s="212" t="str">
        <f>ROUND(Y31/$Y$104*100,2)</f>
        <v>0</v>
      </c>
      <c r="AA31" s="0" t="str">
        <f>ROUND($AC$1*Z31/100,2)</f>
        <v>0</v>
      </c>
    </row>
    <row r="32" spans="1:30">
      <c r="A32" s="99"/>
      <c r="B32" s="99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154" t="str">
        <f>SUM(C32:N32)</f>
        <v>0</v>
      </c>
      <c r="P32" s="154" t="str">
        <f>IF(Výtahy!B32="ano",O32,0)</f>
        <v>0</v>
      </c>
      <c r="Q32" s="154" t="str">
        <f>O32</f>
        <v>0</v>
      </c>
      <c r="X32" s="367">
        <v>11</v>
      </c>
      <c r="Y32" s="212" t="str">
        <f>X32*Evidence!N32/100</f>
        <v>0</v>
      </c>
      <c r="Z32" s="212" t="str">
        <f>ROUND(Y32/$Y$104*100,2)</f>
        <v>0</v>
      </c>
      <c r="AA32" s="0" t="str">
        <f>ROUND($AC$1*Z32/100,2)</f>
        <v>0</v>
      </c>
    </row>
    <row r="33" spans="1:30">
      <c r="A33" s="99"/>
      <c r="B33" s="99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154" t="str">
        <f>SUM(C33:N33)</f>
        <v>0</v>
      </c>
      <c r="P33" s="154" t="str">
        <f>IF(Výtahy!B33="ano",O33,0)</f>
        <v>0</v>
      </c>
      <c r="Q33" s="154" t="str">
        <f>O33</f>
        <v>0</v>
      </c>
      <c r="X33" s="367">
        <v>0</v>
      </c>
      <c r="Y33" s="212" t="str">
        <f>X33*Evidence!N33/100</f>
        <v>0</v>
      </c>
      <c r="Z33" s="212" t="str">
        <f>ROUND(Y33/$Y$104*100,2)</f>
        <v>0</v>
      </c>
      <c r="AA33" s="0" t="str">
        <f>ROUND($AC$1*Z33/100,2)</f>
        <v>0</v>
      </c>
    </row>
    <row r="34" spans="1:30">
      <c r="A34" s="99"/>
      <c r="B34" s="99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154" t="str">
        <f>SUM(C34:N34)</f>
        <v>0</v>
      </c>
      <c r="P34" s="154" t="str">
        <f>IF(Výtahy!B34="ano",O34,0)</f>
        <v>0</v>
      </c>
      <c r="Q34" s="154" t="str">
        <f>O34</f>
        <v>0</v>
      </c>
      <c r="X34" s="367">
        <v>4</v>
      </c>
      <c r="Y34" s="212" t="str">
        <f>X34*Evidence!N34/100</f>
        <v>0</v>
      </c>
      <c r="Z34" s="212" t="str">
        <f>ROUND(Y34/$Y$104*100,2)</f>
        <v>0</v>
      </c>
      <c r="AA34" s="0" t="str">
        <f>ROUND($AC$1*Z34/100,2)</f>
        <v>0</v>
      </c>
    </row>
    <row r="35" spans="1:30">
      <c r="A35" s="99"/>
      <c r="B35" s="99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154" t="str">
        <f>SUM(C35:N35)</f>
        <v>0</v>
      </c>
      <c r="P35" s="154" t="str">
        <f>IF(Výtahy!B35="ano",O35,0)</f>
        <v>0</v>
      </c>
      <c r="Q35" s="154" t="str">
        <f>O35</f>
        <v>0</v>
      </c>
      <c r="X35" s="367">
        <v>6</v>
      </c>
      <c r="Y35" s="212" t="str">
        <f>X35*Evidence!N35/100</f>
        <v>0</v>
      </c>
      <c r="Z35" s="212" t="str">
        <f>ROUND(Y35/$Y$104*100,2)</f>
        <v>0</v>
      </c>
      <c r="AA35" s="0" t="str">
        <f>ROUND($AC$1*Z35/100,2)</f>
        <v>0</v>
      </c>
    </row>
    <row r="36" spans="1:30">
      <c r="A36" s="99"/>
      <c r="B36" s="99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154" t="str">
        <f>SUM(C36:N36)</f>
        <v>0</v>
      </c>
      <c r="P36" s="154" t="str">
        <f>IF(Výtahy!B36="ano",O36,0)</f>
        <v>0</v>
      </c>
      <c r="Q36" s="154" t="str">
        <f>O36</f>
        <v>0</v>
      </c>
      <c r="X36" s="367">
        <v>10</v>
      </c>
      <c r="Y36" s="212" t="str">
        <f>X36*Evidence!N36/100</f>
        <v>0</v>
      </c>
      <c r="Z36" s="212" t="str">
        <f>ROUND(Y36/$Y$104*100,2)</f>
        <v>0</v>
      </c>
      <c r="AA36" s="0" t="str">
        <f>ROUND($AC$1*Z36/100,2)</f>
        <v>0</v>
      </c>
    </row>
    <row r="37" spans="1:30">
      <c r="A37" s="99"/>
      <c r="B37" s="99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154" t="str">
        <f>SUM(C37:N37)</f>
        <v>0</v>
      </c>
      <c r="P37" s="154" t="str">
        <f>IF(Výtahy!B37="ano",O37,0)</f>
        <v>0</v>
      </c>
      <c r="Q37" s="154" t="str">
        <f>O37</f>
        <v>0</v>
      </c>
      <c r="X37" s="367">
        <v>9</v>
      </c>
      <c r="Y37" s="212" t="str">
        <f>X37*Evidence!N37/100</f>
        <v>0</v>
      </c>
      <c r="Z37" s="212" t="str">
        <f>ROUND(Y37/$Y$104*100,2)</f>
        <v>0</v>
      </c>
      <c r="AA37" s="0" t="str">
        <f>ROUND($AC$1*Z37/100,2)</f>
        <v>0</v>
      </c>
    </row>
    <row r="38" spans="1:30">
      <c r="A38" s="99"/>
      <c r="B38" s="99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154" t="str">
        <f>SUM(C38:N38)</f>
        <v>0</v>
      </c>
      <c r="P38" s="154" t="str">
        <f>IF(Výtahy!B38="ano",O38,0)</f>
        <v>0</v>
      </c>
      <c r="Q38" s="154" t="str">
        <f>O38</f>
        <v>0</v>
      </c>
      <c r="X38" s="367">
        <v>8</v>
      </c>
      <c r="Y38" s="212" t="str">
        <f>X38*Evidence!N38/100</f>
        <v>0</v>
      </c>
      <c r="Z38" s="212" t="str">
        <f>ROUND(Y38/$Y$104*100,2)</f>
        <v>0</v>
      </c>
      <c r="AA38" s="0" t="str">
        <f>ROUND($AC$1*Z38/100,2)</f>
        <v>0</v>
      </c>
    </row>
    <row r="39" spans="1:30">
      <c r="A39" s="99"/>
      <c r="B39" s="99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154" t="str">
        <f>SUM(C39:N39)</f>
        <v>0</v>
      </c>
      <c r="P39" s="154" t="str">
        <f>IF(Výtahy!B39="ano",O39,0)</f>
        <v>0</v>
      </c>
      <c r="Q39" s="154" t="str">
        <f>O39</f>
        <v>0</v>
      </c>
      <c r="X39" s="367">
        <v>9</v>
      </c>
      <c r="Y39" s="212" t="str">
        <f>X39*Evidence!N39/100</f>
        <v>0</v>
      </c>
      <c r="Z39" s="212" t="str">
        <f>ROUND(Y39/$Y$104*100,2)</f>
        <v>0</v>
      </c>
      <c r="AA39" s="0" t="str">
        <f>ROUND($AC$1*Z39/100,2)</f>
        <v>0</v>
      </c>
    </row>
    <row r="40" spans="1:30">
      <c r="A40" s="99"/>
      <c r="B40" s="99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154" t="str">
        <f>SUM(C40:N40)</f>
        <v>0</v>
      </c>
      <c r="P40" s="154" t="str">
        <f>IF(Výtahy!B40="ano",O40,0)</f>
        <v>0</v>
      </c>
      <c r="Q40" s="154" t="str">
        <f>O40</f>
        <v>0</v>
      </c>
      <c r="X40" s="367">
        <v>7</v>
      </c>
      <c r="Y40" s="212" t="str">
        <f>X40*Evidence!N40/100</f>
        <v>0</v>
      </c>
      <c r="Z40" s="212" t="str">
        <f>ROUND(Y40/$Y$104*100,2)</f>
        <v>0</v>
      </c>
      <c r="AA40" s="0" t="str">
        <f>ROUND($AC$1*Z40/100,2)</f>
        <v>0</v>
      </c>
    </row>
    <row r="41" spans="1:30">
      <c r="A41" s="99"/>
      <c r="B41" s="99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154" t="str">
        <f>SUM(C41:N41)</f>
        <v>0</v>
      </c>
      <c r="P41" s="154" t="str">
        <f>IF(Výtahy!B41="ano",O41,0)</f>
        <v>0</v>
      </c>
      <c r="Q41" s="154" t="str">
        <f>O41</f>
        <v>0</v>
      </c>
      <c r="X41" s="367">
        <v>7</v>
      </c>
      <c r="Y41" s="212" t="str">
        <f>X41*Evidence!N41/100</f>
        <v>0</v>
      </c>
      <c r="Z41" s="212" t="str">
        <f>ROUND(Y41/$Y$104*100,2)</f>
        <v>0</v>
      </c>
      <c r="AA41" s="0" t="str">
        <f>ROUND($AC$1*Z41/100,2)</f>
        <v>0</v>
      </c>
    </row>
    <row r="42" spans="1:30">
      <c r="A42" s="99"/>
      <c r="B42" s="99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154" t="str">
        <f>SUM(C42:N42)</f>
        <v>0</v>
      </c>
      <c r="P42" s="154" t="str">
        <f>IF(Výtahy!B42="ano",O42,0)</f>
        <v>0</v>
      </c>
      <c r="Q42" s="154" t="str">
        <f>O42</f>
        <v>0</v>
      </c>
      <c r="X42" s="367">
        <v>9</v>
      </c>
      <c r="Y42" s="212" t="str">
        <f>X42*Evidence!N42/100</f>
        <v>0</v>
      </c>
      <c r="Z42" s="212" t="str">
        <f>ROUND(Y42/$Y$104*100,2)</f>
        <v>0</v>
      </c>
      <c r="AA42" s="0" t="str">
        <f>ROUND($AC$1*Z42/100,2)</f>
        <v>0</v>
      </c>
    </row>
    <row r="43" spans="1:30">
      <c r="A43" s="99"/>
      <c r="B43" s="99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154" t="str">
        <f>SUM(C43:N43)</f>
        <v>0</v>
      </c>
      <c r="P43" s="154" t="str">
        <f>IF(Výtahy!B43="ano",O43,0)</f>
        <v>0</v>
      </c>
      <c r="Q43" s="154" t="str">
        <f>O43</f>
        <v>0</v>
      </c>
      <c r="X43" s="367">
        <v>2</v>
      </c>
      <c r="Y43" s="212" t="str">
        <f>X43*Evidence!N43/100</f>
        <v>0</v>
      </c>
      <c r="Z43" s="212" t="str">
        <f>ROUND(Y43/$Y$104*100,2)</f>
        <v>0</v>
      </c>
      <c r="AA43" s="0" t="str">
        <f>ROUND($AC$1*Z43/100,2)</f>
        <v>0</v>
      </c>
    </row>
    <row r="44" spans="1:30">
      <c r="A44" s="99"/>
      <c r="B44" s="99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154" t="str">
        <f>SUM(C44:N44)</f>
        <v>0</v>
      </c>
      <c r="P44" s="154" t="str">
        <f>IF(Výtahy!B44="ano",O44,0)</f>
        <v>0</v>
      </c>
      <c r="Q44" s="154" t="str">
        <f>O44</f>
        <v>0</v>
      </c>
      <c r="X44" s="367">
        <v>2</v>
      </c>
      <c r="Y44" s="212" t="str">
        <f>X44*Evidence!N44/100</f>
        <v>0</v>
      </c>
      <c r="Z44" s="212" t="str">
        <f>ROUND(Y44/$Y$104*100,2)</f>
        <v>0</v>
      </c>
      <c r="AA44" s="0" t="str">
        <f>ROUND($AC$1*Z44/100,2)</f>
        <v>0</v>
      </c>
    </row>
    <row r="45" spans="1:30">
      <c r="A45" s="99"/>
      <c r="B45" s="99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154" t="str">
        <f>SUM(C45:N45)</f>
        <v>0</v>
      </c>
      <c r="P45" s="154" t="str">
        <f>IF(Výtahy!B45="ano",O45,0)</f>
        <v>0</v>
      </c>
      <c r="Q45" s="154" t="str">
        <f>O45</f>
        <v>0</v>
      </c>
      <c r="Y45" s="212" t="str">
        <f>X45*Evidence!N45/100</f>
        <v>0</v>
      </c>
      <c r="Z45" s="212" t="str">
        <f>ROUND(Y45/$Y$104*100,2)</f>
        <v>0</v>
      </c>
      <c r="AA45" s="0" t="str">
        <f>ROUND($AC$1*Z45/100,2)</f>
        <v>0</v>
      </c>
    </row>
    <row r="46" spans="1:30">
      <c r="A46" s="99"/>
      <c r="B46" s="99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154" t="str">
        <f>SUM(C46:N46)</f>
        <v>0</v>
      </c>
      <c r="P46" s="154" t="str">
        <f>IF(Výtahy!B46="ano",O46,0)</f>
        <v>0</v>
      </c>
      <c r="Q46" s="154" t="str">
        <f>O46</f>
        <v>0</v>
      </c>
      <c r="Y46" s="212" t="str">
        <f>X46*Evidence!N46/100</f>
        <v>0</v>
      </c>
      <c r="Z46" s="212" t="str">
        <f>ROUND(Y46/$Y$104*100,2)</f>
        <v>0</v>
      </c>
      <c r="AA46" s="0" t="str">
        <f>ROUND($AC$1*Z46/100,2)</f>
        <v>0</v>
      </c>
    </row>
    <row r="47" spans="1:30">
      <c r="A47" s="99"/>
      <c r="B47" s="99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154" t="str">
        <f>SUM(C47:N47)</f>
        <v>0</v>
      </c>
      <c r="P47" s="154" t="str">
        <f>IF(Výtahy!B47="ano",O47,0)</f>
        <v>0</v>
      </c>
      <c r="Q47" s="154" t="str">
        <f>O47</f>
        <v>0</v>
      </c>
      <c r="Y47" s="212" t="str">
        <f>X47*Evidence!N47/100</f>
        <v>0</v>
      </c>
      <c r="Z47" s="212" t="str">
        <f>ROUND(Y47/$Y$104*100,2)</f>
        <v>0</v>
      </c>
      <c r="AA47" s="0" t="str">
        <f>ROUND($AC$1*Z47/100,2)</f>
        <v>0</v>
      </c>
    </row>
    <row r="48" spans="1:30">
      <c r="A48" s="99"/>
      <c r="B48" s="99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154" t="str">
        <f>SUM(C48:N48)</f>
        <v>0</v>
      </c>
      <c r="P48" s="154" t="str">
        <f>IF(Výtahy!B48="ano",O48,0)</f>
        <v>0</v>
      </c>
      <c r="Q48" s="154" t="str">
        <f>O48</f>
        <v>0</v>
      </c>
      <c r="Y48" s="212" t="str">
        <f>X48*Evidence!N48/100</f>
        <v>0</v>
      </c>
      <c r="Z48" s="212" t="str">
        <f>ROUND(Y48/$Y$104*100,2)</f>
        <v>0</v>
      </c>
      <c r="AA48" s="0" t="str">
        <f>ROUND($AC$1*Z48/100,2)</f>
        <v>0</v>
      </c>
    </row>
    <row r="49" spans="1:30">
      <c r="A49" s="99"/>
      <c r="B49" s="99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154" t="str">
        <f>SUM(C49:N49)</f>
        <v>0</v>
      </c>
      <c r="P49" s="154" t="str">
        <f>IF(Výtahy!B49="ano",O49,0)</f>
        <v>0</v>
      </c>
      <c r="Q49" s="154" t="str">
        <f>O49</f>
        <v>0</v>
      </c>
      <c r="Y49" s="212" t="str">
        <f>X49*Evidence!N49/100</f>
        <v>0</v>
      </c>
      <c r="Z49" s="212" t="str">
        <f>ROUND(Y49/$Y$104*100,2)</f>
        <v>0</v>
      </c>
      <c r="AA49" s="0" t="str">
        <f>ROUND($AC$1*Z49/100,2)</f>
        <v>0</v>
      </c>
    </row>
    <row r="50" spans="1:30">
      <c r="A50" s="99"/>
      <c r="B50" s="99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154" t="str">
        <f>SUM(C50:N50)</f>
        <v>0</v>
      </c>
      <c r="P50" s="154" t="str">
        <f>IF(Výtahy!B50="ano",O50,0)</f>
        <v>0</v>
      </c>
      <c r="Q50" s="154" t="str">
        <f>O50</f>
        <v>0</v>
      </c>
      <c r="Y50" s="212" t="str">
        <f>X50*Evidence!N50/100</f>
        <v>0</v>
      </c>
      <c r="Z50" s="212" t="str">
        <f>ROUND(Y50/$Y$104*100,2)</f>
        <v>0</v>
      </c>
      <c r="AA50" s="0" t="str">
        <f>ROUND($AC$1*Z50/100,2)</f>
        <v>0</v>
      </c>
    </row>
    <row r="51" spans="1:30">
      <c r="A51" s="99"/>
      <c r="B51" s="99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154" t="str">
        <f>SUM(C51:N51)</f>
        <v>0</v>
      </c>
      <c r="P51" s="154" t="str">
        <f>IF(Výtahy!B51="ano",O51,0)</f>
        <v>0</v>
      </c>
      <c r="Q51" s="154" t="str">
        <f>O51</f>
        <v>0</v>
      </c>
      <c r="Y51" s="212" t="str">
        <f>X51*Evidence!N51/100</f>
        <v>0</v>
      </c>
      <c r="Z51" s="212" t="str">
        <f>ROUND(Y51/$Y$104*100,2)</f>
        <v>0</v>
      </c>
      <c r="AA51" s="0" t="str">
        <f>ROUND($AC$1*Z51/100,2)</f>
        <v>0</v>
      </c>
    </row>
    <row r="52" spans="1:30">
      <c r="A52" s="99"/>
      <c r="B52" s="99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154" t="str">
        <f>SUM(C52:N52)</f>
        <v>0</v>
      </c>
      <c r="P52" s="154" t="str">
        <f>IF(Výtahy!B52="ano",O52,0)</f>
        <v>0</v>
      </c>
      <c r="Q52" s="154" t="str">
        <f>O52</f>
        <v>0</v>
      </c>
      <c r="Y52" s="212" t="str">
        <f>X52*Evidence!N52/100</f>
        <v>0</v>
      </c>
      <c r="Z52" s="212" t="str">
        <f>ROUND(Y52/$Y$104*100,2)</f>
        <v>0</v>
      </c>
      <c r="AA52" s="0" t="str">
        <f>ROUND($AC$1*Z52/100,2)</f>
        <v>0</v>
      </c>
    </row>
    <row r="53" spans="1:30">
      <c r="A53" s="99"/>
      <c r="B53" s="99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154" t="str">
        <f>SUM(C53:N53)</f>
        <v>0</v>
      </c>
      <c r="P53" s="154" t="str">
        <f>IF(Výtahy!B53="ano",O53,0)</f>
        <v>0</v>
      </c>
      <c r="Q53" s="154" t="str">
        <f>O53</f>
        <v>0</v>
      </c>
      <c r="Y53" s="212" t="str">
        <f>X53*Evidence!N53/100</f>
        <v>0</v>
      </c>
      <c r="Z53" s="212" t="str">
        <f>ROUND(Y53/$Y$104*100,2)</f>
        <v>0</v>
      </c>
      <c r="AA53" s="0" t="str">
        <f>ROUND($AC$1*Z53/100,2)</f>
        <v>0</v>
      </c>
    </row>
    <row r="54" spans="1:30">
      <c r="A54" s="99"/>
      <c r="B54" s="99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154" t="str">
        <f>SUM(C54:N54)</f>
        <v>0</v>
      </c>
      <c r="P54" s="154" t="str">
        <f>IF(Výtahy!B54="ano",O54,0)</f>
        <v>0</v>
      </c>
      <c r="Q54" s="154" t="str">
        <f>O54</f>
        <v>0</v>
      </c>
      <c r="Y54" s="212" t="str">
        <f>X54*Evidence!N54/100</f>
        <v>0</v>
      </c>
      <c r="Z54" s="212" t="str">
        <f>ROUND(Y54/$Y$104*100,2)</f>
        <v>0</v>
      </c>
      <c r="AA54" s="0" t="str">
        <f>ROUND($AC$1*Z54/100,2)</f>
        <v>0</v>
      </c>
    </row>
    <row r="55" spans="1:30">
      <c r="A55" s="99"/>
      <c r="B55" s="99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154" t="str">
        <f>SUM(C55:N55)</f>
        <v>0</v>
      </c>
      <c r="P55" s="154" t="str">
        <f>IF(Výtahy!B55="ano",O55,0)</f>
        <v>0</v>
      </c>
      <c r="Q55" s="154" t="str">
        <f>O55</f>
        <v>0</v>
      </c>
      <c r="Y55" s="212" t="str">
        <f>X55*Evidence!N55/100</f>
        <v>0</v>
      </c>
      <c r="Z55" s="212" t="str">
        <f>ROUND(Y55/$Y$104*100,2)</f>
        <v>0</v>
      </c>
      <c r="AA55" s="0" t="str">
        <f>ROUND($AC$1*Z55/100,2)</f>
        <v>0</v>
      </c>
    </row>
    <row r="56" spans="1:30">
      <c r="A56" s="99"/>
      <c r="B56" s="99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154" t="str">
        <f>SUM(C56:N56)</f>
        <v>0</v>
      </c>
      <c r="P56" s="154" t="str">
        <f>IF(Výtahy!B56="ano",O56,0)</f>
        <v>0</v>
      </c>
      <c r="Q56" s="154" t="str">
        <f>O56</f>
        <v>0</v>
      </c>
      <c r="Y56" s="212" t="str">
        <f>X56*Evidence!N56/100</f>
        <v>0</v>
      </c>
      <c r="Z56" s="212" t="str">
        <f>ROUND(Y56/$Y$104*100,2)</f>
        <v>0</v>
      </c>
      <c r="AA56" s="0" t="str">
        <f>ROUND($AC$1*Z56/100,2)</f>
        <v>0</v>
      </c>
    </row>
    <row r="57" spans="1:30">
      <c r="A57" s="99"/>
      <c r="B57" s="99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154" t="str">
        <f>SUM(C57:N57)</f>
        <v>0</v>
      </c>
      <c r="P57" s="154" t="str">
        <f>IF(Výtahy!B57="ano",O57,0)</f>
        <v>0</v>
      </c>
      <c r="Q57" s="154" t="str">
        <f>O57</f>
        <v>0</v>
      </c>
      <c r="Y57" s="212" t="str">
        <f>X57*Evidence!N57/100</f>
        <v>0</v>
      </c>
      <c r="Z57" s="212" t="str">
        <f>ROUND(Y57/$Y$104*100,2)</f>
        <v>0</v>
      </c>
      <c r="AA57" s="0" t="str">
        <f>ROUND($AC$1*Z57/100,2)</f>
        <v>0</v>
      </c>
    </row>
    <row r="58" spans="1:30">
      <c r="A58" s="99"/>
      <c r="B58" s="99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154" t="str">
        <f>SUM(C58:N58)</f>
        <v>0</v>
      </c>
      <c r="P58" s="154" t="str">
        <f>IF(Výtahy!B58="ano",O58,0)</f>
        <v>0</v>
      </c>
      <c r="Q58" s="154" t="str">
        <f>O58</f>
        <v>0</v>
      </c>
      <c r="Y58" s="212" t="str">
        <f>X58*Evidence!N58/100</f>
        <v>0</v>
      </c>
      <c r="Z58" s="212" t="str">
        <f>ROUND(Y58/$Y$104*100,2)</f>
        <v>0</v>
      </c>
      <c r="AA58" s="0" t="str">
        <f>ROUND($AC$1*Z58/100,2)</f>
        <v>0</v>
      </c>
    </row>
    <row r="59" spans="1:30">
      <c r="A59" s="99"/>
      <c r="B59" s="99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154" t="str">
        <f>SUM(C59:N59)</f>
        <v>0</v>
      </c>
      <c r="P59" s="154" t="str">
        <f>IF(Výtahy!B59="ano",O59,0)</f>
        <v>0</v>
      </c>
      <c r="Q59" s="154" t="str">
        <f>O59</f>
        <v>0</v>
      </c>
      <c r="Y59" s="212" t="str">
        <f>X59*Evidence!N59/100</f>
        <v>0</v>
      </c>
      <c r="Z59" s="212" t="str">
        <f>ROUND(Y59/$Y$104*100,2)</f>
        <v>0</v>
      </c>
      <c r="AA59" s="0" t="str">
        <f>ROUND($AC$1*Z59/100,2)</f>
        <v>0</v>
      </c>
    </row>
    <row r="60" spans="1:30">
      <c r="A60" s="99"/>
      <c r="B60" s="99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154" t="str">
        <f>SUM(C60:N60)</f>
        <v>0</v>
      </c>
      <c r="P60" s="154" t="str">
        <f>IF(Výtahy!B60="ano",O60,0)</f>
        <v>0</v>
      </c>
      <c r="Q60" s="154" t="str">
        <f>O60</f>
        <v>0</v>
      </c>
      <c r="Y60" s="212" t="str">
        <f>X60*Evidence!N60/100</f>
        <v>0</v>
      </c>
      <c r="Z60" s="212" t="str">
        <f>ROUND(Y60/$Y$104*100,2)</f>
        <v>0</v>
      </c>
      <c r="AA60" s="0" t="str">
        <f>ROUND($AC$1*Z60/100,2)</f>
        <v>0</v>
      </c>
    </row>
    <row r="61" spans="1:30">
      <c r="A61" s="99"/>
      <c r="B61" s="99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154" t="str">
        <f>SUM(C61:N61)</f>
        <v>0</v>
      </c>
      <c r="P61" s="154" t="str">
        <f>IF(Výtahy!B61="ano",O61,0)</f>
        <v>0</v>
      </c>
      <c r="Q61" s="154" t="str">
        <f>O61</f>
        <v>0</v>
      </c>
      <c r="Y61" s="212" t="str">
        <f>X61*Evidence!N61/100</f>
        <v>0</v>
      </c>
      <c r="Z61" s="212" t="str">
        <f>ROUND(Y61/$Y$104*100,2)</f>
        <v>0</v>
      </c>
      <c r="AA61" s="0" t="str">
        <f>ROUND($AC$1*Z61/100,2)</f>
        <v>0</v>
      </c>
    </row>
    <row r="62" spans="1:30">
      <c r="A62" s="99"/>
      <c r="B62" s="99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154" t="str">
        <f>SUM(C62:N62)</f>
        <v>0</v>
      </c>
      <c r="P62" s="154" t="str">
        <f>IF(Výtahy!B62="ano",O62,0)</f>
        <v>0</v>
      </c>
      <c r="Q62" s="154" t="str">
        <f>O62</f>
        <v>0</v>
      </c>
      <c r="Y62" s="212" t="str">
        <f>X62*Evidence!N62/100</f>
        <v>0</v>
      </c>
      <c r="Z62" s="212" t="str">
        <f>ROUND(Y62/$Y$104*100,2)</f>
        <v>0</v>
      </c>
      <c r="AA62" s="0" t="str">
        <f>ROUND($AC$1*Z62/100,2)</f>
        <v>0</v>
      </c>
    </row>
    <row r="63" spans="1:30">
      <c r="A63" s="99"/>
      <c r="B63" s="99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154" t="str">
        <f>SUM(C63:N63)</f>
        <v>0</v>
      </c>
      <c r="P63" s="154" t="str">
        <f>IF(Výtahy!B63="ano",O63,0)</f>
        <v>0</v>
      </c>
      <c r="Q63" s="154" t="str">
        <f>O63</f>
        <v>0</v>
      </c>
      <c r="Y63" s="212" t="str">
        <f>X63*Evidence!N63/100</f>
        <v>0</v>
      </c>
      <c r="Z63" s="212" t="str">
        <f>ROUND(Y63/$Y$104*100,2)</f>
        <v>0</v>
      </c>
      <c r="AA63" s="0" t="str">
        <f>ROUND($AC$1*Z63/100,2)</f>
        <v>0</v>
      </c>
    </row>
    <row r="64" spans="1:30">
      <c r="A64" s="99"/>
      <c r="B64" s="99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154" t="str">
        <f>SUM(C64:N64)</f>
        <v>0</v>
      </c>
      <c r="P64" s="154" t="str">
        <f>IF(Výtahy!B64="ano",O64,0)</f>
        <v>0</v>
      </c>
      <c r="Q64" s="154" t="str">
        <f>O64</f>
        <v>0</v>
      </c>
      <c r="Y64" s="212" t="str">
        <f>X64*Evidence!N64/100</f>
        <v>0</v>
      </c>
      <c r="Z64" s="212" t="str">
        <f>ROUND(Y64/$Y$104*100,2)</f>
        <v>0</v>
      </c>
      <c r="AA64" s="0" t="str">
        <f>ROUND($AC$1*Z64/100,2)</f>
        <v>0</v>
      </c>
    </row>
    <row r="65" spans="1:30">
      <c r="A65" s="99"/>
      <c r="B65" s="99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154" t="str">
        <f>SUM(C65:N65)</f>
        <v>0</v>
      </c>
      <c r="P65" s="154" t="str">
        <f>IF(Výtahy!B65="ano",O65,0)</f>
        <v>0</v>
      </c>
      <c r="Q65" s="154" t="str">
        <f>O65</f>
        <v>0</v>
      </c>
      <c r="Y65" s="212" t="str">
        <f>X65*Evidence!N65/100</f>
        <v>0</v>
      </c>
      <c r="Z65" s="212" t="str">
        <f>ROUND(Y65/$Y$104*100,2)</f>
        <v>0</v>
      </c>
      <c r="AA65" s="0" t="str">
        <f>ROUND($AC$1*Z65/100,2)</f>
        <v>0</v>
      </c>
    </row>
    <row r="66" spans="1:30">
      <c r="A66" s="99"/>
      <c r="B66" s="99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154" t="str">
        <f>SUM(C66:N66)</f>
        <v>0</v>
      </c>
      <c r="P66" s="154" t="str">
        <f>IF(Výtahy!B66="ano",O66,0)</f>
        <v>0</v>
      </c>
      <c r="Q66" s="154" t="str">
        <f>O66</f>
        <v>0</v>
      </c>
      <c r="Y66" s="212" t="str">
        <f>X66*Evidence!N66/100</f>
        <v>0</v>
      </c>
      <c r="Z66" s="212" t="str">
        <f>ROUND(Y66/$Y$104*100,2)</f>
        <v>0</v>
      </c>
      <c r="AA66" s="0" t="str">
        <f>ROUND($AC$1*Z66/100,2)</f>
        <v>0</v>
      </c>
    </row>
    <row r="67" spans="1:30">
      <c r="A67" s="99"/>
      <c r="B67" s="99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154" t="str">
        <f>SUM(C67:N67)</f>
        <v>0</v>
      </c>
      <c r="P67" s="154" t="str">
        <f>IF(Výtahy!B67="ano",O67,0)</f>
        <v>0</v>
      </c>
      <c r="Q67" s="154" t="str">
        <f>O67</f>
        <v>0</v>
      </c>
      <c r="Y67" s="212" t="str">
        <f>X67*Evidence!N67/100</f>
        <v>0</v>
      </c>
      <c r="Z67" s="212" t="str">
        <f>ROUND(Y67/$Y$104*100,2)</f>
        <v>0</v>
      </c>
      <c r="AA67" s="0" t="str">
        <f>ROUND($AC$1*Z67/100,2)</f>
        <v>0</v>
      </c>
    </row>
    <row r="68" spans="1:30">
      <c r="A68" s="99"/>
      <c r="B68" s="99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154" t="str">
        <f>SUM(C68:N68)</f>
        <v>0</v>
      </c>
      <c r="P68" s="154" t="str">
        <f>IF(Výtahy!B68="ano",O68,0)</f>
        <v>0</v>
      </c>
      <c r="Q68" s="154" t="str">
        <f>O68</f>
        <v>0</v>
      </c>
      <c r="Y68" s="212" t="str">
        <f>X68*Evidence!N68/100</f>
        <v>0</v>
      </c>
      <c r="Z68" s="212" t="str">
        <f>ROUND(Y68/$Y$104*100,2)</f>
        <v>0</v>
      </c>
      <c r="AA68" s="0" t="str">
        <f>ROUND($AC$1*Z68/100,2)</f>
        <v>0</v>
      </c>
    </row>
    <row r="69" spans="1:30">
      <c r="A69" s="99"/>
      <c r="B69" s="99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154" t="str">
        <f>SUM(C69:N69)</f>
        <v>0</v>
      </c>
      <c r="P69" s="154" t="str">
        <f>IF(Výtahy!B69="ano",O69,0)</f>
        <v>0</v>
      </c>
      <c r="Q69" s="154" t="str">
        <f>O69</f>
        <v>0</v>
      </c>
      <c r="Y69" s="212" t="str">
        <f>X69*Evidence!N69/100</f>
        <v>0</v>
      </c>
      <c r="Z69" s="212" t="str">
        <f>ROUND(Y69/$Y$104*100,2)</f>
        <v>0</v>
      </c>
      <c r="AA69" s="0" t="str">
        <f>ROUND($AC$1*Z69/100,2)</f>
        <v>0</v>
      </c>
    </row>
    <row r="70" spans="1:30">
      <c r="A70" s="99"/>
      <c r="B70" s="99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154" t="str">
        <f>SUM(C70:N70)</f>
        <v>0</v>
      </c>
      <c r="P70" s="154" t="str">
        <f>IF(Výtahy!B70="ano",O70,0)</f>
        <v>0</v>
      </c>
      <c r="Q70" s="154" t="str">
        <f>O70</f>
        <v>0</v>
      </c>
      <c r="Y70" s="212" t="str">
        <f>X70*Evidence!N70/100</f>
        <v>0</v>
      </c>
      <c r="Z70" s="212" t="str">
        <f>ROUND(Y70/$Y$104*100,2)</f>
        <v>0</v>
      </c>
      <c r="AA70" s="0" t="str">
        <f>ROUND($AC$1*Z70/100,2)</f>
        <v>0</v>
      </c>
    </row>
    <row r="71" spans="1:30">
      <c r="A71" s="99"/>
      <c r="B71" s="99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154" t="str">
        <f>SUM(C71:N71)</f>
        <v>0</v>
      </c>
      <c r="P71" s="154" t="str">
        <f>IF(Výtahy!B71="ano",O71,0)</f>
        <v>0</v>
      </c>
      <c r="Q71" s="154" t="str">
        <f>O71</f>
        <v>0</v>
      </c>
      <c r="Y71" s="212" t="str">
        <f>X71*Evidence!N71/100</f>
        <v>0</v>
      </c>
      <c r="Z71" s="212" t="str">
        <f>ROUND(Y71/$Y$104*100,2)</f>
        <v>0</v>
      </c>
      <c r="AA71" s="0" t="str">
        <f>ROUND($AC$1*Z71/100,2)</f>
        <v>0</v>
      </c>
    </row>
    <row r="72" spans="1:30">
      <c r="A72" s="99"/>
      <c r="B72" s="99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154" t="str">
        <f>SUM(C72:N72)</f>
        <v>0</v>
      </c>
      <c r="P72" s="154" t="str">
        <f>IF(Výtahy!B72="ano",O72,0)</f>
        <v>0</v>
      </c>
      <c r="Q72" s="154" t="str">
        <f>O72</f>
        <v>0</v>
      </c>
      <c r="Y72" s="212" t="str">
        <f>X72*Evidence!N72/100</f>
        <v>0</v>
      </c>
      <c r="Z72" s="212" t="str">
        <f>ROUND(Y72/$Y$104*100,2)</f>
        <v>0</v>
      </c>
      <c r="AA72" s="0" t="str">
        <f>ROUND($AC$1*Z72/100,2)</f>
        <v>0</v>
      </c>
    </row>
    <row r="73" spans="1:30">
      <c r="A73" s="99"/>
      <c r="B73" s="99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154" t="str">
        <f>SUM(C73:N73)</f>
        <v>0</v>
      </c>
      <c r="P73" s="154" t="str">
        <f>IF(Výtahy!B73="ano",O73,0)</f>
        <v>0</v>
      </c>
      <c r="Q73" s="154" t="str">
        <f>O73</f>
        <v>0</v>
      </c>
      <c r="Y73" s="212" t="str">
        <f>X73*Evidence!N73/100</f>
        <v>0</v>
      </c>
      <c r="Z73" s="212" t="str">
        <f>ROUND(Y73/$Y$104*100,2)</f>
        <v>0</v>
      </c>
      <c r="AA73" s="0" t="str">
        <f>ROUND($AC$1*Z73/100,2)</f>
        <v>0</v>
      </c>
    </row>
    <row r="74" spans="1:30">
      <c r="A74" s="99"/>
      <c r="B74" s="99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154" t="str">
        <f>SUM(C74:N74)</f>
        <v>0</v>
      </c>
      <c r="P74" s="154" t="str">
        <f>IF(Výtahy!B74="ano",O74,0)</f>
        <v>0</v>
      </c>
      <c r="Q74" s="154" t="str">
        <f>O74</f>
        <v>0</v>
      </c>
      <c r="Y74" s="212" t="str">
        <f>X74*Evidence!N74/100</f>
        <v>0</v>
      </c>
      <c r="Z74" s="212" t="str">
        <f>ROUND(Y74/$Y$104*100,2)</f>
        <v>0</v>
      </c>
      <c r="AA74" s="0" t="str">
        <f>ROUND($AC$1*Z74/100,2)</f>
        <v>0</v>
      </c>
    </row>
    <row r="75" spans="1:30">
      <c r="A75" s="99"/>
      <c r="B75" s="99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154" t="str">
        <f>SUM(C75:N75)</f>
        <v>0</v>
      </c>
      <c r="P75" s="154" t="str">
        <f>IF(Výtahy!B75="ano",O75,0)</f>
        <v>0</v>
      </c>
      <c r="Q75" s="154" t="str">
        <f>O75</f>
        <v>0</v>
      </c>
      <c r="Y75" s="212" t="str">
        <f>X75*Evidence!N75/100</f>
        <v>0</v>
      </c>
      <c r="Z75" s="212" t="str">
        <f>ROUND(Y75/$Y$104*100,2)</f>
        <v>0</v>
      </c>
      <c r="AA75" s="0" t="str">
        <f>ROUND($AC$1*Z75/100,2)</f>
        <v>0</v>
      </c>
    </row>
    <row r="76" spans="1:30">
      <c r="A76" s="99"/>
      <c r="B76" s="99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154" t="str">
        <f>SUM(C76:N76)</f>
        <v>0</v>
      </c>
      <c r="P76" s="154" t="str">
        <f>IF(Výtahy!B76="ano",O76,0)</f>
        <v>0</v>
      </c>
      <c r="Q76" s="154" t="str">
        <f>O76</f>
        <v>0</v>
      </c>
      <c r="Y76" s="212" t="str">
        <f>X76*Evidence!N76/100</f>
        <v>0</v>
      </c>
      <c r="Z76" s="212" t="str">
        <f>ROUND(Y76/$Y$104*100,2)</f>
        <v>0</v>
      </c>
      <c r="AA76" s="0" t="str">
        <f>ROUND($AC$1*Z76/100,2)</f>
        <v>0</v>
      </c>
    </row>
    <row r="77" spans="1:30">
      <c r="A77" s="99"/>
      <c r="B77" s="99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154" t="str">
        <f>SUM(C77:N77)</f>
        <v>0</v>
      </c>
      <c r="P77" s="154" t="str">
        <f>IF(Výtahy!B77="ano",O77,0)</f>
        <v>0</v>
      </c>
      <c r="Q77" s="154" t="str">
        <f>O77</f>
        <v>0</v>
      </c>
      <c r="Y77" s="212" t="str">
        <f>X77*Evidence!N77/100</f>
        <v>0</v>
      </c>
      <c r="Z77" s="212" t="str">
        <f>ROUND(Y77/$Y$104*100,2)</f>
        <v>0</v>
      </c>
      <c r="AA77" s="0" t="str">
        <f>ROUND($AC$1*Z77/100,2)</f>
        <v>0</v>
      </c>
    </row>
    <row r="78" spans="1:30">
      <c r="A78" s="99"/>
      <c r="B78" s="99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154" t="str">
        <f>SUM(C78:N78)</f>
        <v>0</v>
      </c>
      <c r="P78" s="154" t="str">
        <f>IF(Výtahy!B78="ano",O78,0)</f>
        <v>0</v>
      </c>
      <c r="Q78" s="154" t="str">
        <f>O78</f>
        <v>0</v>
      </c>
      <c r="Y78" s="212" t="str">
        <f>X78*Evidence!N78/100</f>
        <v>0</v>
      </c>
      <c r="Z78" s="212" t="str">
        <f>ROUND(Y78/$Y$104*100,2)</f>
        <v>0</v>
      </c>
      <c r="AA78" s="0" t="str">
        <f>ROUND($AC$1*Z78/100,2)</f>
        <v>0</v>
      </c>
    </row>
    <row r="79" spans="1:30">
      <c r="A79" s="99"/>
      <c r="B79" s="99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154" t="str">
        <f>SUM(C79:N79)</f>
        <v>0</v>
      </c>
      <c r="P79" s="154" t="str">
        <f>IF(Výtahy!B79="ano",O79,0)</f>
        <v>0</v>
      </c>
      <c r="Q79" s="154" t="str">
        <f>O79</f>
        <v>0</v>
      </c>
      <c r="Y79" s="212" t="str">
        <f>X79*Evidence!N79/100</f>
        <v>0</v>
      </c>
      <c r="Z79" s="212" t="str">
        <f>ROUND(Y79/$Y$104*100,2)</f>
        <v>0</v>
      </c>
      <c r="AA79" s="0" t="str">
        <f>ROUND($AC$1*Z79/100,2)</f>
        <v>0</v>
      </c>
    </row>
    <row r="80" spans="1:30">
      <c r="A80" s="99"/>
      <c r="B80" s="99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154" t="str">
        <f>SUM(C80:N80)</f>
        <v>0</v>
      </c>
      <c r="P80" s="154" t="str">
        <f>IF(Výtahy!B80="ano",O80,0)</f>
        <v>0</v>
      </c>
      <c r="Q80" s="154" t="str">
        <f>O80</f>
        <v>0</v>
      </c>
      <c r="Y80" s="212" t="str">
        <f>X80*Evidence!N80/100</f>
        <v>0</v>
      </c>
      <c r="Z80" s="212" t="str">
        <f>ROUND(Y80/$Y$104*100,2)</f>
        <v>0</v>
      </c>
      <c r="AA80" s="0" t="str">
        <f>ROUND($AC$1*Z80/100,2)</f>
        <v>0</v>
      </c>
    </row>
    <row r="81" spans="1:30">
      <c r="A81" s="99"/>
      <c r="B81" s="99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154" t="str">
        <f>SUM(C81:N81)</f>
        <v>0</v>
      </c>
      <c r="P81" s="154" t="str">
        <f>IF(Výtahy!B81="ano",O81,0)</f>
        <v>0</v>
      </c>
      <c r="Q81" s="154" t="str">
        <f>O81</f>
        <v>0</v>
      </c>
      <c r="Y81" s="212" t="str">
        <f>X81*Evidence!N81/100</f>
        <v>0</v>
      </c>
      <c r="Z81" s="212" t="str">
        <f>ROUND(Y81/$Y$104*100,2)</f>
        <v>0</v>
      </c>
      <c r="AA81" s="0" t="str">
        <f>ROUND($AC$1*Z81/100,2)</f>
        <v>0</v>
      </c>
    </row>
    <row r="82" spans="1:30">
      <c r="A82" s="99"/>
      <c r="B82" s="99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154" t="str">
        <f>SUM(C82:N82)</f>
        <v>0</v>
      </c>
      <c r="P82" s="154" t="str">
        <f>IF(Výtahy!B82="ano",O82,0)</f>
        <v>0</v>
      </c>
      <c r="Q82" s="154" t="str">
        <f>O82</f>
        <v>0</v>
      </c>
      <c r="Y82" s="212" t="str">
        <f>X82*Evidence!N82/100</f>
        <v>0</v>
      </c>
      <c r="Z82" s="212" t="str">
        <f>ROUND(Y82/$Y$104*100,2)</f>
        <v>0</v>
      </c>
      <c r="AA82" s="0" t="str">
        <f>ROUND($AC$1*Z82/100,2)</f>
        <v>0</v>
      </c>
    </row>
    <row r="83" spans="1:30">
      <c r="A83" s="99"/>
      <c r="B83" s="99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154" t="str">
        <f>SUM(C83:N83)</f>
        <v>0</v>
      </c>
      <c r="P83" s="154" t="str">
        <f>IF(Výtahy!B83="ano",O83,0)</f>
        <v>0</v>
      </c>
      <c r="Q83" s="154" t="str">
        <f>O83</f>
        <v>0</v>
      </c>
      <c r="Y83" s="212" t="str">
        <f>X83*Evidence!N83/100</f>
        <v>0</v>
      </c>
      <c r="Z83" s="212" t="str">
        <f>ROUND(Y83/$Y$104*100,2)</f>
        <v>0</v>
      </c>
      <c r="AA83" s="0" t="str">
        <f>ROUND($AC$1*Z83/100,2)</f>
        <v>0</v>
      </c>
    </row>
    <row r="84" spans="1:30">
      <c r="A84" s="99"/>
      <c r="B84" s="99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154" t="str">
        <f>SUM(C84:N84)</f>
        <v>0</v>
      </c>
      <c r="P84" s="154" t="str">
        <f>IF(Výtahy!B84="ano",O84,0)</f>
        <v>0</v>
      </c>
      <c r="Q84" s="154" t="str">
        <f>O84</f>
        <v>0</v>
      </c>
      <c r="Y84" s="212" t="str">
        <f>X84*Evidence!N84/100</f>
        <v>0</v>
      </c>
      <c r="Z84" s="212" t="str">
        <f>ROUND(Y84/$Y$104*100,2)</f>
        <v>0</v>
      </c>
      <c r="AA84" s="0" t="str">
        <f>ROUND($AC$1*Z84/100,2)</f>
        <v>0</v>
      </c>
    </row>
    <row r="85" spans="1:30">
      <c r="A85" s="99"/>
      <c r="B85" s="99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154" t="str">
        <f>SUM(C85:N85)</f>
        <v>0</v>
      </c>
      <c r="P85" s="154" t="str">
        <f>IF(Výtahy!B85="ano",O85,0)</f>
        <v>0</v>
      </c>
      <c r="Q85" s="154" t="str">
        <f>O85</f>
        <v>0</v>
      </c>
      <c r="Y85" s="212" t="str">
        <f>X85*Evidence!N85/100</f>
        <v>0</v>
      </c>
      <c r="Z85" s="212" t="str">
        <f>ROUND(Y85/$Y$104*100,2)</f>
        <v>0</v>
      </c>
      <c r="AA85" s="0" t="str">
        <f>ROUND($AC$1*Z85/100,2)</f>
        <v>0</v>
      </c>
    </row>
    <row r="86" spans="1:30">
      <c r="A86" s="99"/>
      <c r="B86" s="99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154" t="str">
        <f>SUM(C86:N86)</f>
        <v>0</v>
      </c>
      <c r="P86" s="154" t="str">
        <f>IF(Výtahy!B86="ano",O86,0)</f>
        <v>0</v>
      </c>
      <c r="Q86" s="154" t="str">
        <f>O86</f>
        <v>0</v>
      </c>
      <c r="Y86" s="212" t="str">
        <f>X86*Evidence!N86/100</f>
        <v>0</v>
      </c>
      <c r="Z86" s="212" t="str">
        <f>ROUND(Y86/$Y$104*100,2)</f>
        <v>0</v>
      </c>
      <c r="AA86" s="0" t="str">
        <f>ROUND($AC$1*Z86/100,2)</f>
        <v>0</v>
      </c>
    </row>
    <row r="87" spans="1:30">
      <c r="A87" s="99"/>
      <c r="B87" s="99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154" t="str">
        <f>SUM(C87:N87)</f>
        <v>0</v>
      </c>
      <c r="P87" s="154" t="str">
        <f>IF(Výtahy!B87="ano",O87,0)</f>
        <v>0</v>
      </c>
      <c r="Q87" s="154" t="str">
        <f>O87</f>
        <v>0</v>
      </c>
      <c r="Y87" s="212" t="str">
        <f>X87*Evidence!N87/100</f>
        <v>0</v>
      </c>
      <c r="Z87" s="212" t="str">
        <f>ROUND(Y87/$Y$104*100,2)</f>
        <v>0</v>
      </c>
      <c r="AA87" s="0" t="str">
        <f>ROUND($AC$1*Z87/100,2)</f>
        <v>0</v>
      </c>
    </row>
    <row r="88" spans="1:30">
      <c r="A88" s="99"/>
      <c r="B88" s="99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154" t="str">
        <f>SUM(C88:N88)</f>
        <v>0</v>
      </c>
      <c r="P88" s="154" t="str">
        <f>IF(Výtahy!B88="ano",O88,0)</f>
        <v>0</v>
      </c>
      <c r="Q88" s="154" t="str">
        <f>O88</f>
        <v>0</v>
      </c>
      <c r="Y88" s="212" t="str">
        <f>X88*Evidence!N88/100</f>
        <v>0</v>
      </c>
      <c r="Z88" s="212" t="str">
        <f>ROUND(Y88/$Y$104*100,2)</f>
        <v>0</v>
      </c>
      <c r="AA88" s="0" t="str">
        <f>ROUND($AC$1*Z88/100,2)</f>
        <v>0</v>
      </c>
    </row>
    <row r="89" spans="1:30">
      <c r="A89" s="99"/>
      <c r="B89" s="99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154" t="str">
        <f>SUM(C89:N89)</f>
        <v>0</v>
      </c>
      <c r="P89" s="154" t="str">
        <f>IF(Výtahy!B89="ano",O89,0)</f>
        <v>0</v>
      </c>
      <c r="Q89" s="154" t="str">
        <f>O89</f>
        <v>0</v>
      </c>
      <c r="Y89" s="212" t="str">
        <f>X89*Evidence!N89/100</f>
        <v>0</v>
      </c>
      <c r="Z89" s="212" t="str">
        <f>ROUND(Y89/$Y$104*100,2)</f>
        <v>0</v>
      </c>
      <c r="AA89" s="0" t="str">
        <f>ROUND($AC$1*Z89/100,2)</f>
        <v>0</v>
      </c>
    </row>
    <row r="90" spans="1:30">
      <c r="A90" s="99"/>
      <c r="B90" s="99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154" t="str">
        <f>SUM(C90:N90)</f>
        <v>0</v>
      </c>
      <c r="P90" s="154" t="str">
        <f>IF(Výtahy!B90="ano",O90,0)</f>
        <v>0</v>
      </c>
      <c r="Q90" s="154" t="str">
        <f>O90</f>
        <v>0</v>
      </c>
      <c r="Y90" s="212" t="str">
        <f>X90*Evidence!N90/100</f>
        <v>0</v>
      </c>
      <c r="Z90" s="212" t="str">
        <f>ROUND(Y90/$Y$104*100,2)</f>
        <v>0</v>
      </c>
      <c r="AA90" s="0" t="str">
        <f>ROUND($AC$1*Z90/100,2)</f>
        <v>0</v>
      </c>
    </row>
    <row r="91" spans="1:30">
      <c r="A91" s="99"/>
      <c r="B91" s="99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154" t="str">
        <f>SUM(C91:N91)</f>
        <v>0</v>
      </c>
      <c r="P91" s="154" t="str">
        <f>IF(Výtahy!B91="ano",O91,0)</f>
        <v>0</v>
      </c>
      <c r="Q91" s="154" t="str">
        <f>O91</f>
        <v>0</v>
      </c>
      <c r="Y91" s="212" t="str">
        <f>X91*Evidence!N91/100</f>
        <v>0</v>
      </c>
      <c r="Z91" s="212" t="str">
        <f>ROUND(Y91/$Y$104*100,2)</f>
        <v>0</v>
      </c>
      <c r="AA91" s="0" t="str">
        <f>ROUND($AC$1*Z91/100,2)</f>
        <v>0</v>
      </c>
    </row>
    <row r="92" spans="1:30">
      <c r="A92" s="99"/>
      <c r="B92" s="99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154" t="str">
        <f>SUM(C92:N92)</f>
        <v>0</v>
      </c>
      <c r="P92" s="154" t="str">
        <f>IF(Výtahy!B92="ano",O92,0)</f>
        <v>0</v>
      </c>
      <c r="Q92" s="154" t="str">
        <f>O92</f>
        <v>0</v>
      </c>
      <c r="Y92" s="212" t="str">
        <f>X92*Evidence!N92/100</f>
        <v>0</v>
      </c>
      <c r="Z92" s="212" t="str">
        <f>ROUND(Y92/$Y$104*100,2)</f>
        <v>0</v>
      </c>
      <c r="AA92" s="0" t="str">
        <f>ROUND($AC$1*Z92/100,2)</f>
        <v>0</v>
      </c>
    </row>
    <row r="93" spans="1:30">
      <c r="A93" s="99"/>
      <c r="B93" s="99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154" t="str">
        <f>SUM(C93:N93)</f>
        <v>0</v>
      </c>
      <c r="P93" s="154" t="str">
        <f>IF(Výtahy!B93="ano",O93,0)</f>
        <v>0</v>
      </c>
      <c r="Q93" s="154" t="str">
        <f>O93</f>
        <v>0</v>
      </c>
      <c r="Y93" s="212" t="str">
        <f>X93*Evidence!N93/100</f>
        <v>0</v>
      </c>
      <c r="Z93" s="212" t="str">
        <f>ROUND(Y93/$Y$104*100,2)</f>
        <v>0</v>
      </c>
      <c r="AA93" s="0" t="str">
        <f>ROUND($AC$1*Z93/100,2)</f>
        <v>0</v>
      </c>
    </row>
    <row r="94" spans="1:30">
      <c r="A94" s="99"/>
      <c r="B94" s="99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154" t="str">
        <f>SUM(C94:N94)</f>
        <v>0</v>
      </c>
      <c r="P94" s="154" t="str">
        <f>IF(Výtahy!B94="ano",O94,0)</f>
        <v>0</v>
      </c>
      <c r="Q94" s="154" t="str">
        <f>O94</f>
        <v>0</v>
      </c>
      <c r="Y94" s="212" t="str">
        <f>X94*Evidence!N94/100</f>
        <v>0</v>
      </c>
      <c r="Z94" s="212" t="str">
        <f>ROUND(Y94/$Y$104*100,2)</f>
        <v>0</v>
      </c>
      <c r="AA94" s="0" t="str">
        <f>ROUND($AC$1*Z94/100,2)</f>
        <v>0</v>
      </c>
    </row>
    <row r="95" spans="1:30">
      <c r="A95" s="99"/>
      <c r="B95" s="99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154" t="str">
        <f>SUM(C95:N95)</f>
        <v>0</v>
      </c>
      <c r="P95" s="154" t="str">
        <f>IF(Výtahy!B95="ano",O95,0)</f>
        <v>0</v>
      </c>
      <c r="Q95" s="154" t="str">
        <f>O95</f>
        <v>0</v>
      </c>
      <c r="Y95" s="212" t="str">
        <f>X95*Evidence!N95/100</f>
        <v>0</v>
      </c>
      <c r="Z95" s="212" t="str">
        <f>ROUND(Y95/$Y$104*100,2)</f>
        <v>0</v>
      </c>
      <c r="AA95" s="0" t="str">
        <f>ROUND($AC$1*Z95/100,2)</f>
        <v>0</v>
      </c>
    </row>
    <row r="96" spans="1:30">
      <c r="A96" s="99"/>
      <c r="B96" s="99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154" t="str">
        <f>SUM(C96:N96)</f>
        <v>0</v>
      </c>
      <c r="P96" s="154" t="str">
        <f>IF(Výtahy!B96="ano",O96,0)</f>
        <v>0</v>
      </c>
      <c r="Q96" s="154" t="str">
        <f>O96</f>
        <v>0</v>
      </c>
      <c r="Y96" s="212" t="str">
        <f>X96*Evidence!N96/100</f>
        <v>0</v>
      </c>
      <c r="Z96" s="212" t="str">
        <f>ROUND(Y96/$Y$104*100,2)</f>
        <v>0</v>
      </c>
      <c r="AA96" s="0" t="str">
        <f>ROUND($AC$1*Z96/100,2)</f>
        <v>0</v>
      </c>
    </row>
    <row r="97" spans="1:30">
      <c r="A97" s="99"/>
      <c r="B97" s="99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154" t="str">
        <f>SUM(C97:N97)</f>
        <v>0</v>
      </c>
      <c r="P97" s="154" t="str">
        <f>IF(Výtahy!B97="ano",O97,0)</f>
        <v>0</v>
      </c>
      <c r="Q97" s="154" t="str">
        <f>O97</f>
        <v>0</v>
      </c>
      <c r="Y97" s="212" t="str">
        <f>X97*Evidence!N97/100</f>
        <v>0</v>
      </c>
      <c r="Z97" s="212" t="str">
        <f>ROUND(Y97/$Y$104*100,2)</f>
        <v>0</v>
      </c>
      <c r="AA97" s="0" t="str">
        <f>ROUND($AC$1*Z97/100,2)</f>
        <v>0</v>
      </c>
    </row>
    <row r="98" spans="1:30">
      <c r="A98" s="99"/>
      <c r="B98" s="99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154" t="str">
        <f>SUM(C98:N98)</f>
        <v>0</v>
      </c>
      <c r="P98" s="154" t="str">
        <f>IF(Výtahy!B98="ano",O98,0)</f>
        <v>0</v>
      </c>
      <c r="Q98" s="154" t="str">
        <f>O98</f>
        <v>0</v>
      </c>
      <c r="Y98" s="212" t="str">
        <f>X98*Evidence!N98/100</f>
        <v>0</v>
      </c>
      <c r="Z98" s="212" t="str">
        <f>ROUND(Y98/$Y$104*100,2)</f>
        <v>0</v>
      </c>
      <c r="AA98" s="0" t="str">
        <f>ROUND($AC$1*Z98/100,2)</f>
        <v>0</v>
      </c>
    </row>
    <row r="99" spans="1:30">
      <c r="A99" s="99"/>
      <c r="B99" s="99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154" t="str">
        <f>SUM(C99:N99)</f>
        <v>0</v>
      </c>
      <c r="P99" s="154" t="str">
        <f>IF(Výtahy!B99="ano",O99,0)</f>
        <v>0</v>
      </c>
      <c r="Q99" s="154" t="str">
        <f>O99</f>
        <v>0</v>
      </c>
      <c r="Y99" s="212" t="str">
        <f>X99*Evidence!N99/100</f>
        <v>0</v>
      </c>
      <c r="Z99" s="212" t="str">
        <f>ROUND(Y99/$Y$104*100,2)</f>
        <v>0</v>
      </c>
      <c r="AA99" s="0" t="str">
        <f>ROUND($AC$1*Z99/100,2)</f>
        <v>0</v>
      </c>
    </row>
    <row r="100" spans="1:30">
      <c r="A100" s="99"/>
      <c r="B100" s="99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154" t="str">
        <f>SUM(C100:N100)</f>
        <v>0</v>
      </c>
      <c r="P100" s="154" t="str">
        <f>IF(Výtahy!B100="ano",O100,0)</f>
        <v>0</v>
      </c>
      <c r="Q100" s="154" t="str">
        <f>O100</f>
        <v>0</v>
      </c>
      <c r="Y100" s="212" t="str">
        <f>X100*Evidence!N100/100</f>
        <v>0</v>
      </c>
      <c r="Z100" s="212" t="str">
        <f>ROUND(Y100/$Y$104*100,2)</f>
        <v>0</v>
      </c>
      <c r="AA100" s="0" t="str">
        <f>ROUND($AC$1*Z100/100,2)</f>
        <v>0</v>
      </c>
    </row>
    <row r="101" spans="1:30">
      <c r="A101" s="99"/>
      <c r="B101" s="99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154" t="str">
        <f>SUM(C101:N101)</f>
        <v>0</v>
      </c>
      <c r="P101" s="154" t="str">
        <f>IF(Výtahy!B101="ano",O101,0)</f>
        <v>0</v>
      </c>
      <c r="Q101" s="154" t="str">
        <f>O101</f>
        <v>0</v>
      </c>
      <c r="Y101" s="212" t="str">
        <f>X101*Evidence!N101/100</f>
        <v>0</v>
      </c>
      <c r="Z101" s="212" t="str">
        <f>ROUND(Y101/$Y$104*100,2)</f>
        <v>0</v>
      </c>
      <c r="AA101" s="0" t="str">
        <f>ROUND($AC$1*Z101/100,2)</f>
        <v>0</v>
      </c>
    </row>
    <row r="102" spans="1:30">
      <c r="A102" s="99"/>
      <c r="B102" s="99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154" t="str">
        <f>SUM(C102:N102)</f>
        <v>0</v>
      </c>
      <c r="P102" s="154" t="str">
        <f>IF(Výtahy!B102="ano",O102,0)</f>
        <v>0</v>
      </c>
      <c r="Q102" s="154" t="str">
        <f>O102</f>
        <v>0</v>
      </c>
      <c r="Y102" s="212" t="str">
        <f>X102*Evidence!N102/100</f>
        <v>0</v>
      </c>
      <c r="Z102" s="212" t="str">
        <f>ROUND(Y102/$Y$104*100,2)</f>
        <v>0</v>
      </c>
      <c r="AA102" s="0" t="str">
        <f>ROUND($AC$1*Z102/100,2)</f>
        <v>0</v>
      </c>
    </row>
    <row r="103" spans="1:30" customHeight="1" ht="15.95">
      <c r="A103" s="108"/>
      <c r="B103" s="108"/>
      <c r="C103" s="156"/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7" t="str">
        <f>SUM(C103:N103)</f>
        <v>0</v>
      </c>
      <c r="P103" s="157" t="str">
        <f>IF(Výtahy!B103="ano",O103,0)</f>
        <v>0</v>
      </c>
      <c r="Q103" s="157" t="str">
        <f>O103</f>
        <v>0</v>
      </c>
      <c r="Y103" s="212" t="str">
        <f>X103*Evidence!N103/100</f>
        <v>0</v>
      </c>
      <c r="Z103" s="212" t="str">
        <f>ROUND(Y103/$Y$104*100,2)</f>
        <v>0</v>
      </c>
      <c r="AA103" s="0" t="str">
        <f>ROUND($AC$1*Z103/100,2)</f>
        <v>0</v>
      </c>
    </row>
    <row r="104" spans="1:30" customHeight="1" ht="15.95">
      <c r="N104" s="158" t="s">
        <v>475</v>
      </c>
      <c r="O104" s="159" t="str">
        <f>SUM(O2:O103)</f>
        <v>0</v>
      </c>
      <c r="P104" s="159" t="str">
        <f>SUM(P2:P103)</f>
        <v>0</v>
      </c>
      <c r="Q104" s="159" t="str">
        <f>SUM(Q2:Q103)</f>
        <v>0</v>
      </c>
      <c r="Y104" s="214" t="str">
        <f>SUM(Y2:Y103)</f>
        <v>0</v>
      </c>
      <c r="AA104" s="263" t="str">
        <f>SUM(AA2:AA103)</f>
        <v>0</v>
      </c>
    </row>
    <row r="105" spans="1:30">
      <c r="X105" s="366" t="str">
        <f>SUM(X2:X104)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T2:T28"/>
  </mergeCells>
  <hyperlinks>
    <hyperlink ref="A1" location="Seznam!A1"/>
  </hyperlinks>
  <printOptions gridLines="false" gridLinesSet="true" horizontalCentered="true"/>
  <pageMargins left="0.19685039370079" right="0.19685039370079" top="0.39370078740157" bottom="0.39370078740157" header="0" footer="0"/>
  <pageSetup paperSize="1" orientation="landscape" scale="11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R105"/>
  <sheetViews>
    <sheetView tabSelected="0" workbookViewId="0" showGridLines="true" showRowColHeaders="1">
      <pane xSplit="1" topLeftCell="B1" activePane="topRight" state="frozen"/>
      <selection pane="topRight" activeCell="A1" sqref="A1"/>
    </sheetView>
  </sheetViews>
  <sheetFormatPr defaultRowHeight="14.4" defaultColWidth="9.1328125" outlineLevelRow="0" outlineLevelCol="0"/>
  <cols>
    <col min="1" max="1" width="22.59765625" customWidth="true" style="138"/>
    <col min="2" max="2" width="4.59765625" customWidth="true" style="138"/>
    <col min="3" max="3" width="4.59765625" customWidth="true" style="138"/>
    <col min="4" max="4" width="4.59765625" customWidth="true" style="138"/>
    <col min="5" max="5" width="4.59765625" customWidth="true" style="138"/>
    <col min="6" max="6" width="4.59765625" customWidth="true" style="138"/>
    <col min="7" max="7" width="4.59765625" customWidth="true" style="138"/>
    <col min="8" max="8" width="4.59765625" customWidth="true" style="138"/>
    <col min="9" max="9" width="4.59765625" customWidth="true" style="138"/>
    <col min="10" max="10" width="4.59765625" customWidth="true" style="138"/>
    <col min="11" max="11" width="4.59765625" customWidth="true" style="138"/>
    <col min="12" max="12" width="4.59765625" customWidth="true" style="138"/>
    <col min="13" max="13" width="4.59765625" customWidth="true" style="138"/>
    <col min="14" max="14" width="7.86328125" customWidth="true" style="120"/>
    <col min="15" max="15" width="4.59765625" customWidth="true" style="138"/>
    <col min="16" max="16" width="4.59765625" customWidth="true" style="138"/>
    <col min="17" max="17" width="4.59765625" customWidth="true" style="138"/>
    <col min="18" max="18" width="4.59765625" customWidth="true" style="138"/>
    <col min="19" max="19" width="4.59765625" customWidth="true" style="138"/>
    <col min="20" max="20" width="4.59765625" customWidth="true" style="138"/>
    <col min="21" max="21" width="4.59765625" customWidth="true" style="138"/>
    <col min="22" max="22" width="4.59765625" customWidth="true" style="138"/>
    <col min="23" max="23" width="4.59765625" customWidth="true" style="138"/>
    <col min="24" max="24" width="4.59765625" customWidth="true" style="138"/>
    <col min="25" max="25" width="4.59765625" customWidth="true" style="138"/>
    <col min="26" max="26" width="4.59765625" customWidth="true" style="138"/>
    <col min="27" max="27" width="7.86328125" customWidth="true" style="120"/>
    <col min="28" max="28" width="3.59765625" customWidth="true" style="138"/>
    <col min="29" max="29" width="3.59765625" customWidth="true" style="138"/>
    <col min="30" max="30" width="3.59765625" customWidth="true" style="138"/>
    <col min="31" max="31" width="3.59765625" customWidth="true" style="138"/>
    <col min="32" max="32" width="3.59765625" customWidth="true" style="138"/>
    <col min="33" max="33" width="3.59765625" customWidth="true" style="138"/>
    <col min="34" max="34" width="3.59765625" customWidth="true" style="138"/>
    <col min="35" max="35" width="3.59765625" customWidth="true" style="138"/>
    <col min="36" max="36" width="3.59765625" customWidth="true" style="138"/>
    <col min="37" max="37" width="3.59765625" customWidth="true" style="138"/>
    <col min="38" max="38" width="3.59765625" customWidth="true" style="138"/>
    <col min="39" max="39" width="3.59765625" customWidth="true" style="138"/>
    <col min="40" max="40" width="7.3984375" customWidth="true" style="120"/>
    <col min="41" max="41" width="4.59765625" customWidth="true" style="138"/>
    <col min="42" max="42" width="4.59765625" customWidth="true" style="138"/>
    <col min="43" max="43" width="4.59765625" customWidth="true" style="138"/>
    <col min="44" max="44" width="4.59765625" customWidth="true" style="138"/>
    <col min="45" max="45" width="4.59765625" customWidth="true" style="138"/>
    <col min="46" max="46" width="4.59765625" customWidth="true" style="138"/>
    <col min="47" max="47" width="4.59765625" customWidth="true" style="138"/>
    <col min="48" max="48" width="4.59765625" customWidth="true" style="138"/>
    <col min="49" max="49" width="4.59765625" customWidth="true" style="138"/>
    <col min="50" max="50" width="4.59765625" customWidth="true" style="138"/>
    <col min="51" max="51" width="4.59765625" customWidth="true" style="138"/>
    <col min="52" max="52" width="4.59765625" customWidth="true" style="138"/>
    <col min="53" max="53" width="7.86328125" customWidth="true" style="120"/>
    <col min="54" max="54" width="4" customWidth="true" style="138"/>
    <col min="55" max="55" width="4" customWidth="true" style="138"/>
    <col min="56" max="56" width="4" customWidth="true" style="138"/>
    <col min="57" max="57" width="4" customWidth="true" style="138"/>
    <col min="58" max="58" width="4" customWidth="true" style="138"/>
    <col min="59" max="59" width="4" customWidth="true" style="138"/>
    <col min="60" max="60" width="4" customWidth="true" style="138"/>
    <col min="61" max="61" width="4" customWidth="true" style="138"/>
    <col min="62" max="62" width="4" customWidth="true" style="138"/>
    <col min="63" max="63" width="4" customWidth="true" style="138"/>
    <col min="64" max="64" width="4" customWidth="true" style="138"/>
    <col min="65" max="65" width="4" customWidth="true" style="138"/>
    <col min="66" max="66" width="7.86328125" customWidth="true" style="120"/>
    <col min="67" max="67" width="3.265625" customWidth="true" style="138"/>
    <col min="68" max="68" width="3.265625" customWidth="true" style="138"/>
    <col min="69" max="69" width="3.265625" customWidth="true" style="138"/>
    <col min="70" max="70" width="3.265625" customWidth="true" style="138"/>
    <col min="71" max="71" width="3.265625" customWidth="true" style="138"/>
    <col min="72" max="72" width="3.265625" customWidth="true" style="138"/>
    <col min="73" max="73" width="3.265625" customWidth="true" style="138"/>
    <col min="74" max="74" width="3.265625" customWidth="true" style="138"/>
    <col min="75" max="75" width="3.265625" customWidth="true" style="138"/>
    <col min="76" max="76" width="3.265625" customWidth="true" style="138"/>
    <col min="77" max="77" width="3.265625" customWidth="true" style="138"/>
    <col min="78" max="78" width="3.265625" customWidth="true" style="138"/>
    <col min="79" max="79" width="7.3984375" customWidth="true" style="120"/>
    <col min="80" max="80" width="6" customWidth="true" style="138"/>
    <col min="81" max="81" width="6" customWidth="true" style="138"/>
    <col min="82" max="82" width="6" customWidth="true" style="138"/>
    <col min="83" max="83" width="6" customWidth="true" style="138"/>
    <col min="84" max="84" width="6" customWidth="true" style="138"/>
    <col min="85" max="85" width="6" customWidth="true" style="138"/>
    <col min="86" max="86" width="6" customWidth="true" style="138"/>
    <col min="87" max="87" width="6" customWidth="true" style="138"/>
    <col min="88" max="88" width="6" customWidth="true" style="138"/>
    <col min="89" max="89" width="6" customWidth="true" style="138"/>
    <col min="90" max="90" width="6" customWidth="true" style="138"/>
    <col min="91" max="91" width="6" customWidth="true" style="138"/>
    <col min="92" max="92" width="9.86328125" customWidth="true" style="138"/>
    <col min="93" max="93" width="5" customWidth="true" style="0"/>
    <col min="94" max="94" width="5" customWidth="true" style="0"/>
    <col min="95" max="95" width="5" customWidth="true" style="0"/>
    <col min="96" max="96" width="5" customWidth="true" style="0"/>
    <col min="97" max="97" width="5" customWidth="true" style="0"/>
    <col min="98" max="98" width="5" customWidth="true" style="0"/>
    <col min="99" max="99" width="5" customWidth="true" style="0"/>
    <col min="100" max="100" width="5" customWidth="true" style="0"/>
    <col min="101" max="101" width="5" customWidth="true" style="0"/>
    <col min="102" max="102" width="5" customWidth="true" style="0"/>
    <col min="103" max="103" width="5" customWidth="true" style="0"/>
    <col min="104" max="104" width="5" customWidth="true" style="0"/>
    <col min="105" max="105" width="8.86328125" customWidth="true" style="0"/>
    <col min="106" max="106" width="5" customWidth="true" style="0"/>
    <col min="107" max="107" width="5" customWidth="true" style="0"/>
    <col min="108" max="108" width="5" customWidth="true" style="0"/>
    <col min="109" max="109" width="5" customWidth="true" style="0"/>
    <col min="110" max="110" width="5" customWidth="true" style="0"/>
    <col min="111" max="111" width="5" customWidth="true" style="0"/>
    <col min="112" max="112" width="5" customWidth="true" style="0"/>
    <col min="113" max="113" width="5" customWidth="true" style="0"/>
    <col min="114" max="114" width="5" customWidth="true" style="0"/>
    <col min="115" max="115" width="5" customWidth="true" style="0"/>
    <col min="116" max="116" width="5" customWidth="true" style="0"/>
    <col min="117" max="117" width="5" customWidth="true" style="0"/>
    <col min="118" max="118" width="8.86328125" customWidth="true" style="0"/>
    <col min="119" max="119" width="5" customWidth="true" style="0"/>
    <col min="120" max="120" width="4" customWidth="true" style="0"/>
    <col min="121" max="121" width="4" customWidth="true" style="0"/>
    <col min="122" max="122" width="4" customWidth="true" style="0"/>
    <col min="123" max="123" width="4" customWidth="true" style="0"/>
    <col min="124" max="124" width="4" customWidth="true" style="0"/>
    <col min="125" max="125" width="4" customWidth="true" style="0"/>
    <col min="126" max="126" width="4" customWidth="true" style="0"/>
    <col min="127" max="127" width="4" customWidth="true" style="0"/>
    <col min="128" max="128" width="4" customWidth="true" style="0"/>
    <col min="129" max="129" width="4" customWidth="true" style="0"/>
    <col min="130" max="130" width="4" customWidth="true" style="0"/>
    <col min="131" max="131" width="7.86328125" customWidth="true" style="0"/>
    <col min="132" max="132" width="2.3984375" customWidth="true" style="0"/>
    <col min="133" max="133" width="2.3984375" customWidth="true" style="0"/>
    <col min="134" max="134" width="2.3984375" customWidth="true" style="138"/>
    <col min="135" max="135" width="2.3984375" customWidth="true" style="138"/>
    <col min="136" max="136" width="2.3984375" customWidth="true" style="138"/>
    <col min="137" max="137" width="2.3984375" customWidth="true" style="138"/>
    <col min="138" max="138" width="2.3984375" customWidth="true" style="138"/>
    <col min="139" max="139" width="2.3984375" customWidth="true" style="138"/>
    <col min="140" max="140" width="2.3984375" customWidth="true" style="138"/>
    <col min="141" max="141" width="3.3984375" customWidth="true" style="138"/>
    <col min="142" max="142" width="3.3984375" customWidth="true" style="138"/>
    <col min="143" max="143" width="3.3984375" customWidth="true" style="138"/>
    <col min="144" max="144" width="7.3984375" customWidth="true" style="138"/>
    <col min="145" max="145" width="4.3984375" customWidth="true" style="138"/>
    <col min="146" max="146" width="4.3984375" customWidth="true" style="138"/>
    <col min="147" max="147" width="4.3984375" customWidth="true" style="138"/>
    <col min="148" max="148" width="4.3984375" customWidth="true" style="138"/>
    <col min="149" max="149" width="4.3984375" customWidth="true" style="138"/>
    <col min="150" max="150" width="4.3984375" customWidth="true" style="138"/>
    <col min="151" max="151" width="4.3984375" customWidth="true" style="138"/>
    <col min="152" max="152" width="4.3984375" customWidth="true" style="138"/>
    <col min="153" max="153" width="4.3984375" customWidth="true" style="138"/>
    <col min="154" max="154" width="4.3984375" customWidth="true" style="138"/>
    <col min="155" max="155" width="4.3984375" customWidth="true" style="138"/>
    <col min="156" max="156" width="4.3984375" customWidth="true" style="138"/>
    <col min="157" max="157" width="7.3984375" customWidth="true" style="138"/>
    <col min="158" max="158" width="4.3984375" customWidth="true" style="184"/>
    <col min="159" max="159" width="4.3984375" customWidth="true" style="184"/>
    <col min="160" max="160" width="4.3984375" customWidth="true" style="184"/>
    <col min="161" max="161" width="4.3984375" customWidth="true" style="184"/>
    <col min="162" max="162" width="4.3984375" customWidth="true" style="184"/>
    <col min="163" max="163" width="4.3984375" customWidth="true" style="184"/>
    <col min="164" max="164" width="4.3984375" customWidth="true" style="184"/>
    <col min="165" max="165" width="4.3984375" customWidth="true" style="184"/>
    <col min="166" max="166" width="4.3984375" customWidth="true" style="184"/>
    <col min="167" max="167" width="4.3984375" customWidth="true" style="184"/>
    <col min="168" max="168" width="4.3984375" customWidth="true" style="184"/>
    <col min="169" max="169" width="4.3984375" customWidth="true" style="184"/>
    <col min="170" max="170" width="7.3984375" customWidth="true" style="138"/>
    <col min="171" max="171" width="6.3984375" customWidth="true" style="138"/>
    <col min="172" max="172" width="6.3984375" customWidth="true" style="138"/>
    <col min="173" max="173" width="6.3984375" customWidth="true" style="138"/>
    <col min="174" max="174" width="6.3984375" customWidth="true" style="138"/>
    <col min="175" max="175" width="6.3984375" customWidth="true" style="138"/>
    <col min="176" max="176" width="6.3984375" customWidth="true" style="138"/>
    <col min="177" max="177" width="6.3984375" customWidth="true" style="138"/>
    <col min="178" max="178" width="6.3984375" customWidth="true" style="138"/>
    <col min="179" max="179" width="6.3984375" customWidth="true" style="138"/>
    <col min="180" max="180" width="6.3984375" customWidth="true" style="138"/>
    <col min="181" max="181" width="6.3984375" customWidth="true" style="138"/>
    <col min="182" max="182" width="6.3984375" customWidth="true" style="138"/>
    <col min="183" max="183" width="7.86328125" customWidth="true" style="138"/>
    <col min="184" max="184" width="4.3984375" customWidth="true" style="184"/>
    <col min="185" max="185" width="4.3984375" customWidth="true" style="184"/>
    <col min="186" max="186" width="4.3984375" customWidth="true" style="184"/>
    <col min="187" max="187" width="4.3984375" customWidth="true" style="184"/>
    <col min="188" max="188" width="4.3984375" customWidth="true" style="184"/>
    <col min="189" max="189" width="4.3984375" customWidth="true" style="184"/>
    <col min="190" max="190" width="4.3984375" customWidth="true" style="184"/>
    <col min="191" max="191" width="4.3984375" customWidth="true" style="184"/>
    <col min="192" max="192" width="4.3984375" customWidth="true" style="184"/>
    <col min="193" max="193" width="4.3984375" customWidth="true" style="184"/>
    <col min="194" max="194" width="4.3984375" customWidth="true" style="184"/>
    <col min="195" max="195" width="4.3984375" customWidth="true" style="184"/>
    <col min="196" max="196" width="7.3984375" customWidth="true" style="184"/>
    <col min="197" max="197" width="4" customWidth="true" style="138"/>
    <col min="198" max="198" width="4" customWidth="true" style="138"/>
    <col min="199" max="199" width="4" customWidth="true" style="138"/>
    <col min="200" max="200" width="4" customWidth="true" style="138"/>
    <col min="201" max="201" width="4" customWidth="true" style="138"/>
    <col min="202" max="202" width="4" customWidth="true" style="138"/>
    <col min="203" max="203" width="4" customWidth="true" style="138"/>
    <col min="204" max="204" width="4" customWidth="true" style="138"/>
    <col min="205" max="205" width="4" customWidth="true" style="138"/>
    <col min="206" max="206" width="4" customWidth="true" style="138"/>
    <col min="207" max="207" width="4" customWidth="true" style="138"/>
    <col min="208" max="208" width="4" customWidth="true" style="138"/>
    <col min="209" max="209" width="7.86328125" customWidth="true" style="138"/>
    <col min="210" max="210" width="4.3984375" customWidth="true" style="184"/>
    <col min="211" max="211" width="4.3984375" customWidth="true" style="184"/>
    <col min="212" max="212" width="4.3984375" customWidth="true" style="184"/>
    <col min="213" max="213" width="4.3984375" customWidth="true" style="184"/>
    <col min="214" max="214" width="4.3984375" customWidth="true" style="184"/>
    <col min="215" max="215" width="4.3984375" customWidth="true" style="184"/>
    <col min="216" max="216" width="4.3984375" customWidth="true" style="184"/>
    <col min="217" max="217" width="4.3984375" customWidth="true" style="184"/>
    <col min="218" max="218" width="4.3984375" customWidth="true" style="184"/>
    <col min="219" max="219" width="4.3984375" customWidth="true" style="184"/>
    <col min="220" max="220" width="4.3984375" customWidth="true" style="184"/>
    <col min="221" max="221" width="4.3984375" customWidth="true" style="184"/>
    <col min="222" max="222" width="7.3984375" customWidth="true" style="184"/>
    <col min="223" max="223" width="6.3984375" customWidth="true" style="138"/>
    <col min="224" max="224" width="6.3984375" customWidth="true" style="138"/>
    <col min="225" max="225" width="6.3984375" customWidth="true" style="138"/>
    <col min="226" max="226" width="6.3984375" customWidth="true" style="138"/>
    <col min="227" max="227" width="6.3984375" customWidth="true" style="138"/>
    <col min="228" max="228" width="6.3984375" customWidth="true" style="138"/>
    <col min="229" max="229" width="6.3984375" customWidth="true" style="138"/>
    <col min="230" max="230" width="6.3984375" customWidth="true" style="138"/>
    <col min="231" max="231" width="6.3984375" customWidth="true" style="138"/>
    <col min="232" max="232" width="6.3984375" customWidth="true" style="138"/>
    <col min="233" max="233" width="6.3984375" customWidth="true" style="138"/>
    <col min="234" max="234" width="6.3984375" customWidth="true" style="138"/>
    <col min="235" max="235" width="7.86328125" customWidth="true" style="138"/>
    <col min="236" max="236" width="4.3984375" customWidth="true" style="184"/>
    <col min="237" max="237" width="4.3984375" customWidth="true" style="184"/>
    <col min="238" max="238" width="4.3984375" customWidth="true" style="184"/>
    <col min="239" max="239" width="4.3984375" customWidth="true" style="184"/>
    <col min="240" max="240" width="4.3984375" customWidth="true" style="184"/>
    <col min="241" max="241" width="4.3984375" customWidth="true" style="184"/>
    <col min="242" max="242" width="4.3984375" customWidth="true" style="184"/>
    <col min="243" max="243" width="4.3984375" customWidth="true" style="184"/>
    <col min="244" max="244" width="4.3984375" customWidth="true" style="184"/>
    <col min="245" max="245" width="4.3984375" customWidth="true" style="184"/>
    <col min="246" max="246" width="4.3984375" customWidth="true" style="184"/>
    <col min="247" max="247" width="4.3984375" customWidth="true" style="184"/>
    <col min="248" max="248" width="7.3984375" customWidth="true" style="184"/>
    <col min="249" max="249" width="4.3984375" customWidth="true" style="184"/>
    <col min="250" max="250" width="4.3984375" customWidth="true" style="184"/>
    <col min="251" max="251" width="4.3984375" customWidth="true" style="184"/>
    <col min="252" max="252" width="4.3984375" customWidth="true" style="184"/>
    <col min="253" max="253" width="4.3984375" customWidth="true" style="184"/>
    <col min="254" max="254" width="4.3984375" customWidth="true" style="184"/>
    <col min="255" max="255" width="4.3984375" customWidth="true" style="184"/>
    <col min="256" max="256" width="4.3984375" customWidth="true" style="184"/>
    <col min="257" max="257" width="4.3984375" customWidth="true" style="184"/>
    <col min="258" max="258" width="4.3984375" customWidth="true" style="184"/>
    <col min="259" max="259" width="4.3984375" customWidth="true" style="184"/>
    <col min="260" max="260" width="4.3984375" customWidth="true" style="184"/>
    <col min="261" max="261" width="7.3984375" customWidth="true" style="184"/>
    <col min="262" max="262" width="9.1328125" style="138"/>
    <col min="263" max="263" width="7.59765625" customWidth="true" style="138"/>
    <col min="264" max="264" width="7.59765625" customWidth="true" style="138"/>
    <col min="265" max="265" width="7.59765625" customWidth="true" style="138"/>
    <col min="266" max="266" width="7.59765625" customWidth="true" style="138"/>
    <col min="267" max="267" width="7.59765625" customWidth="true" style="138"/>
    <col min="268" max="268" width="7.59765625" customWidth="true" style="138"/>
    <col min="269" max="269" width="7.59765625" customWidth="true" style="138"/>
    <col min="270" max="270" width="7.59765625" customWidth="true" style="138"/>
    <col min="271" max="271" width="7.59765625" customWidth="true" style="138"/>
    <col min="272" max="272" width="7.59765625" customWidth="true" style="138"/>
    <col min="273" max="273" width="7.59765625" customWidth="true" style="138"/>
    <col min="274" max="274" width="7.59765625" customWidth="true" style="138"/>
    <col min="275" max="275" width="7.59765625" customWidth="true" style="138"/>
    <col min="276" max="276" width="5.1328125" customWidth="true" style="27"/>
    <col min="277" max="277" width="17.59765625" customWidth="true" style="138"/>
    <col min="278" max="278" width="9.1328125" style="138"/>
  </cols>
  <sheetData>
    <row r="1" spans="1:278" customHeight="1" ht="31.5" s="120" customFormat="1">
      <c r="A1" s="597" t="s">
        <v>0</v>
      </c>
      <c r="B1" s="810" t="str">
        <f>Faktury!A4</f>
        <v>0</v>
      </c>
      <c r="C1" s="811"/>
      <c r="D1" s="811"/>
      <c r="E1" s="811"/>
      <c r="F1" s="811"/>
      <c r="G1" s="811"/>
      <c r="H1" s="811"/>
      <c r="I1" s="811"/>
      <c r="J1" s="811"/>
      <c r="K1" s="811"/>
      <c r="L1" s="811"/>
      <c r="M1" s="812"/>
      <c r="N1" s="121"/>
      <c r="O1" s="807" t="str">
        <f>Faktury!A5</f>
        <v>0</v>
      </c>
      <c r="P1" s="808"/>
      <c r="Q1" s="808"/>
      <c r="R1" s="808"/>
      <c r="S1" s="808"/>
      <c r="T1" s="808"/>
      <c r="U1" s="808"/>
      <c r="V1" s="808"/>
      <c r="W1" s="808"/>
      <c r="X1" s="808"/>
      <c r="Y1" s="808"/>
      <c r="Z1" s="809"/>
      <c r="AA1" s="121"/>
      <c r="AB1" s="810" t="str">
        <f>Faktury!A6</f>
        <v>0</v>
      </c>
      <c r="AC1" s="811"/>
      <c r="AD1" s="811"/>
      <c r="AE1" s="811"/>
      <c r="AF1" s="811"/>
      <c r="AG1" s="811"/>
      <c r="AH1" s="811"/>
      <c r="AI1" s="811"/>
      <c r="AJ1" s="811"/>
      <c r="AK1" s="811"/>
      <c r="AL1" s="811"/>
      <c r="AM1" s="812"/>
      <c r="AN1" s="121"/>
      <c r="AO1" s="807" t="str">
        <f>Faktury!A7</f>
        <v>0</v>
      </c>
      <c r="AP1" s="808"/>
      <c r="AQ1" s="808"/>
      <c r="AR1" s="808"/>
      <c r="AS1" s="808"/>
      <c r="AT1" s="808"/>
      <c r="AU1" s="808"/>
      <c r="AV1" s="808"/>
      <c r="AW1" s="808"/>
      <c r="AX1" s="808"/>
      <c r="AY1" s="808"/>
      <c r="AZ1" s="809"/>
      <c r="BA1" s="121"/>
      <c r="BB1" s="810" t="str">
        <f>Faktury!A3</f>
        <v>0</v>
      </c>
      <c r="BC1" s="811"/>
      <c r="BD1" s="811"/>
      <c r="BE1" s="811"/>
      <c r="BF1" s="811"/>
      <c r="BG1" s="811"/>
      <c r="BH1" s="811"/>
      <c r="BI1" s="811"/>
      <c r="BJ1" s="811"/>
      <c r="BK1" s="811"/>
      <c r="BL1" s="811"/>
      <c r="BM1" s="812"/>
      <c r="BN1" s="121"/>
      <c r="BO1" s="807" t="str">
        <f>Faktury!A11</f>
        <v>0</v>
      </c>
      <c r="BP1" s="808"/>
      <c r="BQ1" s="808"/>
      <c r="BR1" s="808"/>
      <c r="BS1" s="808"/>
      <c r="BT1" s="808"/>
      <c r="BU1" s="808"/>
      <c r="BV1" s="808"/>
      <c r="BW1" s="808"/>
      <c r="BX1" s="808"/>
      <c r="BY1" s="808"/>
      <c r="BZ1" s="809"/>
      <c r="CA1" s="121"/>
      <c r="CB1" s="810" t="str">
        <f>Faktury!A2</f>
        <v>0</v>
      </c>
      <c r="CC1" s="811"/>
      <c r="CD1" s="811"/>
      <c r="CE1" s="811"/>
      <c r="CF1" s="811"/>
      <c r="CG1" s="811"/>
      <c r="CH1" s="811"/>
      <c r="CI1" s="811"/>
      <c r="CJ1" s="811"/>
      <c r="CK1" s="811"/>
      <c r="CL1" s="811"/>
      <c r="CM1" s="812"/>
      <c r="CO1" s="807" t="str">
        <f>Faktury!A8</f>
        <v>0</v>
      </c>
      <c r="CP1" s="808"/>
      <c r="CQ1" s="808"/>
      <c r="CR1" s="808"/>
      <c r="CS1" s="808"/>
      <c r="CT1" s="808"/>
      <c r="CU1" s="808"/>
      <c r="CV1" s="808"/>
      <c r="CW1" s="808"/>
      <c r="CX1" s="808"/>
      <c r="CY1" s="808"/>
      <c r="CZ1" s="809"/>
      <c r="DB1" s="810" t="str">
        <f>Faktury!A9</f>
        <v>0</v>
      </c>
      <c r="DC1" s="811"/>
      <c r="DD1" s="811"/>
      <c r="DE1" s="811"/>
      <c r="DF1" s="811"/>
      <c r="DG1" s="811"/>
      <c r="DH1" s="811"/>
      <c r="DI1" s="811"/>
      <c r="DJ1" s="811"/>
      <c r="DK1" s="811"/>
      <c r="DL1" s="811"/>
      <c r="DM1" s="812"/>
      <c r="DO1" s="807" t="str">
        <f>Faktury!A12</f>
        <v>0</v>
      </c>
      <c r="DP1" s="808"/>
      <c r="DQ1" s="808"/>
      <c r="DR1" s="808"/>
      <c r="DS1" s="808"/>
      <c r="DT1" s="808"/>
      <c r="DU1" s="808"/>
      <c r="DV1" s="808"/>
      <c r="DW1" s="808"/>
      <c r="DX1" s="808"/>
      <c r="DY1" s="808"/>
      <c r="DZ1" s="809"/>
      <c r="EA1" s="121"/>
      <c r="EB1" s="804" t="str">
        <f>Faktury!A18</f>
        <v>0</v>
      </c>
      <c r="EC1" s="805"/>
      <c r="ED1" s="805"/>
      <c r="EE1" s="805"/>
      <c r="EF1" s="805"/>
      <c r="EG1" s="805"/>
      <c r="EH1" s="805"/>
      <c r="EI1" s="805"/>
      <c r="EJ1" s="805"/>
      <c r="EK1" s="805"/>
      <c r="EL1" s="805"/>
      <c r="EM1" s="806"/>
      <c r="EO1" s="807" t="str">
        <f>Faktury!A17</f>
        <v>0</v>
      </c>
      <c r="EP1" s="808"/>
      <c r="EQ1" s="808"/>
      <c r="ER1" s="808"/>
      <c r="ES1" s="808"/>
      <c r="ET1" s="808"/>
      <c r="EU1" s="808"/>
      <c r="EV1" s="808"/>
      <c r="EW1" s="808"/>
      <c r="EX1" s="808"/>
      <c r="EY1" s="808"/>
      <c r="EZ1" s="809"/>
      <c r="FB1" s="810" t="str">
        <f>Faktury!A19</f>
        <v>0</v>
      </c>
      <c r="FC1" s="811"/>
      <c r="FD1" s="811"/>
      <c r="FE1" s="811"/>
      <c r="FF1" s="811"/>
      <c r="FG1" s="811"/>
      <c r="FH1" s="811"/>
      <c r="FI1" s="811"/>
      <c r="FJ1" s="811"/>
      <c r="FK1" s="811"/>
      <c r="FL1" s="811"/>
      <c r="FM1" s="812"/>
      <c r="FO1" s="807" t="str">
        <f>Faktury!A10</f>
        <v>0</v>
      </c>
      <c r="FP1" s="808"/>
      <c r="FQ1" s="808"/>
      <c r="FR1" s="808"/>
      <c r="FS1" s="808"/>
      <c r="FT1" s="808"/>
      <c r="FU1" s="808"/>
      <c r="FV1" s="808"/>
      <c r="FW1" s="808"/>
      <c r="FX1" s="808"/>
      <c r="FY1" s="808"/>
      <c r="FZ1" s="809"/>
      <c r="GB1" s="810" t="str">
        <f>Faktury!A22</f>
        <v>0</v>
      </c>
      <c r="GC1" s="811"/>
      <c r="GD1" s="811"/>
      <c r="GE1" s="811"/>
      <c r="GF1" s="811"/>
      <c r="GG1" s="811"/>
      <c r="GH1" s="811"/>
      <c r="GI1" s="811"/>
      <c r="GJ1" s="811"/>
      <c r="GK1" s="811"/>
      <c r="GL1" s="811"/>
      <c r="GM1" s="812"/>
      <c r="GN1" s="185"/>
      <c r="GO1" s="807" t="str">
        <f>Faktury!A15</f>
        <v>0</v>
      </c>
      <c r="GP1" s="808"/>
      <c r="GQ1" s="808"/>
      <c r="GR1" s="808"/>
      <c r="GS1" s="808"/>
      <c r="GT1" s="808"/>
      <c r="GU1" s="808"/>
      <c r="GV1" s="808"/>
      <c r="GW1" s="808"/>
      <c r="GX1" s="808"/>
      <c r="GY1" s="808"/>
      <c r="GZ1" s="809"/>
      <c r="HB1" s="810" t="str">
        <f>Faktury!A13</f>
        <v>0</v>
      </c>
      <c r="HC1" s="811"/>
      <c r="HD1" s="811"/>
      <c r="HE1" s="811"/>
      <c r="HF1" s="811"/>
      <c r="HG1" s="811"/>
      <c r="HH1" s="811"/>
      <c r="HI1" s="811"/>
      <c r="HJ1" s="811"/>
      <c r="HK1" s="811"/>
      <c r="HL1" s="811"/>
      <c r="HM1" s="812"/>
      <c r="HN1" s="185"/>
      <c r="HO1" s="807" t="str">
        <f>Faktury!A14</f>
        <v>0</v>
      </c>
      <c r="HP1" s="808"/>
      <c r="HQ1" s="808"/>
      <c r="HR1" s="808"/>
      <c r="HS1" s="808"/>
      <c r="HT1" s="808"/>
      <c r="HU1" s="808"/>
      <c r="HV1" s="808"/>
      <c r="HW1" s="808"/>
      <c r="HX1" s="808"/>
      <c r="HY1" s="808"/>
      <c r="HZ1" s="809"/>
      <c r="IB1" s="810" t="s">
        <v>570</v>
      </c>
      <c r="IC1" s="811"/>
      <c r="ID1" s="811"/>
      <c r="IE1" s="811"/>
      <c r="IF1" s="811"/>
      <c r="IG1" s="811"/>
      <c r="IH1" s="811"/>
      <c r="II1" s="811"/>
      <c r="IJ1" s="811"/>
      <c r="IK1" s="811"/>
      <c r="IL1" s="811"/>
      <c r="IM1" s="812"/>
      <c r="IN1" s="185"/>
      <c r="IO1" s="810" t="str">
        <f>Faktury!A16</f>
        <v>0</v>
      </c>
      <c r="IP1" s="811"/>
      <c r="IQ1" s="811"/>
      <c r="IR1" s="811"/>
      <c r="IS1" s="811"/>
      <c r="IT1" s="811"/>
      <c r="IU1" s="811"/>
      <c r="IV1" s="811"/>
      <c r="IW1" s="811"/>
      <c r="IX1" s="811"/>
      <c r="IY1" s="811"/>
      <c r="IZ1" s="812"/>
      <c r="JA1" s="185"/>
      <c r="JC1" s="813" t="s">
        <v>571</v>
      </c>
      <c r="JD1" s="814"/>
      <c r="JE1" s="814"/>
      <c r="JF1" s="814"/>
      <c r="JG1" s="814"/>
      <c r="JH1" s="814"/>
      <c r="JI1" s="814"/>
      <c r="JJ1" s="814"/>
      <c r="JK1" s="814"/>
      <c r="JL1" s="814"/>
      <c r="JM1" s="814"/>
      <c r="JN1" s="814"/>
      <c r="JO1" s="814"/>
    </row>
    <row r="2" spans="1:278" customHeight="1" ht="24" s="122" customFormat="1">
      <c r="B2" s="123">
        <v>1</v>
      </c>
      <c r="C2" s="123">
        <v>2</v>
      </c>
      <c r="D2" s="123">
        <v>3</v>
      </c>
      <c r="E2" s="123">
        <v>4</v>
      </c>
      <c r="F2" s="123">
        <v>5</v>
      </c>
      <c r="G2" s="123">
        <v>6</v>
      </c>
      <c r="H2" s="123">
        <v>7</v>
      </c>
      <c r="I2" s="123">
        <v>8</v>
      </c>
      <c r="J2" s="123">
        <v>9</v>
      </c>
      <c r="K2" s="123">
        <v>10</v>
      </c>
      <c r="L2" s="123">
        <v>11</v>
      </c>
      <c r="M2" s="123">
        <v>12</v>
      </c>
      <c r="N2" s="124" t="s">
        <v>475</v>
      </c>
      <c r="O2" s="124">
        <v>1</v>
      </c>
      <c r="P2" s="124">
        <v>2</v>
      </c>
      <c r="Q2" s="124">
        <v>3</v>
      </c>
      <c r="R2" s="124">
        <v>4</v>
      </c>
      <c r="S2" s="124">
        <v>5</v>
      </c>
      <c r="T2" s="124">
        <v>6</v>
      </c>
      <c r="U2" s="124">
        <v>7</v>
      </c>
      <c r="V2" s="124">
        <v>8</v>
      </c>
      <c r="W2" s="124">
        <v>9</v>
      </c>
      <c r="X2" s="124">
        <v>10</v>
      </c>
      <c r="Y2" s="124">
        <v>11</v>
      </c>
      <c r="Z2" s="124">
        <v>12</v>
      </c>
      <c r="AA2" s="124" t="s">
        <v>475</v>
      </c>
      <c r="AB2" s="123">
        <v>1</v>
      </c>
      <c r="AC2" s="123">
        <v>2</v>
      </c>
      <c r="AD2" s="123">
        <v>3</v>
      </c>
      <c r="AE2" s="123">
        <v>4</v>
      </c>
      <c r="AF2" s="123">
        <v>5</v>
      </c>
      <c r="AG2" s="123">
        <v>6</v>
      </c>
      <c r="AH2" s="123">
        <v>7</v>
      </c>
      <c r="AI2" s="123">
        <v>8</v>
      </c>
      <c r="AJ2" s="123">
        <v>9</v>
      </c>
      <c r="AK2" s="123">
        <v>10</v>
      </c>
      <c r="AL2" s="123">
        <v>11</v>
      </c>
      <c r="AM2" s="123">
        <v>12</v>
      </c>
      <c r="AN2" s="124" t="s">
        <v>475</v>
      </c>
      <c r="AO2" s="124">
        <v>1</v>
      </c>
      <c r="AP2" s="124">
        <v>2</v>
      </c>
      <c r="AQ2" s="124">
        <v>3</v>
      </c>
      <c r="AR2" s="124">
        <v>4</v>
      </c>
      <c r="AS2" s="124">
        <v>5</v>
      </c>
      <c r="AT2" s="124">
        <v>6</v>
      </c>
      <c r="AU2" s="124">
        <v>7</v>
      </c>
      <c r="AV2" s="124">
        <v>8</v>
      </c>
      <c r="AW2" s="124">
        <v>9</v>
      </c>
      <c r="AX2" s="124">
        <v>10</v>
      </c>
      <c r="AY2" s="124">
        <v>11</v>
      </c>
      <c r="AZ2" s="124">
        <v>12</v>
      </c>
      <c r="BA2" s="124" t="s">
        <v>475</v>
      </c>
      <c r="BB2" s="123">
        <v>1</v>
      </c>
      <c r="BC2" s="123">
        <v>2</v>
      </c>
      <c r="BD2" s="123">
        <v>3</v>
      </c>
      <c r="BE2" s="123">
        <v>4</v>
      </c>
      <c r="BF2" s="123">
        <v>5</v>
      </c>
      <c r="BG2" s="123">
        <v>6</v>
      </c>
      <c r="BH2" s="123">
        <v>7</v>
      </c>
      <c r="BI2" s="123">
        <v>8</v>
      </c>
      <c r="BJ2" s="123">
        <v>9</v>
      </c>
      <c r="BK2" s="123">
        <v>10</v>
      </c>
      <c r="BL2" s="123">
        <v>11</v>
      </c>
      <c r="BM2" s="123">
        <v>12</v>
      </c>
      <c r="BN2" s="125" t="s">
        <v>475</v>
      </c>
      <c r="BO2" s="124">
        <v>1</v>
      </c>
      <c r="BP2" s="124">
        <v>2</v>
      </c>
      <c r="BQ2" s="124">
        <v>3</v>
      </c>
      <c r="BR2" s="124">
        <v>4</v>
      </c>
      <c r="BS2" s="124">
        <v>5</v>
      </c>
      <c r="BT2" s="124">
        <v>6</v>
      </c>
      <c r="BU2" s="124">
        <v>7</v>
      </c>
      <c r="BV2" s="124">
        <v>8</v>
      </c>
      <c r="BW2" s="124">
        <v>9</v>
      </c>
      <c r="BX2" s="124">
        <v>10</v>
      </c>
      <c r="BY2" s="124">
        <v>11</v>
      </c>
      <c r="BZ2" s="124">
        <v>12</v>
      </c>
      <c r="CA2" s="125" t="s">
        <v>475</v>
      </c>
      <c r="CB2" s="126">
        <v>1</v>
      </c>
      <c r="CC2" s="126">
        <v>2</v>
      </c>
      <c r="CD2" s="126">
        <v>3</v>
      </c>
      <c r="CE2" s="126">
        <v>4</v>
      </c>
      <c r="CF2" s="126">
        <v>5</v>
      </c>
      <c r="CG2" s="126">
        <v>6</v>
      </c>
      <c r="CH2" s="126">
        <v>7</v>
      </c>
      <c r="CI2" s="126">
        <v>8</v>
      </c>
      <c r="CJ2" s="126">
        <v>9</v>
      </c>
      <c r="CK2" s="126">
        <v>10</v>
      </c>
      <c r="CL2" s="126">
        <v>11</v>
      </c>
      <c r="CM2" s="126">
        <v>12</v>
      </c>
      <c r="CN2" s="124" t="s">
        <v>475</v>
      </c>
      <c r="CO2" s="127">
        <v>1</v>
      </c>
      <c r="CP2" s="127">
        <v>2</v>
      </c>
      <c r="CQ2" s="127">
        <v>3</v>
      </c>
      <c r="CR2" s="127">
        <v>4</v>
      </c>
      <c r="CS2" s="127">
        <v>5</v>
      </c>
      <c r="CT2" s="127">
        <v>6</v>
      </c>
      <c r="CU2" s="127">
        <v>7</v>
      </c>
      <c r="CV2" s="127">
        <v>8</v>
      </c>
      <c r="CW2" s="127">
        <v>9</v>
      </c>
      <c r="CX2" s="127">
        <v>10</v>
      </c>
      <c r="CY2" s="127">
        <v>11</v>
      </c>
      <c r="CZ2" s="127">
        <v>12</v>
      </c>
      <c r="DA2" s="124" t="s">
        <v>475</v>
      </c>
      <c r="DB2" s="126">
        <v>1</v>
      </c>
      <c r="DC2" s="126">
        <v>2</v>
      </c>
      <c r="DD2" s="126">
        <v>3</v>
      </c>
      <c r="DE2" s="126">
        <v>4</v>
      </c>
      <c r="DF2" s="126">
        <v>5</v>
      </c>
      <c r="DG2" s="126">
        <v>6</v>
      </c>
      <c r="DH2" s="126">
        <v>7</v>
      </c>
      <c r="DI2" s="126">
        <v>8</v>
      </c>
      <c r="DJ2" s="126">
        <v>9</v>
      </c>
      <c r="DK2" s="126">
        <v>10</v>
      </c>
      <c r="DL2" s="126">
        <v>11</v>
      </c>
      <c r="DM2" s="126">
        <v>12</v>
      </c>
      <c r="DN2" s="124" t="s">
        <v>475</v>
      </c>
      <c r="DO2" s="127">
        <v>1</v>
      </c>
      <c r="DP2" s="127">
        <v>2</v>
      </c>
      <c r="DQ2" s="127">
        <v>3</v>
      </c>
      <c r="DR2" s="127">
        <v>4</v>
      </c>
      <c r="DS2" s="127">
        <v>5</v>
      </c>
      <c r="DT2" s="127">
        <v>6</v>
      </c>
      <c r="DU2" s="127">
        <v>7</v>
      </c>
      <c r="DV2" s="127">
        <v>8</v>
      </c>
      <c r="DW2" s="127">
        <v>9</v>
      </c>
      <c r="DX2" s="127">
        <v>10</v>
      </c>
      <c r="DY2" s="127">
        <v>11</v>
      </c>
      <c r="DZ2" s="127">
        <v>12</v>
      </c>
      <c r="EA2" s="124" t="s">
        <v>475</v>
      </c>
      <c r="EB2" s="126">
        <v>1</v>
      </c>
      <c r="EC2" s="126">
        <v>2</v>
      </c>
      <c r="ED2" s="126">
        <v>3</v>
      </c>
      <c r="EE2" s="126">
        <v>4</v>
      </c>
      <c r="EF2" s="126">
        <v>5</v>
      </c>
      <c r="EG2" s="126">
        <v>6</v>
      </c>
      <c r="EH2" s="126">
        <v>7</v>
      </c>
      <c r="EI2" s="126">
        <v>8</v>
      </c>
      <c r="EJ2" s="126">
        <v>9</v>
      </c>
      <c r="EK2" s="126">
        <v>10</v>
      </c>
      <c r="EL2" s="126">
        <v>11</v>
      </c>
      <c r="EM2" s="126">
        <v>12</v>
      </c>
      <c r="EN2" s="124" t="s">
        <v>475</v>
      </c>
      <c r="EO2" s="126">
        <v>1</v>
      </c>
      <c r="EP2" s="126">
        <v>2</v>
      </c>
      <c r="EQ2" s="126">
        <v>3</v>
      </c>
      <c r="ER2" s="126">
        <v>4</v>
      </c>
      <c r="ES2" s="126">
        <v>5</v>
      </c>
      <c r="ET2" s="126">
        <v>6</v>
      </c>
      <c r="EU2" s="126">
        <v>7</v>
      </c>
      <c r="EV2" s="126">
        <v>8</v>
      </c>
      <c r="EW2" s="126">
        <v>9</v>
      </c>
      <c r="EX2" s="126">
        <v>10</v>
      </c>
      <c r="EY2" s="126">
        <v>11</v>
      </c>
      <c r="EZ2" s="126">
        <v>12</v>
      </c>
      <c r="FA2" s="124" t="s">
        <v>475</v>
      </c>
      <c r="FB2" s="126">
        <v>1</v>
      </c>
      <c r="FC2" s="126">
        <v>2</v>
      </c>
      <c r="FD2" s="126">
        <v>3</v>
      </c>
      <c r="FE2" s="126">
        <v>4</v>
      </c>
      <c r="FF2" s="126">
        <v>5</v>
      </c>
      <c r="FG2" s="126">
        <v>6</v>
      </c>
      <c r="FH2" s="126">
        <v>7</v>
      </c>
      <c r="FI2" s="126">
        <v>8</v>
      </c>
      <c r="FJ2" s="126">
        <v>9</v>
      </c>
      <c r="FK2" s="126">
        <v>10</v>
      </c>
      <c r="FL2" s="126">
        <v>11</v>
      </c>
      <c r="FM2" s="126">
        <v>12</v>
      </c>
      <c r="FN2" s="124" t="s">
        <v>475</v>
      </c>
      <c r="FO2" s="126">
        <v>1</v>
      </c>
      <c r="FP2" s="126">
        <v>2</v>
      </c>
      <c r="FQ2" s="126">
        <v>3</v>
      </c>
      <c r="FR2" s="126">
        <v>4</v>
      </c>
      <c r="FS2" s="126">
        <v>5</v>
      </c>
      <c r="FT2" s="126">
        <v>6</v>
      </c>
      <c r="FU2" s="126">
        <v>7</v>
      </c>
      <c r="FV2" s="126">
        <v>8</v>
      </c>
      <c r="FW2" s="126">
        <v>9</v>
      </c>
      <c r="FX2" s="126">
        <v>10</v>
      </c>
      <c r="FY2" s="126">
        <v>11</v>
      </c>
      <c r="FZ2" s="126">
        <v>12</v>
      </c>
      <c r="GA2" s="124" t="s">
        <v>475</v>
      </c>
      <c r="GB2" s="126">
        <v>1</v>
      </c>
      <c r="GC2" s="126">
        <v>2</v>
      </c>
      <c r="GD2" s="126">
        <v>3</v>
      </c>
      <c r="GE2" s="126">
        <v>4</v>
      </c>
      <c r="GF2" s="126">
        <v>5</v>
      </c>
      <c r="GG2" s="126">
        <v>6</v>
      </c>
      <c r="GH2" s="126">
        <v>7</v>
      </c>
      <c r="GI2" s="126">
        <v>8</v>
      </c>
      <c r="GJ2" s="126">
        <v>9</v>
      </c>
      <c r="GK2" s="126">
        <v>10</v>
      </c>
      <c r="GL2" s="126">
        <v>11</v>
      </c>
      <c r="GM2" s="126">
        <v>12</v>
      </c>
      <c r="GN2" s="123" t="s">
        <v>475</v>
      </c>
      <c r="GO2" s="127">
        <v>1</v>
      </c>
      <c r="GP2" s="127">
        <v>2</v>
      </c>
      <c r="GQ2" s="127">
        <v>3</v>
      </c>
      <c r="GR2" s="127">
        <v>4</v>
      </c>
      <c r="GS2" s="127">
        <v>5</v>
      </c>
      <c r="GT2" s="127">
        <v>6</v>
      </c>
      <c r="GU2" s="127">
        <v>7</v>
      </c>
      <c r="GV2" s="127">
        <v>8</v>
      </c>
      <c r="GW2" s="127">
        <v>9</v>
      </c>
      <c r="GX2" s="127">
        <v>10</v>
      </c>
      <c r="GY2" s="127">
        <v>11</v>
      </c>
      <c r="GZ2" s="127">
        <v>12</v>
      </c>
      <c r="HA2" s="124" t="s">
        <v>475</v>
      </c>
      <c r="HB2" s="126">
        <v>1</v>
      </c>
      <c r="HC2" s="126">
        <v>2</v>
      </c>
      <c r="HD2" s="126">
        <v>3</v>
      </c>
      <c r="HE2" s="126">
        <v>4</v>
      </c>
      <c r="HF2" s="126">
        <v>5</v>
      </c>
      <c r="HG2" s="126">
        <v>6</v>
      </c>
      <c r="HH2" s="126">
        <v>7</v>
      </c>
      <c r="HI2" s="126">
        <v>8</v>
      </c>
      <c r="HJ2" s="126">
        <v>9</v>
      </c>
      <c r="HK2" s="126">
        <v>10</v>
      </c>
      <c r="HL2" s="126">
        <v>11</v>
      </c>
      <c r="HM2" s="126">
        <v>12</v>
      </c>
      <c r="HN2" s="123" t="s">
        <v>475</v>
      </c>
      <c r="HO2" s="127">
        <v>1</v>
      </c>
      <c r="HP2" s="127">
        <v>2</v>
      </c>
      <c r="HQ2" s="127">
        <v>3</v>
      </c>
      <c r="HR2" s="127">
        <v>4</v>
      </c>
      <c r="HS2" s="127">
        <v>5</v>
      </c>
      <c r="HT2" s="127">
        <v>6</v>
      </c>
      <c r="HU2" s="127">
        <v>7</v>
      </c>
      <c r="HV2" s="127">
        <v>8</v>
      </c>
      <c r="HW2" s="127">
        <v>9</v>
      </c>
      <c r="HX2" s="127">
        <v>10</v>
      </c>
      <c r="HY2" s="127">
        <v>11</v>
      </c>
      <c r="HZ2" s="127">
        <v>12</v>
      </c>
      <c r="IA2" s="124" t="s">
        <v>475</v>
      </c>
      <c r="IB2" s="126">
        <v>1</v>
      </c>
      <c r="IC2" s="126">
        <v>2</v>
      </c>
      <c r="ID2" s="126">
        <v>3</v>
      </c>
      <c r="IE2" s="126">
        <v>4</v>
      </c>
      <c r="IF2" s="126">
        <v>5</v>
      </c>
      <c r="IG2" s="126">
        <v>6</v>
      </c>
      <c r="IH2" s="126">
        <v>7</v>
      </c>
      <c r="II2" s="126">
        <v>8</v>
      </c>
      <c r="IJ2" s="126">
        <v>9</v>
      </c>
      <c r="IK2" s="126">
        <v>10</v>
      </c>
      <c r="IL2" s="126">
        <v>11</v>
      </c>
      <c r="IM2" s="126">
        <v>12</v>
      </c>
      <c r="IN2" s="123" t="s">
        <v>475</v>
      </c>
      <c r="IO2" s="126">
        <v>1</v>
      </c>
      <c r="IP2" s="126">
        <v>2</v>
      </c>
      <c r="IQ2" s="126">
        <v>3</v>
      </c>
      <c r="IR2" s="126">
        <v>4</v>
      </c>
      <c r="IS2" s="126">
        <v>5</v>
      </c>
      <c r="IT2" s="126">
        <v>6</v>
      </c>
      <c r="IU2" s="126">
        <v>7</v>
      </c>
      <c r="IV2" s="126">
        <v>8</v>
      </c>
      <c r="IW2" s="126">
        <v>9</v>
      </c>
      <c r="IX2" s="126">
        <v>10</v>
      </c>
      <c r="IY2" s="126">
        <v>11</v>
      </c>
      <c r="IZ2" s="126">
        <v>12</v>
      </c>
      <c r="JA2" s="123" t="s">
        <v>475</v>
      </c>
      <c r="JC2" s="128">
        <v>1</v>
      </c>
      <c r="JD2" s="128">
        <v>2</v>
      </c>
      <c r="JE2" s="128">
        <v>3</v>
      </c>
      <c r="JF2" s="128">
        <v>4</v>
      </c>
      <c r="JG2" s="128">
        <v>5</v>
      </c>
      <c r="JH2" s="128">
        <v>6</v>
      </c>
      <c r="JI2" s="128">
        <v>7</v>
      </c>
      <c r="JJ2" s="128">
        <v>8</v>
      </c>
      <c r="JK2" s="128">
        <v>9</v>
      </c>
      <c r="JL2" s="128">
        <v>10</v>
      </c>
      <c r="JM2" s="128">
        <v>11</v>
      </c>
      <c r="JN2" s="128">
        <v>12</v>
      </c>
      <c r="JO2" s="128" t="s">
        <v>475</v>
      </c>
      <c r="JP2" s="129"/>
      <c r="JQ2" s="122" t="s">
        <v>572</v>
      </c>
    </row>
    <row r="3" spans="1:278" customHeight="1" ht="15.95">
      <c r="A3" s="130" t="s">
        <v>331</v>
      </c>
      <c r="B3" s="131">
        <v>0</v>
      </c>
      <c r="C3" s="131">
        <v>0</v>
      </c>
      <c r="D3" s="131">
        <v>0</v>
      </c>
      <c r="E3" s="131">
        <v>0</v>
      </c>
      <c r="F3" s="131">
        <v>0</v>
      </c>
      <c r="G3" s="131">
        <v>0</v>
      </c>
      <c r="H3" s="131">
        <v>0</v>
      </c>
      <c r="I3" s="131">
        <v>0</v>
      </c>
      <c r="J3" s="131">
        <v>0</v>
      </c>
      <c r="K3" s="131">
        <v>0</v>
      </c>
      <c r="L3" s="131">
        <v>0</v>
      </c>
      <c r="M3" s="131">
        <v>0</v>
      </c>
      <c r="N3" s="132" t="str">
        <f>SUM(B3:M3)</f>
        <v>0</v>
      </c>
      <c r="O3" s="133">
        <v>0</v>
      </c>
      <c r="P3" s="133">
        <v>0</v>
      </c>
      <c r="Q3" s="133">
        <v>0</v>
      </c>
      <c r="R3" s="133">
        <v>0</v>
      </c>
      <c r="S3" s="133">
        <v>0</v>
      </c>
      <c r="T3" s="133">
        <v>0</v>
      </c>
      <c r="U3" s="133">
        <v>0</v>
      </c>
      <c r="V3" s="133">
        <v>0</v>
      </c>
      <c r="W3" s="133">
        <v>0</v>
      </c>
      <c r="X3" s="133">
        <v>0</v>
      </c>
      <c r="Y3" s="133">
        <v>0</v>
      </c>
      <c r="Z3" s="133">
        <v>0</v>
      </c>
      <c r="AA3" s="132" t="str">
        <f>SUM(O3:Z3)</f>
        <v>0</v>
      </c>
      <c r="AB3" s="131">
        <v>0</v>
      </c>
      <c r="AC3" s="131">
        <v>0</v>
      </c>
      <c r="AD3" s="131">
        <v>0</v>
      </c>
      <c r="AE3" s="131">
        <v>0</v>
      </c>
      <c r="AF3" s="131">
        <v>0</v>
      </c>
      <c r="AG3" s="131">
        <v>0</v>
      </c>
      <c r="AH3" s="131">
        <v>0</v>
      </c>
      <c r="AI3" s="131">
        <v>0</v>
      </c>
      <c r="AJ3" s="131">
        <v>0</v>
      </c>
      <c r="AK3" s="131">
        <v>0</v>
      </c>
      <c r="AL3" s="131">
        <v>0</v>
      </c>
      <c r="AM3" s="131">
        <v>0</v>
      </c>
      <c r="AN3" s="132" t="str">
        <f>SUM(AB3:AM3)</f>
        <v>0</v>
      </c>
      <c r="AO3" s="133">
        <v>0</v>
      </c>
      <c r="AP3" s="133">
        <v>0</v>
      </c>
      <c r="AQ3" s="133">
        <v>0</v>
      </c>
      <c r="AR3" s="133">
        <v>0</v>
      </c>
      <c r="AS3" s="133">
        <v>0</v>
      </c>
      <c r="AT3" s="133">
        <v>0</v>
      </c>
      <c r="AU3" s="133">
        <v>0</v>
      </c>
      <c r="AV3" s="133">
        <v>0</v>
      </c>
      <c r="AW3" s="133">
        <v>0</v>
      </c>
      <c r="AX3" s="133">
        <v>0</v>
      </c>
      <c r="AY3" s="133">
        <v>0</v>
      </c>
      <c r="AZ3" s="133">
        <v>0</v>
      </c>
      <c r="BA3" s="132" t="str">
        <f>SUM(AO3:AZ3)</f>
        <v>0</v>
      </c>
      <c r="BB3" s="134">
        <v>0</v>
      </c>
      <c r="BC3" s="134">
        <v>0</v>
      </c>
      <c r="BD3" s="134">
        <v>0</v>
      </c>
      <c r="BE3" s="134">
        <v>0</v>
      </c>
      <c r="BF3" s="134">
        <v>0</v>
      </c>
      <c r="BG3" s="134">
        <v>0</v>
      </c>
      <c r="BH3" s="134">
        <v>0</v>
      </c>
      <c r="BI3" s="134">
        <v>0</v>
      </c>
      <c r="BJ3" s="134">
        <v>0</v>
      </c>
      <c r="BK3" s="134">
        <v>0</v>
      </c>
      <c r="BL3" s="134">
        <v>0</v>
      </c>
      <c r="BM3" s="134">
        <v>0</v>
      </c>
      <c r="BN3" s="132" t="str">
        <f>SUM(BB3:BM3)</f>
        <v>0</v>
      </c>
      <c r="BO3" s="135">
        <v>0</v>
      </c>
      <c r="BP3" s="135">
        <v>0</v>
      </c>
      <c r="BQ3" s="135">
        <v>0</v>
      </c>
      <c r="BR3" s="135">
        <v>0</v>
      </c>
      <c r="BS3" s="135">
        <v>0</v>
      </c>
      <c r="BT3" s="135">
        <v>0</v>
      </c>
      <c r="BU3" s="135">
        <v>0</v>
      </c>
      <c r="BV3" s="135">
        <v>0</v>
      </c>
      <c r="BW3" s="135">
        <v>0</v>
      </c>
      <c r="BX3" s="135">
        <v>0</v>
      </c>
      <c r="BY3" s="135">
        <v>0</v>
      </c>
      <c r="BZ3" s="135">
        <v>0</v>
      </c>
      <c r="CA3" s="132" t="str">
        <f>SUM(BO3:BZ3)</f>
        <v>0</v>
      </c>
      <c r="CB3" s="136">
        <v>0</v>
      </c>
      <c r="CC3" s="136">
        <v>0</v>
      </c>
      <c r="CD3" s="136">
        <v>0</v>
      </c>
      <c r="CE3" s="136">
        <v>0</v>
      </c>
      <c r="CF3" s="136">
        <v>0</v>
      </c>
      <c r="CG3" s="136">
        <v>0</v>
      </c>
      <c r="CH3" s="136">
        <v>0</v>
      </c>
      <c r="CI3" s="136">
        <v>0</v>
      </c>
      <c r="CJ3" s="136">
        <v>0</v>
      </c>
      <c r="CK3" s="136">
        <v>0</v>
      </c>
      <c r="CL3" s="136">
        <v>0</v>
      </c>
      <c r="CM3" s="136">
        <v>0</v>
      </c>
      <c r="CN3" s="132" t="str">
        <f>SUM(CB3:CM3)</f>
        <v>0</v>
      </c>
      <c r="CO3" s="137">
        <v>0</v>
      </c>
      <c r="CP3" s="137">
        <v>0</v>
      </c>
      <c r="CQ3" s="137">
        <v>0</v>
      </c>
      <c r="CR3" s="137">
        <v>0</v>
      </c>
      <c r="CS3" s="137">
        <v>0</v>
      </c>
      <c r="CT3" s="137">
        <v>0</v>
      </c>
      <c r="CU3" s="137">
        <v>0</v>
      </c>
      <c r="CV3" s="137">
        <v>0</v>
      </c>
      <c r="CW3" s="137">
        <v>0</v>
      </c>
      <c r="CX3" s="137">
        <v>0</v>
      </c>
      <c r="CY3" s="137">
        <v>0</v>
      </c>
      <c r="CZ3" s="137">
        <v>0</v>
      </c>
      <c r="DA3" s="132" t="str">
        <f>SUM(CO3:CZ3)</f>
        <v>0</v>
      </c>
      <c r="DB3" s="136">
        <v>0</v>
      </c>
      <c r="DC3" s="136">
        <v>0</v>
      </c>
      <c r="DD3" s="136">
        <v>0</v>
      </c>
      <c r="DE3" s="136">
        <v>0</v>
      </c>
      <c r="DF3" s="136">
        <v>0</v>
      </c>
      <c r="DG3" s="136">
        <v>0</v>
      </c>
      <c r="DH3" s="136">
        <v>0</v>
      </c>
      <c r="DI3" s="136">
        <v>0</v>
      </c>
      <c r="DJ3" s="136">
        <v>0</v>
      </c>
      <c r="DK3" s="136">
        <v>0</v>
      </c>
      <c r="DL3" s="136">
        <v>0</v>
      </c>
      <c r="DM3" s="136">
        <v>0</v>
      </c>
      <c r="DN3" s="132" t="str">
        <f>SUM(DB3:DM3)</f>
        <v>0</v>
      </c>
      <c r="DO3" s="137">
        <v>0</v>
      </c>
      <c r="DP3" s="137">
        <v>0</v>
      </c>
      <c r="DQ3" s="137">
        <v>0</v>
      </c>
      <c r="DR3" s="137">
        <v>0</v>
      </c>
      <c r="DS3" s="137">
        <v>0</v>
      </c>
      <c r="DT3" s="137">
        <v>0</v>
      </c>
      <c r="DU3" s="137">
        <v>0</v>
      </c>
      <c r="DV3" s="137">
        <v>0</v>
      </c>
      <c r="DW3" s="137">
        <v>0</v>
      </c>
      <c r="DX3" s="137">
        <v>0</v>
      </c>
      <c r="DY3" s="137">
        <v>0</v>
      </c>
      <c r="DZ3" s="137">
        <v>0</v>
      </c>
      <c r="EA3" s="132" t="str">
        <f>SUM(DO3:DZ3)</f>
        <v>0</v>
      </c>
      <c r="EB3" s="216">
        <v>0</v>
      </c>
      <c r="EC3" s="216">
        <v>0</v>
      </c>
      <c r="ED3" s="216">
        <v>0</v>
      </c>
      <c r="EE3" s="216">
        <v>0</v>
      </c>
      <c r="EF3" s="216">
        <v>0</v>
      </c>
      <c r="EG3" s="216">
        <v>0</v>
      </c>
      <c r="EH3" s="216">
        <v>0</v>
      </c>
      <c r="EI3" s="216">
        <v>0</v>
      </c>
      <c r="EJ3" s="216">
        <v>0</v>
      </c>
      <c r="EK3" s="216">
        <v>0</v>
      </c>
      <c r="EL3" s="216">
        <v>0</v>
      </c>
      <c r="EM3" s="216">
        <v>0</v>
      </c>
      <c r="EN3" s="132" t="str">
        <f>SUM(EB3:EM3)</f>
        <v>0</v>
      </c>
      <c r="EO3" s="132">
        <v>0</v>
      </c>
      <c r="EP3" s="132">
        <v>0</v>
      </c>
      <c r="EQ3" s="132">
        <v>0</v>
      </c>
      <c r="ER3" s="132">
        <v>0</v>
      </c>
      <c r="ES3" s="132">
        <v>0</v>
      </c>
      <c r="ET3" s="132">
        <v>0</v>
      </c>
      <c r="EU3" s="132">
        <v>0</v>
      </c>
      <c r="EV3" s="132">
        <v>0</v>
      </c>
      <c r="EW3" s="132">
        <v>0</v>
      </c>
      <c r="EX3" s="132">
        <v>0</v>
      </c>
      <c r="EY3" s="132">
        <v>0</v>
      </c>
      <c r="EZ3" s="132">
        <v>0</v>
      </c>
      <c r="FA3" s="132" t="str">
        <f>SUM(EO3:EZ3)</f>
        <v>0</v>
      </c>
      <c r="FB3" s="181">
        <v>0</v>
      </c>
      <c r="FC3" s="181">
        <v>0</v>
      </c>
      <c r="FD3" s="181">
        <v>0</v>
      </c>
      <c r="FE3" s="181">
        <v>0</v>
      </c>
      <c r="FF3" s="181">
        <v>0</v>
      </c>
      <c r="FG3" s="181">
        <v>0</v>
      </c>
      <c r="FH3" s="181">
        <v>0</v>
      </c>
      <c r="FI3" s="181">
        <v>0</v>
      </c>
      <c r="FJ3" s="181">
        <v>0</v>
      </c>
      <c r="FK3" s="181">
        <v>0</v>
      </c>
      <c r="FL3" s="181">
        <v>0</v>
      </c>
      <c r="FM3" s="181">
        <v>0</v>
      </c>
      <c r="FN3" s="132" t="str">
        <f>SUM(FB3:FM3)</f>
        <v>0</v>
      </c>
      <c r="FO3" s="132">
        <v>0</v>
      </c>
      <c r="FP3" s="132">
        <v>0</v>
      </c>
      <c r="FQ3" s="132">
        <v>0</v>
      </c>
      <c r="FR3" s="132">
        <v>0</v>
      </c>
      <c r="FS3" s="132">
        <v>0</v>
      </c>
      <c r="FT3" s="132">
        <v>0</v>
      </c>
      <c r="FU3" s="132">
        <v>0</v>
      </c>
      <c r="FV3" s="132">
        <v>0</v>
      </c>
      <c r="FW3" s="132">
        <v>0</v>
      </c>
      <c r="FX3" s="132">
        <v>0</v>
      </c>
      <c r="FY3" s="132">
        <v>0</v>
      </c>
      <c r="FZ3" s="132">
        <v>0</v>
      </c>
      <c r="GA3" s="132" t="str">
        <f>SUM(FO3:FZ3)</f>
        <v>0</v>
      </c>
      <c r="GB3" s="181">
        <v>0</v>
      </c>
      <c r="GC3" s="181">
        <v>0</v>
      </c>
      <c r="GD3" s="181">
        <v>0</v>
      </c>
      <c r="GE3" s="181">
        <v>0</v>
      </c>
      <c r="GF3" s="181">
        <v>0</v>
      </c>
      <c r="GG3" s="181">
        <v>0</v>
      </c>
      <c r="GH3" s="181">
        <v>0</v>
      </c>
      <c r="GI3" s="181">
        <v>0</v>
      </c>
      <c r="GJ3" s="181">
        <v>0</v>
      </c>
      <c r="GK3" s="181">
        <v>0</v>
      </c>
      <c r="GL3" s="181">
        <v>0</v>
      </c>
      <c r="GM3" s="181">
        <v>0</v>
      </c>
      <c r="GN3" s="181" t="str">
        <f>SUM(GB3:GM3)</f>
        <v>0</v>
      </c>
      <c r="GO3" s="137">
        <v>0</v>
      </c>
      <c r="GP3" s="137">
        <v>0</v>
      </c>
      <c r="GQ3" s="137">
        <v>0</v>
      </c>
      <c r="GR3" s="137">
        <v>0</v>
      </c>
      <c r="GS3" s="137">
        <v>0</v>
      </c>
      <c r="GT3" s="137">
        <v>0</v>
      </c>
      <c r="GU3" s="137">
        <v>0</v>
      </c>
      <c r="GV3" s="137">
        <v>0</v>
      </c>
      <c r="GW3" s="137">
        <v>0</v>
      </c>
      <c r="GX3" s="137">
        <v>0</v>
      </c>
      <c r="GY3" s="137">
        <v>0</v>
      </c>
      <c r="GZ3" s="137">
        <v>0</v>
      </c>
      <c r="HA3" s="132" t="str">
        <f>SUM(GO3:GZ3)</f>
        <v>0</v>
      </c>
      <c r="HB3" s="181">
        <v>0</v>
      </c>
      <c r="HC3" s="181">
        <v>0</v>
      </c>
      <c r="HD3" s="181">
        <v>0</v>
      </c>
      <c r="HE3" s="181">
        <v>0</v>
      </c>
      <c r="HF3" s="181">
        <v>0</v>
      </c>
      <c r="HG3" s="181">
        <v>0</v>
      </c>
      <c r="HH3" s="181">
        <v>0</v>
      </c>
      <c r="HI3" s="181">
        <v>0</v>
      </c>
      <c r="HJ3" s="181">
        <v>0</v>
      </c>
      <c r="HK3" s="181">
        <v>0</v>
      </c>
      <c r="HL3" s="181">
        <v>0</v>
      </c>
      <c r="HM3" s="181">
        <v>0</v>
      </c>
      <c r="HN3" s="181" t="str">
        <f>SUM(HB3:HM3)</f>
        <v>0</v>
      </c>
      <c r="HO3" s="132">
        <v>0</v>
      </c>
      <c r="HP3" s="132">
        <v>0</v>
      </c>
      <c r="HQ3" s="132">
        <v>0</v>
      </c>
      <c r="HR3" s="132">
        <v>0</v>
      </c>
      <c r="HS3" s="132">
        <v>0</v>
      </c>
      <c r="HT3" s="132">
        <v>0</v>
      </c>
      <c r="HU3" s="132">
        <v>0</v>
      </c>
      <c r="HV3" s="132">
        <v>0</v>
      </c>
      <c r="HW3" s="132">
        <v>0</v>
      </c>
      <c r="HX3" s="132">
        <v>0</v>
      </c>
      <c r="HY3" s="132">
        <v>0</v>
      </c>
      <c r="HZ3" s="132">
        <v>0</v>
      </c>
      <c r="IA3" s="132" t="str">
        <f>SUM(HO3:HZ3)</f>
        <v>0</v>
      </c>
      <c r="IB3" s="181">
        <v>0</v>
      </c>
      <c r="IC3" s="181">
        <v>0</v>
      </c>
      <c r="ID3" s="181">
        <v>0</v>
      </c>
      <c r="IE3" s="181">
        <v>0</v>
      </c>
      <c r="IF3" s="181">
        <v>0</v>
      </c>
      <c r="IG3" s="181">
        <v>0</v>
      </c>
      <c r="IH3" s="181">
        <v>0</v>
      </c>
      <c r="II3" s="181">
        <v>0</v>
      </c>
      <c r="IJ3" s="181">
        <v>0</v>
      </c>
      <c r="IK3" s="181">
        <v>0</v>
      </c>
      <c r="IL3" s="181">
        <v>0</v>
      </c>
      <c r="IM3" s="181">
        <v>0</v>
      </c>
      <c r="IN3" s="181" t="str">
        <f>SUM(IB3:IM3)</f>
        <v>0</v>
      </c>
      <c r="IO3" s="181">
        <v>0</v>
      </c>
      <c r="IP3" s="181">
        <v>0</v>
      </c>
      <c r="IQ3" s="181">
        <v>0</v>
      </c>
      <c r="IR3" s="181">
        <v>0</v>
      </c>
      <c r="IS3" s="181">
        <v>0</v>
      </c>
      <c r="IT3" s="181">
        <v>0</v>
      </c>
      <c r="IU3" s="181">
        <v>0</v>
      </c>
      <c r="IV3" s="181">
        <v>0</v>
      </c>
      <c r="IW3" s="181">
        <v>0</v>
      </c>
      <c r="IX3" s="181">
        <v>0</v>
      </c>
      <c r="IY3" s="181">
        <v>0</v>
      </c>
      <c r="IZ3" s="181">
        <v>0</v>
      </c>
      <c r="JA3" s="181" t="str">
        <f>SUM(IO3:IZ3)</f>
        <v>0</v>
      </c>
      <c r="JC3" s="135" t="str">
        <f>B3+O3+AB3+AO3+BB3+BO3+CB3+CO3+DB3+DO3+EB3+EO3+FB3+FO3+GB3+GO3+HB3+HO3+IB3+IO3</f>
        <v>0</v>
      </c>
      <c r="JD3" s="135" t="str">
        <f>C3+P3+AC3+AP3+BC3+BP3+CC3+CP3+DC3+DP3+EC3+EP3+FC3+FP3+GC3+GP3+HC3+HP3+IC3+IP3</f>
        <v>0</v>
      </c>
      <c r="JE3" s="135" t="str">
        <f>D3+Q3+AD3+AQ3+BD3+BQ3+CD3+CQ3+DD3+DQ3+ED3+EQ3+FD3+FQ3+GD3+GQ3+HD3+HQ3+ID3+IQ3</f>
        <v>0</v>
      </c>
      <c r="JF3" s="135" t="str">
        <f>E3+R3+AE3+AR3+BE3+BR3+CE3+CR3+DE3+DR3+EE3+ER3+FE3+FR3+GE3+GR3+HE3+HR3+IE3+IR3</f>
        <v>0</v>
      </c>
      <c r="JG3" s="135" t="str">
        <f>F3+S3+AF3+AS3+BF3+BS3+CF3+CS3+DF3+DS3+EF3+ES3+FF3+FS3+GF3+GS3+HF3+HS3+IF3+IS3</f>
        <v>0</v>
      </c>
      <c r="JH3" s="135" t="str">
        <f>G3+T3+AG3+AT3+BG3+BT3+CG3+CT3+DG3+DT3+EG3+ET3+FG3+FT3+GG3+GT3+HG3+HT3+IG3+IT3</f>
        <v>0</v>
      </c>
      <c r="JI3" s="135" t="str">
        <f>H3+U3+AH3+AU3+BH3+BU3+CH3+CU3+DH3+DU3+EH3+EU3+FH3+FU3+GH3+GU3+HH3+HU3+IH3+IU3</f>
        <v>0</v>
      </c>
      <c r="JJ3" s="135" t="str">
        <f>I3+V3+AI3+AV3+BI3+BV3+CI3+CV3+DI3+DV3+EI3+EV3+FI3+FV3+GI3+GV3+HI3+HV3+II3+IV3</f>
        <v>0</v>
      </c>
      <c r="JK3" s="135" t="str">
        <f>J3+W3+AJ3+AW3+BJ3+BW3+CJ3+CW3+DJ3+DW3+EJ3+EW3+FJ3+FW3+GJ3+GW3+HJ3+HW3+IJ3+IW3</f>
        <v>0</v>
      </c>
      <c r="JL3" s="135" t="str">
        <f>K3+X3+AK3+AX3+BK3+BX3+CK3+CX3+DK3+DX3+EK3+EX3+FK3+FX3+GK3+GX3+HK3+HX3+IK3+IX3</f>
        <v>0</v>
      </c>
      <c r="JM3" s="135" t="str">
        <f>L3+Y3+AL3+AY3+BL3+BY3+CL3+CY3+DL3+DY3+EL3+EY3+FL3+FY3+GL3+GY3+HL3+HY3+IL3+IY3</f>
        <v>0</v>
      </c>
      <c r="JN3" s="135" t="str">
        <f>M3+Z3+AM3+AZ3+BM3+BZ3+CM3+CZ3+DM3+DZ3+EM3+EZ3+FM3+FZ3+GM3+GZ3+HM3+HZ3+IM3+IZ3</f>
        <v>0</v>
      </c>
      <c r="JO3" s="132" t="str">
        <f>SUM(JC3:JN3)</f>
        <v>0</v>
      </c>
      <c r="JQ3" s="139" t="str">
        <f>N3+AA3+AN3+BA3+BN3+CA3+CN3+DA3+DN3+EA3+EN3+FA3+FN3+GA3+GN3+HA3+HN3+IA3+IN3+JA3</f>
        <v>0</v>
      </c>
    </row>
    <row r="4" spans="1:278">
      <c r="A4" s="130" t="s">
        <v>337</v>
      </c>
      <c r="B4" s="131">
        <v>0</v>
      </c>
      <c r="C4" s="131">
        <v>0</v>
      </c>
      <c r="D4" s="131">
        <v>0</v>
      </c>
      <c r="E4" s="131">
        <v>0</v>
      </c>
      <c r="F4" s="131">
        <v>0</v>
      </c>
      <c r="G4" s="131">
        <v>0</v>
      </c>
      <c r="H4" s="131">
        <v>0</v>
      </c>
      <c r="I4" s="131">
        <v>0</v>
      </c>
      <c r="J4" s="131">
        <v>0</v>
      </c>
      <c r="K4" s="131">
        <v>200</v>
      </c>
      <c r="L4" s="131">
        <v>200</v>
      </c>
      <c r="M4" s="131">
        <v>200</v>
      </c>
      <c r="N4" s="132" t="str">
        <f>SUM(B4:M4)</f>
        <v>0</v>
      </c>
      <c r="O4" s="133">
        <v>0</v>
      </c>
      <c r="P4" s="133">
        <v>0</v>
      </c>
      <c r="Q4" s="133">
        <v>0</v>
      </c>
      <c r="R4" s="133">
        <v>0</v>
      </c>
      <c r="S4" s="133">
        <v>0</v>
      </c>
      <c r="T4" s="133">
        <v>0</v>
      </c>
      <c r="U4" s="133">
        <v>0</v>
      </c>
      <c r="V4" s="133">
        <v>0</v>
      </c>
      <c r="W4" s="133">
        <v>0</v>
      </c>
      <c r="X4" s="133">
        <v>400</v>
      </c>
      <c r="Y4" s="133">
        <v>400</v>
      </c>
      <c r="Z4" s="133">
        <v>400</v>
      </c>
      <c r="AA4" s="132" t="str">
        <f>SUM(O4:Z4)</f>
        <v>0</v>
      </c>
      <c r="AB4" s="131">
        <v>0</v>
      </c>
      <c r="AC4" s="131">
        <v>0</v>
      </c>
      <c r="AD4" s="131">
        <v>0</v>
      </c>
      <c r="AE4" s="131">
        <v>0</v>
      </c>
      <c r="AF4" s="131">
        <v>0</v>
      </c>
      <c r="AG4" s="131">
        <v>0</v>
      </c>
      <c r="AH4" s="131">
        <v>0</v>
      </c>
      <c r="AI4" s="131">
        <v>0</v>
      </c>
      <c r="AJ4" s="131">
        <v>0</v>
      </c>
      <c r="AK4" s="131">
        <v>700</v>
      </c>
      <c r="AL4" s="131">
        <v>700</v>
      </c>
      <c r="AM4" s="131">
        <v>700</v>
      </c>
      <c r="AN4" s="132" t="str">
        <f>SUM(AB4:AM4)</f>
        <v>0</v>
      </c>
      <c r="AO4" s="133">
        <v>0</v>
      </c>
      <c r="AP4" s="133">
        <v>0</v>
      </c>
      <c r="AQ4" s="133">
        <v>0</v>
      </c>
      <c r="AR4" s="133">
        <v>0</v>
      </c>
      <c r="AS4" s="133">
        <v>0</v>
      </c>
      <c r="AT4" s="133">
        <v>0</v>
      </c>
      <c r="AU4" s="133">
        <v>0</v>
      </c>
      <c r="AV4" s="133">
        <v>0</v>
      </c>
      <c r="AW4" s="133">
        <v>0</v>
      </c>
      <c r="AX4" s="133">
        <v>350</v>
      </c>
      <c r="AY4" s="133">
        <v>350</v>
      </c>
      <c r="AZ4" s="133">
        <v>350</v>
      </c>
      <c r="BA4" s="132" t="str">
        <f>SUM(AO4:AZ4)</f>
        <v>0</v>
      </c>
      <c r="BB4" s="134">
        <v>0</v>
      </c>
      <c r="BC4" s="134">
        <v>0</v>
      </c>
      <c r="BD4" s="134">
        <v>0</v>
      </c>
      <c r="BE4" s="134">
        <v>0</v>
      </c>
      <c r="BF4" s="134">
        <v>0</v>
      </c>
      <c r="BG4" s="134">
        <v>0</v>
      </c>
      <c r="BH4" s="134">
        <v>0</v>
      </c>
      <c r="BI4" s="134">
        <v>0</v>
      </c>
      <c r="BJ4" s="134">
        <v>0</v>
      </c>
      <c r="BK4" s="134">
        <v>400</v>
      </c>
      <c r="BL4" s="134">
        <v>400</v>
      </c>
      <c r="BM4" s="134">
        <v>400</v>
      </c>
      <c r="BN4" s="132" t="str">
        <f>SUM(BB4:BM4)</f>
        <v>0</v>
      </c>
      <c r="BO4" s="135">
        <v>0</v>
      </c>
      <c r="BP4" s="135">
        <v>0</v>
      </c>
      <c r="BQ4" s="135">
        <v>0</v>
      </c>
      <c r="BR4" s="135">
        <v>0</v>
      </c>
      <c r="BS4" s="135">
        <v>0</v>
      </c>
      <c r="BT4" s="135">
        <v>0</v>
      </c>
      <c r="BU4" s="135">
        <v>0</v>
      </c>
      <c r="BV4" s="135">
        <v>0</v>
      </c>
      <c r="BW4" s="135">
        <v>0</v>
      </c>
      <c r="BX4" s="135">
        <v>160</v>
      </c>
      <c r="BY4" s="135">
        <v>160</v>
      </c>
      <c r="BZ4" s="135">
        <v>160</v>
      </c>
      <c r="CA4" s="132" t="str">
        <f>SUM(BO4:BZ4)</f>
        <v>0</v>
      </c>
      <c r="CB4" s="136">
        <v>0</v>
      </c>
      <c r="CC4" s="136">
        <v>0</v>
      </c>
      <c r="CD4" s="136">
        <v>0</v>
      </c>
      <c r="CE4" s="136">
        <v>0</v>
      </c>
      <c r="CF4" s="136">
        <v>0</v>
      </c>
      <c r="CG4" s="136">
        <v>0</v>
      </c>
      <c r="CH4" s="136">
        <v>0</v>
      </c>
      <c r="CI4" s="136">
        <v>0</v>
      </c>
      <c r="CJ4" s="136">
        <v>0</v>
      </c>
      <c r="CK4" s="136">
        <v>917</v>
      </c>
      <c r="CL4" s="136">
        <v>917</v>
      </c>
      <c r="CM4" s="136">
        <v>917</v>
      </c>
      <c r="CN4" s="132" t="str">
        <f>SUM(CB4:CM4)</f>
        <v>0</v>
      </c>
      <c r="CO4" s="137">
        <v>0</v>
      </c>
      <c r="CP4" s="137">
        <v>0</v>
      </c>
      <c r="CQ4" s="137">
        <v>0</v>
      </c>
      <c r="CR4" s="137">
        <v>0</v>
      </c>
      <c r="CS4" s="137">
        <v>0</v>
      </c>
      <c r="CT4" s="137">
        <v>0</v>
      </c>
      <c r="CU4" s="137">
        <v>0</v>
      </c>
      <c r="CV4" s="137">
        <v>0</v>
      </c>
      <c r="CW4" s="137">
        <v>0</v>
      </c>
      <c r="CX4" s="137">
        <v>450</v>
      </c>
      <c r="CY4" s="137">
        <v>450</v>
      </c>
      <c r="CZ4" s="137">
        <v>450</v>
      </c>
      <c r="DA4" s="132" t="str">
        <f>SUM(CO4:CZ4)</f>
        <v>0</v>
      </c>
      <c r="DB4" s="136">
        <v>0</v>
      </c>
      <c r="DC4" s="136">
        <v>0</v>
      </c>
      <c r="DD4" s="136">
        <v>0</v>
      </c>
      <c r="DE4" s="136">
        <v>0</v>
      </c>
      <c r="DF4" s="136">
        <v>0</v>
      </c>
      <c r="DG4" s="136">
        <v>0</v>
      </c>
      <c r="DH4" s="136">
        <v>0</v>
      </c>
      <c r="DI4" s="136">
        <v>0</v>
      </c>
      <c r="DJ4" s="136">
        <v>0</v>
      </c>
      <c r="DK4" s="136">
        <v>300</v>
      </c>
      <c r="DL4" s="136">
        <v>300</v>
      </c>
      <c r="DM4" s="136">
        <v>300</v>
      </c>
      <c r="DN4" s="132" t="str">
        <f>SUM(DB4:DM4)</f>
        <v>0</v>
      </c>
      <c r="DO4" s="137">
        <v>0</v>
      </c>
      <c r="DP4" s="137">
        <v>0</v>
      </c>
      <c r="DQ4" s="137">
        <v>0</v>
      </c>
      <c r="DR4" s="137">
        <v>0</v>
      </c>
      <c r="DS4" s="137">
        <v>0</v>
      </c>
      <c r="DT4" s="137">
        <v>0</v>
      </c>
      <c r="DU4" s="137">
        <v>0</v>
      </c>
      <c r="DV4" s="137">
        <v>0</v>
      </c>
      <c r="DW4" s="137">
        <v>0</v>
      </c>
      <c r="DX4" s="137">
        <v>200</v>
      </c>
      <c r="DY4" s="137">
        <v>200</v>
      </c>
      <c r="DZ4" s="137">
        <v>200</v>
      </c>
      <c r="EA4" s="132" t="str">
        <f>SUM(DO4:DZ4)</f>
        <v>0</v>
      </c>
      <c r="EB4" s="216">
        <v>0</v>
      </c>
      <c r="EC4" s="216">
        <v>0</v>
      </c>
      <c r="ED4" s="216">
        <v>0</v>
      </c>
      <c r="EE4" s="216">
        <v>0</v>
      </c>
      <c r="EF4" s="216">
        <v>0</v>
      </c>
      <c r="EG4" s="216">
        <v>0</v>
      </c>
      <c r="EH4" s="216">
        <v>0</v>
      </c>
      <c r="EI4" s="216">
        <v>0</v>
      </c>
      <c r="EJ4" s="216">
        <v>0</v>
      </c>
      <c r="EK4" s="216">
        <v>0</v>
      </c>
      <c r="EL4" s="216">
        <v>0</v>
      </c>
      <c r="EM4" s="216">
        <v>0</v>
      </c>
      <c r="EN4" s="132" t="str">
        <f>SUM(EB4:EM4)</f>
        <v>0</v>
      </c>
      <c r="EO4" s="132">
        <v>0</v>
      </c>
      <c r="EP4" s="132">
        <v>0</v>
      </c>
      <c r="EQ4" s="132">
        <v>0</v>
      </c>
      <c r="ER4" s="132">
        <v>0</v>
      </c>
      <c r="ES4" s="132">
        <v>0</v>
      </c>
      <c r="ET4" s="132">
        <v>0</v>
      </c>
      <c r="EU4" s="132">
        <v>0</v>
      </c>
      <c r="EV4" s="132">
        <v>0</v>
      </c>
      <c r="EW4" s="132">
        <v>0</v>
      </c>
      <c r="EX4" s="132">
        <v>0</v>
      </c>
      <c r="EY4" s="132">
        <v>0</v>
      </c>
      <c r="EZ4" s="132">
        <v>0</v>
      </c>
      <c r="FA4" s="132" t="str">
        <f>SUM(EO4:EZ4)</f>
        <v>0</v>
      </c>
      <c r="FB4" s="181">
        <v>0</v>
      </c>
      <c r="FC4" s="181">
        <v>0</v>
      </c>
      <c r="FD4" s="181">
        <v>0</v>
      </c>
      <c r="FE4" s="181">
        <v>0</v>
      </c>
      <c r="FF4" s="181">
        <v>0</v>
      </c>
      <c r="FG4" s="181">
        <v>0</v>
      </c>
      <c r="FH4" s="181">
        <v>0</v>
      </c>
      <c r="FI4" s="181">
        <v>0</v>
      </c>
      <c r="FJ4" s="181">
        <v>0</v>
      </c>
      <c r="FK4" s="181">
        <v>0</v>
      </c>
      <c r="FL4" s="181">
        <v>0</v>
      </c>
      <c r="FM4" s="181">
        <v>0</v>
      </c>
      <c r="FN4" s="132" t="str">
        <f>SUM(FB4:FM4)</f>
        <v>0</v>
      </c>
      <c r="FO4" s="132">
        <v>0</v>
      </c>
      <c r="FP4" s="132">
        <v>0</v>
      </c>
      <c r="FQ4" s="132">
        <v>0</v>
      </c>
      <c r="FR4" s="132">
        <v>0</v>
      </c>
      <c r="FS4" s="132">
        <v>0</v>
      </c>
      <c r="FT4" s="132">
        <v>0</v>
      </c>
      <c r="FU4" s="132">
        <v>0</v>
      </c>
      <c r="FV4" s="132">
        <v>0</v>
      </c>
      <c r="FW4" s="132">
        <v>0</v>
      </c>
      <c r="FX4" s="132">
        <v>0</v>
      </c>
      <c r="FY4" s="132">
        <v>0</v>
      </c>
      <c r="FZ4" s="132">
        <v>0</v>
      </c>
      <c r="GA4" s="132" t="str">
        <f>SUM(FO4:FZ4)</f>
        <v>0</v>
      </c>
      <c r="GB4" s="181">
        <v>0</v>
      </c>
      <c r="GC4" s="181">
        <v>0</v>
      </c>
      <c r="GD4" s="181">
        <v>0</v>
      </c>
      <c r="GE4" s="181">
        <v>0</v>
      </c>
      <c r="GF4" s="181">
        <v>0</v>
      </c>
      <c r="GG4" s="181">
        <v>0</v>
      </c>
      <c r="GH4" s="181">
        <v>0</v>
      </c>
      <c r="GI4" s="181">
        <v>0</v>
      </c>
      <c r="GJ4" s="181">
        <v>0</v>
      </c>
      <c r="GK4" s="181">
        <v>0</v>
      </c>
      <c r="GL4" s="181">
        <v>0</v>
      </c>
      <c r="GM4" s="181">
        <v>0</v>
      </c>
      <c r="GN4" s="181" t="str">
        <f>SUM(GB4:GM4)</f>
        <v>0</v>
      </c>
      <c r="GO4" s="137">
        <v>0</v>
      </c>
      <c r="GP4" s="137">
        <v>0</v>
      </c>
      <c r="GQ4" s="137">
        <v>0</v>
      </c>
      <c r="GR4" s="137">
        <v>0</v>
      </c>
      <c r="GS4" s="137">
        <v>0</v>
      </c>
      <c r="GT4" s="137">
        <v>0</v>
      </c>
      <c r="GU4" s="137">
        <v>0</v>
      </c>
      <c r="GV4" s="137">
        <v>0</v>
      </c>
      <c r="GW4" s="137">
        <v>0</v>
      </c>
      <c r="GX4" s="137">
        <v>0</v>
      </c>
      <c r="GY4" s="137">
        <v>0</v>
      </c>
      <c r="GZ4" s="137">
        <v>0</v>
      </c>
      <c r="HA4" s="132" t="str">
        <f>SUM(GO4:GZ4)</f>
        <v>0</v>
      </c>
      <c r="HB4" s="181">
        <v>0</v>
      </c>
      <c r="HC4" s="181">
        <v>0</v>
      </c>
      <c r="HD4" s="181">
        <v>0</v>
      </c>
      <c r="HE4" s="181">
        <v>0</v>
      </c>
      <c r="HF4" s="181">
        <v>0</v>
      </c>
      <c r="HG4" s="181">
        <v>0</v>
      </c>
      <c r="HH4" s="181">
        <v>0</v>
      </c>
      <c r="HI4" s="181">
        <v>0</v>
      </c>
      <c r="HJ4" s="181">
        <v>0</v>
      </c>
      <c r="HK4" s="181">
        <v>0</v>
      </c>
      <c r="HL4" s="181">
        <v>0</v>
      </c>
      <c r="HM4" s="181">
        <v>0</v>
      </c>
      <c r="HN4" s="181" t="str">
        <f>SUM(HB4:HM4)</f>
        <v>0</v>
      </c>
      <c r="HO4" s="132">
        <v>0</v>
      </c>
      <c r="HP4" s="132">
        <v>0</v>
      </c>
      <c r="HQ4" s="132">
        <v>0</v>
      </c>
      <c r="HR4" s="132">
        <v>0</v>
      </c>
      <c r="HS4" s="132">
        <v>0</v>
      </c>
      <c r="HT4" s="132">
        <v>0</v>
      </c>
      <c r="HU4" s="132">
        <v>0</v>
      </c>
      <c r="HV4" s="132">
        <v>0</v>
      </c>
      <c r="HW4" s="132">
        <v>0</v>
      </c>
      <c r="HX4" s="132">
        <v>100</v>
      </c>
      <c r="HY4" s="132">
        <v>100</v>
      </c>
      <c r="HZ4" s="132">
        <v>100</v>
      </c>
      <c r="IA4" s="132" t="str">
        <f>SUM(HO4:HZ4)</f>
        <v>0</v>
      </c>
      <c r="IB4" s="181">
        <v>0</v>
      </c>
      <c r="IC4" s="181">
        <v>0</v>
      </c>
      <c r="ID4" s="181">
        <v>0</v>
      </c>
      <c r="IE4" s="181">
        <v>0</v>
      </c>
      <c r="IF4" s="181">
        <v>0</v>
      </c>
      <c r="IG4" s="181">
        <v>0</v>
      </c>
      <c r="IH4" s="181">
        <v>0</v>
      </c>
      <c r="II4" s="181">
        <v>0</v>
      </c>
      <c r="IJ4" s="181">
        <v>0</v>
      </c>
      <c r="IK4" s="181">
        <v>0</v>
      </c>
      <c r="IL4" s="181">
        <v>0</v>
      </c>
      <c r="IM4" s="181">
        <v>0</v>
      </c>
      <c r="IN4" s="181" t="str">
        <f>SUM(IB4:IM4)</f>
        <v>0</v>
      </c>
      <c r="IO4" s="181">
        <v>0</v>
      </c>
      <c r="IP4" s="181">
        <v>0</v>
      </c>
      <c r="IQ4" s="181">
        <v>0</v>
      </c>
      <c r="IR4" s="181">
        <v>0</v>
      </c>
      <c r="IS4" s="181">
        <v>0</v>
      </c>
      <c r="IT4" s="181">
        <v>0</v>
      </c>
      <c r="IU4" s="181">
        <v>0</v>
      </c>
      <c r="IV4" s="181">
        <v>0</v>
      </c>
      <c r="IW4" s="181">
        <v>0</v>
      </c>
      <c r="IX4" s="181">
        <v>0</v>
      </c>
      <c r="IY4" s="181">
        <v>0</v>
      </c>
      <c r="IZ4" s="181">
        <v>0</v>
      </c>
      <c r="JA4" s="181" t="str">
        <f>SUM(IO4:IZ4)</f>
        <v>0</v>
      </c>
      <c r="JC4" s="135" t="str">
        <f>B4+O4+AB4+AO4+BB4+BO4+CB4+CO4+DB4+DO4+EB4+EO4+FB4+FO4+GB4+GO4+HB4+HO4+IB4+IO4</f>
        <v>0</v>
      </c>
      <c r="JD4" s="135" t="str">
        <f>C4+P4+AC4+AP4+BC4+BP4+CC4+CP4+DC4+DP4+EC4+EP4+FC4+FP4+GC4+GP4+HC4+HP4+IC4+IP4</f>
        <v>0</v>
      </c>
      <c r="JE4" s="135" t="str">
        <f>D4+Q4+AD4+AQ4+BD4+BQ4+CD4+CQ4+DD4+DQ4+ED4+EQ4+FD4+FQ4+GD4+GQ4+HD4+HQ4+ID4+IQ4</f>
        <v>0</v>
      </c>
      <c r="JF4" s="135" t="str">
        <f>E4+R4+AE4+AR4+BE4+BR4+CE4+CR4+DE4+DR4+EE4+ER4+FE4+FR4+GE4+GR4+HE4+HR4+IE4+IR4</f>
        <v>0</v>
      </c>
      <c r="JG4" s="135" t="str">
        <f>F4+S4+AF4+AS4+BF4+BS4+CF4+CS4+DF4+DS4+EF4+ES4+FF4+FS4+GF4+GS4+HF4+HS4+IF4+IS4</f>
        <v>0</v>
      </c>
      <c r="JH4" s="135" t="str">
        <f>G4+T4+AG4+AT4+BG4+BT4+CG4+CT4+DG4+DT4+EG4+ET4+FG4+FT4+GG4+GT4+HG4+HT4+IG4+IT4</f>
        <v>0</v>
      </c>
      <c r="JI4" s="135" t="str">
        <f>H4+U4+AH4+AU4+BH4+BU4+CH4+CU4+DH4+DU4+EH4+EU4+FH4+FU4+GH4+GU4+HH4+HU4+IH4+IU4</f>
        <v>0</v>
      </c>
      <c r="JJ4" s="135" t="str">
        <f>I4+V4+AI4+AV4+BI4+BV4+CI4+CV4+DI4+DV4+EI4+EV4+FI4+FV4+GI4+GV4+HI4+HV4+II4+IV4</f>
        <v>0</v>
      </c>
      <c r="JK4" s="135" t="str">
        <f>J4+W4+AJ4+AW4+BJ4+BW4+CJ4+CW4+DJ4+DW4+EJ4+EW4+FJ4+FW4+GJ4+GW4+HJ4+HW4+IJ4+IW4</f>
        <v>0</v>
      </c>
      <c r="JL4" s="135" t="str">
        <f>K4+X4+AK4+AX4+BK4+BX4+CK4+CX4+DK4+DX4+EK4+EX4+FK4+FX4+GK4+GX4+HK4+HX4+IK4+IX4</f>
        <v>0</v>
      </c>
      <c r="JM4" s="135" t="str">
        <f>L4+Y4+AL4+AY4+BL4+BY4+CL4+CY4+DL4+DY4+EL4+EY4+FL4+FY4+GL4+GY4+HL4+HY4+IL4+IY4</f>
        <v>0</v>
      </c>
      <c r="JN4" s="135" t="str">
        <f>M4+Z4+AM4+AZ4+BM4+BZ4+CM4+CZ4+DM4+DZ4+EM4+EZ4+FM4+FZ4+GM4+GZ4+HM4+HZ4+IM4+IZ4</f>
        <v>0</v>
      </c>
      <c r="JO4" s="132" t="str">
        <f>SUM(JC4:JN4)</f>
        <v>0</v>
      </c>
      <c r="JQ4" s="139" t="str">
        <f>N4+AA4+AN4+BA4+BN4+CA4+CN4+DA4+DN4+EA4+EN4+FA4+FN4+GA4+GN4+HA4+HN4+IA4+IN4+JA4</f>
        <v>0</v>
      </c>
    </row>
    <row r="5" spans="1:278">
      <c r="A5" s="130" t="s">
        <v>346</v>
      </c>
      <c r="B5" s="131">
        <v>150</v>
      </c>
      <c r="C5" s="131">
        <v>150</v>
      </c>
      <c r="D5" s="131">
        <v>150</v>
      </c>
      <c r="E5" s="131">
        <v>150</v>
      </c>
      <c r="F5" s="131">
        <v>150</v>
      </c>
      <c r="G5" s="131">
        <v>150</v>
      </c>
      <c r="H5" s="131">
        <v>150</v>
      </c>
      <c r="I5" s="131">
        <v>150</v>
      </c>
      <c r="J5" s="131">
        <v>150</v>
      </c>
      <c r="K5" s="131">
        <v>0</v>
      </c>
      <c r="L5" s="131">
        <v>0</v>
      </c>
      <c r="M5" s="131">
        <v>0</v>
      </c>
      <c r="N5" s="132" t="str">
        <f>SUM(B5:M5)</f>
        <v>0</v>
      </c>
      <c r="O5" s="133">
        <v>500</v>
      </c>
      <c r="P5" s="133">
        <v>500</v>
      </c>
      <c r="Q5" s="133">
        <v>500</v>
      </c>
      <c r="R5" s="133">
        <v>500</v>
      </c>
      <c r="S5" s="133">
        <v>500</v>
      </c>
      <c r="T5" s="133">
        <v>500</v>
      </c>
      <c r="U5" s="133">
        <v>500</v>
      </c>
      <c r="V5" s="133">
        <v>500</v>
      </c>
      <c r="W5" s="133">
        <v>500</v>
      </c>
      <c r="X5" s="133">
        <v>0</v>
      </c>
      <c r="Y5" s="133">
        <v>0</v>
      </c>
      <c r="Z5" s="133">
        <v>0</v>
      </c>
      <c r="AA5" s="132" t="str">
        <f>SUM(O5:Z5)</f>
        <v>0</v>
      </c>
      <c r="AB5" s="131">
        <v>862</v>
      </c>
      <c r="AC5" s="131">
        <v>862</v>
      </c>
      <c r="AD5" s="131">
        <v>862</v>
      </c>
      <c r="AE5" s="131">
        <v>862</v>
      </c>
      <c r="AF5" s="131">
        <v>862</v>
      </c>
      <c r="AG5" s="131">
        <v>862</v>
      </c>
      <c r="AH5" s="131">
        <v>862</v>
      </c>
      <c r="AI5" s="131">
        <v>862</v>
      </c>
      <c r="AJ5" s="131">
        <v>862</v>
      </c>
      <c r="AK5" s="131">
        <v>0</v>
      </c>
      <c r="AL5" s="131">
        <v>0</v>
      </c>
      <c r="AM5" s="131">
        <v>0</v>
      </c>
      <c r="AN5" s="132" t="str">
        <f>SUM(AB5:AM5)</f>
        <v>0</v>
      </c>
      <c r="AO5" s="133">
        <v>539</v>
      </c>
      <c r="AP5" s="133">
        <v>539</v>
      </c>
      <c r="AQ5" s="133">
        <v>539</v>
      </c>
      <c r="AR5" s="133">
        <v>539</v>
      </c>
      <c r="AS5" s="133">
        <v>539</v>
      </c>
      <c r="AT5" s="133">
        <v>539</v>
      </c>
      <c r="AU5" s="133">
        <v>539</v>
      </c>
      <c r="AV5" s="133">
        <v>539</v>
      </c>
      <c r="AW5" s="133">
        <v>539</v>
      </c>
      <c r="AX5" s="133">
        <v>0</v>
      </c>
      <c r="AY5" s="133">
        <v>0</v>
      </c>
      <c r="AZ5" s="133">
        <v>0</v>
      </c>
      <c r="BA5" s="132" t="str">
        <f>SUM(AO5:AZ5)</f>
        <v>0</v>
      </c>
      <c r="BB5" s="134">
        <v>206</v>
      </c>
      <c r="BC5" s="134">
        <v>206</v>
      </c>
      <c r="BD5" s="134">
        <v>206</v>
      </c>
      <c r="BE5" s="134">
        <v>206</v>
      </c>
      <c r="BF5" s="134">
        <v>206</v>
      </c>
      <c r="BG5" s="134">
        <v>206</v>
      </c>
      <c r="BH5" s="134">
        <v>206</v>
      </c>
      <c r="BI5" s="134">
        <v>206</v>
      </c>
      <c r="BJ5" s="134">
        <v>206</v>
      </c>
      <c r="BK5" s="134">
        <v>0</v>
      </c>
      <c r="BL5" s="134">
        <v>0</v>
      </c>
      <c r="BM5" s="134">
        <v>0</v>
      </c>
      <c r="BN5" s="132" t="str">
        <f>SUM(BB5:BM5)</f>
        <v>0</v>
      </c>
      <c r="BO5" s="135">
        <v>171</v>
      </c>
      <c r="BP5" s="135">
        <v>171</v>
      </c>
      <c r="BQ5" s="135">
        <v>171</v>
      </c>
      <c r="BR5" s="135">
        <v>171</v>
      </c>
      <c r="BS5" s="135">
        <v>171</v>
      </c>
      <c r="BT5" s="135">
        <v>171</v>
      </c>
      <c r="BU5" s="135">
        <v>171</v>
      </c>
      <c r="BV5" s="135">
        <v>171</v>
      </c>
      <c r="BW5" s="135">
        <v>171</v>
      </c>
      <c r="BX5" s="135">
        <v>0</v>
      </c>
      <c r="BY5" s="135">
        <v>0</v>
      </c>
      <c r="BZ5" s="135">
        <v>0</v>
      </c>
      <c r="CA5" s="132" t="str">
        <f>SUM(BO5:BZ5)</f>
        <v>0</v>
      </c>
      <c r="CB5" s="136">
        <v>917</v>
      </c>
      <c r="CC5" s="136">
        <v>917</v>
      </c>
      <c r="CD5" s="136">
        <v>917</v>
      </c>
      <c r="CE5" s="136">
        <v>917</v>
      </c>
      <c r="CF5" s="136">
        <v>917</v>
      </c>
      <c r="CG5" s="136">
        <v>917</v>
      </c>
      <c r="CH5" s="136">
        <v>917</v>
      </c>
      <c r="CI5" s="136">
        <v>917</v>
      </c>
      <c r="CJ5" s="136">
        <v>917</v>
      </c>
      <c r="CK5" s="136">
        <v>0</v>
      </c>
      <c r="CL5" s="136">
        <v>0</v>
      </c>
      <c r="CM5" s="136">
        <v>0</v>
      </c>
      <c r="CN5" s="132" t="str">
        <f>SUM(CB5:CM5)</f>
        <v>0</v>
      </c>
      <c r="CO5" s="137">
        <v>594</v>
      </c>
      <c r="CP5" s="137">
        <v>594</v>
      </c>
      <c r="CQ5" s="137">
        <v>594</v>
      </c>
      <c r="CR5" s="137">
        <v>594</v>
      </c>
      <c r="CS5" s="137">
        <v>594</v>
      </c>
      <c r="CT5" s="137">
        <v>594</v>
      </c>
      <c r="CU5" s="137">
        <v>594</v>
      </c>
      <c r="CV5" s="137">
        <v>594</v>
      </c>
      <c r="CW5" s="137">
        <v>594</v>
      </c>
      <c r="CX5" s="137">
        <v>0</v>
      </c>
      <c r="CY5" s="137">
        <v>0</v>
      </c>
      <c r="CZ5" s="137">
        <v>0</v>
      </c>
      <c r="DA5" s="132" t="str">
        <f>SUM(CO5:CZ5)</f>
        <v>0</v>
      </c>
      <c r="DB5" s="136">
        <v>346</v>
      </c>
      <c r="DC5" s="136">
        <v>346</v>
      </c>
      <c r="DD5" s="136">
        <v>346</v>
      </c>
      <c r="DE5" s="136">
        <v>346</v>
      </c>
      <c r="DF5" s="136">
        <v>346</v>
      </c>
      <c r="DG5" s="136">
        <v>346</v>
      </c>
      <c r="DH5" s="136">
        <v>346</v>
      </c>
      <c r="DI5" s="136">
        <v>346</v>
      </c>
      <c r="DJ5" s="136">
        <v>346</v>
      </c>
      <c r="DK5" s="136">
        <v>0</v>
      </c>
      <c r="DL5" s="136">
        <v>0</v>
      </c>
      <c r="DM5" s="136">
        <v>0</v>
      </c>
      <c r="DN5" s="132" t="str">
        <f>SUM(DB5:DM5)</f>
        <v>0</v>
      </c>
      <c r="DO5" s="137">
        <v>240</v>
      </c>
      <c r="DP5" s="137">
        <v>240</v>
      </c>
      <c r="DQ5" s="137">
        <v>240</v>
      </c>
      <c r="DR5" s="137">
        <v>240</v>
      </c>
      <c r="DS5" s="137">
        <v>240</v>
      </c>
      <c r="DT5" s="137">
        <v>240</v>
      </c>
      <c r="DU5" s="137">
        <v>240</v>
      </c>
      <c r="DV5" s="137">
        <v>240</v>
      </c>
      <c r="DW5" s="137">
        <v>240</v>
      </c>
      <c r="DX5" s="137">
        <v>0</v>
      </c>
      <c r="DY5" s="137">
        <v>0</v>
      </c>
      <c r="DZ5" s="137">
        <v>0</v>
      </c>
      <c r="EA5" s="132" t="str">
        <f>SUM(DO5:DZ5)</f>
        <v>0</v>
      </c>
      <c r="EB5" s="216">
        <v>0</v>
      </c>
      <c r="EC5" s="216">
        <v>0</v>
      </c>
      <c r="ED5" s="216">
        <v>0</v>
      </c>
      <c r="EE5" s="216">
        <v>0</v>
      </c>
      <c r="EF5" s="216">
        <v>0</v>
      </c>
      <c r="EG5" s="216">
        <v>0</v>
      </c>
      <c r="EH5" s="216">
        <v>0</v>
      </c>
      <c r="EI5" s="216">
        <v>0</v>
      </c>
      <c r="EJ5" s="216">
        <v>0</v>
      </c>
      <c r="EK5" s="216">
        <v>0</v>
      </c>
      <c r="EL5" s="216">
        <v>0</v>
      </c>
      <c r="EM5" s="216">
        <v>0</v>
      </c>
      <c r="EN5" s="132" t="str">
        <f>SUM(EB5:EM5)</f>
        <v>0</v>
      </c>
      <c r="EO5" s="132">
        <v>0</v>
      </c>
      <c r="EP5" s="132">
        <v>0</v>
      </c>
      <c r="EQ5" s="132">
        <v>0</v>
      </c>
      <c r="ER5" s="132">
        <v>0</v>
      </c>
      <c r="ES5" s="132">
        <v>0</v>
      </c>
      <c r="ET5" s="132">
        <v>0</v>
      </c>
      <c r="EU5" s="132">
        <v>0</v>
      </c>
      <c r="EV5" s="132">
        <v>0</v>
      </c>
      <c r="EW5" s="132">
        <v>0</v>
      </c>
      <c r="EX5" s="132">
        <v>0</v>
      </c>
      <c r="EY5" s="132">
        <v>0</v>
      </c>
      <c r="EZ5" s="132">
        <v>0</v>
      </c>
      <c r="FA5" s="132" t="str">
        <f>SUM(EO5:EZ5)</f>
        <v>0</v>
      </c>
      <c r="FB5" s="181">
        <v>0</v>
      </c>
      <c r="FC5" s="181">
        <v>0</v>
      </c>
      <c r="FD5" s="181">
        <v>0</v>
      </c>
      <c r="FE5" s="181">
        <v>0</v>
      </c>
      <c r="FF5" s="181">
        <v>0</v>
      </c>
      <c r="FG5" s="181">
        <v>0</v>
      </c>
      <c r="FH5" s="181">
        <v>0</v>
      </c>
      <c r="FI5" s="181">
        <v>0</v>
      </c>
      <c r="FJ5" s="181">
        <v>0</v>
      </c>
      <c r="FK5" s="181">
        <v>0</v>
      </c>
      <c r="FL5" s="181">
        <v>0</v>
      </c>
      <c r="FM5" s="181">
        <v>0</v>
      </c>
      <c r="FN5" s="132" t="str">
        <f>SUM(FB5:FM5)</f>
        <v>0</v>
      </c>
      <c r="FO5" s="132">
        <v>0</v>
      </c>
      <c r="FP5" s="132">
        <v>0</v>
      </c>
      <c r="FQ5" s="132">
        <v>0</v>
      </c>
      <c r="FR5" s="132">
        <v>0</v>
      </c>
      <c r="FS5" s="132">
        <v>0</v>
      </c>
      <c r="FT5" s="132">
        <v>0</v>
      </c>
      <c r="FU5" s="132">
        <v>0</v>
      </c>
      <c r="FV5" s="132">
        <v>0</v>
      </c>
      <c r="FW5" s="132">
        <v>0</v>
      </c>
      <c r="FX5" s="132">
        <v>0</v>
      </c>
      <c r="FY5" s="132">
        <v>0</v>
      </c>
      <c r="FZ5" s="132">
        <v>0</v>
      </c>
      <c r="GA5" s="132" t="str">
        <f>SUM(FO5:FZ5)</f>
        <v>0</v>
      </c>
      <c r="GB5" s="181">
        <v>0</v>
      </c>
      <c r="GC5" s="181">
        <v>0</v>
      </c>
      <c r="GD5" s="181">
        <v>0</v>
      </c>
      <c r="GE5" s="181">
        <v>0</v>
      </c>
      <c r="GF5" s="181">
        <v>0</v>
      </c>
      <c r="GG5" s="181">
        <v>0</v>
      </c>
      <c r="GH5" s="181">
        <v>0</v>
      </c>
      <c r="GI5" s="181">
        <v>0</v>
      </c>
      <c r="GJ5" s="181">
        <v>0</v>
      </c>
      <c r="GK5" s="181">
        <v>0</v>
      </c>
      <c r="GL5" s="181">
        <v>0</v>
      </c>
      <c r="GM5" s="181">
        <v>0</v>
      </c>
      <c r="GN5" s="181" t="str">
        <f>SUM(GB5:GM5)</f>
        <v>0</v>
      </c>
      <c r="GO5" s="137">
        <v>0</v>
      </c>
      <c r="GP5" s="137">
        <v>0</v>
      </c>
      <c r="GQ5" s="137">
        <v>0</v>
      </c>
      <c r="GR5" s="137">
        <v>0</v>
      </c>
      <c r="GS5" s="137">
        <v>0</v>
      </c>
      <c r="GT5" s="137">
        <v>0</v>
      </c>
      <c r="GU5" s="137">
        <v>0</v>
      </c>
      <c r="GV5" s="137">
        <v>0</v>
      </c>
      <c r="GW5" s="137">
        <v>0</v>
      </c>
      <c r="GX5" s="137">
        <v>0</v>
      </c>
      <c r="GY5" s="137">
        <v>0</v>
      </c>
      <c r="GZ5" s="137">
        <v>0</v>
      </c>
      <c r="HA5" s="132" t="str">
        <f>SUM(GO5:GZ5)</f>
        <v>0</v>
      </c>
      <c r="HB5" s="181">
        <v>0</v>
      </c>
      <c r="HC5" s="181">
        <v>0</v>
      </c>
      <c r="HD5" s="181">
        <v>0</v>
      </c>
      <c r="HE5" s="181">
        <v>0</v>
      </c>
      <c r="HF5" s="181">
        <v>0</v>
      </c>
      <c r="HG5" s="181">
        <v>0</v>
      </c>
      <c r="HH5" s="181">
        <v>0</v>
      </c>
      <c r="HI5" s="181">
        <v>0</v>
      </c>
      <c r="HJ5" s="181">
        <v>0</v>
      </c>
      <c r="HK5" s="181">
        <v>0</v>
      </c>
      <c r="HL5" s="181">
        <v>0</v>
      </c>
      <c r="HM5" s="181">
        <v>0</v>
      </c>
      <c r="HN5" s="181" t="str">
        <f>SUM(HB5:HM5)</f>
        <v>0</v>
      </c>
      <c r="HO5" s="132">
        <v>97</v>
      </c>
      <c r="HP5" s="132">
        <v>97</v>
      </c>
      <c r="HQ5" s="132">
        <v>97</v>
      </c>
      <c r="HR5" s="132">
        <v>97</v>
      </c>
      <c r="HS5" s="132">
        <v>97</v>
      </c>
      <c r="HT5" s="132">
        <v>97</v>
      </c>
      <c r="HU5" s="132">
        <v>97</v>
      </c>
      <c r="HV5" s="132">
        <v>97</v>
      </c>
      <c r="HW5" s="132">
        <v>97</v>
      </c>
      <c r="HX5" s="132">
        <v>0</v>
      </c>
      <c r="HY5" s="132">
        <v>0</v>
      </c>
      <c r="HZ5" s="132">
        <v>0</v>
      </c>
      <c r="IA5" s="132" t="str">
        <f>SUM(HO5:HZ5)</f>
        <v>0</v>
      </c>
      <c r="IB5" s="181">
        <v>0</v>
      </c>
      <c r="IC5" s="181">
        <v>0</v>
      </c>
      <c r="ID5" s="181">
        <v>0</v>
      </c>
      <c r="IE5" s="181">
        <v>0</v>
      </c>
      <c r="IF5" s="181">
        <v>0</v>
      </c>
      <c r="IG5" s="181">
        <v>0</v>
      </c>
      <c r="IH5" s="181">
        <v>0</v>
      </c>
      <c r="II5" s="181">
        <v>0</v>
      </c>
      <c r="IJ5" s="181">
        <v>0</v>
      </c>
      <c r="IK5" s="181">
        <v>0</v>
      </c>
      <c r="IL5" s="181">
        <v>0</v>
      </c>
      <c r="IM5" s="181">
        <v>0</v>
      </c>
      <c r="IN5" s="181" t="str">
        <f>SUM(IB5:IM5)</f>
        <v>0</v>
      </c>
      <c r="IO5" s="181">
        <v>0</v>
      </c>
      <c r="IP5" s="181">
        <v>0</v>
      </c>
      <c r="IQ5" s="181">
        <v>0</v>
      </c>
      <c r="IR5" s="181">
        <v>0</v>
      </c>
      <c r="IS5" s="181">
        <v>0</v>
      </c>
      <c r="IT5" s="181">
        <v>0</v>
      </c>
      <c r="IU5" s="181">
        <v>0</v>
      </c>
      <c r="IV5" s="181">
        <v>0</v>
      </c>
      <c r="IW5" s="181">
        <v>0</v>
      </c>
      <c r="IX5" s="181">
        <v>0</v>
      </c>
      <c r="IY5" s="181">
        <v>0</v>
      </c>
      <c r="IZ5" s="181">
        <v>0</v>
      </c>
      <c r="JA5" s="181" t="str">
        <f>SUM(IO5:IZ5)</f>
        <v>0</v>
      </c>
      <c r="JC5" s="135" t="str">
        <f>B5+O5+AB5+AO5+BB5+BO5+CB5+CO5+DB5+DO5+EB5+EO5+FB5+FO5+GB5+GO5+HB5+HO5+IB5+IO5</f>
        <v>0</v>
      </c>
      <c r="JD5" s="135" t="str">
        <f>C5+P5+AC5+AP5+BC5+BP5+CC5+CP5+DC5+DP5+EC5+EP5+FC5+FP5+GC5+GP5+HC5+HP5+IC5+IP5</f>
        <v>0</v>
      </c>
      <c r="JE5" s="135" t="str">
        <f>D5+Q5+AD5+AQ5+BD5+BQ5+CD5+CQ5+DD5+DQ5+ED5+EQ5+FD5+FQ5+GD5+GQ5+HD5+HQ5+ID5+IQ5</f>
        <v>0</v>
      </c>
      <c r="JF5" s="135" t="str">
        <f>E5+R5+AE5+AR5+BE5+BR5+CE5+CR5+DE5+DR5+EE5+ER5+FE5+FR5+GE5+GR5+HE5+HR5+IE5+IR5</f>
        <v>0</v>
      </c>
      <c r="JG5" s="135" t="str">
        <f>F5+S5+AF5+AS5+BF5+BS5+CF5+CS5+DF5+DS5+EF5+ES5+FF5+FS5+GF5+GS5+HF5+HS5+IF5+IS5</f>
        <v>0</v>
      </c>
      <c r="JH5" s="135" t="str">
        <f>G5+T5+AG5+AT5+BG5+BT5+CG5+CT5+DG5+DT5+EG5+ET5+FG5+FT5+GG5+GT5+HG5+HT5+IG5+IT5</f>
        <v>0</v>
      </c>
      <c r="JI5" s="135" t="str">
        <f>H5+U5+AH5+AU5+BH5+BU5+CH5+CU5+DH5+DU5+EH5+EU5+FH5+FU5+GH5+GU5+HH5+HU5+IH5+IU5</f>
        <v>0</v>
      </c>
      <c r="JJ5" s="135" t="str">
        <f>I5+V5+AI5+AV5+BI5+BV5+CI5+CV5+DI5+DV5+EI5+EV5+FI5+FV5+GI5+GV5+HI5+HV5+II5+IV5</f>
        <v>0</v>
      </c>
      <c r="JK5" s="135" t="str">
        <f>J5+W5+AJ5+AW5+BJ5+BW5+CJ5+CW5+DJ5+DW5+EJ5+EW5+FJ5+FW5+GJ5+GW5+HJ5+HW5+IJ5+IW5</f>
        <v>0</v>
      </c>
      <c r="JL5" s="135" t="str">
        <f>K5+X5+AK5+AX5+BK5+BX5+CK5+CX5+DK5+DX5+EK5+EX5+FK5+FX5+GK5+GX5+HK5+HX5+IK5+IX5</f>
        <v>0</v>
      </c>
      <c r="JM5" s="135" t="str">
        <f>L5+Y5+AL5+AY5+BL5+BY5+CL5+CY5+DL5+DY5+EL5+EY5+FL5+FY5+GL5+GY5+HL5+HY5+IL5+IY5</f>
        <v>0</v>
      </c>
      <c r="JN5" s="135" t="str">
        <f>M5+Z5+AM5+AZ5+BM5+BZ5+CM5+CZ5+DM5+DZ5+EM5+EZ5+FM5+FZ5+GM5+GZ5+HM5+HZ5+IM5+IZ5</f>
        <v>0</v>
      </c>
      <c r="JO5" s="132" t="str">
        <f>SUM(JC5:JN5)</f>
        <v>0</v>
      </c>
      <c r="JQ5" s="139" t="str">
        <f>N5+AA5+AN5+BA5+BN5+CA5+CN5+DA5+DN5+EA5+EN5+FA5+FN5+GA5+GN5+HA5+HN5+IA5+IN5+JA5</f>
        <v>0</v>
      </c>
    </row>
    <row r="6" spans="1:278">
      <c r="A6" s="130" t="s">
        <v>353</v>
      </c>
      <c r="B6" s="131">
        <v>150</v>
      </c>
      <c r="C6" s="131">
        <v>150</v>
      </c>
      <c r="D6" s="131">
        <v>150</v>
      </c>
      <c r="E6" s="131">
        <v>150</v>
      </c>
      <c r="F6" s="131">
        <v>150</v>
      </c>
      <c r="G6" s="131">
        <v>150</v>
      </c>
      <c r="H6" s="131">
        <v>150</v>
      </c>
      <c r="I6" s="131">
        <v>150</v>
      </c>
      <c r="J6" s="131">
        <v>150</v>
      </c>
      <c r="K6" s="131">
        <v>150</v>
      </c>
      <c r="L6" s="131">
        <v>150</v>
      </c>
      <c r="M6" s="131">
        <v>150</v>
      </c>
      <c r="N6" s="132" t="str">
        <f>SUM(B6:M6)</f>
        <v>0</v>
      </c>
      <c r="O6" s="133">
        <v>250</v>
      </c>
      <c r="P6" s="133">
        <v>250</v>
      </c>
      <c r="Q6" s="133">
        <v>250</v>
      </c>
      <c r="R6" s="133">
        <v>250</v>
      </c>
      <c r="S6" s="133">
        <v>250</v>
      </c>
      <c r="T6" s="133">
        <v>250</v>
      </c>
      <c r="U6" s="133">
        <v>250</v>
      </c>
      <c r="V6" s="133">
        <v>250</v>
      </c>
      <c r="W6" s="133">
        <v>250</v>
      </c>
      <c r="X6" s="133">
        <v>250</v>
      </c>
      <c r="Y6" s="133">
        <v>250</v>
      </c>
      <c r="Z6" s="133">
        <v>250</v>
      </c>
      <c r="AA6" s="132" t="str">
        <f>SUM(O6:Z6)</f>
        <v>0</v>
      </c>
      <c r="AB6" s="131">
        <v>360</v>
      </c>
      <c r="AC6" s="131">
        <v>360</v>
      </c>
      <c r="AD6" s="131">
        <v>360</v>
      </c>
      <c r="AE6" s="131">
        <v>360</v>
      </c>
      <c r="AF6" s="131">
        <v>360</v>
      </c>
      <c r="AG6" s="131">
        <v>360</v>
      </c>
      <c r="AH6" s="131">
        <v>360</v>
      </c>
      <c r="AI6" s="131">
        <v>360</v>
      </c>
      <c r="AJ6" s="131">
        <v>360</v>
      </c>
      <c r="AK6" s="131">
        <v>360</v>
      </c>
      <c r="AL6" s="131">
        <v>360</v>
      </c>
      <c r="AM6" s="131">
        <v>360</v>
      </c>
      <c r="AN6" s="132" t="str">
        <f>SUM(AB6:AM6)</f>
        <v>0</v>
      </c>
      <c r="AO6" s="133">
        <v>225</v>
      </c>
      <c r="AP6" s="133">
        <v>225</v>
      </c>
      <c r="AQ6" s="133">
        <v>225</v>
      </c>
      <c r="AR6" s="133">
        <v>225</v>
      </c>
      <c r="AS6" s="133">
        <v>225</v>
      </c>
      <c r="AT6" s="133">
        <v>225</v>
      </c>
      <c r="AU6" s="133">
        <v>225</v>
      </c>
      <c r="AV6" s="133">
        <v>225</v>
      </c>
      <c r="AW6" s="133">
        <v>225</v>
      </c>
      <c r="AX6" s="133">
        <v>225</v>
      </c>
      <c r="AY6" s="133">
        <v>225</v>
      </c>
      <c r="AZ6" s="133">
        <v>225</v>
      </c>
      <c r="BA6" s="132" t="str">
        <f>SUM(AO6:AZ6)</f>
        <v>0</v>
      </c>
      <c r="BB6" s="134">
        <v>206</v>
      </c>
      <c r="BC6" s="134">
        <v>206</v>
      </c>
      <c r="BD6" s="134">
        <v>206</v>
      </c>
      <c r="BE6" s="134">
        <v>206</v>
      </c>
      <c r="BF6" s="134">
        <v>206</v>
      </c>
      <c r="BG6" s="134">
        <v>206</v>
      </c>
      <c r="BH6" s="134">
        <v>206</v>
      </c>
      <c r="BI6" s="134">
        <v>206</v>
      </c>
      <c r="BJ6" s="134">
        <v>206</v>
      </c>
      <c r="BK6" s="134">
        <v>206</v>
      </c>
      <c r="BL6" s="134">
        <v>206</v>
      </c>
      <c r="BM6" s="134">
        <v>206</v>
      </c>
      <c r="BN6" s="132" t="str">
        <f>SUM(BB6:BM6)</f>
        <v>0</v>
      </c>
      <c r="BO6" s="135">
        <v>78</v>
      </c>
      <c r="BP6" s="135">
        <v>78</v>
      </c>
      <c r="BQ6" s="135">
        <v>78</v>
      </c>
      <c r="BR6" s="135">
        <v>78</v>
      </c>
      <c r="BS6" s="135">
        <v>78</v>
      </c>
      <c r="BT6" s="135">
        <v>78</v>
      </c>
      <c r="BU6" s="135">
        <v>78</v>
      </c>
      <c r="BV6" s="135">
        <v>78</v>
      </c>
      <c r="BW6" s="135">
        <v>78</v>
      </c>
      <c r="BX6" s="135">
        <v>78</v>
      </c>
      <c r="BY6" s="135">
        <v>78</v>
      </c>
      <c r="BZ6" s="135">
        <v>78</v>
      </c>
      <c r="CA6" s="132" t="str">
        <f>SUM(BO6:BZ6)</f>
        <v>0</v>
      </c>
      <c r="CB6" s="136">
        <v>419</v>
      </c>
      <c r="CC6" s="136">
        <v>419</v>
      </c>
      <c r="CD6" s="136">
        <v>419</v>
      </c>
      <c r="CE6" s="136">
        <v>419</v>
      </c>
      <c r="CF6" s="136">
        <v>419</v>
      </c>
      <c r="CG6" s="136">
        <v>419</v>
      </c>
      <c r="CH6" s="136">
        <v>419</v>
      </c>
      <c r="CI6" s="136">
        <v>419</v>
      </c>
      <c r="CJ6" s="136">
        <v>419</v>
      </c>
      <c r="CK6" s="136">
        <v>419</v>
      </c>
      <c r="CL6" s="136">
        <v>419</v>
      </c>
      <c r="CM6" s="136">
        <v>419</v>
      </c>
      <c r="CN6" s="132" t="str">
        <f>SUM(CB6:CM6)</f>
        <v>0</v>
      </c>
      <c r="CO6" s="137">
        <v>255</v>
      </c>
      <c r="CP6" s="137">
        <v>255</v>
      </c>
      <c r="CQ6" s="137">
        <v>255</v>
      </c>
      <c r="CR6" s="137">
        <v>255</v>
      </c>
      <c r="CS6" s="137">
        <v>255</v>
      </c>
      <c r="CT6" s="137">
        <v>255</v>
      </c>
      <c r="CU6" s="137">
        <v>255</v>
      </c>
      <c r="CV6" s="137">
        <v>255</v>
      </c>
      <c r="CW6" s="137">
        <v>255</v>
      </c>
      <c r="CX6" s="137">
        <v>255</v>
      </c>
      <c r="CY6" s="137">
        <v>255</v>
      </c>
      <c r="CZ6" s="137">
        <v>255</v>
      </c>
      <c r="DA6" s="132" t="str">
        <f>SUM(CO6:CZ6)</f>
        <v>0</v>
      </c>
      <c r="DB6" s="136">
        <v>246</v>
      </c>
      <c r="DC6" s="136">
        <v>246</v>
      </c>
      <c r="DD6" s="136">
        <v>246</v>
      </c>
      <c r="DE6" s="136">
        <v>246</v>
      </c>
      <c r="DF6" s="136">
        <v>246</v>
      </c>
      <c r="DG6" s="136">
        <v>246</v>
      </c>
      <c r="DH6" s="136">
        <v>246</v>
      </c>
      <c r="DI6" s="136">
        <v>246</v>
      </c>
      <c r="DJ6" s="136">
        <v>246</v>
      </c>
      <c r="DK6" s="136">
        <v>246</v>
      </c>
      <c r="DL6" s="136">
        <v>246</v>
      </c>
      <c r="DM6" s="136">
        <v>246</v>
      </c>
      <c r="DN6" s="132" t="str">
        <f>SUM(DB6:DM6)</f>
        <v>0</v>
      </c>
      <c r="DO6" s="137">
        <v>240</v>
      </c>
      <c r="DP6" s="137">
        <v>240</v>
      </c>
      <c r="DQ6" s="137">
        <v>240</v>
      </c>
      <c r="DR6" s="137">
        <v>240</v>
      </c>
      <c r="DS6" s="137">
        <v>240</v>
      </c>
      <c r="DT6" s="137">
        <v>240</v>
      </c>
      <c r="DU6" s="137">
        <v>240</v>
      </c>
      <c r="DV6" s="137">
        <v>240</v>
      </c>
      <c r="DW6" s="137">
        <v>240</v>
      </c>
      <c r="DX6" s="137">
        <v>240</v>
      </c>
      <c r="DY6" s="137">
        <v>240</v>
      </c>
      <c r="DZ6" s="137">
        <v>240</v>
      </c>
      <c r="EA6" s="132" t="str">
        <f>SUM(DO6:DZ6)</f>
        <v>0</v>
      </c>
      <c r="EB6" s="216">
        <v>0</v>
      </c>
      <c r="EC6" s="216">
        <v>0</v>
      </c>
      <c r="ED6" s="216">
        <v>0</v>
      </c>
      <c r="EE6" s="216">
        <v>0</v>
      </c>
      <c r="EF6" s="216">
        <v>0</v>
      </c>
      <c r="EG6" s="216">
        <v>0</v>
      </c>
      <c r="EH6" s="216">
        <v>0</v>
      </c>
      <c r="EI6" s="216">
        <v>0</v>
      </c>
      <c r="EJ6" s="216">
        <v>0</v>
      </c>
      <c r="EK6" s="216">
        <v>0</v>
      </c>
      <c r="EL6" s="216">
        <v>0</v>
      </c>
      <c r="EM6" s="216">
        <v>0</v>
      </c>
      <c r="EN6" s="132" t="str">
        <f>SUM(EB6:EM6)</f>
        <v>0</v>
      </c>
      <c r="EO6" s="132">
        <v>0</v>
      </c>
      <c r="EP6" s="132">
        <v>0</v>
      </c>
      <c r="EQ6" s="132">
        <v>0</v>
      </c>
      <c r="ER6" s="132">
        <v>0</v>
      </c>
      <c r="ES6" s="132">
        <v>0</v>
      </c>
      <c r="ET6" s="132">
        <v>0</v>
      </c>
      <c r="EU6" s="132">
        <v>0</v>
      </c>
      <c r="EV6" s="132">
        <v>0</v>
      </c>
      <c r="EW6" s="132">
        <v>0</v>
      </c>
      <c r="EX6" s="132">
        <v>0</v>
      </c>
      <c r="EY6" s="132">
        <v>0</v>
      </c>
      <c r="EZ6" s="132">
        <v>0</v>
      </c>
      <c r="FA6" s="132" t="str">
        <f>SUM(EO6:EZ6)</f>
        <v>0</v>
      </c>
      <c r="FB6" s="181">
        <v>0</v>
      </c>
      <c r="FC6" s="181">
        <v>0</v>
      </c>
      <c r="FD6" s="181">
        <v>0</v>
      </c>
      <c r="FE6" s="181">
        <v>0</v>
      </c>
      <c r="FF6" s="181">
        <v>0</v>
      </c>
      <c r="FG6" s="181">
        <v>0</v>
      </c>
      <c r="FH6" s="181">
        <v>0</v>
      </c>
      <c r="FI6" s="181">
        <v>0</v>
      </c>
      <c r="FJ6" s="181">
        <v>0</v>
      </c>
      <c r="FK6" s="181">
        <v>0</v>
      </c>
      <c r="FL6" s="181">
        <v>0</v>
      </c>
      <c r="FM6" s="181">
        <v>0</v>
      </c>
      <c r="FN6" s="132" t="str">
        <f>SUM(FB6:FM6)</f>
        <v>0</v>
      </c>
      <c r="FO6" s="132">
        <v>0</v>
      </c>
      <c r="FP6" s="132">
        <v>0</v>
      </c>
      <c r="FQ6" s="132">
        <v>0</v>
      </c>
      <c r="FR6" s="132">
        <v>0</v>
      </c>
      <c r="FS6" s="132">
        <v>0</v>
      </c>
      <c r="FT6" s="132">
        <v>0</v>
      </c>
      <c r="FU6" s="132">
        <v>0</v>
      </c>
      <c r="FV6" s="132">
        <v>0</v>
      </c>
      <c r="FW6" s="132">
        <v>0</v>
      </c>
      <c r="FX6" s="132">
        <v>0</v>
      </c>
      <c r="FY6" s="132">
        <v>0</v>
      </c>
      <c r="FZ6" s="132">
        <v>0</v>
      </c>
      <c r="GA6" s="132" t="str">
        <f>SUM(FO6:FZ6)</f>
        <v>0</v>
      </c>
      <c r="GB6" s="181">
        <v>0</v>
      </c>
      <c r="GC6" s="181">
        <v>0</v>
      </c>
      <c r="GD6" s="181">
        <v>0</v>
      </c>
      <c r="GE6" s="181">
        <v>0</v>
      </c>
      <c r="GF6" s="181">
        <v>0</v>
      </c>
      <c r="GG6" s="181">
        <v>0</v>
      </c>
      <c r="GH6" s="181">
        <v>0</v>
      </c>
      <c r="GI6" s="181">
        <v>0</v>
      </c>
      <c r="GJ6" s="181">
        <v>0</v>
      </c>
      <c r="GK6" s="181">
        <v>0</v>
      </c>
      <c r="GL6" s="181">
        <v>0</v>
      </c>
      <c r="GM6" s="181">
        <v>0</v>
      </c>
      <c r="GN6" s="181" t="str">
        <f>SUM(GB6:GM6)</f>
        <v>0</v>
      </c>
      <c r="GO6" s="137">
        <v>0</v>
      </c>
      <c r="GP6" s="137">
        <v>0</v>
      </c>
      <c r="GQ6" s="137">
        <v>0</v>
      </c>
      <c r="GR6" s="137">
        <v>0</v>
      </c>
      <c r="GS6" s="137">
        <v>0</v>
      </c>
      <c r="GT6" s="137">
        <v>0</v>
      </c>
      <c r="GU6" s="137">
        <v>0</v>
      </c>
      <c r="GV6" s="137">
        <v>0</v>
      </c>
      <c r="GW6" s="137">
        <v>0</v>
      </c>
      <c r="GX6" s="137">
        <v>0</v>
      </c>
      <c r="GY6" s="137">
        <v>0</v>
      </c>
      <c r="GZ6" s="137">
        <v>0</v>
      </c>
      <c r="HA6" s="132" t="str">
        <f>SUM(GO6:GZ6)</f>
        <v>0</v>
      </c>
      <c r="HB6" s="181">
        <v>0</v>
      </c>
      <c r="HC6" s="181">
        <v>0</v>
      </c>
      <c r="HD6" s="181">
        <v>0</v>
      </c>
      <c r="HE6" s="181">
        <v>0</v>
      </c>
      <c r="HF6" s="181">
        <v>0</v>
      </c>
      <c r="HG6" s="181">
        <v>0</v>
      </c>
      <c r="HH6" s="181">
        <v>0</v>
      </c>
      <c r="HI6" s="181">
        <v>0</v>
      </c>
      <c r="HJ6" s="181">
        <v>0</v>
      </c>
      <c r="HK6" s="181">
        <v>0</v>
      </c>
      <c r="HL6" s="181">
        <v>0</v>
      </c>
      <c r="HM6" s="181">
        <v>0</v>
      </c>
      <c r="HN6" s="181" t="str">
        <f>SUM(HB6:HM6)</f>
        <v>0</v>
      </c>
      <c r="HO6" s="132">
        <v>97</v>
      </c>
      <c r="HP6" s="132">
        <v>97</v>
      </c>
      <c r="HQ6" s="132">
        <v>97</v>
      </c>
      <c r="HR6" s="132">
        <v>97</v>
      </c>
      <c r="HS6" s="132">
        <v>97</v>
      </c>
      <c r="HT6" s="132">
        <v>97</v>
      </c>
      <c r="HU6" s="132">
        <v>97</v>
      </c>
      <c r="HV6" s="132">
        <v>97</v>
      </c>
      <c r="HW6" s="132">
        <v>97</v>
      </c>
      <c r="HX6" s="132">
        <v>97</v>
      </c>
      <c r="HY6" s="132">
        <v>97</v>
      </c>
      <c r="HZ6" s="132">
        <v>97</v>
      </c>
      <c r="IA6" s="132" t="str">
        <f>SUM(HO6:HZ6)</f>
        <v>0</v>
      </c>
      <c r="IB6" s="181">
        <v>0</v>
      </c>
      <c r="IC6" s="181">
        <v>0</v>
      </c>
      <c r="ID6" s="181">
        <v>0</v>
      </c>
      <c r="IE6" s="181">
        <v>0</v>
      </c>
      <c r="IF6" s="181">
        <v>0</v>
      </c>
      <c r="IG6" s="181">
        <v>0</v>
      </c>
      <c r="IH6" s="181">
        <v>0</v>
      </c>
      <c r="II6" s="181">
        <v>0</v>
      </c>
      <c r="IJ6" s="181">
        <v>0</v>
      </c>
      <c r="IK6" s="181">
        <v>0</v>
      </c>
      <c r="IL6" s="181">
        <v>0</v>
      </c>
      <c r="IM6" s="181">
        <v>0</v>
      </c>
      <c r="IN6" s="181" t="str">
        <f>SUM(IB6:IM6)</f>
        <v>0</v>
      </c>
      <c r="IO6" s="181">
        <v>0</v>
      </c>
      <c r="IP6" s="181">
        <v>0</v>
      </c>
      <c r="IQ6" s="181">
        <v>0</v>
      </c>
      <c r="IR6" s="181">
        <v>0</v>
      </c>
      <c r="IS6" s="181">
        <v>0</v>
      </c>
      <c r="IT6" s="181">
        <v>0</v>
      </c>
      <c r="IU6" s="181">
        <v>0</v>
      </c>
      <c r="IV6" s="181">
        <v>0</v>
      </c>
      <c r="IW6" s="181">
        <v>0</v>
      </c>
      <c r="IX6" s="181">
        <v>0</v>
      </c>
      <c r="IY6" s="181">
        <v>0</v>
      </c>
      <c r="IZ6" s="181">
        <v>0</v>
      </c>
      <c r="JA6" s="181" t="str">
        <f>SUM(IO6:IZ6)</f>
        <v>0</v>
      </c>
      <c r="JC6" s="135" t="str">
        <f>B6+O6+AB6+AO6+BB6+BO6+CB6+CO6+DB6+DO6+EB6+EO6+FB6+FO6+GB6+GO6+HB6+HO6+IB6+IO6</f>
        <v>0</v>
      </c>
      <c r="JD6" s="135" t="str">
        <f>C6+P6+AC6+AP6+BC6+BP6+CC6+CP6+DC6+DP6+EC6+EP6+FC6+FP6+GC6+GP6+HC6+HP6+IC6+IP6</f>
        <v>0</v>
      </c>
      <c r="JE6" s="135" t="str">
        <f>D6+Q6+AD6+AQ6+BD6+BQ6+CD6+CQ6+DD6+DQ6+ED6+EQ6+FD6+FQ6+GD6+GQ6+HD6+HQ6+ID6+IQ6</f>
        <v>0</v>
      </c>
      <c r="JF6" s="135" t="str">
        <f>E6+R6+AE6+AR6+BE6+BR6+CE6+CR6+DE6+DR6+EE6+ER6+FE6+FR6+GE6+GR6+HE6+HR6+IE6+IR6</f>
        <v>0</v>
      </c>
      <c r="JG6" s="135" t="str">
        <f>F6+S6+AF6+AS6+BF6+BS6+CF6+CS6+DF6+DS6+EF6+ES6+FF6+FS6+GF6+GS6+HF6+HS6+IF6+IS6</f>
        <v>0</v>
      </c>
      <c r="JH6" s="135" t="str">
        <f>G6+T6+AG6+AT6+BG6+BT6+CG6+CT6+DG6+DT6+EG6+ET6+FG6+FT6+GG6+GT6+HG6+HT6+IG6+IT6</f>
        <v>0</v>
      </c>
      <c r="JI6" s="135" t="str">
        <f>H6+U6+AH6+AU6+BH6+BU6+CH6+CU6+DH6+DU6+EH6+EU6+FH6+FU6+GH6+GU6+HH6+HU6+IH6+IU6</f>
        <v>0</v>
      </c>
      <c r="JJ6" s="135" t="str">
        <f>I6+V6+AI6+AV6+BI6+BV6+CI6+CV6+DI6+DV6+EI6+EV6+FI6+FV6+GI6+GV6+HI6+HV6+II6+IV6</f>
        <v>0</v>
      </c>
      <c r="JK6" s="135" t="str">
        <f>J6+W6+AJ6+AW6+BJ6+BW6+CJ6+CW6+DJ6+DW6+EJ6+EW6+FJ6+FW6+GJ6+GW6+HJ6+HW6+IJ6+IW6</f>
        <v>0</v>
      </c>
      <c r="JL6" s="135" t="str">
        <f>K6+X6+AK6+AX6+BK6+BX6+CK6+CX6+DK6+DX6+EK6+EX6+FK6+FX6+GK6+GX6+HK6+HX6+IK6+IX6</f>
        <v>0</v>
      </c>
      <c r="JM6" s="135" t="str">
        <f>L6+Y6+AL6+AY6+BL6+BY6+CL6+CY6+DL6+DY6+EL6+EY6+FL6+FY6+GL6+GY6+HL6+HY6+IL6+IY6</f>
        <v>0</v>
      </c>
      <c r="JN6" s="135" t="str">
        <f>M6+Z6+AM6+AZ6+BM6+BZ6+CM6+CZ6+DM6+DZ6+EM6+EZ6+FM6+FZ6+GM6+GZ6+HM6+HZ6+IM6+IZ6</f>
        <v>0</v>
      </c>
      <c r="JO6" s="132" t="str">
        <f>SUM(JC6:JN6)</f>
        <v>0</v>
      </c>
      <c r="JQ6" s="139" t="str">
        <f>N6+AA6+AN6+BA6+BN6+CA6+CN6+DA6+DN6+EA6+EN6+FA6+FN6+GA6+GN6+HA6+HN6+IA6+IN6+JA6</f>
        <v>0</v>
      </c>
    </row>
    <row r="7" spans="1:278">
      <c r="A7" s="130" t="s">
        <v>359</v>
      </c>
      <c r="B7" s="131">
        <v>150</v>
      </c>
      <c r="C7" s="131">
        <v>150</v>
      </c>
      <c r="D7" s="131">
        <v>150</v>
      </c>
      <c r="E7" s="131">
        <v>150</v>
      </c>
      <c r="F7" s="131">
        <v>150</v>
      </c>
      <c r="G7" s="131">
        <v>150</v>
      </c>
      <c r="H7" s="131">
        <v>150</v>
      </c>
      <c r="I7" s="131">
        <v>150</v>
      </c>
      <c r="J7" s="131">
        <v>150</v>
      </c>
      <c r="K7" s="131">
        <v>150</v>
      </c>
      <c r="L7" s="131">
        <v>150</v>
      </c>
      <c r="M7" s="131">
        <v>150</v>
      </c>
      <c r="N7" s="132" t="str">
        <f>SUM(B7:M7)</f>
        <v>0</v>
      </c>
      <c r="O7" s="133">
        <v>250</v>
      </c>
      <c r="P7" s="133">
        <v>250</v>
      </c>
      <c r="Q7" s="133">
        <v>250</v>
      </c>
      <c r="R7" s="133">
        <v>250</v>
      </c>
      <c r="S7" s="133">
        <v>250</v>
      </c>
      <c r="T7" s="133">
        <v>250</v>
      </c>
      <c r="U7" s="133">
        <v>250</v>
      </c>
      <c r="V7" s="133">
        <v>250</v>
      </c>
      <c r="W7" s="133">
        <v>250</v>
      </c>
      <c r="X7" s="133">
        <v>250</v>
      </c>
      <c r="Y7" s="133">
        <v>250</v>
      </c>
      <c r="Z7" s="133">
        <v>250</v>
      </c>
      <c r="AA7" s="132" t="str">
        <f>SUM(O7:Z7)</f>
        <v>0</v>
      </c>
      <c r="AB7" s="131">
        <v>488</v>
      </c>
      <c r="AC7" s="131">
        <v>488</v>
      </c>
      <c r="AD7" s="131">
        <v>488</v>
      </c>
      <c r="AE7" s="131">
        <v>488</v>
      </c>
      <c r="AF7" s="131">
        <v>488</v>
      </c>
      <c r="AG7" s="131">
        <v>488</v>
      </c>
      <c r="AH7" s="131">
        <v>488</v>
      </c>
      <c r="AI7" s="131">
        <v>488</v>
      </c>
      <c r="AJ7" s="131">
        <v>488</v>
      </c>
      <c r="AK7" s="131">
        <v>488</v>
      </c>
      <c r="AL7" s="131">
        <v>488</v>
      </c>
      <c r="AM7" s="131">
        <v>488</v>
      </c>
      <c r="AN7" s="132" t="str">
        <f>SUM(AB7:AM7)</f>
        <v>0</v>
      </c>
      <c r="AO7" s="133">
        <v>305</v>
      </c>
      <c r="AP7" s="133">
        <v>305</v>
      </c>
      <c r="AQ7" s="133">
        <v>305</v>
      </c>
      <c r="AR7" s="133">
        <v>305</v>
      </c>
      <c r="AS7" s="133">
        <v>305</v>
      </c>
      <c r="AT7" s="133">
        <v>305</v>
      </c>
      <c r="AU7" s="133">
        <v>305</v>
      </c>
      <c r="AV7" s="133">
        <v>305</v>
      </c>
      <c r="AW7" s="133">
        <v>305</v>
      </c>
      <c r="AX7" s="133">
        <v>305</v>
      </c>
      <c r="AY7" s="133">
        <v>305</v>
      </c>
      <c r="AZ7" s="133">
        <v>305</v>
      </c>
      <c r="BA7" s="132" t="str">
        <f>SUM(AO7:AZ7)</f>
        <v>0</v>
      </c>
      <c r="BB7" s="134">
        <v>206</v>
      </c>
      <c r="BC7" s="134">
        <v>206</v>
      </c>
      <c r="BD7" s="134">
        <v>206</v>
      </c>
      <c r="BE7" s="134">
        <v>206</v>
      </c>
      <c r="BF7" s="134">
        <v>206</v>
      </c>
      <c r="BG7" s="134">
        <v>206</v>
      </c>
      <c r="BH7" s="134">
        <v>206</v>
      </c>
      <c r="BI7" s="134">
        <v>206</v>
      </c>
      <c r="BJ7" s="134">
        <v>206</v>
      </c>
      <c r="BK7" s="134">
        <v>206</v>
      </c>
      <c r="BL7" s="134">
        <v>206</v>
      </c>
      <c r="BM7" s="134">
        <v>206</v>
      </c>
      <c r="BN7" s="132" t="str">
        <f>SUM(BB7:BM7)</f>
        <v>0</v>
      </c>
      <c r="BO7" s="135">
        <v>114</v>
      </c>
      <c r="BP7" s="135">
        <v>114</v>
      </c>
      <c r="BQ7" s="135">
        <v>114</v>
      </c>
      <c r="BR7" s="135">
        <v>114</v>
      </c>
      <c r="BS7" s="135">
        <v>114</v>
      </c>
      <c r="BT7" s="135">
        <v>114</v>
      </c>
      <c r="BU7" s="135">
        <v>114</v>
      </c>
      <c r="BV7" s="135">
        <v>114</v>
      </c>
      <c r="BW7" s="135">
        <v>114</v>
      </c>
      <c r="BX7" s="135">
        <v>114</v>
      </c>
      <c r="BY7" s="135">
        <v>114</v>
      </c>
      <c r="BZ7" s="135">
        <v>114</v>
      </c>
      <c r="CA7" s="132" t="str">
        <f>SUM(BO7:BZ7)</f>
        <v>0</v>
      </c>
      <c r="CB7" s="136">
        <v>544</v>
      </c>
      <c r="CC7" s="136">
        <v>544</v>
      </c>
      <c r="CD7" s="136">
        <v>544</v>
      </c>
      <c r="CE7" s="136">
        <v>544</v>
      </c>
      <c r="CF7" s="136">
        <v>544</v>
      </c>
      <c r="CG7" s="136">
        <v>544</v>
      </c>
      <c r="CH7" s="136">
        <v>544</v>
      </c>
      <c r="CI7" s="136">
        <v>544</v>
      </c>
      <c r="CJ7" s="136">
        <v>544</v>
      </c>
      <c r="CK7" s="136">
        <v>544</v>
      </c>
      <c r="CL7" s="136">
        <v>544</v>
      </c>
      <c r="CM7" s="136">
        <v>544</v>
      </c>
      <c r="CN7" s="132" t="str">
        <f>SUM(CB7:CM7)</f>
        <v>0</v>
      </c>
      <c r="CO7" s="137">
        <v>348</v>
      </c>
      <c r="CP7" s="137">
        <v>348</v>
      </c>
      <c r="CQ7" s="137">
        <v>348</v>
      </c>
      <c r="CR7" s="137">
        <v>348</v>
      </c>
      <c r="CS7" s="137">
        <v>348</v>
      </c>
      <c r="CT7" s="137">
        <v>348</v>
      </c>
      <c r="CU7" s="137">
        <v>348</v>
      </c>
      <c r="CV7" s="137">
        <v>348</v>
      </c>
      <c r="CW7" s="137">
        <v>348</v>
      </c>
      <c r="CX7" s="137">
        <v>348</v>
      </c>
      <c r="CY7" s="137">
        <v>348</v>
      </c>
      <c r="CZ7" s="137">
        <v>348</v>
      </c>
      <c r="DA7" s="132" t="str">
        <f>SUM(CO7:CZ7)</f>
        <v>0</v>
      </c>
      <c r="DB7" s="136">
        <v>285</v>
      </c>
      <c r="DC7" s="136">
        <v>285</v>
      </c>
      <c r="DD7" s="136">
        <v>285</v>
      </c>
      <c r="DE7" s="136">
        <v>285</v>
      </c>
      <c r="DF7" s="136">
        <v>285</v>
      </c>
      <c r="DG7" s="136">
        <v>285</v>
      </c>
      <c r="DH7" s="136">
        <v>285</v>
      </c>
      <c r="DI7" s="136">
        <v>285</v>
      </c>
      <c r="DJ7" s="136">
        <v>285</v>
      </c>
      <c r="DK7" s="136">
        <v>285</v>
      </c>
      <c r="DL7" s="136">
        <v>285</v>
      </c>
      <c r="DM7" s="136">
        <v>285</v>
      </c>
      <c r="DN7" s="132" t="str">
        <f>SUM(DB7:DM7)</f>
        <v>0</v>
      </c>
      <c r="DO7" s="137">
        <v>240</v>
      </c>
      <c r="DP7" s="137">
        <v>240</v>
      </c>
      <c r="DQ7" s="137">
        <v>240</v>
      </c>
      <c r="DR7" s="137">
        <v>240</v>
      </c>
      <c r="DS7" s="137">
        <v>240</v>
      </c>
      <c r="DT7" s="137">
        <v>240</v>
      </c>
      <c r="DU7" s="137">
        <v>240</v>
      </c>
      <c r="DV7" s="137">
        <v>240</v>
      </c>
      <c r="DW7" s="137">
        <v>240</v>
      </c>
      <c r="DX7" s="137">
        <v>240</v>
      </c>
      <c r="DY7" s="137">
        <v>240</v>
      </c>
      <c r="DZ7" s="137">
        <v>240</v>
      </c>
      <c r="EA7" s="132" t="str">
        <f>SUM(DO7:DZ7)</f>
        <v>0</v>
      </c>
      <c r="EB7" s="216">
        <v>0</v>
      </c>
      <c r="EC7" s="216">
        <v>0</v>
      </c>
      <c r="ED7" s="216">
        <v>0</v>
      </c>
      <c r="EE7" s="216">
        <v>0</v>
      </c>
      <c r="EF7" s="216">
        <v>0</v>
      </c>
      <c r="EG7" s="216">
        <v>0</v>
      </c>
      <c r="EH7" s="216">
        <v>0</v>
      </c>
      <c r="EI7" s="216">
        <v>0</v>
      </c>
      <c r="EJ7" s="216">
        <v>0</v>
      </c>
      <c r="EK7" s="216">
        <v>0</v>
      </c>
      <c r="EL7" s="216">
        <v>0</v>
      </c>
      <c r="EM7" s="216">
        <v>0</v>
      </c>
      <c r="EN7" s="132" t="str">
        <f>SUM(EB7:EM7)</f>
        <v>0</v>
      </c>
      <c r="EO7" s="132">
        <v>0</v>
      </c>
      <c r="EP7" s="132">
        <v>0</v>
      </c>
      <c r="EQ7" s="132">
        <v>0</v>
      </c>
      <c r="ER7" s="132">
        <v>0</v>
      </c>
      <c r="ES7" s="132">
        <v>0</v>
      </c>
      <c r="ET7" s="132">
        <v>0</v>
      </c>
      <c r="EU7" s="132">
        <v>0</v>
      </c>
      <c r="EV7" s="132">
        <v>0</v>
      </c>
      <c r="EW7" s="132">
        <v>0</v>
      </c>
      <c r="EX7" s="132">
        <v>0</v>
      </c>
      <c r="EY7" s="132">
        <v>0</v>
      </c>
      <c r="EZ7" s="132">
        <v>0</v>
      </c>
      <c r="FA7" s="132" t="str">
        <f>SUM(EO7:EZ7)</f>
        <v>0</v>
      </c>
      <c r="FB7" s="181">
        <v>0</v>
      </c>
      <c r="FC7" s="181">
        <v>0</v>
      </c>
      <c r="FD7" s="181">
        <v>0</v>
      </c>
      <c r="FE7" s="181">
        <v>0</v>
      </c>
      <c r="FF7" s="181">
        <v>0</v>
      </c>
      <c r="FG7" s="181">
        <v>0</v>
      </c>
      <c r="FH7" s="181">
        <v>0</v>
      </c>
      <c r="FI7" s="181">
        <v>0</v>
      </c>
      <c r="FJ7" s="181">
        <v>0</v>
      </c>
      <c r="FK7" s="181">
        <v>0</v>
      </c>
      <c r="FL7" s="181">
        <v>0</v>
      </c>
      <c r="FM7" s="181">
        <v>0</v>
      </c>
      <c r="FN7" s="132" t="str">
        <f>SUM(FB7:FM7)</f>
        <v>0</v>
      </c>
      <c r="FO7" s="132">
        <v>0</v>
      </c>
      <c r="FP7" s="132">
        <v>0</v>
      </c>
      <c r="FQ7" s="132">
        <v>0</v>
      </c>
      <c r="FR7" s="132">
        <v>0</v>
      </c>
      <c r="FS7" s="132">
        <v>0</v>
      </c>
      <c r="FT7" s="132">
        <v>0</v>
      </c>
      <c r="FU7" s="132">
        <v>0</v>
      </c>
      <c r="FV7" s="132">
        <v>0</v>
      </c>
      <c r="FW7" s="132">
        <v>0</v>
      </c>
      <c r="FX7" s="132">
        <v>0</v>
      </c>
      <c r="FY7" s="132">
        <v>0</v>
      </c>
      <c r="FZ7" s="132">
        <v>0</v>
      </c>
      <c r="GA7" s="132" t="str">
        <f>SUM(FO7:FZ7)</f>
        <v>0</v>
      </c>
      <c r="GB7" s="181">
        <v>0</v>
      </c>
      <c r="GC7" s="181">
        <v>0</v>
      </c>
      <c r="GD7" s="181">
        <v>0</v>
      </c>
      <c r="GE7" s="181">
        <v>0</v>
      </c>
      <c r="GF7" s="181">
        <v>0</v>
      </c>
      <c r="GG7" s="181">
        <v>0</v>
      </c>
      <c r="GH7" s="181">
        <v>0</v>
      </c>
      <c r="GI7" s="181">
        <v>0</v>
      </c>
      <c r="GJ7" s="181">
        <v>0</v>
      </c>
      <c r="GK7" s="181">
        <v>0</v>
      </c>
      <c r="GL7" s="181">
        <v>0</v>
      </c>
      <c r="GM7" s="181">
        <v>0</v>
      </c>
      <c r="GN7" s="181" t="str">
        <f>SUM(GB7:GM7)</f>
        <v>0</v>
      </c>
      <c r="GO7" s="137">
        <v>0</v>
      </c>
      <c r="GP7" s="137">
        <v>0</v>
      </c>
      <c r="GQ7" s="137">
        <v>0</v>
      </c>
      <c r="GR7" s="137">
        <v>0</v>
      </c>
      <c r="GS7" s="137">
        <v>0</v>
      </c>
      <c r="GT7" s="137">
        <v>0</v>
      </c>
      <c r="GU7" s="137">
        <v>0</v>
      </c>
      <c r="GV7" s="137">
        <v>0</v>
      </c>
      <c r="GW7" s="137">
        <v>0</v>
      </c>
      <c r="GX7" s="137">
        <v>0</v>
      </c>
      <c r="GY7" s="137">
        <v>0</v>
      </c>
      <c r="GZ7" s="137">
        <v>0</v>
      </c>
      <c r="HA7" s="132" t="str">
        <f>SUM(GO7:GZ7)</f>
        <v>0</v>
      </c>
      <c r="HB7" s="181">
        <v>0</v>
      </c>
      <c r="HC7" s="181">
        <v>0</v>
      </c>
      <c r="HD7" s="181">
        <v>0</v>
      </c>
      <c r="HE7" s="181">
        <v>0</v>
      </c>
      <c r="HF7" s="181">
        <v>0</v>
      </c>
      <c r="HG7" s="181">
        <v>0</v>
      </c>
      <c r="HH7" s="181">
        <v>0</v>
      </c>
      <c r="HI7" s="181">
        <v>0</v>
      </c>
      <c r="HJ7" s="181">
        <v>0</v>
      </c>
      <c r="HK7" s="181">
        <v>0</v>
      </c>
      <c r="HL7" s="181">
        <v>0</v>
      </c>
      <c r="HM7" s="181">
        <v>0</v>
      </c>
      <c r="HN7" s="181" t="str">
        <f>SUM(HB7:HM7)</f>
        <v>0</v>
      </c>
      <c r="HO7" s="132">
        <v>97</v>
      </c>
      <c r="HP7" s="132">
        <v>97</v>
      </c>
      <c r="HQ7" s="132">
        <v>97</v>
      </c>
      <c r="HR7" s="132">
        <v>97</v>
      </c>
      <c r="HS7" s="132">
        <v>97</v>
      </c>
      <c r="HT7" s="132">
        <v>97</v>
      </c>
      <c r="HU7" s="132">
        <v>97</v>
      </c>
      <c r="HV7" s="132">
        <v>97</v>
      </c>
      <c r="HW7" s="132">
        <v>97</v>
      </c>
      <c r="HX7" s="132">
        <v>97</v>
      </c>
      <c r="HY7" s="132">
        <v>97</v>
      </c>
      <c r="HZ7" s="132">
        <v>97</v>
      </c>
      <c r="IA7" s="132" t="str">
        <f>SUM(HO7:HZ7)</f>
        <v>0</v>
      </c>
      <c r="IB7" s="181">
        <v>0</v>
      </c>
      <c r="IC7" s="181">
        <v>0</v>
      </c>
      <c r="ID7" s="181">
        <v>0</v>
      </c>
      <c r="IE7" s="181">
        <v>0</v>
      </c>
      <c r="IF7" s="181">
        <v>0</v>
      </c>
      <c r="IG7" s="181">
        <v>0</v>
      </c>
      <c r="IH7" s="181">
        <v>0</v>
      </c>
      <c r="II7" s="181">
        <v>0</v>
      </c>
      <c r="IJ7" s="181">
        <v>0</v>
      </c>
      <c r="IK7" s="181">
        <v>0</v>
      </c>
      <c r="IL7" s="181">
        <v>0</v>
      </c>
      <c r="IM7" s="181">
        <v>0</v>
      </c>
      <c r="IN7" s="181" t="str">
        <f>SUM(IB7:IM7)</f>
        <v>0</v>
      </c>
      <c r="IO7" s="181">
        <v>0</v>
      </c>
      <c r="IP7" s="181">
        <v>0</v>
      </c>
      <c r="IQ7" s="181">
        <v>0</v>
      </c>
      <c r="IR7" s="181">
        <v>0</v>
      </c>
      <c r="IS7" s="181">
        <v>0</v>
      </c>
      <c r="IT7" s="181">
        <v>0</v>
      </c>
      <c r="IU7" s="181">
        <v>0</v>
      </c>
      <c r="IV7" s="181">
        <v>0</v>
      </c>
      <c r="IW7" s="181">
        <v>0</v>
      </c>
      <c r="IX7" s="181">
        <v>0</v>
      </c>
      <c r="IY7" s="181">
        <v>0</v>
      </c>
      <c r="IZ7" s="181">
        <v>0</v>
      </c>
      <c r="JA7" s="181" t="str">
        <f>SUM(IO7:IZ7)</f>
        <v>0</v>
      </c>
      <c r="JC7" s="135" t="str">
        <f>B7+O7+AB7+AO7+BB7+BO7+CB7+CO7+DB7+DO7+EB7+EO7+FB7+FO7+GB7+GO7+HB7+HO7+IB7+IO7</f>
        <v>0</v>
      </c>
      <c r="JD7" s="135" t="str">
        <f>C7+P7+AC7+AP7+BC7+BP7+CC7+CP7+DC7+DP7+EC7+EP7+FC7+FP7+GC7+GP7+HC7+HP7+IC7+IP7</f>
        <v>0</v>
      </c>
      <c r="JE7" s="135" t="str">
        <f>D7+Q7+AD7+AQ7+BD7+BQ7+CD7+CQ7+DD7+DQ7+ED7+EQ7+FD7+FQ7+GD7+GQ7+HD7+HQ7+ID7+IQ7</f>
        <v>0</v>
      </c>
      <c r="JF7" s="135" t="str">
        <f>E7+R7+AE7+AR7+BE7+BR7+CE7+CR7+DE7+DR7+EE7+ER7+FE7+FR7+GE7+GR7+HE7+HR7+IE7+IR7</f>
        <v>0</v>
      </c>
      <c r="JG7" s="135" t="str">
        <f>F7+S7+AF7+AS7+BF7+BS7+CF7+CS7+DF7+DS7+EF7+ES7+FF7+FS7+GF7+GS7+HF7+HS7+IF7+IS7</f>
        <v>0</v>
      </c>
      <c r="JH7" s="135" t="str">
        <f>G7+T7+AG7+AT7+BG7+BT7+CG7+CT7+DG7+DT7+EG7+ET7+FG7+FT7+GG7+GT7+HG7+HT7+IG7+IT7</f>
        <v>0</v>
      </c>
      <c r="JI7" s="135" t="str">
        <f>H7+U7+AH7+AU7+BH7+BU7+CH7+CU7+DH7+DU7+EH7+EU7+FH7+FU7+GH7+GU7+HH7+HU7+IH7+IU7</f>
        <v>0</v>
      </c>
      <c r="JJ7" s="135" t="str">
        <f>I7+V7+AI7+AV7+BI7+BV7+CI7+CV7+DI7+DV7+EI7+EV7+FI7+FV7+GI7+GV7+HI7+HV7+II7+IV7</f>
        <v>0</v>
      </c>
      <c r="JK7" s="135" t="str">
        <f>J7+W7+AJ7+AW7+BJ7+BW7+CJ7+CW7+DJ7+DW7+EJ7+EW7+FJ7+FW7+GJ7+GW7+HJ7+HW7+IJ7+IW7</f>
        <v>0</v>
      </c>
      <c r="JL7" s="135" t="str">
        <f>K7+X7+AK7+AX7+BK7+BX7+CK7+CX7+DK7+DX7+EK7+EX7+FK7+FX7+GK7+GX7+HK7+HX7+IK7+IX7</f>
        <v>0</v>
      </c>
      <c r="JM7" s="135" t="str">
        <f>L7+Y7+AL7+AY7+BL7+BY7+CL7+CY7+DL7+DY7+EL7+EY7+FL7+FY7+GL7+GY7+HL7+HY7+IL7+IY7</f>
        <v>0</v>
      </c>
      <c r="JN7" s="135" t="str">
        <f>M7+Z7+AM7+AZ7+BM7+BZ7+CM7+CZ7+DM7+DZ7+EM7+EZ7+FM7+FZ7+GM7+GZ7+HM7+HZ7+IM7+IZ7</f>
        <v>0</v>
      </c>
      <c r="JO7" s="132" t="str">
        <f>SUM(JC7:JN7)</f>
        <v>0</v>
      </c>
      <c r="JQ7" s="139" t="str">
        <f>N7+AA7+AN7+BA7+BN7+CA7+CN7+DA7+DN7+EA7+EN7+FA7+FN7+GA7+GN7+HA7+HN7+IA7+IN7+JA7</f>
        <v>0</v>
      </c>
    </row>
    <row r="8" spans="1:278">
      <c r="A8" s="130" t="s">
        <v>365</v>
      </c>
      <c r="B8" s="131">
        <v>150</v>
      </c>
      <c r="C8" s="131">
        <v>150</v>
      </c>
      <c r="D8" s="131">
        <v>150</v>
      </c>
      <c r="E8" s="131">
        <v>150</v>
      </c>
      <c r="F8" s="131">
        <v>150</v>
      </c>
      <c r="G8" s="131">
        <v>150</v>
      </c>
      <c r="H8" s="131">
        <v>150</v>
      </c>
      <c r="I8" s="131">
        <v>150</v>
      </c>
      <c r="J8" s="131">
        <v>150</v>
      </c>
      <c r="K8" s="131">
        <v>150</v>
      </c>
      <c r="L8" s="131">
        <v>150</v>
      </c>
      <c r="M8" s="131">
        <v>150</v>
      </c>
      <c r="N8" s="132" t="str">
        <f>SUM(B8:M8)</f>
        <v>0</v>
      </c>
      <c r="O8" s="133">
        <v>550</v>
      </c>
      <c r="P8" s="133">
        <v>550</v>
      </c>
      <c r="Q8" s="133">
        <v>550</v>
      </c>
      <c r="R8" s="133">
        <v>550</v>
      </c>
      <c r="S8" s="133">
        <v>550</v>
      </c>
      <c r="T8" s="133">
        <v>550</v>
      </c>
      <c r="U8" s="133">
        <v>550</v>
      </c>
      <c r="V8" s="133">
        <v>550</v>
      </c>
      <c r="W8" s="133">
        <v>550</v>
      </c>
      <c r="X8" s="133">
        <v>550</v>
      </c>
      <c r="Y8" s="133">
        <v>550</v>
      </c>
      <c r="Z8" s="133">
        <v>550</v>
      </c>
      <c r="AA8" s="132" t="str">
        <f>SUM(O8:Z8)</f>
        <v>0</v>
      </c>
      <c r="AB8" s="131">
        <v>638</v>
      </c>
      <c r="AC8" s="131">
        <v>638</v>
      </c>
      <c r="AD8" s="131">
        <v>638</v>
      </c>
      <c r="AE8" s="131">
        <v>638</v>
      </c>
      <c r="AF8" s="131">
        <v>638</v>
      </c>
      <c r="AG8" s="131">
        <v>638</v>
      </c>
      <c r="AH8" s="131">
        <v>638</v>
      </c>
      <c r="AI8" s="131">
        <v>638</v>
      </c>
      <c r="AJ8" s="131">
        <v>638</v>
      </c>
      <c r="AK8" s="131">
        <v>638</v>
      </c>
      <c r="AL8" s="131">
        <v>638</v>
      </c>
      <c r="AM8" s="131">
        <v>638</v>
      </c>
      <c r="AN8" s="132" t="str">
        <f>SUM(AB8:AM8)</f>
        <v>0</v>
      </c>
      <c r="AO8" s="133">
        <v>587</v>
      </c>
      <c r="AP8" s="133">
        <v>587</v>
      </c>
      <c r="AQ8" s="133">
        <v>587</v>
      </c>
      <c r="AR8" s="133">
        <v>587</v>
      </c>
      <c r="AS8" s="133">
        <v>587</v>
      </c>
      <c r="AT8" s="133">
        <v>587</v>
      </c>
      <c r="AU8" s="133">
        <v>587</v>
      </c>
      <c r="AV8" s="133">
        <v>587</v>
      </c>
      <c r="AW8" s="133">
        <v>587</v>
      </c>
      <c r="AX8" s="133">
        <v>587</v>
      </c>
      <c r="AY8" s="133">
        <v>587</v>
      </c>
      <c r="AZ8" s="133">
        <v>587</v>
      </c>
      <c r="BA8" s="132" t="str">
        <f>SUM(AO8:AZ8)</f>
        <v>0</v>
      </c>
      <c r="BB8" s="134">
        <v>206</v>
      </c>
      <c r="BC8" s="134">
        <v>206</v>
      </c>
      <c r="BD8" s="134">
        <v>206</v>
      </c>
      <c r="BE8" s="134">
        <v>206</v>
      </c>
      <c r="BF8" s="134">
        <v>206</v>
      </c>
      <c r="BG8" s="134">
        <v>206</v>
      </c>
      <c r="BH8" s="134">
        <v>206</v>
      </c>
      <c r="BI8" s="134">
        <v>206</v>
      </c>
      <c r="BJ8" s="134">
        <v>206</v>
      </c>
      <c r="BK8" s="134">
        <v>206</v>
      </c>
      <c r="BL8" s="134">
        <v>206</v>
      </c>
      <c r="BM8" s="134">
        <v>206</v>
      </c>
      <c r="BN8" s="132" t="str">
        <f>SUM(BB8:BM8)</f>
        <v>0</v>
      </c>
      <c r="BO8" s="135">
        <v>159</v>
      </c>
      <c r="BP8" s="135">
        <v>159</v>
      </c>
      <c r="BQ8" s="135">
        <v>159</v>
      </c>
      <c r="BR8" s="135">
        <v>159</v>
      </c>
      <c r="BS8" s="135">
        <v>159</v>
      </c>
      <c r="BT8" s="135">
        <v>159</v>
      </c>
      <c r="BU8" s="135">
        <v>159</v>
      </c>
      <c r="BV8" s="135">
        <v>159</v>
      </c>
      <c r="BW8" s="135">
        <v>159</v>
      </c>
      <c r="BX8" s="135">
        <v>159</v>
      </c>
      <c r="BY8" s="135">
        <v>159</v>
      </c>
      <c r="BZ8" s="135">
        <v>159</v>
      </c>
      <c r="CA8" s="132" t="str">
        <f>SUM(BO8:BZ8)</f>
        <v>0</v>
      </c>
      <c r="CB8" s="136">
        <v>994</v>
      </c>
      <c r="CC8" s="136">
        <v>994</v>
      </c>
      <c r="CD8" s="136">
        <v>994</v>
      </c>
      <c r="CE8" s="136">
        <v>994</v>
      </c>
      <c r="CF8" s="136">
        <v>994</v>
      </c>
      <c r="CG8" s="136">
        <v>994</v>
      </c>
      <c r="CH8" s="136">
        <v>994</v>
      </c>
      <c r="CI8" s="136">
        <v>994</v>
      </c>
      <c r="CJ8" s="136">
        <v>994</v>
      </c>
      <c r="CK8" s="136">
        <v>994</v>
      </c>
      <c r="CL8" s="136">
        <v>994</v>
      </c>
      <c r="CM8" s="136">
        <v>994</v>
      </c>
      <c r="CN8" s="132" t="str">
        <f>SUM(CB8:CM8)</f>
        <v>0</v>
      </c>
      <c r="CO8" s="137">
        <v>635</v>
      </c>
      <c r="CP8" s="137">
        <v>635</v>
      </c>
      <c r="CQ8" s="137">
        <v>635</v>
      </c>
      <c r="CR8" s="137">
        <v>635</v>
      </c>
      <c r="CS8" s="137">
        <v>635</v>
      </c>
      <c r="CT8" s="137">
        <v>635</v>
      </c>
      <c r="CU8" s="137">
        <v>635</v>
      </c>
      <c r="CV8" s="137">
        <v>635</v>
      </c>
      <c r="CW8" s="137">
        <v>635</v>
      </c>
      <c r="CX8" s="137">
        <v>635</v>
      </c>
      <c r="CY8" s="137">
        <v>635</v>
      </c>
      <c r="CZ8" s="137">
        <v>635</v>
      </c>
      <c r="DA8" s="132" t="str">
        <f>SUM(CO8:CZ8)</f>
        <v>0</v>
      </c>
      <c r="DB8" s="136">
        <v>333</v>
      </c>
      <c r="DC8" s="136">
        <v>333</v>
      </c>
      <c r="DD8" s="136">
        <v>333</v>
      </c>
      <c r="DE8" s="136">
        <v>333</v>
      </c>
      <c r="DF8" s="136">
        <v>333</v>
      </c>
      <c r="DG8" s="136">
        <v>333</v>
      </c>
      <c r="DH8" s="136">
        <v>333</v>
      </c>
      <c r="DI8" s="136">
        <v>333</v>
      </c>
      <c r="DJ8" s="136">
        <v>333</v>
      </c>
      <c r="DK8" s="136">
        <v>333</v>
      </c>
      <c r="DL8" s="136">
        <v>333</v>
      </c>
      <c r="DM8" s="136">
        <v>333</v>
      </c>
      <c r="DN8" s="132" t="str">
        <f>SUM(DB8:DM8)</f>
        <v>0</v>
      </c>
      <c r="DO8" s="137">
        <v>240</v>
      </c>
      <c r="DP8" s="137">
        <v>240</v>
      </c>
      <c r="DQ8" s="137">
        <v>240</v>
      </c>
      <c r="DR8" s="137">
        <v>240</v>
      </c>
      <c r="DS8" s="137">
        <v>240</v>
      </c>
      <c r="DT8" s="137">
        <v>240</v>
      </c>
      <c r="DU8" s="137">
        <v>240</v>
      </c>
      <c r="DV8" s="137">
        <v>240</v>
      </c>
      <c r="DW8" s="137">
        <v>240</v>
      </c>
      <c r="DX8" s="137">
        <v>240</v>
      </c>
      <c r="DY8" s="137">
        <v>240</v>
      </c>
      <c r="DZ8" s="137">
        <v>240</v>
      </c>
      <c r="EA8" s="132" t="str">
        <f>SUM(DO8:DZ8)</f>
        <v>0</v>
      </c>
      <c r="EB8" s="216">
        <v>0</v>
      </c>
      <c r="EC8" s="216">
        <v>0</v>
      </c>
      <c r="ED8" s="216">
        <v>0</v>
      </c>
      <c r="EE8" s="216">
        <v>0</v>
      </c>
      <c r="EF8" s="216">
        <v>0</v>
      </c>
      <c r="EG8" s="216">
        <v>0</v>
      </c>
      <c r="EH8" s="216">
        <v>0</v>
      </c>
      <c r="EI8" s="216">
        <v>0</v>
      </c>
      <c r="EJ8" s="216">
        <v>0</v>
      </c>
      <c r="EK8" s="216">
        <v>0</v>
      </c>
      <c r="EL8" s="216">
        <v>0</v>
      </c>
      <c r="EM8" s="216">
        <v>0</v>
      </c>
      <c r="EN8" s="132" t="str">
        <f>SUM(EB8:EM8)</f>
        <v>0</v>
      </c>
      <c r="EO8" s="132">
        <v>0</v>
      </c>
      <c r="EP8" s="132">
        <v>0</v>
      </c>
      <c r="EQ8" s="132">
        <v>0</v>
      </c>
      <c r="ER8" s="132">
        <v>0</v>
      </c>
      <c r="ES8" s="132">
        <v>0</v>
      </c>
      <c r="ET8" s="132">
        <v>0</v>
      </c>
      <c r="EU8" s="132">
        <v>0</v>
      </c>
      <c r="EV8" s="132">
        <v>0</v>
      </c>
      <c r="EW8" s="132">
        <v>0</v>
      </c>
      <c r="EX8" s="132">
        <v>0</v>
      </c>
      <c r="EY8" s="132">
        <v>0</v>
      </c>
      <c r="EZ8" s="132">
        <v>0</v>
      </c>
      <c r="FA8" s="132" t="str">
        <f>SUM(EO8:EZ8)</f>
        <v>0</v>
      </c>
      <c r="FB8" s="181">
        <v>0</v>
      </c>
      <c r="FC8" s="181">
        <v>0</v>
      </c>
      <c r="FD8" s="181">
        <v>0</v>
      </c>
      <c r="FE8" s="181">
        <v>0</v>
      </c>
      <c r="FF8" s="181">
        <v>0</v>
      </c>
      <c r="FG8" s="181">
        <v>0</v>
      </c>
      <c r="FH8" s="181">
        <v>0</v>
      </c>
      <c r="FI8" s="181">
        <v>0</v>
      </c>
      <c r="FJ8" s="181">
        <v>0</v>
      </c>
      <c r="FK8" s="181">
        <v>0</v>
      </c>
      <c r="FL8" s="181">
        <v>0</v>
      </c>
      <c r="FM8" s="181">
        <v>0</v>
      </c>
      <c r="FN8" s="132" t="str">
        <f>SUM(FB8:FM8)</f>
        <v>0</v>
      </c>
      <c r="FO8" s="132">
        <v>0</v>
      </c>
      <c r="FP8" s="132">
        <v>0</v>
      </c>
      <c r="FQ8" s="132">
        <v>0</v>
      </c>
      <c r="FR8" s="132">
        <v>0</v>
      </c>
      <c r="FS8" s="132">
        <v>0</v>
      </c>
      <c r="FT8" s="132">
        <v>0</v>
      </c>
      <c r="FU8" s="132">
        <v>0</v>
      </c>
      <c r="FV8" s="132">
        <v>0</v>
      </c>
      <c r="FW8" s="132">
        <v>0</v>
      </c>
      <c r="FX8" s="132">
        <v>0</v>
      </c>
      <c r="FY8" s="132">
        <v>0</v>
      </c>
      <c r="FZ8" s="132">
        <v>0</v>
      </c>
      <c r="GA8" s="132" t="str">
        <f>SUM(FO8:FZ8)</f>
        <v>0</v>
      </c>
      <c r="GB8" s="181">
        <v>0</v>
      </c>
      <c r="GC8" s="181">
        <v>0</v>
      </c>
      <c r="GD8" s="181">
        <v>0</v>
      </c>
      <c r="GE8" s="181">
        <v>0</v>
      </c>
      <c r="GF8" s="181">
        <v>0</v>
      </c>
      <c r="GG8" s="181">
        <v>0</v>
      </c>
      <c r="GH8" s="181">
        <v>0</v>
      </c>
      <c r="GI8" s="181">
        <v>0</v>
      </c>
      <c r="GJ8" s="181">
        <v>0</v>
      </c>
      <c r="GK8" s="181">
        <v>0</v>
      </c>
      <c r="GL8" s="181">
        <v>0</v>
      </c>
      <c r="GM8" s="181">
        <v>0</v>
      </c>
      <c r="GN8" s="181" t="str">
        <f>SUM(GB8:GM8)</f>
        <v>0</v>
      </c>
      <c r="GO8" s="137">
        <v>0</v>
      </c>
      <c r="GP8" s="137">
        <v>0</v>
      </c>
      <c r="GQ8" s="137">
        <v>0</v>
      </c>
      <c r="GR8" s="137">
        <v>0</v>
      </c>
      <c r="GS8" s="137">
        <v>0</v>
      </c>
      <c r="GT8" s="137">
        <v>0</v>
      </c>
      <c r="GU8" s="137">
        <v>0</v>
      </c>
      <c r="GV8" s="137">
        <v>0</v>
      </c>
      <c r="GW8" s="137">
        <v>0</v>
      </c>
      <c r="GX8" s="137">
        <v>0</v>
      </c>
      <c r="GY8" s="137">
        <v>0</v>
      </c>
      <c r="GZ8" s="137">
        <v>0</v>
      </c>
      <c r="HA8" s="132" t="str">
        <f>SUM(GO8:GZ8)</f>
        <v>0</v>
      </c>
      <c r="HB8" s="181">
        <v>0</v>
      </c>
      <c r="HC8" s="181">
        <v>0</v>
      </c>
      <c r="HD8" s="181">
        <v>0</v>
      </c>
      <c r="HE8" s="181">
        <v>0</v>
      </c>
      <c r="HF8" s="181">
        <v>0</v>
      </c>
      <c r="HG8" s="181">
        <v>0</v>
      </c>
      <c r="HH8" s="181">
        <v>0</v>
      </c>
      <c r="HI8" s="181">
        <v>0</v>
      </c>
      <c r="HJ8" s="181">
        <v>0</v>
      </c>
      <c r="HK8" s="181">
        <v>0</v>
      </c>
      <c r="HL8" s="181">
        <v>0</v>
      </c>
      <c r="HM8" s="181">
        <v>0</v>
      </c>
      <c r="HN8" s="181" t="str">
        <f>SUM(HB8:HM8)</f>
        <v>0</v>
      </c>
      <c r="HO8" s="132">
        <v>97</v>
      </c>
      <c r="HP8" s="132">
        <v>97</v>
      </c>
      <c r="HQ8" s="132">
        <v>97</v>
      </c>
      <c r="HR8" s="132">
        <v>97</v>
      </c>
      <c r="HS8" s="132">
        <v>97</v>
      </c>
      <c r="HT8" s="132">
        <v>97</v>
      </c>
      <c r="HU8" s="132">
        <v>97</v>
      </c>
      <c r="HV8" s="132">
        <v>97</v>
      </c>
      <c r="HW8" s="132">
        <v>97</v>
      </c>
      <c r="HX8" s="132">
        <v>97</v>
      </c>
      <c r="HY8" s="132">
        <v>97</v>
      </c>
      <c r="HZ8" s="132">
        <v>97</v>
      </c>
      <c r="IA8" s="132" t="str">
        <f>SUM(HO8:HZ8)</f>
        <v>0</v>
      </c>
      <c r="IB8" s="181">
        <v>0</v>
      </c>
      <c r="IC8" s="181">
        <v>0</v>
      </c>
      <c r="ID8" s="181">
        <v>0</v>
      </c>
      <c r="IE8" s="181">
        <v>0</v>
      </c>
      <c r="IF8" s="181">
        <v>0</v>
      </c>
      <c r="IG8" s="181">
        <v>0</v>
      </c>
      <c r="IH8" s="181">
        <v>0</v>
      </c>
      <c r="II8" s="181">
        <v>0</v>
      </c>
      <c r="IJ8" s="181">
        <v>0</v>
      </c>
      <c r="IK8" s="181">
        <v>0</v>
      </c>
      <c r="IL8" s="181">
        <v>0</v>
      </c>
      <c r="IM8" s="181">
        <v>0</v>
      </c>
      <c r="IN8" s="181" t="str">
        <f>SUM(IB8:IM8)</f>
        <v>0</v>
      </c>
      <c r="IO8" s="181">
        <v>0</v>
      </c>
      <c r="IP8" s="181">
        <v>0</v>
      </c>
      <c r="IQ8" s="181">
        <v>0</v>
      </c>
      <c r="IR8" s="181">
        <v>0</v>
      </c>
      <c r="IS8" s="181">
        <v>0</v>
      </c>
      <c r="IT8" s="181">
        <v>0</v>
      </c>
      <c r="IU8" s="181">
        <v>0</v>
      </c>
      <c r="IV8" s="181">
        <v>0</v>
      </c>
      <c r="IW8" s="181">
        <v>0</v>
      </c>
      <c r="IX8" s="181">
        <v>0</v>
      </c>
      <c r="IY8" s="181">
        <v>0</v>
      </c>
      <c r="IZ8" s="181">
        <v>0</v>
      </c>
      <c r="JA8" s="181" t="str">
        <f>SUM(IO8:IZ8)</f>
        <v>0</v>
      </c>
      <c r="JC8" s="135" t="str">
        <f>B8+O8+AB8+AO8+BB8+BO8+CB8+CO8+DB8+DO8+EB8+EO8+FB8+FO8+GB8+GO8+HB8+HO8+IB8+IO8</f>
        <v>0</v>
      </c>
      <c r="JD8" s="135" t="str">
        <f>C8+P8+AC8+AP8+BC8+BP8+CC8+CP8+DC8+DP8+EC8+EP8+FC8+FP8+GC8+GP8+HC8+HP8+IC8+IP8</f>
        <v>0</v>
      </c>
      <c r="JE8" s="135" t="str">
        <f>D8+Q8+AD8+AQ8+BD8+BQ8+CD8+CQ8+DD8+DQ8+ED8+EQ8+FD8+FQ8+GD8+GQ8+HD8+HQ8+ID8+IQ8</f>
        <v>0</v>
      </c>
      <c r="JF8" s="135" t="str">
        <f>E8+R8+AE8+AR8+BE8+BR8+CE8+CR8+DE8+DR8+EE8+ER8+FE8+FR8+GE8+GR8+HE8+HR8+IE8+IR8</f>
        <v>0</v>
      </c>
      <c r="JG8" s="135" t="str">
        <f>F8+S8+AF8+AS8+BF8+BS8+CF8+CS8+DF8+DS8+EF8+ES8+FF8+FS8+GF8+GS8+HF8+HS8+IF8+IS8</f>
        <v>0</v>
      </c>
      <c r="JH8" s="135" t="str">
        <f>G8+T8+AG8+AT8+BG8+BT8+CG8+CT8+DG8+DT8+EG8+ET8+FG8+FT8+GG8+GT8+HG8+HT8+IG8+IT8</f>
        <v>0</v>
      </c>
      <c r="JI8" s="135" t="str">
        <f>H8+U8+AH8+AU8+BH8+BU8+CH8+CU8+DH8+DU8+EH8+EU8+FH8+FU8+GH8+GU8+HH8+HU8+IH8+IU8</f>
        <v>0</v>
      </c>
      <c r="JJ8" s="135" t="str">
        <f>I8+V8+AI8+AV8+BI8+BV8+CI8+CV8+DI8+DV8+EI8+EV8+FI8+FV8+GI8+GV8+HI8+HV8+II8+IV8</f>
        <v>0</v>
      </c>
      <c r="JK8" s="135" t="str">
        <f>J8+W8+AJ8+AW8+BJ8+BW8+CJ8+CW8+DJ8+DW8+EJ8+EW8+FJ8+FW8+GJ8+GW8+HJ8+HW8+IJ8+IW8</f>
        <v>0</v>
      </c>
      <c r="JL8" s="135" t="str">
        <f>K8+X8+AK8+AX8+BK8+BX8+CK8+CX8+DK8+DX8+EK8+EX8+FK8+FX8+GK8+GX8+HK8+HX8+IK8+IX8</f>
        <v>0</v>
      </c>
      <c r="JM8" s="135" t="str">
        <f>L8+Y8+AL8+AY8+BL8+BY8+CL8+CY8+DL8+DY8+EL8+EY8+FL8+FY8+GL8+GY8+HL8+HY8+IL8+IY8</f>
        <v>0</v>
      </c>
      <c r="JN8" s="135" t="str">
        <f>M8+Z8+AM8+AZ8+BM8+BZ8+CM8+CZ8+DM8+DZ8+EM8+EZ8+FM8+FZ8+GM8+GZ8+HM8+HZ8+IM8+IZ8</f>
        <v>0</v>
      </c>
      <c r="JO8" s="132" t="str">
        <f>SUM(JC8:JN8)</f>
        <v>0</v>
      </c>
      <c r="JQ8" s="139" t="str">
        <f>N8+AA8+AN8+BA8+BN8+CA8+CN8+DA8+DN8+EA8+EN8+FA8+FN8+GA8+GN8+HA8+HN8+IA8+IN8+JA8</f>
        <v>0</v>
      </c>
    </row>
    <row r="9" spans="1:278">
      <c r="A9" s="130" t="s">
        <v>371</v>
      </c>
      <c r="B9" s="131">
        <v>150</v>
      </c>
      <c r="C9" s="131">
        <v>150</v>
      </c>
      <c r="D9" s="131">
        <v>150</v>
      </c>
      <c r="E9" s="131">
        <v>150</v>
      </c>
      <c r="F9" s="131">
        <v>150</v>
      </c>
      <c r="G9" s="131">
        <v>150</v>
      </c>
      <c r="H9" s="131">
        <v>150</v>
      </c>
      <c r="I9" s="131">
        <v>150</v>
      </c>
      <c r="J9" s="131">
        <v>150</v>
      </c>
      <c r="K9" s="131">
        <v>150</v>
      </c>
      <c r="L9" s="131">
        <v>150</v>
      </c>
      <c r="M9" s="131">
        <v>150</v>
      </c>
      <c r="N9" s="132" t="str">
        <f>SUM(B9:M9)</f>
        <v>0</v>
      </c>
      <c r="O9" s="133">
        <v>250</v>
      </c>
      <c r="P9" s="133">
        <v>250</v>
      </c>
      <c r="Q9" s="133">
        <v>250</v>
      </c>
      <c r="R9" s="133">
        <v>250</v>
      </c>
      <c r="S9" s="133">
        <v>250</v>
      </c>
      <c r="T9" s="133">
        <v>250</v>
      </c>
      <c r="U9" s="133">
        <v>250</v>
      </c>
      <c r="V9" s="133">
        <v>250</v>
      </c>
      <c r="W9" s="133">
        <v>250</v>
      </c>
      <c r="X9" s="133">
        <v>250</v>
      </c>
      <c r="Y9" s="133">
        <v>250</v>
      </c>
      <c r="Z9" s="133">
        <v>250</v>
      </c>
      <c r="AA9" s="132" t="str">
        <f>SUM(O9:Z9)</f>
        <v>0</v>
      </c>
      <c r="AB9" s="131">
        <v>722</v>
      </c>
      <c r="AC9" s="131">
        <v>722</v>
      </c>
      <c r="AD9" s="131">
        <v>722</v>
      </c>
      <c r="AE9" s="131">
        <v>722</v>
      </c>
      <c r="AF9" s="131">
        <v>722</v>
      </c>
      <c r="AG9" s="131">
        <v>722</v>
      </c>
      <c r="AH9" s="131">
        <v>722</v>
      </c>
      <c r="AI9" s="131">
        <v>722</v>
      </c>
      <c r="AJ9" s="131">
        <v>722</v>
      </c>
      <c r="AK9" s="131">
        <v>722</v>
      </c>
      <c r="AL9" s="131">
        <v>722</v>
      </c>
      <c r="AM9" s="131">
        <v>722</v>
      </c>
      <c r="AN9" s="132" t="str">
        <f>SUM(AB9:AM9)</f>
        <v>0</v>
      </c>
      <c r="AO9" s="133">
        <v>452</v>
      </c>
      <c r="AP9" s="133">
        <v>452</v>
      </c>
      <c r="AQ9" s="133">
        <v>452</v>
      </c>
      <c r="AR9" s="133">
        <v>452</v>
      </c>
      <c r="AS9" s="133">
        <v>452</v>
      </c>
      <c r="AT9" s="133">
        <v>452</v>
      </c>
      <c r="AU9" s="133">
        <v>452</v>
      </c>
      <c r="AV9" s="133">
        <v>452</v>
      </c>
      <c r="AW9" s="133">
        <v>452</v>
      </c>
      <c r="AX9" s="133">
        <v>452</v>
      </c>
      <c r="AY9" s="133">
        <v>452</v>
      </c>
      <c r="AZ9" s="133">
        <v>452</v>
      </c>
      <c r="BA9" s="132" t="str">
        <f>SUM(AO9:AZ9)</f>
        <v>0</v>
      </c>
      <c r="BB9" s="134">
        <v>206</v>
      </c>
      <c r="BC9" s="134">
        <v>206</v>
      </c>
      <c r="BD9" s="134">
        <v>206</v>
      </c>
      <c r="BE9" s="134">
        <v>206</v>
      </c>
      <c r="BF9" s="134">
        <v>206</v>
      </c>
      <c r="BG9" s="134">
        <v>206</v>
      </c>
      <c r="BH9" s="134">
        <v>206</v>
      </c>
      <c r="BI9" s="134">
        <v>206</v>
      </c>
      <c r="BJ9" s="134">
        <v>206</v>
      </c>
      <c r="BK9" s="134">
        <v>206</v>
      </c>
      <c r="BL9" s="134">
        <v>206</v>
      </c>
      <c r="BM9" s="134">
        <v>206</v>
      </c>
      <c r="BN9" s="132" t="str">
        <f>SUM(BB9:BM9)</f>
        <v>0</v>
      </c>
      <c r="BO9" s="135">
        <v>127</v>
      </c>
      <c r="BP9" s="135">
        <v>127</v>
      </c>
      <c r="BQ9" s="135">
        <v>127</v>
      </c>
      <c r="BR9" s="135">
        <v>127</v>
      </c>
      <c r="BS9" s="135">
        <v>127</v>
      </c>
      <c r="BT9" s="135">
        <v>127</v>
      </c>
      <c r="BU9" s="135">
        <v>127</v>
      </c>
      <c r="BV9" s="135">
        <v>127</v>
      </c>
      <c r="BW9" s="135">
        <v>127</v>
      </c>
      <c r="BX9" s="135">
        <v>127</v>
      </c>
      <c r="BY9" s="135">
        <v>127</v>
      </c>
      <c r="BZ9" s="135">
        <v>127</v>
      </c>
      <c r="CA9" s="132" t="str">
        <f>SUM(BO9:BZ9)</f>
        <v>0</v>
      </c>
      <c r="CB9" s="136">
        <v>781</v>
      </c>
      <c r="CC9" s="136">
        <v>781</v>
      </c>
      <c r="CD9" s="136">
        <v>781</v>
      </c>
      <c r="CE9" s="136">
        <v>781</v>
      </c>
      <c r="CF9" s="136">
        <v>781</v>
      </c>
      <c r="CG9" s="136">
        <v>781</v>
      </c>
      <c r="CH9" s="136">
        <v>781</v>
      </c>
      <c r="CI9" s="136">
        <v>781</v>
      </c>
      <c r="CJ9" s="136">
        <v>781</v>
      </c>
      <c r="CK9" s="136">
        <v>781</v>
      </c>
      <c r="CL9" s="136">
        <v>781</v>
      </c>
      <c r="CM9" s="136">
        <v>781</v>
      </c>
      <c r="CN9" s="132" t="str">
        <f>SUM(CB9:CM9)</f>
        <v>0</v>
      </c>
      <c r="CO9" s="137">
        <v>494</v>
      </c>
      <c r="CP9" s="137">
        <v>494</v>
      </c>
      <c r="CQ9" s="137">
        <v>494</v>
      </c>
      <c r="CR9" s="137">
        <v>494</v>
      </c>
      <c r="CS9" s="137">
        <v>494</v>
      </c>
      <c r="CT9" s="137">
        <v>494</v>
      </c>
      <c r="CU9" s="137">
        <v>494</v>
      </c>
      <c r="CV9" s="137">
        <v>494</v>
      </c>
      <c r="CW9" s="137">
        <v>494</v>
      </c>
      <c r="CX9" s="137">
        <v>494</v>
      </c>
      <c r="CY9" s="137">
        <v>494</v>
      </c>
      <c r="CZ9" s="137">
        <v>494</v>
      </c>
      <c r="DA9" s="132" t="str">
        <f>SUM(CO9:CZ9)</f>
        <v>0</v>
      </c>
      <c r="DB9" s="136">
        <v>299</v>
      </c>
      <c r="DC9" s="136">
        <v>299</v>
      </c>
      <c r="DD9" s="136">
        <v>299</v>
      </c>
      <c r="DE9" s="136">
        <v>299</v>
      </c>
      <c r="DF9" s="136">
        <v>299</v>
      </c>
      <c r="DG9" s="136">
        <v>299</v>
      </c>
      <c r="DH9" s="136">
        <v>299</v>
      </c>
      <c r="DI9" s="136">
        <v>299</v>
      </c>
      <c r="DJ9" s="136">
        <v>299</v>
      </c>
      <c r="DK9" s="136">
        <v>299</v>
      </c>
      <c r="DL9" s="136">
        <v>299</v>
      </c>
      <c r="DM9" s="136">
        <v>299</v>
      </c>
      <c r="DN9" s="132" t="str">
        <f>SUM(DB9:DM9)</f>
        <v>0</v>
      </c>
      <c r="DO9" s="137">
        <v>240</v>
      </c>
      <c r="DP9" s="137">
        <v>240</v>
      </c>
      <c r="DQ9" s="137">
        <v>240</v>
      </c>
      <c r="DR9" s="137">
        <v>240</v>
      </c>
      <c r="DS9" s="137">
        <v>240</v>
      </c>
      <c r="DT9" s="137">
        <v>240</v>
      </c>
      <c r="DU9" s="137">
        <v>240</v>
      </c>
      <c r="DV9" s="137">
        <v>240</v>
      </c>
      <c r="DW9" s="137">
        <v>240</v>
      </c>
      <c r="DX9" s="137">
        <v>240</v>
      </c>
      <c r="DY9" s="137">
        <v>240</v>
      </c>
      <c r="DZ9" s="137">
        <v>240</v>
      </c>
      <c r="EA9" s="132" t="str">
        <f>SUM(DO9:DZ9)</f>
        <v>0</v>
      </c>
      <c r="EB9" s="216">
        <v>0</v>
      </c>
      <c r="EC9" s="216">
        <v>0</v>
      </c>
      <c r="ED9" s="216">
        <v>0</v>
      </c>
      <c r="EE9" s="216">
        <v>0</v>
      </c>
      <c r="EF9" s="216">
        <v>0</v>
      </c>
      <c r="EG9" s="216">
        <v>0</v>
      </c>
      <c r="EH9" s="216">
        <v>0</v>
      </c>
      <c r="EI9" s="216">
        <v>0</v>
      </c>
      <c r="EJ9" s="216">
        <v>0</v>
      </c>
      <c r="EK9" s="216">
        <v>0</v>
      </c>
      <c r="EL9" s="216">
        <v>0</v>
      </c>
      <c r="EM9" s="216">
        <v>0</v>
      </c>
      <c r="EN9" s="132" t="str">
        <f>SUM(EB9:EM9)</f>
        <v>0</v>
      </c>
      <c r="EO9" s="132">
        <v>0</v>
      </c>
      <c r="EP9" s="132">
        <v>0</v>
      </c>
      <c r="EQ9" s="132">
        <v>0</v>
      </c>
      <c r="ER9" s="132">
        <v>0</v>
      </c>
      <c r="ES9" s="132">
        <v>0</v>
      </c>
      <c r="ET9" s="132">
        <v>0</v>
      </c>
      <c r="EU9" s="132">
        <v>0</v>
      </c>
      <c r="EV9" s="132">
        <v>0</v>
      </c>
      <c r="EW9" s="132">
        <v>0</v>
      </c>
      <c r="EX9" s="132">
        <v>0</v>
      </c>
      <c r="EY9" s="132">
        <v>0</v>
      </c>
      <c r="EZ9" s="132">
        <v>0</v>
      </c>
      <c r="FA9" s="132" t="str">
        <f>SUM(EO9:EZ9)</f>
        <v>0</v>
      </c>
      <c r="FB9" s="181">
        <v>0</v>
      </c>
      <c r="FC9" s="181">
        <v>0</v>
      </c>
      <c r="FD9" s="181">
        <v>0</v>
      </c>
      <c r="FE9" s="181">
        <v>0</v>
      </c>
      <c r="FF9" s="181">
        <v>0</v>
      </c>
      <c r="FG9" s="181">
        <v>0</v>
      </c>
      <c r="FH9" s="181">
        <v>0</v>
      </c>
      <c r="FI9" s="181">
        <v>0</v>
      </c>
      <c r="FJ9" s="181">
        <v>0</v>
      </c>
      <c r="FK9" s="181">
        <v>0</v>
      </c>
      <c r="FL9" s="181">
        <v>0</v>
      </c>
      <c r="FM9" s="181">
        <v>0</v>
      </c>
      <c r="FN9" s="132" t="str">
        <f>SUM(FB9:FM9)</f>
        <v>0</v>
      </c>
      <c r="FO9" s="132">
        <v>0</v>
      </c>
      <c r="FP9" s="132">
        <v>0</v>
      </c>
      <c r="FQ9" s="132">
        <v>0</v>
      </c>
      <c r="FR9" s="132">
        <v>0</v>
      </c>
      <c r="FS9" s="132">
        <v>0</v>
      </c>
      <c r="FT9" s="132">
        <v>0</v>
      </c>
      <c r="FU9" s="132">
        <v>0</v>
      </c>
      <c r="FV9" s="132">
        <v>0</v>
      </c>
      <c r="FW9" s="132">
        <v>0</v>
      </c>
      <c r="FX9" s="132">
        <v>0</v>
      </c>
      <c r="FY9" s="132">
        <v>0</v>
      </c>
      <c r="FZ9" s="132">
        <v>0</v>
      </c>
      <c r="GA9" s="132" t="str">
        <f>SUM(FO9:FZ9)</f>
        <v>0</v>
      </c>
      <c r="GB9" s="181">
        <v>0</v>
      </c>
      <c r="GC9" s="181">
        <v>0</v>
      </c>
      <c r="GD9" s="181">
        <v>0</v>
      </c>
      <c r="GE9" s="181">
        <v>0</v>
      </c>
      <c r="GF9" s="181">
        <v>0</v>
      </c>
      <c r="GG9" s="181">
        <v>0</v>
      </c>
      <c r="GH9" s="181">
        <v>0</v>
      </c>
      <c r="GI9" s="181">
        <v>0</v>
      </c>
      <c r="GJ9" s="181">
        <v>0</v>
      </c>
      <c r="GK9" s="181">
        <v>0</v>
      </c>
      <c r="GL9" s="181">
        <v>0</v>
      </c>
      <c r="GM9" s="181">
        <v>0</v>
      </c>
      <c r="GN9" s="181" t="str">
        <f>SUM(GB9:GM9)</f>
        <v>0</v>
      </c>
      <c r="GO9" s="137">
        <v>0</v>
      </c>
      <c r="GP9" s="137">
        <v>0</v>
      </c>
      <c r="GQ9" s="137">
        <v>0</v>
      </c>
      <c r="GR9" s="137">
        <v>0</v>
      </c>
      <c r="GS9" s="137">
        <v>0</v>
      </c>
      <c r="GT9" s="137">
        <v>0</v>
      </c>
      <c r="GU9" s="137">
        <v>0</v>
      </c>
      <c r="GV9" s="137">
        <v>0</v>
      </c>
      <c r="GW9" s="137">
        <v>0</v>
      </c>
      <c r="GX9" s="137">
        <v>0</v>
      </c>
      <c r="GY9" s="137">
        <v>0</v>
      </c>
      <c r="GZ9" s="137">
        <v>0</v>
      </c>
      <c r="HA9" s="132" t="str">
        <f>SUM(GO9:GZ9)</f>
        <v>0</v>
      </c>
      <c r="HB9" s="181">
        <v>0</v>
      </c>
      <c r="HC9" s="181">
        <v>0</v>
      </c>
      <c r="HD9" s="181">
        <v>0</v>
      </c>
      <c r="HE9" s="181">
        <v>0</v>
      </c>
      <c r="HF9" s="181">
        <v>0</v>
      </c>
      <c r="HG9" s="181">
        <v>0</v>
      </c>
      <c r="HH9" s="181">
        <v>0</v>
      </c>
      <c r="HI9" s="181">
        <v>0</v>
      </c>
      <c r="HJ9" s="181">
        <v>0</v>
      </c>
      <c r="HK9" s="181">
        <v>0</v>
      </c>
      <c r="HL9" s="181">
        <v>0</v>
      </c>
      <c r="HM9" s="181">
        <v>0</v>
      </c>
      <c r="HN9" s="181" t="str">
        <f>SUM(HB9:HM9)</f>
        <v>0</v>
      </c>
      <c r="HO9" s="132">
        <v>97</v>
      </c>
      <c r="HP9" s="132">
        <v>97</v>
      </c>
      <c r="HQ9" s="132">
        <v>97</v>
      </c>
      <c r="HR9" s="132">
        <v>97</v>
      </c>
      <c r="HS9" s="132">
        <v>97</v>
      </c>
      <c r="HT9" s="132">
        <v>97</v>
      </c>
      <c r="HU9" s="132">
        <v>97</v>
      </c>
      <c r="HV9" s="132">
        <v>97</v>
      </c>
      <c r="HW9" s="132">
        <v>97</v>
      </c>
      <c r="HX9" s="132">
        <v>97</v>
      </c>
      <c r="HY9" s="132">
        <v>97</v>
      </c>
      <c r="HZ9" s="132">
        <v>97</v>
      </c>
      <c r="IA9" s="132" t="str">
        <f>SUM(HO9:HZ9)</f>
        <v>0</v>
      </c>
      <c r="IB9" s="181">
        <v>0</v>
      </c>
      <c r="IC9" s="181">
        <v>0</v>
      </c>
      <c r="ID9" s="181">
        <v>0</v>
      </c>
      <c r="IE9" s="181">
        <v>0</v>
      </c>
      <c r="IF9" s="181">
        <v>0</v>
      </c>
      <c r="IG9" s="181">
        <v>0</v>
      </c>
      <c r="IH9" s="181">
        <v>0</v>
      </c>
      <c r="II9" s="181">
        <v>0</v>
      </c>
      <c r="IJ9" s="181">
        <v>0</v>
      </c>
      <c r="IK9" s="181">
        <v>0</v>
      </c>
      <c r="IL9" s="181">
        <v>0</v>
      </c>
      <c r="IM9" s="181">
        <v>0</v>
      </c>
      <c r="IN9" s="181" t="str">
        <f>SUM(IB9:IM9)</f>
        <v>0</v>
      </c>
      <c r="IO9" s="181">
        <v>0</v>
      </c>
      <c r="IP9" s="181">
        <v>0</v>
      </c>
      <c r="IQ9" s="181">
        <v>0</v>
      </c>
      <c r="IR9" s="181">
        <v>0</v>
      </c>
      <c r="IS9" s="181">
        <v>0</v>
      </c>
      <c r="IT9" s="181">
        <v>0</v>
      </c>
      <c r="IU9" s="181">
        <v>0</v>
      </c>
      <c r="IV9" s="181">
        <v>0</v>
      </c>
      <c r="IW9" s="181">
        <v>0</v>
      </c>
      <c r="IX9" s="181">
        <v>0</v>
      </c>
      <c r="IY9" s="181">
        <v>0</v>
      </c>
      <c r="IZ9" s="181">
        <v>0</v>
      </c>
      <c r="JA9" s="181" t="str">
        <f>SUM(IO9:IZ9)</f>
        <v>0</v>
      </c>
      <c r="JC9" s="135" t="str">
        <f>B9+O9+AB9+AO9+BB9+BO9+CB9+CO9+DB9+DO9+EB9+EO9+FB9+FO9+GB9+GO9+HB9+HO9+IB9+IO9</f>
        <v>0</v>
      </c>
      <c r="JD9" s="135" t="str">
        <f>C9+P9+AC9+AP9+BC9+BP9+CC9+CP9+DC9+DP9+EC9+EP9+FC9+FP9+GC9+GP9+HC9+HP9+IC9+IP9</f>
        <v>0</v>
      </c>
      <c r="JE9" s="135" t="str">
        <f>D9+Q9+AD9+AQ9+BD9+BQ9+CD9+CQ9+DD9+DQ9+ED9+EQ9+FD9+FQ9+GD9+GQ9+HD9+HQ9+ID9+IQ9</f>
        <v>0</v>
      </c>
      <c r="JF9" s="135" t="str">
        <f>E9+R9+AE9+AR9+BE9+BR9+CE9+CR9+DE9+DR9+EE9+ER9+FE9+FR9+GE9+GR9+HE9+HR9+IE9+IR9</f>
        <v>0</v>
      </c>
      <c r="JG9" s="135" t="str">
        <f>F9+S9+AF9+AS9+BF9+BS9+CF9+CS9+DF9+DS9+EF9+ES9+FF9+FS9+GF9+GS9+HF9+HS9+IF9+IS9</f>
        <v>0</v>
      </c>
      <c r="JH9" s="135" t="str">
        <f>G9+T9+AG9+AT9+BG9+BT9+CG9+CT9+DG9+DT9+EG9+ET9+FG9+FT9+GG9+GT9+HG9+HT9+IG9+IT9</f>
        <v>0</v>
      </c>
      <c r="JI9" s="135" t="str">
        <f>H9+U9+AH9+AU9+BH9+BU9+CH9+CU9+DH9+DU9+EH9+EU9+FH9+FU9+GH9+GU9+HH9+HU9+IH9+IU9</f>
        <v>0</v>
      </c>
      <c r="JJ9" s="135" t="str">
        <f>I9+V9+AI9+AV9+BI9+BV9+CI9+CV9+DI9+DV9+EI9+EV9+FI9+FV9+GI9+GV9+HI9+HV9+II9+IV9</f>
        <v>0</v>
      </c>
      <c r="JK9" s="135" t="str">
        <f>J9+W9+AJ9+AW9+BJ9+BW9+CJ9+CW9+DJ9+DW9+EJ9+EW9+FJ9+FW9+GJ9+GW9+HJ9+HW9+IJ9+IW9</f>
        <v>0</v>
      </c>
      <c r="JL9" s="135" t="str">
        <f>K9+X9+AK9+AX9+BK9+BX9+CK9+CX9+DK9+DX9+EK9+EX9+FK9+FX9+GK9+GX9+HK9+HX9+IK9+IX9</f>
        <v>0</v>
      </c>
      <c r="JM9" s="135" t="str">
        <f>L9+Y9+AL9+AY9+BL9+BY9+CL9+CY9+DL9+DY9+EL9+EY9+FL9+FY9+GL9+GY9+HL9+HY9+IL9+IY9</f>
        <v>0</v>
      </c>
      <c r="JN9" s="135" t="str">
        <f>M9+Z9+AM9+AZ9+BM9+BZ9+CM9+CZ9+DM9+DZ9+EM9+EZ9+FM9+FZ9+GM9+GZ9+HM9+HZ9+IM9+IZ9</f>
        <v>0</v>
      </c>
      <c r="JO9" s="132" t="str">
        <f>SUM(JC9:JN9)</f>
        <v>0</v>
      </c>
      <c r="JQ9" s="139" t="str">
        <f>N9+AA9+AN9+BA9+BN9+CA9+CN9+DA9+DN9+EA9+EN9+FA9+FN9+GA9+GN9+HA9+HN9+IA9+IN9+JA9</f>
        <v>0</v>
      </c>
    </row>
    <row r="10" spans="1:278">
      <c r="A10" s="130" t="s">
        <v>377</v>
      </c>
      <c r="B10" s="131">
        <v>170</v>
      </c>
      <c r="C10" s="131">
        <v>170</v>
      </c>
      <c r="D10" s="131">
        <v>170</v>
      </c>
      <c r="E10" s="131">
        <v>170</v>
      </c>
      <c r="F10" s="131">
        <v>170</v>
      </c>
      <c r="G10" s="131">
        <v>170</v>
      </c>
      <c r="H10" s="131">
        <v>170</v>
      </c>
      <c r="I10" s="131">
        <v>170</v>
      </c>
      <c r="J10" s="131">
        <v>170</v>
      </c>
      <c r="K10" s="131">
        <v>170</v>
      </c>
      <c r="L10" s="131">
        <v>170</v>
      </c>
      <c r="M10" s="131">
        <v>170</v>
      </c>
      <c r="N10" s="132" t="str">
        <f>SUM(B10:M10)</f>
        <v>0</v>
      </c>
      <c r="O10" s="133">
        <v>80</v>
      </c>
      <c r="P10" s="133">
        <v>80</v>
      </c>
      <c r="Q10" s="133">
        <v>80</v>
      </c>
      <c r="R10" s="133">
        <v>80</v>
      </c>
      <c r="S10" s="133">
        <v>80</v>
      </c>
      <c r="T10" s="133">
        <v>80</v>
      </c>
      <c r="U10" s="133">
        <v>80</v>
      </c>
      <c r="V10" s="133">
        <v>80</v>
      </c>
      <c r="W10" s="133">
        <v>80</v>
      </c>
      <c r="X10" s="133">
        <v>80</v>
      </c>
      <c r="Y10" s="133">
        <v>80</v>
      </c>
      <c r="Z10" s="133">
        <v>80</v>
      </c>
      <c r="AA10" s="132" t="str">
        <f>SUM(O10:Z10)</f>
        <v>0</v>
      </c>
      <c r="AB10" s="131">
        <v>470</v>
      </c>
      <c r="AC10" s="131">
        <v>470</v>
      </c>
      <c r="AD10" s="131">
        <v>470</v>
      </c>
      <c r="AE10" s="131">
        <v>470</v>
      </c>
      <c r="AF10" s="131">
        <v>470</v>
      </c>
      <c r="AG10" s="131">
        <v>470</v>
      </c>
      <c r="AH10" s="131">
        <v>470</v>
      </c>
      <c r="AI10" s="131">
        <v>470</v>
      </c>
      <c r="AJ10" s="131">
        <v>470</v>
      </c>
      <c r="AK10" s="131">
        <v>470</v>
      </c>
      <c r="AL10" s="131">
        <v>470</v>
      </c>
      <c r="AM10" s="131">
        <v>470</v>
      </c>
      <c r="AN10" s="132" t="str">
        <f>SUM(AB10:AM10)</f>
        <v>0</v>
      </c>
      <c r="AO10" s="133">
        <v>150</v>
      </c>
      <c r="AP10" s="133">
        <v>150</v>
      </c>
      <c r="AQ10" s="133">
        <v>150</v>
      </c>
      <c r="AR10" s="133">
        <v>150</v>
      </c>
      <c r="AS10" s="133">
        <v>150</v>
      </c>
      <c r="AT10" s="133">
        <v>150</v>
      </c>
      <c r="AU10" s="133">
        <v>150</v>
      </c>
      <c r="AV10" s="133">
        <v>150</v>
      </c>
      <c r="AW10" s="133">
        <v>150</v>
      </c>
      <c r="AX10" s="133">
        <v>150</v>
      </c>
      <c r="AY10" s="133">
        <v>150</v>
      </c>
      <c r="AZ10" s="133">
        <v>150</v>
      </c>
      <c r="BA10" s="132" t="str">
        <f>SUM(AO10:AZ10)</f>
        <v>0</v>
      </c>
      <c r="BB10" s="134">
        <v>380</v>
      </c>
      <c r="BC10" s="134">
        <v>380</v>
      </c>
      <c r="BD10" s="134">
        <v>380</v>
      </c>
      <c r="BE10" s="134">
        <v>380</v>
      </c>
      <c r="BF10" s="134">
        <v>380</v>
      </c>
      <c r="BG10" s="134">
        <v>380</v>
      </c>
      <c r="BH10" s="134">
        <v>380</v>
      </c>
      <c r="BI10" s="134">
        <v>380</v>
      </c>
      <c r="BJ10" s="134">
        <v>380</v>
      </c>
      <c r="BK10" s="134">
        <v>380</v>
      </c>
      <c r="BL10" s="134">
        <v>380</v>
      </c>
      <c r="BM10" s="134">
        <v>380</v>
      </c>
      <c r="BN10" s="132" t="str">
        <f>SUM(BB10:BM10)</f>
        <v>0</v>
      </c>
      <c r="BO10" s="135">
        <v>100</v>
      </c>
      <c r="BP10" s="135">
        <v>100</v>
      </c>
      <c r="BQ10" s="135">
        <v>100</v>
      </c>
      <c r="BR10" s="135">
        <v>100</v>
      </c>
      <c r="BS10" s="135">
        <v>100</v>
      </c>
      <c r="BT10" s="135">
        <v>100</v>
      </c>
      <c r="BU10" s="135">
        <v>100</v>
      </c>
      <c r="BV10" s="135">
        <v>100</v>
      </c>
      <c r="BW10" s="135">
        <v>100</v>
      </c>
      <c r="BX10" s="135">
        <v>100</v>
      </c>
      <c r="BY10" s="135">
        <v>100</v>
      </c>
      <c r="BZ10" s="135">
        <v>100</v>
      </c>
      <c r="CA10" s="132" t="str">
        <f>SUM(BO10:BZ10)</f>
        <v>0</v>
      </c>
      <c r="CB10" s="136">
        <v>733</v>
      </c>
      <c r="CC10" s="136">
        <v>733</v>
      </c>
      <c r="CD10" s="136">
        <v>733</v>
      </c>
      <c r="CE10" s="136">
        <v>733</v>
      </c>
      <c r="CF10" s="136">
        <v>733</v>
      </c>
      <c r="CG10" s="136">
        <v>733</v>
      </c>
      <c r="CH10" s="136">
        <v>733</v>
      </c>
      <c r="CI10" s="136">
        <v>733</v>
      </c>
      <c r="CJ10" s="136">
        <v>733</v>
      </c>
      <c r="CK10" s="136">
        <v>733</v>
      </c>
      <c r="CL10" s="136">
        <v>733</v>
      </c>
      <c r="CM10" s="136">
        <v>733</v>
      </c>
      <c r="CN10" s="132" t="str">
        <f>SUM(CB10:CM10)</f>
        <v>0</v>
      </c>
      <c r="CO10" s="137">
        <v>390</v>
      </c>
      <c r="CP10" s="137">
        <v>390</v>
      </c>
      <c r="CQ10" s="137">
        <v>390</v>
      </c>
      <c r="CR10" s="137">
        <v>390</v>
      </c>
      <c r="CS10" s="137">
        <v>390</v>
      </c>
      <c r="CT10" s="137">
        <v>390</v>
      </c>
      <c r="CU10" s="137">
        <v>390</v>
      </c>
      <c r="CV10" s="137">
        <v>390</v>
      </c>
      <c r="CW10" s="137">
        <v>390</v>
      </c>
      <c r="CX10" s="137">
        <v>390</v>
      </c>
      <c r="CY10" s="137">
        <v>390</v>
      </c>
      <c r="CZ10" s="137">
        <v>390</v>
      </c>
      <c r="DA10" s="132" t="str">
        <f>SUM(CO10:CZ10)</f>
        <v>0</v>
      </c>
      <c r="DB10" s="136">
        <v>240</v>
      </c>
      <c r="DC10" s="136">
        <v>240</v>
      </c>
      <c r="DD10" s="136">
        <v>240</v>
      </c>
      <c r="DE10" s="136">
        <v>240</v>
      </c>
      <c r="DF10" s="136">
        <v>240</v>
      </c>
      <c r="DG10" s="136">
        <v>240</v>
      </c>
      <c r="DH10" s="136">
        <v>240</v>
      </c>
      <c r="DI10" s="136">
        <v>240</v>
      </c>
      <c r="DJ10" s="136">
        <v>240</v>
      </c>
      <c r="DK10" s="136">
        <v>240</v>
      </c>
      <c r="DL10" s="136">
        <v>240</v>
      </c>
      <c r="DM10" s="136">
        <v>240</v>
      </c>
      <c r="DN10" s="132" t="str">
        <f>SUM(DB10:DM10)</f>
        <v>0</v>
      </c>
      <c r="DO10" s="137">
        <v>250</v>
      </c>
      <c r="DP10" s="137">
        <v>250</v>
      </c>
      <c r="DQ10" s="137">
        <v>250</v>
      </c>
      <c r="DR10" s="137">
        <v>250</v>
      </c>
      <c r="DS10" s="137">
        <v>250</v>
      </c>
      <c r="DT10" s="137">
        <v>250</v>
      </c>
      <c r="DU10" s="137">
        <v>250</v>
      </c>
      <c r="DV10" s="137">
        <v>250</v>
      </c>
      <c r="DW10" s="137">
        <v>250</v>
      </c>
      <c r="DX10" s="137">
        <v>250</v>
      </c>
      <c r="DY10" s="137">
        <v>250</v>
      </c>
      <c r="DZ10" s="137">
        <v>250</v>
      </c>
      <c r="EA10" s="132" t="str">
        <f>SUM(DO10:DZ10)</f>
        <v>0</v>
      </c>
      <c r="EB10" s="216">
        <v>0</v>
      </c>
      <c r="EC10" s="216">
        <v>0</v>
      </c>
      <c r="ED10" s="216">
        <v>0</v>
      </c>
      <c r="EE10" s="216">
        <v>0</v>
      </c>
      <c r="EF10" s="216">
        <v>0</v>
      </c>
      <c r="EG10" s="216">
        <v>0</v>
      </c>
      <c r="EH10" s="216">
        <v>0</v>
      </c>
      <c r="EI10" s="216">
        <v>0</v>
      </c>
      <c r="EJ10" s="216">
        <v>0</v>
      </c>
      <c r="EK10" s="216">
        <v>0</v>
      </c>
      <c r="EL10" s="216">
        <v>0</v>
      </c>
      <c r="EM10" s="216">
        <v>0</v>
      </c>
      <c r="EN10" s="132" t="str">
        <f>SUM(EB10:EM10)</f>
        <v>0</v>
      </c>
      <c r="EO10" s="132">
        <v>0</v>
      </c>
      <c r="EP10" s="132">
        <v>0</v>
      </c>
      <c r="EQ10" s="132">
        <v>0</v>
      </c>
      <c r="ER10" s="132">
        <v>0</v>
      </c>
      <c r="ES10" s="132">
        <v>0</v>
      </c>
      <c r="ET10" s="132">
        <v>0</v>
      </c>
      <c r="EU10" s="132">
        <v>0</v>
      </c>
      <c r="EV10" s="132">
        <v>0</v>
      </c>
      <c r="EW10" s="132">
        <v>0</v>
      </c>
      <c r="EX10" s="132">
        <v>0</v>
      </c>
      <c r="EY10" s="132">
        <v>0</v>
      </c>
      <c r="EZ10" s="132">
        <v>0</v>
      </c>
      <c r="FA10" s="132" t="str">
        <f>SUM(EO10:EZ10)</f>
        <v>0</v>
      </c>
      <c r="FB10" s="181">
        <v>0</v>
      </c>
      <c r="FC10" s="181">
        <v>0</v>
      </c>
      <c r="FD10" s="181">
        <v>0</v>
      </c>
      <c r="FE10" s="181">
        <v>0</v>
      </c>
      <c r="FF10" s="181">
        <v>0</v>
      </c>
      <c r="FG10" s="181">
        <v>0</v>
      </c>
      <c r="FH10" s="181">
        <v>0</v>
      </c>
      <c r="FI10" s="181">
        <v>0</v>
      </c>
      <c r="FJ10" s="181">
        <v>0</v>
      </c>
      <c r="FK10" s="181">
        <v>0</v>
      </c>
      <c r="FL10" s="181">
        <v>0</v>
      </c>
      <c r="FM10" s="181">
        <v>0</v>
      </c>
      <c r="FN10" s="132" t="str">
        <f>SUM(FB10:FM10)</f>
        <v>0</v>
      </c>
      <c r="FO10" s="132">
        <v>0</v>
      </c>
      <c r="FP10" s="132">
        <v>0</v>
      </c>
      <c r="FQ10" s="132">
        <v>0</v>
      </c>
      <c r="FR10" s="132">
        <v>0</v>
      </c>
      <c r="FS10" s="132">
        <v>0</v>
      </c>
      <c r="FT10" s="132">
        <v>0</v>
      </c>
      <c r="FU10" s="132">
        <v>0</v>
      </c>
      <c r="FV10" s="132">
        <v>0</v>
      </c>
      <c r="FW10" s="132">
        <v>0</v>
      </c>
      <c r="FX10" s="132">
        <v>0</v>
      </c>
      <c r="FY10" s="132">
        <v>0</v>
      </c>
      <c r="FZ10" s="132">
        <v>0</v>
      </c>
      <c r="GA10" s="132" t="str">
        <f>SUM(FO10:FZ10)</f>
        <v>0</v>
      </c>
      <c r="GB10" s="181">
        <v>0</v>
      </c>
      <c r="GC10" s="181">
        <v>0</v>
      </c>
      <c r="GD10" s="181">
        <v>0</v>
      </c>
      <c r="GE10" s="181">
        <v>0</v>
      </c>
      <c r="GF10" s="181">
        <v>0</v>
      </c>
      <c r="GG10" s="181">
        <v>0</v>
      </c>
      <c r="GH10" s="181">
        <v>0</v>
      </c>
      <c r="GI10" s="181">
        <v>0</v>
      </c>
      <c r="GJ10" s="181">
        <v>0</v>
      </c>
      <c r="GK10" s="181">
        <v>0</v>
      </c>
      <c r="GL10" s="181">
        <v>0</v>
      </c>
      <c r="GM10" s="181">
        <v>0</v>
      </c>
      <c r="GN10" s="181" t="str">
        <f>SUM(GB10:GM10)</f>
        <v>0</v>
      </c>
      <c r="GO10" s="137">
        <v>0</v>
      </c>
      <c r="GP10" s="137">
        <v>0</v>
      </c>
      <c r="GQ10" s="137">
        <v>0</v>
      </c>
      <c r="GR10" s="137">
        <v>0</v>
      </c>
      <c r="GS10" s="137">
        <v>0</v>
      </c>
      <c r="GT10" s="137">
        <v>0</v>
      </c>
      <c r="GU10" s="137">
        <v>0</v>
      </c>
      <c r="GV10" s="137">
        <v>0</v>
      </c>
      <c r="GW10" s="137">
        <v>0</v>
      </c>
      <c r="GX10" s="137">
        <v>0</v>
      </c>
      <c r="GY10" s="137">
        <v>0</v>
      </c>
      <c r="GZ10" s="137">
        <v>0</v>
      </c>
      <c r="HA10" s="132" t="str">
        <f>SUM(GO10:GZ10)</f>
        <v>0</v>
      </c>
      <c r="HB10" s="181">
        <v>0</v>
      </c>
      <c r="HC10" s="181">
        <v>0</v>
      </c>
      <c r="HD10" s="181">
        <v>0</v>
      </c>
      <c r="HE10" s="181">
        <v>0</v>
      </c>
      <c r="HF10" s="181">
        <v>0</v>
      </c>
      <c r="HG10" s="181">
        <v>0</v>
      </c>
      <c r="HH10" s="181">
        <v>0</v>
      </c>
      <c r="HI10" s="181">
        <v>0</v>
      </c>
      <c r="HJ10" s="181">
        <v>0</v>
      </c>
      <c r="HK10" s="181">
        <v>0</v>
      </c>
      <c r="HL10" s="181">
        <v>0</v>
      </c>
      <c r="HM10" s="181">
        <v>0</v>
      </c>
      <c r="HN10" s="181" t="str">
        <f>SUM(HB10:HM10)</f>
        <v>0</v>
      </c>
      <c r="HO10" s="132">
        <v>140</v>
      </c>
      <c r="HP10" s="132">
        <v>140</v>
      </c>
      <c r="HQ10" s="132">
        <v>140</v>
      </c>
      <c r="HR10" s="132">
        <v>140</v>
      </c>
      <c r="HS10" s="132">
        <v>140</v>
      </c>
      <c r="HT10" s="132">
        <v>140</v>
      </c>
      <c r="HU10" s="132">
        <v>140</v>
      </c>
      <c r="HV10" s="132">
        <v>140</v>
      </c>
      <c r="HW10" s="132">
        <v>140</v>
      </c>
      <c r="HX10" s="132">
        <v>140</v>
      </c>
      <c r="HY10" s="132">
        <v>140</v>
      </c>
      <c r="HZ10" s="132">
        <v>140</v>
      </c>
      <c r="IA10" s="132" t="str">
        <f>SUM(HO10:HZ10)</f>
        <v>0</v>
      </c>
      <c r="IB10" s="181">
        <v>0</v>
      </c>
      <c r="IC10" s="181">
        <v>0</v>
      </c>
      <c r="ID10" s="181">
        <v>0</v>
      </c>
      <c r="IE10" s="181">
        <v>0</v>
      </c>
      <c r="IF10" s="181">
        <v>0</v>
      </c>
      <c r="IG10" s="181">
        <v>0</v>
      </c>
      <c r="IH10" s="181">
        <v>0</v>
      </c>
      <c r="II10" s="181">
        <v>0</v>
      </c>
      <c r="IJ10" s="181">
        <v>0</v>
      </c>
      <c r="IK10" s="181">
        <v>0</v>
      </c>
      <c r="IL10" s="181">
        <v>0</v>
      </c>
      <c r="IM10" s="181">
        <v>0</v>
      </c>
      <c r="IN10" s="181" t="str">
        <f>SUM(IB10:IM10)</f>
        <v>0</v>
      </c>
      <c r="IO10" s="181">
        <v>0</v>
      </c>
      <c r="IP10" s="181">
        <v>0</v>
      </c>
      <c r="IQ10" s="181">
        <v>0</v>
      </c>
      <c r="IR10" s="181">
        <v>0</v>
      </c>
      <c r="IS10" s="181">
        <v>0</v>
      </c>
      <c r="IT10" s="181">
        <v>0</v>
      </c>
      <c r="IU10" s="181">
        <v>0</v>
      </c>
      <c r="IV10" s="181">
        <v>0</v>
      </c>
      <c r="IW10" s="181">
        <v>0</v>
      </c>
      <c r="IX10" s="181">
        <v>0</v>
      </c>
      <c r="IY10" s="181">
        <v>0</v>
      </c>
      <c r="IZ10" s="181">
        <v>0</v>
      </c>
      <c r="JA10" s="181" t="str">
        <f>SUM(IO10:IZ10)</f>
        <v>0</v>
      </c>
      <c r="JC10" s="135" t="str">
        <f>B10+O10+AB10+AO10+BB10+BO10+CB10+CO10+DB10+DO10+EB10+EO10+FB10+FO10+GB10+GO10+HB10+HO10+IB10+IO10</f>
        <v>0</v>
      </c>
      <c r="JD10" s="135" t="str">
        <f>C10+P10+AC10+AP10+BC10+BP10+CC10+CP10+DC10+DP10+EC10+EP10+FC10+FP10+GC10+GP10+HC10+HP10+IC10+IP10</f>
        <v>0</v>
      </c>
      <c r="JE10" s="135" t="str">
        <f>D10+Q10+AD10+AQ10+BD10+BQ10+CD10+CQ10+DD10+DQ10+ED10+EQ10+FD10+FQ10+GD10+GQ10+HD10+HQ10+ID10+IQ10</f>
        <v>0</v>
      </c>
      <c r="JF10" s="135" t="str">
        <f>E10+R10+AE10+AR10+BE10+BR10+CE10+CR10+DE10+DR10+EE10+ER10+FE10+FR10+GE10+GR10+HE10+HR10+IE10+IR10</f>
        <v>0</v>
      </c>
      <c r="JG10" s="135" t="str">
        <f>F10+S10+AF10+AS10+BF10+BS10+CF10+CS10+DF10+DS10+EF10+ES10+FF10+FS10+GF10+GS10+HF10+HS10+IF10+IS10</f>
        <v>0</v>
      </c>
      <c r="JH10" s="135" t="str">
        <f>G10+T10+AG10+AT10+BG10+BT10+CG10+CT10+DG10+DT10+EG10+ET10+FG10+FT10+GG10+GT10+HG10+HT10+IG10+IT10</f>
        <v>0</v>
      </c>
      <c r="JI10" s="135" t="str">
        <f>H10+U10+AH10+AU10+BH10+BU10+CH10+CU10+DH10+DU10+EH10+EU10+FH10+FU10+GH10+GU10+HH10+HU10+IH10+IU10</f>
        <v>0</v>
      </c>
      <c r="JJ10" s="135" t="str">
        <f>I10+V10+AI10+AV10+BI10+BV10+CI10+CV10+DI10+DV10+EI10+EV10+FI10+FV10+GI10+GV10+HI10+HV10+II10+IV10</f>
        <v>0</v>
      </c>
      <c r="JK10" s="135" t="str">
        <f>J10+W10+AJ10+AW10+BJ10+BW10+CJ10+CW10+DJ10+DW10+EJ10+EW10+FJ10+FW10+GJ10+GW10+HJ10+HW10+IJ10+IW10</f>
        <v>0</v>
      </c>
      <c r="JL10" s="135" t="str">
        <f>K10+X10+AK10+AX10+BK10+BX10+CK10+CX10+DK10+DX10+EK10+EX10+FK10+FX10+GK10+GX10+HK10+HX10+IK10+IX10</f>
        <v>0</v>
      </c>
      <c r="JM10" s="135" t="str">
        <f>L10+Y10+AL10+AY10+BL10+BY10+CL10+CY10+DL10+DY10+EL10+EY10+FL10+FY10+GL10+GY10+HL10+HY10+IL10+IY10</f>
        <v>0</v>
      </c>
      <c r="JN10" s="135" t="str">
        <f>M10+Z10+AM10+AZ10+BM10+BZ10+CM10+CZ10+DM10+DZ10+EM10+EZ10+FM10+FZ10+GM10+GZ10+HM10+HZ10+IM10+IZ10</f>
        <v>0</v>
      </c>
      <c r="JO10" s="132" t="str">
        <f>SUM(JC10:JN10)</f>
        <v>0</v>
      </c>
      <c r="JQ10" s="139" t="str">
        <f>N10+AA10+AN10+BA10+BN10+CA10+CN10+DA10+DN10+EA10+EN10+FA10+FN10+GA10+GN10+HA10+HN10+IA10+IN10+JA10</f>
        <v>0</v>
      </c>
    </row>
    <row r="11" spans="1:278">
      <c r="A11" s="130" t="s">
        <v>379</v>
      </c>
      <c r="B11" s="131">
        <v>150</v>
      </c>
      <c r="C11" s="131">
        <v>150</v>
      </c>
      <c r="D11" s="131">
        <v>150</v>
      </c>
      <c r="E11" s="131">
        <v>150</v>
      </c>
      <c r="F11" s="131">
        <v>150</v>
      </c>
      <c r="G11" s="131">
        <v>150</v>
      </c>
      <c r="H11" s="131">
        <v>150</v>
      </c>
      <c r="I11" s="131">
        <v>150</v>
      </c>
      <c r="J11" s="131">
        <v>150</v>
      </c>
      <c r="K11" s="131">
        <v>150</v>
      </c>
      <c r="L11" s="131">
        <v>150</v>
      </c>
      <c r="M11" s="131">
        <v>150</v>
      </c>
      <c r="N11" s="132" t="str">
        <f>SUM(B11:M11)</f>
        <v>0</v>
      </c>
      <c r="O11" s="133">
        <v>500</v>
      </c>
      <c r="P11" s="133">
        <v>500</v>
      </c>
      <c r="Q11" s="133">
        <v>500</v>
      </c>
      <c r="R11" s="133">
        <v>500</v>
      </c>
      <c r="S11" s="133">
        <v>500</v>
      </c>
      <c r="T11" s="133">
        <v>500</v>
      </c>
      <c r="U11" s="133">
        <v>500</v>
      </c>
      <c r="V11" s="133">
        <v>500</v>
      </c>
      <c r="W11" s="133">
        <v>500</v>
      </c>
      <c r="X11" s="133">
        <v>500</v>
      </c>
      <c r="Y11" s="133">
        <v>500</v>
      </c>
      <c r="Z11" s="133">
        <v>500</v>
      </c>
      <c r="AA11" s="132" t="str">
        <f>SUM(O11:Z11)</f>
        <v>0</v>
      </c>
      <c r="AB11" s="131">
        <v>818</v>
      </c>
      <c r="AC11" s="131">
        <v>818</v>
      </c>
      <c r="AD11" s="131">
        <v>818</v>
      </c>
      <c r="AE11" s="131">
        <v>818</v>
      </c>
      <c r="AF11" s="131">
        <v>818</v>
      </c>
      <c r="AG11" s="131">
        <v>818</v>
      </c>
      <c r="AH11" s="131">
        <v>818</v>
      </c>
      <c r="AI11" s="131">
        <v>818</v>
      </c>
      <c r="AJ11" s="131">
        <v>818</v>
      </c>
      <c r="AK11" s="131">
        <v>818</v>
      </c>
      <c r="AL11" s="131">
        <v>818</v>
      </c>
      <c r="AM11" s="131">
        <v>818</v>
      </c>
      <c r="AN11" s="132" t="str">
        <f>SUM(AB11:AM11)</f>
        <v>0</v>
      </c>
      <c r="AO11" s="133">
        <v>512</v>
      </c>
      <c r="AP11" s="133">
        <v>512</v>
      </c>
      <c r="AQ11" s="133">
        <v>512</v>
      </c>
      <c r="AR11" s="133">
        <v>512</v>
      </c>
      <c r="AS11" s="133">
        <v>512</v>
      </c>
      <c r="AT11" s="133">
        <v>512</v>
      </c>
      <c r="AU11" s="133">
        <v>512</v>
      </c>
      <c r="AV11" s="133">
        <v>512</v>
      </c>
      <c r="AW11" s="133">
        <v>512</v>
      </c>
      <c r="AX11" s="133">
        <v>512</v>
      </c>
      <c r="AY11" s="133">
        <v>512</v>
      </c>
      <c r="AZ11" s="133">
        <v>512</v>
      </c>
      <c r="BA11" s="132" t="str">
        <f>SUM(AO11:AZ11)</f>
        <v>0</v>
      </c>
      <c r="BB11" s="134">
        <v>206</v>
      </c>
      <c r="BC11" s="134">
        <v>206</v>
      </c>
      <c r="BD11" s="134">
        <v>206</v>
      </c>
      <c r="BE11" s="134">
        <v>206</v>
      </c>
      <c r="BF11" s="134">
        <v>206</v>
      </c>
      <c r="BG11" s="134">
        <v>206</v>
      </c>
      <c r="BH11" s="134">
        <v>206</v>
      </c>
      <c r="BI11" s="134">
        <v>206</v>
      </c>
      <c r="BJ11" s="134">
        <v>206</v>
      </c>
      <c r="BK11" s="134">
        <v>206</v>
      </c>
      <c r="BL11" s="134">
        <v>206</v>
      </c>
      <c r="BM11" s="134">
        <v>206</v>
      </c>
      <c r="BN11" s="132" t="str">
        <f>SUM(BB11:BM11)</f>
        <v>0</v>
      </c>
      <c r="BO11" s="135">
        <v>163</v>
      </c>
      <c r="BP11" s="135">
        <v>163</v>
      </c>
      <c r="BQ11" s="135">
        <v>163</v>
      </c>
      <c r="BR11" s="135">
        <v>163</v>
      </c>
      <c r="BS11" s="135">
        <v>163</v>
      </c>
      <c r="BT11" s="135">
        <v>163</v>
      </c>
      <c r="BU11" s="135">
        <v>163</v>
      </c>
      <c r="BV11" s="135">
        <v>163</v>
      </c>
      <c r="BW11" s="135">
        <v>163</v>
      </c>
      <c r="BX11" s="135">
        <v>163</v>
      </c>
      <c r="BY11" s="135">
        <v>163</v>
      </c>
      <c r="BZ11" s="135">
        <v>163</v>
      </c>
      <c r="CA11" s="132" t="str">
        <f>SUM(BO11:BZ11)</f>
        <v>0</v>
      </c>
      <c r="CB11" s="136">
        <v>881</v>
      </c>
      <c r="CC11" s="136">
        <v>881</v>
      </c>
      <c r="CD11" s="136">
        <v>881</v>
      </c>
      <c r="CE11" s="136">
        <v>881</v>
      </c>
      <c r="CF11" s="136">
        <v>881</v>
      </c>
      <c r="CG11" s="136">
        <v>881</v>
      </c>
      <c r="CH11" s="136">
        <v>881</v>
      </c>
      <c r="CI11" s="136">
        <v>881</v>
      </c>
      <c r="CJ11" s="136">
        <v>881</v>
      </c>
      <c r="CK11" s="136">
        <v>881</v>
      </c>
      <c r="CL11" s="136">
        <v>881</v>
      </c>
      <c r="CM11" s="136">
        <v>881</v>
      </c>
      <c r="CN11" s="132" t="str">
        <f>SUM(CB11:CM11)</f>
        <v>0</v>
      </c>
      <c r="CO11" s="137">
        <v>568</v>
      </c>
      <c r="CP11" s="137">
        <v>568</v>
      </c>
      <c r="CQ11" s="137">
        <v>568</v>
      </c>
      <c r="CR11" s="137">
        <v>568</v>
      </c>
      <c r="CS11" s="137">
        <v>568</v>
      </c>
      <c r="CT11" s="137">
        <v>568</v>
      </c>
      <c r="CU11" s="137">
        <v>568</v>
      </c>
      <c r="CV11" s="137">
        <v>568</v>
      </c>
      <c r="CW11" s="137">
        <v>568</v>
      </c>
      <c r="CX11" s="137">
        <v>568</v>
      </c>
      <c r="CY11" s="137">
        <v>568</v>
      </c>
      <c r="CZ11" s="137">
        <v>568</v>
      </c>
      <c r="DA11" s="132" t="str">
        <f>SUM(CO11:CZ11)</f>
        <v>0</v>
      </c>
      <c r="DB11" s="136">
        <v>337</v>
      </c>
      <c r="DC11" s="136">
        <v>337</v>
      </c>
      <c r="DD11" s="136">
        <v>337</v>
      </c>
      <c r="DE11" s="136">
        <v>337</v>
      </c>
      <c r="DF11" s="136">
        <v>337</v>
      </c>
      <c r="DG11" s="136">
        <v>337</v>
      </c>
      <c r="DH11" s="136">
        <v>337</v>
      </c>
      <c r="DI11" s="136">
        <v>337</v>
      </c>
      <c r="DJ11" s="136">
        <v>337</v>
      </c>
      <c r="DK11" s="136">
        <v>337</v>
      </c>
      <c r="DL11" s="136">
        <v>337</v>
      </c>
      <c r="DM11" s="136">
        <v>337</v>
      </c>
      <c r="DN11" s="132" t="str">
        <f>SUM(DB11:DM11)</f>
        <v>0</v>
      </c>
      <c r="DO11" s="137">
        <v>240</v>
      </c>
      <c r="DP11" s="137">
        <v>240</v>
      </c>
      <c r="DQ11" s="137">
        <v>240</v>
      </c>
      <c r="DR11" s="137">
        <v>240</v>
      </c>
      <c r="DS11" s="137">
        <v>240</v>
      </c>
      <c r="DT11" s="137">
        <v>240</v>
      </c>
      <c r="DU11" s="137">
        <v>240</v>
      </c>
      <c r="DV11" s="137">
        <v>240</v>
      </c>
      <c r="DW11" s="137">
        <v>240</v>
      </c>
      <c r="DX11" s="137">
        <v>240</v>
      </c>
      <c r="DY11" s="137">
        <v>240</v>
      </c>
      <c r="DZ11" s="137">
        <v>240</v>
      </c>
      <c r="EA11" s="132" t="str">
        <f>SUM(DO11:DZ11)</f>
        <v>0</v>
      </c>
      <c r="EB11" s="216">
        <v>0</v>
      </c>
      <c r="EC11" s="216">
        <v>0</v>
      </c>
      <c r="ED11" s="216">
        <v>0</v>
      </c>
      <c r="EE11" s="216">
        <v>0</v>
      </c>
      <c r="EF11" s="216">
        <v>0</v>
      </c>
      <c r="EG11" s="216">
        <v>0</v>
      </c>
      <c r="EH11" s="216">
        <v>0</v>
      </c>
      <c r="EI11" s="216">
        <v>0</v>
      </c>
      <c r="EJ11" s="216">
        <v>0</v>
      </c>
      <c r="EK11" s="216">
        <v>0</v>
      </c>
      <c r="EL11" s="216">
        <v>0</v>
      </c>
      <c r="EM11" s="216">
        <v>0</v>
      </c>
      <c r="EN11" s="132" t="str">
        <f>SUM(EB11:EM11)</f>
        <v>0</v>
      </c>
      <c r="EO11" s="132">
        <v>0</v>
      </c>
      <c r="EP11" s="132">
        <v>0</v>
      </c>
      <c r="EQ11" s="132">
        <v>0</v>
      </c>
      <c r="ER11" s="132">
        <v>0</v>
      </c>
      <c r="ES11" s="132">
        <v>0</v>
      </c>
      <c r="ET11" s="132">
        <v>0</v>
      </c>
      <c r="EU11" s="132">
        <v>0</v>
      </c>
      <c r="EV11" s="132">
        <v>0</v>
      </c>
      <c r="EW11" s="132">
        <v>0</v>
      </c>
      <c r="EX11" s="132">
        <v>0</v>
      </c>
      <c r="EY11" s="132">
        <v>0</v>
      </c>
      <c r="EZ11" s="132">
        <v>0</v>
      </c>
      <c r="FA11" s="132" t="str">
        <f>SUM(EO11:EZ11)</f>
        <v>0</v>
      </c>
      <c r="FB11" s="181">
        <v>0</v>
      </c>
      <c r="FC11" s="181">
        <v>0</v>
      </c>
      <c r="FD11" s="181">
        <v>0</v>
      </c>
      <c r="FE11" s="181">
        <v>0</v>
      </c>
      <c r="FF11" s="181">
        <v>0</v>
      </c>
      <c r="FG11" s="181">
        <v>0</v>
      </c>
      <c r="FH11" s="181">
        <v>0</v>
      </c>
      <c r="FI11" s="181">
        <v>0</v>
      </c>
      <c r="FJ11" s="181">
        <v>0</v>
      </c>
      <c r="FK11" s="181">
        <v>0</v>
      </c>
      <c r="FL11" s="181">
        <v>0</v>
      </c>
      <c r="FM11" s="181">
        <v>0</v>
      </c>
      <c r="FN11" s="132" t="str">
        <f>SUM(FB11:FM11)</f>
        <v>0</v>
      </c>
      <c r="FO11" s="132">
        <v>0</v>
      </c>
      <c r="FP11" s="132">
        <v>0</v>
      </c>
      <c r="FQ11" s="132">
        <v>0</v>
      </c>
      <c r="FR11" s="132">
        <v>0</v>
      </c>
      <c r="FS11" s="132">
        <v>0</v>
      </c>
      <c r="FT11" s="132">
        <v>0</v>
      </c>
      <c r="FU11" s="132">
        <v>0</v>
      </c>
      <c r="FV11" s="132">
        <v>0</v>
      </c>
      <c r="FW11" s="132">
        <v>0</v>
      </c>
      <c r="FX11" s="132">
        <v>0</v>
      </c>
      <c r="FY11" s="132">
        <v>0</v>
      </c>
      <c r="FZ11" s="132">
        <v>0</v>
      </c>
      <c r="GA11" s="132" t="str">
        <f>SUM(FO11:FZ11)</f>
        <v>0</v>
      </c>
      <c r="GB11" s="181">
        <v>0</v>
      </c>
      <c r="GC11" s="181">
        <v>0</v>
      </c>
      <c r="GD11" s="181">
        <v>0</v>
      </c>
      <c r="GE11" s="181">
        <v>0</v>
      </c>
      <c r="GF11" s="181">
        <v>0</v>
      </c>
      <c r="GG11" s="181">
        <v>0</v>
      </c>
      <c r="GH11" s="181">
        <v>0</v>
      </c>
      <c r="GI11" s="181">
        <v>0</v>
      </c>
      <c r="GJ11" s="181">
        <v>0</v>
      </c>
      <c r="GK11" s="181">
        <v>0</v>
      </c>
      <c r="GL11" s="181">
        <v>0</v>
      </c>
      <c r="GM11" s="181">
        <v>0</v>
      </c>
      <c r="GN11" s="181" t="str">
        <f>SUM(GB11:GM11)</f>
        <v>0</v>
      </c>
      <c r="GO11" s="137">
        <v>0</v>
      </c>
      <c r="GP11" s="137">
        <v>0</v>
      </c>
      <c r="GQ11" s="137">
        <v>0</v>
      </c>
      <c r="GR11" s="137">
        <v>0</v>
      </c>
      <c r="GS11" s="137">
        <v>0</v>
      </c>
      <c r="GT11" s="137">
        <v>0</v>
      </c>
      <c r="GU11" s="137">
        <v>0</v>
      </c>
      <c r="GV11" s="137">
        <v>0</v>
      </c>
      <c r="GW11" s="137">
        <v>0</v>
      </c>
      <c r="GX11" s="137">
        <v>0</v>
      </c>
      <c r="GY11" s="137">
        <v>0</v>
      </c>
      <c r="GZ11" s="137">
        <v>0</v>
      </c>
      <c r="HA11" s="132" t="str">
        <f>SUM(GO11:GZ11)</f>
        <v>0</v>
      </c>
      <c r="HB11" s="181">
        <v>0</v>
      </c>
      <c r="HC11" s="181">
        <v>0</v>
      </c>
      <c r="HD11" s="181">
        <v>0</v>
      </c>
      <c r="HE11" s="181">
        <v>0</v>
      </c>
      <c r="HF11" s="181">
        <v>0</v>
      </c>
      <c r="HG11" s="181">
        <v>0</v>
      </c>
      <c r="HH11" s="181">
        <v>0</v>
      </c>
      <c r="HI11" s="181">
        <v>0</v>
      </c>
      <c r="HJ11" s="181">
        <v>0</v>
      </c>
      <c r="HK11" s="181">
        <v>0</v>
      </c>
      <c r="HL11" s="181">
        <v>0</v>
      </c>
      <c r="HM11" s="181">
        <v>0</v>
      </c>
      <c r="HN11" s="181" t="str">
        <f>SUM(HB11:HM11)</f>
        <v>0</v>
      </c>
      <c r="HO11" s="132">
        <v>97</v>
      </c>
      <c r="HP11" s="132">
        <v>97</v>
      </c>
      <c r="HQ11" s="132">
        <v>97</v>
      </c>
      <c r="HR11" s="132">
        <v>97</v>
      </c>
      <c r="HS11" s="132">
        <v>97</v>
      </c>
      <c r="HT11" s="132">
        <v>97</v>
      </c>
      <c r="HU11" s="132">
        <v>97</v>
      </c>
      <c r="HV11" s="132">
        <v>97</v>
      </c>
      <c r="HW11" s="132">
        <v>97</v>
      </c>
      <c r="HX11" s="132">
        <v>97</v>
      </c>
      <c r="HY11" s="132">
        <v>97</v>
      </c>
      <c r="HZ11" s="132">
        <v>97</v>
      </c>
      <c r="IA11" s="132" t="str">
        <f>SUM(HO11:HZ11)</f>
        <v>0</v>
      </c>
      <c r="IB11" s="181">
        <v>0</v>
      </c>
      <c r="IC11" s="181">
        <v>0</v>
      </c>
      <c r="ID11" s="181">
        <v>0</v>
      </c>
      <c r="IE11" s="181">
        <v>0</v>
      </c>
      <c r="IF11" s="181">
        <v>0</v>
      </c>
      <c r="IG11" s="181">
        <v>0</v>
      </c>
      <c r="IH11" s="181">
        <v>0</v>
      </c>
      <c r="II11" s="181">
        <v>0</v>
      </c>
      <c r="IJ11" s="181">
        <v>0</v>
      </c>
      <c r="IK11" s="181">
        <v>0</v>
      </c>
      <c r="IL11" s="181">
        <v>0</v>
      </c>
      <c r="IM11" s="181">
        <v>0</v>
      </c>
      <c r="IN11" s="181" t="str">
        <f>SUM(IB11:IM11)</f>
        <v>0</v>
      </c>
      <c r="IO11" s="181">
        <v>0</v>
      </c>
      <c r="IP11" s="181">
        <v>0</v>
      </c>
      <c r="IQ11" s="181">
        <v>0</v>
      </c>
      <c r="IR11" s="181">
        <v>0</v>
      </c>
      <c r="IS11" s="181">
        <v>0</v>
      </c>
      <c r="IT11" s="181">
        <v>0</v>
      </c>
      <c r="IU11" s="181">
        <v>0</v>
      </c>
      <c r="IV11" s="181">
        <v>0</v>
      </c>
      <c r="IW11" s="181">
        <v>0</v>
      </c>
      <c r="IX11" s="181">
        <v>0</v>
      </c>
      <c r="IY11" s="181">
        <v>0</v>
      </c>
      <c r="IZ11" s="181">
        <v>0</v>
      </c>
      <c r="JA11" s="181" t="str">
        <f>SUM(IO11:IZ11)</f>
        <v>0</v>
      </c>
      <c r="JC11" s="135" t="str">
        <f>B11+O11+AB11+AO11+BB11+BO11+CB11+CO11+DB11+DO11+EB11+EO11+FB11+FO11+GB11+GO11+HB11+HO11+IB11+IO11</f>
        <v>0</v>
      </c>
      <c r="JD11" s="135" t="str">
        <f>C11+P11+AC11+AP11+BC11+BP11+CC11+CP11+DC11+DP11+EC11+EP11+FC11+FP11+GC11+GP11+HC11+HP11+IC11+IP11</f>
        <v>0</v>
      </c>
      <c r="JE11" s="135" t="str">
        <f>D11+Q11+AD11+AQ11+BD11+BQ11+CD11+CQ11+DD11+DQ11+ED11+EQ11+FD11+FQ11+GD11+GQ11+HD11+HQ11+ID11+IQ11</f>
        <v>0</v>
      </c>
      <c r="JF11" s="135" t="str">
        <f>E11+R11+AE11+AR11+BE11+BR11+CE11+CR11+DE11+DR11+EE11+ER11+FE11+FR11+GE11+GR11+HE11+HR11+IE11+IR11</f>
        <v>0</v>
      </c>
      <c r="JG11" s="135" t="str">
        <f>F11+S11+AF11+AS11+BF11+BS11+CF11+CS11+DF11+DS11+EF11+ES11+FF11+FS11+GF11+GS11+HF11+HS11+IF11+IS11</f>
        <v>0</v>
      </c>
      <c r="JH11" s="135" t="str">
        <f>G11+T11+AG11+AT11+BG11+BT11+CG11+CT11+DG11+DT11+EG11+ET11+FG11+FT11+GG11+GT11+HG11+HT11+IG11+IT11</f>
        <v>0</v>
      </c>
      <c r="JI11" s="135" t="str">
        <f>H11+U11+AH11+AU11+BH11+BU11+CH11+CU11+DH11+DU11+EH11+EU11+FH11+FU11+GH11+GU11+HH11+HU11+IH11+IU11</f>
        <v>0</v>
      </c>
      <c r="JJ11" s="135" t="str">
        <f>I11+V11+AI11+AV11+BI11+BV11+CI11+CV11+DI11+DV11+EI11+EV11+FI11+FV11+GI11+GV11+HI11+HV11+II11+IV11</f>
        <v>0</v>
      </c>
      <c r="JK11" s="135" t="str">
        <f>J11+W11+AJ11+AW11+BJ11+BW11+CJ11+CW11+DJ11+DW11+EJ11+EW11+FJ11+FW11+GJ11+GW11+HJ11+HW11+IJ11+IW11</f>
        <v>0</v>
      </c>
      <c r="JL11" s="135" t="str">
        <f>K11+X11+AK11+AX11+BK11+BX11+CK11+CX11+DK11+DX11+EK11+EX11+FK11+FX11+GK11+GX11+HK11+HX11+IK11+IX11</f>
        <v>0</v>
      </c>
      <c r="JM11" s="135" t="str">
        <f>L11+Y11+AL11+AY11+BL11+BY11+CL11+CY11+DL11+DY11+EL11+EY11+FL11+FY11+GL11+GY11+HL11+HY11+IL11+IY11</f>
        <v>0</v>
      </c>
      <c r="JN11" s="135" t="str">
        <f>M11+Z11+AM11+AZ11+BM11+BZ11+CM11+CZ11+DM11+DZ11+EM11+EZ11+FM11+FZ11+GM11+GZ11+HM11+HZ11+IM11+IZ11</f>
        <v>0</v>
      </c>
      <c r="JO11" s="132" t="str">
        <f>SUM(JC11:JN11)</f>
        <v>0</v>
      </c>
      <c r="JQ11" s="139" t="str">
        <f>N11+AA11+AN11+BA11+BN11+CA11+CN11+DA11+DN11+EA11+EN11+FA11+FN11+GA11+GN11+HA11+HN11+IA11+IN11+JA11</f>
        <v>0</v>
      </c>
    </row>
    <row r="12" spans="1:278">
      <c r="A12" s="130" t="s">
        <v>385</v>
      </c>
      <c r="B12" s="131">
        <v>180</v>
      </c>
      <c r="C12" s="131">
        <v>180</v>
      </c>
      <c r="D12" s="131">
        <v>180</v>
      </c>
      <c r="E12" s="131">
        <v>180</v>
      </c>
      <c r="F12" s="131">
        <v>180</v>
      </c>
      <c r="G12" s="131">
        <v>180</v>
      </c>
      <c r="H12" s="131">
        <v>180</v>
      </c>
      <c r="I12" s="131">
        <v>180</v>
      </c>
      <c r="J12" s="131">
        <v>180</v>
      </c>
      <c r="K12" s="131">
        <v>180</v>
      </c>
      <c r="L12" s="131">
        <v>180</v>
      </c>
      <c r="M12" s="131">
        <v>180</v>
      </c>
      <c r="N12" s="132" t="str">
        <f>SUM(B12:M12)</f>
        <v>0</v>
      </c>
      <c r="O12" s="133">
        <v>1150</v>
      </c>
      <c r="P12" s="133">
        <v>1150</v>
      </c>
      <c r="Q12" s="133">
        <v>1150</v>
      </c>
      <c r="R12" s="133">
        <v>1150</v>
      </c>
      <c r="S12" s="133">
        <v>1150</v>
      </c>
      <c r="T12" s="133">
        <v>1150</v>
      </c>
      <c r="U12" s="133">
        <v>1150</v>
      </c>
      <c r="V12" s="133">
        <v>1150</v>
      </c>
      <c r="W12" s="133">
        <v>1150</v>
      </c>
      <c r="X12" s="133">
        <v>1150</v>
      </c>
      <c r="Y12" s="133">
        <v>1150</v>
      </c>
      <c r="Z12" s="133">
        <v>1150</v>
      </c>
      <c r="AA12" s="132" t="str">
        <f>SUM(O12:Z12)</f>
        <v>0</v>
      </c>
      <c r="AB12" s="131">
        <v>600</v>
      </c>
      <c r="AC12" s="131">
        <v>600</v>
      </c>
      <c r="AD12" s="131">
        <v>600</v>
      </c>
      <c r="AE12" s="131">
        <v>600</v>
      </c>
      <c r="AF12" s="131">
        <v>600</v>
      </c>
      <c r="AG12" s="131">
        <v>600</v>
      </c>
      <c r="AH12" s="131">
        <v>600</v>
      </c>
      <c r="AI12" s="131">
        <v>600</v>
      </c>
      <c r="AJ12" s="131">
        <v>600</v>
      </c>
      <c r="AK12" s="131">
        <v>600</v>
      </c>
      <c r="AL12" s="131">
        <v>600</v>
      </c>
      <c r="AM12" s="131">
        <v>600</v>
      </c>
      <c r="AN12" s="132" t="str">
        <f>SUM(AB12:AM12)</f>
        <v>0</v>
      </c>
      <c r="AO12" s="133">
        <v>690</v>
      </c>
      <c r="AP12" s="133">
        <v>690</v>
      </c>
      <c r="AQ12" s="133">
        <v>690</v>
      </c>
      <c r="AR12" s="133">
        <v>690</v>
      </c>
      <c r="AS12" s="133">
        <v>690</v>
      </c>
      <c r="AT12" s="133">
        <v>690</v>
      </c>
      <c r="AU12" s="133">
        <v>690</v>
      </c>
      <c r="AV12" s="133">
        <v>690</v>
      </c>
      <c r="AW12" s="133">
        <v>690</v>
      </c>
      <c r="AX12" s="133">
        <v>690</v>
      </c>
      <c r="AY12" s="133">
        <v>690</v>
      </c>
      <c r="AZ12" s="133">
        <v>690</v>
      </c>
      <c r="BA12" s="132" t="str">
        <f>SUM(AO12:AZ12)</f>
        <v>0</v>
      </c>
      <c r="BB12" s="134">
        <v>340</v>
      </c>
      <c r="BC12" s="134">
        <v>340</v>
      </c>
      <c r="BD12" s="134">
        <v>340</v>
      </c>
      <c r="BE12" s="134">
        <v>340</v>
      </c>
      <c r="BF12" s="134">
        <v>340</v>
      </c>
      <c r="BG12" s="134">
        <v>340</v>
      </c>
      <c r="BH12" s="134">
        <v>340</v>
      </c>
      <c r="BI12" s="134">
        <v>340</v>
      </c>
      <c r="BJ12" s="134">
        <v>340</v>
      </c>
      <c r="BK12" s="134">
        <v>340</v>
      </c>
      <c r="BL12" s="134">
        <v>340</v>
      </c>
      <c r="BM12" s="134">
        <v>340</v>
      </c>
      <c r="BN12" s="132" t="str">
        <f>SUM(BB12:BM12)</f>
        <v>0</v>
      </c>
      <c r="BO12" s="135">
        <v>120</v>
      </c>
      <c r="BP12" s="135">
        <v>120</v>
      </c>
      <c r="BQ12" s="135">
        <v>120</v>
      </c>
      <c r="BR12" s="135">
        <v>120</v>
      </c>
      <c r="BS12" s="135">
        <v>120</v>
      </c>
      <c r="BT12" s="135">
        <v>120</v>
      </c>
      <c r="BU12" s="135">
        <v>120</v>
      </c>
      <c r="BV12" s="135">
        <v>120</v>
      </c>
      <c r="BW12" s="135">
        <v>120</v>
      </c>
      <c r="BX12" s="135">
        <v>120</v>
      </c>
      <c r="BY12" s="135">
        <v>120</v>
      </c>
      <c r="BZ12" s="135">
        <v>120</v>
      </c>
      <c r="CA12" s="132" t="str">
        <f>SUM(BO12:BZ12)</f>
        <v>0</v>
      </c>
      <c r="CB12" s="136">
        <v>846</v>
      </c>
      <c r="CC12" s="136">
        <v>846</v>
      </c>
      <c r="CD12" s="136">
        <v>846</v>
      </c>
      <c r="CE12" s="136">
        <v>846</v>
      </c>
      <c r="CF12" s="136">
        <v>846</v>
      </c>
      <c r="CG12" s="136">
        <v>846</v>
      </c>
      <c r="CH12" s="136">
        <v>846</v>
      </c>
      <c r="CI12" s="136">
        <v>846</v>
      </c>
      <c r="CJ12" s="136">
        <v>846</v>
      </c>
      <c r="CK12" s="136">
        <v>846</v>
      </c>
      <c r="CL12" s="136">
        <v>846</v>
      </c>
      <c r="CM12" s="136">
        <v>846</v>
      </c>
      <c r="CN12" s="132" t="str">
        <f>SUM(CB12:CM12)</f>
        <v>0</v>
      </c>
      <c r="CO12" s="137">
        <v>540</v>
      </c>
      <c r="CP12" s="137">
        <v>540</v>
      </c>
      <c r="CQ12" s="137">
        <v>540</v>
      </c>
      <c r="CR12" s="137">
        <v>540</v>
      </c>
      <c r="CS12" s="137">
        <v>540</v>
      </c>
      <c r="CT12" s="137">
        <v>540</v>
      </c>
      <c r="CU12" s="137">
        <v>540</v>
      </c>
      <c r="CV12" s="137">
        <v>540</v>
      </c>
      <c r="CW12" s="137">
        <v>540</v>
      </c>
      <c r="CX12" s="137">
        <v>540</v>
      </c>
      <c r="CY12" s="137">
        <v>540</v>
      </c>
      <c r="CZ12" s="137">
        <v>540</v>
      </c>
      <c r="DA12" s="132" t="str">
        <f>SUM(CO12:CZ12)</f>
        <v>0</v>
      </c>
      <c r="DB12" s="136">
        <v>250</v>
      </c>
      <c r="DC12" s="136">
        <v>250</v>
      </c>
      <c r="DD12" s="136">
        <v>250</v>
      </c>
      <c r="DE12" s="136">
        <v>250</v>
      </c>
      <c r="DF12" s="136">
        <v>250</v>
      </c>
      <c r="DG12" s="136">
        <v>250</v>
      </c>
      <c r="DH12" s="136">
        <v>250</v>
      </c>
      <c r="DI12" s="136">
        <v>250</v>
      </c>
      <c r="DJ12" s="136">
        <v>250</v>
      </c>
      <c r="DK12" s="136">
        <v>250</v>
      </c>
      <c r="DL12" s="136">
        <v>250</v>
      </c>
      <c r="DM12" s="136">
        <v>250</v>
      </c>
      <c r="DN12" s="132" t="str">
        <f>SUM(DB12:DM12)</f>
        <v>0</v>
      </c>
      <c r="DO12" s="137">
        <v>230</v>
      </c>
      <c r="DP12" s="137">
        <v>230</v>
      </c>
      <c r="DQ12" s="137">
        <v>230</v>
      </c>
      <c r="DR12" s="137">
        <v>230</v>
      </c>
      <c r="DS12" s="137">
        <v>230</v>
      </c>
      <c r="DT12" s="137">
        <v>230</v>
      </c>
      <c r="DU12" s="137">
        <v>230</v>
      </c>
      <c r="DV12" s="137">
        <v>230</v>
      </c>
      <c r="DW12" s="137">
        <v>230</v>
      </c>
      <c r="DX12" s="137">
        <v>230</v>
      </c>
      <c r="DY12" s="137">
        <v>230</v>
      </c>
      <c r="DZ12" s="137">
        <v>230</v>
      </c>
      <c r="EA12" s="132" t="str">
        <f>SUM(DO12:DZ12)</f>
        <v>0</v>
      </c>
      <c r="EB12" s="216">
        <v>0</v>
      </c>
      <c r="EC12" s="216">
        <v>0</v>
      </c>
      <c r="ED12" s="216">
        <v>0</v>
      </c>
      <c r="EE12" s="216">
        <v>0</v>
      </c>
      <c r="EF12" s="216">
        <v>0</v>
      </c>
      <c r="EG12" s="216">
        <v>0</v>
      </c>
      <c r="EH12" s="216">
        <v>0</v>
      </c>
      <c r="EI12" s="216">
        <v>0</v>
      </c>
      <c r="EJ12" s="216">
        <v>0</v>
      </c>
      <c r="EK12" s="216">
        <v>0</v>
      </c>
      <c r="EL12" s="216">
        <v>0</v>
      </c>
      <c r="EM12" s="216">
        <v>0</v>
      </c>
      <c r="EN12" s="132" t="str">
        <f>SUM(EB12:EM12)</f>
        <v>0</v>
      </c>
      <c r="EO12" s="132">
        <v>0</v>
      </c>
      <c r="EP12" s="132">
        <v>0</v>
      </c>
      <c r="EQ12" s="132">
        <v>0</v>
      </c>
      <c r="ER12" s="132">
        <v>0</v>
      </c>
      <c r="ES12" s="132">
        <v>0</v>
      </c>
      <c r="ET12" s="132">
        <v>0</v>
      </c>
      <c r="EU12" s="132">
        <v>0</v>
      </c>
      <c r="EV12" s="132">
        <v>0</v>
      </c>
      <c r="EW12" s="132">
        <v>0</v>
      </c>
      <c r="EX12" s="132">
        <v>0</v>
      </c>
      <c r="EY12" s="132">
        <v>0</v>
      </c>
      <c r="EZ12" s="132">
        <v>0</v>
      </c>
      <c r="FA12" s="132" t="str">
        <f>SUM(EO12:EZ12)</f>
        <v>0</v>
      </c>
      <c r="FB12" s="181">
        <v>0</v>
      </c>
      <c r="FC12" s="181">
        <v>0</v>
      </c>
      <c r="FD12" s="181">
        <v>0</v>
      </c>
      <c r="FE12" s="181">
        <v>0</v>
      </c>
      <c r="FF12" s="181">
        <v>0</v>
      </c>
      <c r="FG12" s="181">
        <v>0</v>
      </c>
      <c r="FH12" s="181">
        <v>0</v>
      </c>
      <c r="FI12" s="181">
        <v>0</v>
      </c>
      <c r="FJ12" s="181">
        <v>0</v>
      </c>
      <c r="FK12" s="181">
        <v>0</v>
      </c>
      <c r="FL12" s="181">
        <v>0</v>
      </c>
      <c r="FM12" s="181">
        <v>0</v>
      </c>
      <c r="FN12" s="132" t="str">
        <f>SUM(FB12:FM12)</f>
        <v>0</v>
      </c>
      <c r="FO12" s="132">
        <v>0</v>
      </c>
      <c r="FP12" s="132">
        <v>0</v>
      </c>
      <c r="FQ12" s="132">
        <v>0</v>
      </c>
      <c r="FR12" s="132">
        <v>0</v>
      </c>
      <c r="FS12" s="132">
        <v>0</v>
      </c>
      <c r="FT12" s="132">
        <v>0</v>
      </c>
      <c r="FU12" s="132">
        <v>0</v>
      </c>
      <c r="FV12" s="132">
        <v>0</v>
      </c>
      <c r="FW12" s="132">
        <v>0</v>
      </c>
      <c r="FX12" s="132">
        <v>0</v>
      </c>
      <c r="FY12" s="132">
        <v>0</v>
      </c>
      <c r="FZ12" s="132">
        <v>0</v>
      </c>
      <c r="GA12" s="132" t="str">
        <f>SUM(FO12:FZ12)</f>
        <v>0</v>
      </c>
      <c r="GB12" s="181">
        <v>0</v>
      </c>
      <c r="GC12" s="181">
        <v>0</v>
      </c>
      <c r="GD12" s="181">
        <v>0</v>
      </c>
      <c r="GE12" s="181">
        <v>0</v>
      </c>
      <c r="GF12" s="181">
        <v>0</v>
      </c>
      <c r="GG12" s="181">
        <v>0</v>
      </c>
      <c r="GH12" s="181">
        <v>0</v>
      </c>
      <c r="GI12" s="181">
        <v>0</v>
      </c>
      <c r="GJ12" s="181">
        <v>0</v>
      </c>
      <c r="GK12" s="181">
        <v>0</v>
      </c>
      <c r="GL12" s="181">
        <v>0</v>
      </c>
      <c r="GM12" s="181">
        <v>0</v>
      </c>
      <c r="GN12" s="181" t="str">
        <f>SUM(GB12:GM12)</f>
        <v>0</v>
      </c>
      <c r="GO12" s="137">
        <v>0</v>
      </c>
      <c r="GP12" s="137">
        <v>0</v>
      </c>
      <c r="GQ12" s="137">
        <v>0</v>
      </c>
      <c r="GR12" s="137">
        <v>0</v>
      </c>
      <c r="GS12" s="137">
        <v>0</v>
      </c>
      <c r="GT12" s="137">
        <v>0</v>
      </c>
      <c r="GU12" s="137">
        <v>0</v>
      </c>
      <c r="GV12" s="137">
        <v>0</v>
      </c>
      <c r="GW12" s="137">
        <v>0</v>
      </c>
      <c r="GX12" s="137">
        <v>0</v>
      </c>
      <c r="GY12" s="137">
        <v>0</v>
      </c>
      <c r="GZ12" s="137">
        <v>0</v>
      </c>
      <c r="HA12" s="132" t="str">
        <f>SUM(GO12:GZ12)</f>
        <v>0</v>
      </c>
      <c r="HB12" s="181">
        <v>0</v>
      </c>
      <c r="HC12" s="181">
        <v>0</v>
      </c>
      <c r="HD12" s="181">
        <v>0</v>
      </c>
      <c r="HE12" s="181">
        <v>0</v>
      </c>
      <c r="HF12" s="181">
        <v>0</v>
      </c>
      <c r="HG12" s="181">
        <v>0</v>
      </c>
      <c r="HH12" s="181">
        <v>0</v>
      </c>
      <c r="HI12" s="181">
        <v>0</v>
      </c>
      <c r="HJ12" s="181">
        <v>0</v>
      </c>
      <c r="HK12" s="181">
        <v>0</v>
      </c>
      <c r="HL12" s="181">
        <v>0</v>
      </c>
      <c r="HM12" s="181">
        <v>0</v>
      </c>
      <c r="HN12" s="181" t="str">
        <f>SUM(HB12:HM12)</f>
        <v>0</v>
      </c>
      <c r="HO12" s="132">
        <v>160</v>
      </c>
      <c r="HP12" s="132">
        <v>160</v>
      </c>
      <c r="HQ12" s="132">
        <v>160</v>
      </c>
      <c r="HR12" s="132">
        <v>160</v>
      </c>
      <c r="HS12" s="132">
        <v>160</v>
      </c>
      <c r="HT12" s="132">
        <v>160</v>
      </c>
      <c r="HU12" s="132">
        <v>160</v>
      </c>
      <c r="HV12" s="132">
        <v>160</v>
      </c>
      <c r="HW12" s="132">
        <v>160</v>
      </c>
      <c r="HX12" s="132">
        <v>160</v>
      </c>
      <c r="HY12" s="132">
        <v>160</v>
      </c>
      <c r="HZ12" s="132">
        <v>160</v>
      </c>
      <c r="IA12" s="132" t="str">
        <f>SUM(HO12:HZ12)</f>
        <v>0</v>
      </c>
      <c r="IB12" s="181">
        <v>0</v>
      </c>
      <c r="IC12" s="181">
        <v>0</v>
      </c>
      <c r="ID12" s="181">
        <v>0</v>
      </c>
      <c r="IE12" s="181">
        <v>0</v>
      </c>
      <c r="IF12" s="181">
        <v>0</v>
      </c>
      <c r="IG12" s="181">
        <v>0</v>
      </c>
      <c r="IH12" s="181">
        <v>0</v>
      </c>
      <c r="II12" s="181">
        <v>0</v>
      </c>
      <c r="IJ12" s="181">
        <v>0</v>
      </c>
      <c r="IK12" s="181">
        <v>0</v>
      </c>
      <c r="IL12" s="181">
        <v>0</v>
      </c>
      <c r="IM12" s="181">
        <v>0</v>
      </c>
      <c r="IN12" s="181" t="str">
        <f>SUM(IB12:IM12)</f>
        <v>0</v>
      </c>
      <c r="IO12" s="181">
        <v>0</v>
      </c>
      <c r="IP12" s="181">
        <v>0</v>
      </c>
      <c r="IQ12" s="181">
        <v>0</v>
      </c>
      <c r="IR12" s="181">
        <v>0</v>
      </c>
      <c r="IS12" s="181">
        <v>0</v>
      </c>
      <c r="IT12" s="181">
        <v>0</v>
      </c>
      <c r="IU12" s="181">
        <v>0</v>
      </c>
      <c r="IV12" s="181">
        <v>0</v>
      </c>
      <c r="IW12" s="181">
        <v>0</v>
      </c>
      <c r="IX12" s="181">
        <v>0</v>
      </c>
      <c r="IY12" s="181">
        <v>0</v>
      </c>
      <c r="IZ12" s="181">
        <v>0</v>
      </c>
      <c r="JA12" s="181" t="str">
        <f>SUM(IO12:IZ12)</f>
        <v>0</v>
      </c>
      <c r="JC12" s="135" t="str">
        <f>B12+O12+AB12+AO12+BB12+BO12+CB12+CO12+DB12+DO12+EB12+EO12+FB12+FO12+GB12+GO12+HB12+HO12+IB12+IO12</f>
        <v>0</v>
      </c>
      <c r="JD12" s="135" t="str">
        <f>C12+P12+AC12+AP12+BC12+BP12+CC12+CP12+DC12+DP12+EC12+EP12+FC12+FP12+GC12+GP12+HC12+HP12+IC12+IP12</f>
        <v>0</v>
      </c>
      <c r="JE12" s="135" t="str">
        <f>D12+Q12+AD12+AQ12+BD12+BQ12+CD12+CQ12+DD12+DQ12+ED12+EQ12+FD12+FQ12+GD12+GQ12+HD12+HQ12+ID12+IQ12</f>
        <v>0</v>
      </c>
      <c r="JF12" s="135" t="str">
        <f>E12+R12+AE12+AR12+BE12+BR12+CE12+CR12+DE12+DR12+EE12+ER12+FE12+FR12+GE12+GR12+HE12+HR12+IE12+IR12</f>
        <v>0</v>
      </c>
      <c r="JG12" s="135" t="str">
        <f>F12+S12+AF12+AS12+BF12+BS12+CF12+CS12+DF12+DS12+EF12+ES12+FF12+FS12+GF12+GS12+HF12+HS12+IF12+IS12</f>
        <v>0</v>
      </c>
      <c r="JH12" s="135" t="str">
        <f>G12+T12+AG12+AT12+BG12+BT12+CG12+CT12+DG12+DT12+EG12+ET12+FG12+FT12+GG12+GT12+HG12+HT12+IG12+IT12</f>
        <v>0</v>
      </c>
      <c r="JI12" s="135" t="str">
        <f>H12+U12+AH12+AU12+BH12+BU12+CH12+CU12+DH12+DU12+EH12+EU12+FH12+FU12+GH12+GU12+HH12+HU12+IH12+IU12</f>
        <v>0</v>
      </c>
      <c r="JJ12" s="135" t="str">
        <f>I12+V12+AI12+AV12+BI12+BV12+CI12+CV12+DI12+DV12+EI12+EV12+FI12+FV12+GI12+GV12+HI12+HV12+II12+IV12</f>
        <v>0</v>
      </c>
      <c r="JK12" s="135" t="str">
        <f>J12+W12+AJ12+AW12+BJ12+BW12+CJ12+CW12+DJ12+DW12+EJ12+EW12+FJ12+FW12+GJ12+GW12+HJ12+HW12+IJ12+IW12</f>
        <v>0</v>
      </c>
      <c r="JL12" s="135" t="str">
        <f>K12+X12+AK12+AX12+BK12+BX12+CK12+CX12+DK12+DX12+EK12+EX12+FK12+FX12+GK12+GX12+HK12+HX12+IK12+IX12</f>
        <v>0</v>
      </c>
      <c r="JM12" s="135" t="str">
        <f>L12+Y12+AL12+AY12+BL12+BY12+CL12+CY12+DL12+DY12+EL12+EY12+FL12+FY12+GL12+GY12+HL12+HY12+IL12+IY12</f>
        <v>0</v>
      </c>
      <c r="JN12" s="135" t="str">
        <f>M12+Z12+AM12+AZ12+BM12+BZ12+CM12+CZ12+DM12+DZ12+EM12+EZ12+FM12+FZ12+GM12+GZ12+HM12+HZ12+IM12+IZ12</f>
        <v>0</v>
      </c>
      <c r="JO12" s="132" t="str">
        <f>SUM(JC12:JN12)</f>
        <v>0</v>
      </c>
      <c r="JQ12" s="139" t="str">
        <f>N12+AA12+AN12+BA12+BN12+CA12+CN12+DA12+DN12+EA12+EN12+FA12+FN12+GA12+GN12+HA12+HN12+IA12+IN12+JA12</f>
        <v>0</v>
      </c>
    </row>
    <row r="13" spans="1:278">
      <c r="A13" s="130" t="s">
        <v>391</v>
      </c>
      <c r="B13" s="131">
        <v>150</v>
      </c>
      <c r="C13" s="131">
        <v>150</v>
      </c>
      <c r="D13" s="131">
        <v>150</v>
      </c>
      <c r="E13" s="131">
        <v>150</v>
      </c>
      <c r="F13" s="131">
        <v>150</v>
      </c>
      <c r="G13" s="131">
        <v>150</v>
      </c>
      <c r="H13" s="131">
        <v>150</v>
      </c>
      <c r="I13" s="131">
        <v>150</v>
      </c>
      <c r="J13" s="131">
        <v>150</v>
      </c>
      <c r="K13" s="131">
        <v>150</v>
      </c>
      <c r="L13" s="131">
        <v>150</v>
      </c>
      <c r="M13" s="131">
        <v>150</v>
      </c>
      <c r="N13" s="132" t="str">
        <f>SUM(B13:M13)</f>
        <v>0</v>
      </c>
      <c r="O13" s="133">
        <v>500</v>
      </c>
      <c r="P13" s="133">
        <v>500</v>
      </c>
      <c r="Q13" s="133">
        <v>500</v>
      </c>
      <c r="R13" s="133">
        <v>500</v>
      </c>
      <c r="S13" s="133">
        <v>500</v>
      </c>
      <c r="T13" s="133">
        <v>500</v>
      </c>
      <c r="U13" s="133">
        <v>500</v>
      </c>
      <c r="V13" s="133">
        <v>500</v>
      </c>
      <c r="W13" s="133">
        <v>500</v>
      </c>
      <c r="X13" s="133">
        <v>500</v>
      </c>
      <c r="Y13" s="133">
        <v>500</v>
      </c>
      <c r="Z13" s="133">
        <v>500</v>
      </c>
      <c r="AA13" s="132" t="str">
        <f>SUM(O13:Z13)</f>
        <v>0</v>
      </c>
      <c r="AB13" s="131">
        <v>692</v>
      </c>
      <c r="AC13" s="131">
        <v>692</v>
      </c>
      <c r="AD13" s="131">
        <v>692</v>
      </c>
      <c r="AE13" s="131">
        <v>692</v>
      </c>
      <c r="AF13" s="131">
        <v>692</v>
      </c>
      <c r="AG13" s="131">
        <v>692</v>
      </c>
      <c r="AH13" s="131">
        <v>692</v>
      </c>
      <c r="AI13" s="131">
        <v>692</v>
      </c>
      <c r="AJ13" s="131">
        <v>692</v>
      </c>
      <c r="AK13" s="131">
        <v>692</v>
      </c>
      <c r="AL13" s="131">
        <v>692</v>
      </c>
      <c r="AM13" s="131">
        <v>692</v>
      </c>
      <c r="AN13" s="132" t="str">
        <f>SUM(AB13:AM13)</f>
        <v>0</v>
      </c>
      <c r="AO13" s="133">
        <v>433</v>
      </c>
      <c r="AP13" s="133">
        <v>433</v>
      </c>
      <c r="AQ13" s="133">
        <v>433</v>
      </c>
      <c r="AR13" s="133">
        <v>433</v>
      </c>
      <c r="AS13" s="133">
        <v>433</v>
      </c>
      <c r="AT13" s="133">
        <v>433</v>
      </c>
      <c r="AU13" s="133">
        <v>433</v>
      </c>
      <c r="AV13" s="133">
        <v>433</v>
      </c>
      <c r="AW13" s="133">
        <v>433</v>
      </c>
      <c r="AX13" s="133">
        <v>433</v>
      </c>
      <c r="AY13" s="133">
        <v>433</v>
      </c>
      <c r="AZ13" s="133">
        <v>433</v>
      </c>
      <c r="BA13" s="132" t="str">
        <f>SUM(AO13:AZ13)</f>
        <v>0</v>
      </c>
      <c r="BB13" s="134">
        <v>206</v>
      </c>
      <c r="BC13" s="134">
        <v>206</v>
      </c>
      <c r="BD13" s="134">
        <v>206</v>
      </c>
      <c r="BE13" s="134">
        <v>206</v>
      </c>
      <c r="BF13" s="134">
        <v>206</v>
      </c>
      <c r="BG13" s="134">
        <v>206</v>
      </c>
      <c r="BH13" s="134">
        <v>206</v>
      </c>
      <c r="BI13" s="134">
        <v>206</v>
      </c>
      <c r="BJ13" s="134">
        <v>206</v>
      </c>
      <c r="BK13" s="134">
        <v>206</v>
      </c>
      <c r="BL13" s="134">
        <v>206</v>
      </c>
      <c r="BM13" s="134">
        <v>206</v>
      </c>
      <c r="BN13" s="132" t="str">
        <f>SUM(BB13:BM13)</f>
        <v>0</v>
      </c>
      <c r="BO13" s="135">
        <v>144</v>
      </c>
      <c r="BP13" s="135">
        <v>144</v>
      </c>
      <c r="BQ13" s="135">
        <v>144</v>
      </c>
      <c r="BR13" s="135">
        <v>144</v>
      </c>
      <c r="BS13" s="135">
        <v>144</v>
      </c>
      <c r="BT13" s="135">
        <v>144</v>
      </c>
      <c r="BU13" s="135">
        <v>144</v>
      </c>
      <c r="BV13" s="135">
        <v>144</v>
      </c>
      <c r="BW13" s="135">
        <v>144</v>
      </c>
      <c r="BX13" s="135">
        <v>144</v>
      </c>
      <c r="BY13" s="135">
        <v>144</v>
      </c>
      <c r="BZ13" s="135">
        <v>144</v>
      </c>
      <c r="CA13" s="132" t="str">
        <f>SUM(BO13:BZ13)</f>
        <v>0</v>
      </c>
      <c r="CB13" s="136">
        <v>754</v>
      </c>
      <c r="CC13" s="136">
        <v>754</v>
      </c>
      <c r="CD13" s="136">
        <v>754</v>
      </c>
      <c r="CE13" s="136">
        <v>754</v>
      </c>
      <c r="CF13" s="136">
        <v>754</v>
      </c>
      <c r="CG13" s="136">
        <v>754</v>
      </c>
      <c r="CH13" s="136">
        <v>754</v>
      </c>
      <c r="CI13" s="136">
        <v>754</v>
      </c>
      <c r="CJ13" s="136">
        <v>754</v>
      </c>
      <c r="CK13" s="136">
        <v>754</v>
      </c>
      <c r="CL13" s="136">
        <v>754</v>
      </c>
      <c r="CM13" s="136">
        <v>754</v>
      </c>
      <c r="CN13" s="132" t="str">
        <f>SUM(CB13:CM13)</f>
        <v>0</v>
      </c>
      <c r="CO13" s="137">
        <v>485</v>
      </c>
      <c r="CP13" s="137">
        <v>485</v>
      </c>
      <c r="CQ13" s="137">
        <v>485</v>
      </c>
      <c r="CR13" s="137">
        <v>485</v>
      </c>
      <c r="CS13" s="137">
        <v>485</v>
      </c>
      <c r="CT13" s="137">
        <v>485</v>
      </c>
      <c r="CU13" s="137">
        <v>485</v>
      </c>
      <c r="CV13" s="137">
        <v>485</v>
      </c>
      <c r="CW13" s="137">
        <v>485</v>
      </c>
      <c r="CX13" s="137">
        <v>485</v>
      </c>
      <c r="CY13" s="137">
        <v>485</v>
      </c>
      <c r="CZ13" s="137">
        <v>485</v>
      </c>
      <c r="DA13" s="132" t="str">
        <f>SUM(CO13:CZ13)</f>
        <v>0</v>
      </c>
      <c r="DB13" s="136">
        <v>317</v>
      </c>
      <c r="DC13" s="136">
        <v>317</v>
      </c>
      <c r="DD13" s="136">
        <v>317</v>
      </c>
      <c r="DE13" s="136">
        <v>317</v>
      </c>
      <c r="DF13" s="136">
        <v>317</v>
      </c>
      <c r="DG13" s="136">
        <v>317</v>
      </c>
      <c r="DH13" s="136">
        <v>317</v>
      </c>
      <c r="DI13" s="136">
        <v>317</v>
      </c>
      <c r="DJ13" s="136">
        <v>317</v>
      </c>
      <c r="DK13" s="136">
        <v>317</v>
      </c>
      <c r="DL13" s="136">
        <v>317</v>
      </c>
      <c r="DM13" s="136">
        <v>317</v>
      </c>
      <c r="DN13" s="132" t="str">
        <f>SUM(DB13:DM13)</f>
        <v>0</v>
      </c>
      <c r="DO13" s="137">
        <v>240</v>
      </c>
      <c r="DP13" s="137">
        <v>240</v>
      </c>
      <c r="DQ13" s="137">
        <v>240</v>
      </c>
      <c r="DR13" s="137">
        <v>240</v>
      </c>
      <c r="DS13" s="137">
        <v>240</v>
      </c>
      <c r="DT13" s="137">
        <v>240</v>
      </c>
      <c r="DU13" s="137">
        <v>240</v>
      </c>
      <c r="DV13" s="137">
        <v>240</v>
      </c>
      <c r="DW13" s="137">
        <v>240</v>
      </c>
      <c r="DX13" s="137">
        <v>240</v>
      </c>
      <c r="DY13" s="137">
        <v>240</v>
      </c>
      <c r="DZ13" s="137">
        <v>240</v>
      </c>
      <c r="EA13" s="132" t="str">
        <f>SUM(DO13:DZ13)</f>
        <v>0</v>
      </c>
      <c r="EB13" s="216">
        <v>0</v>
      </c>
      <c r="EC13" s="216">
        <v>0</v>
      </c>
      <c r="ED13" s="216">
        <v>0</v>
      </c>
      <c r="EE13" s="216">
        <v>0</v>
      </c>
      <c r="EF13" s="216">
        <v>0</v>
      </c>
      <c r="EG13" s="216">
        <v>0</v>
      </c>
      <c r="EH13" s="216">
        <v>0</v>
      </c>
      <c r="EI13" s="216">
        <v>0</v>
      </c>
      <c r="EJ13" s="216">
        <v>0</v>
      </c>
      <c r="EK13" s="216">
        <v>0</v>
      </c>
      <c r="EL13" s="216">
        <v>0</v>
      </c>
      <c r="EM13" s="216">
        <v>0</v>
      </c>
      <c r="EN13" s="132" t="str">
        <f>SUM(EB13:EM13)</f>
        <v>0</v>
      </c>
      <c r="EO13" s="132">
        <v>0</v>
      </c>
      <c r="EP13" s="132">
        <v>0</v>
      </c>
      <c r="EQ13" s="132">
        <v>0</v>
      </c>
      <c r="ER13" s="132">
        <v>0</v>
      </c>
      <c r="ES13" s="132">
        <v>0</v>
      </c>
      <c r="ET13" s="132">
        <v>0</v>
      </c>
      <c r="EU13" s="132">
        <v>0</v>
      </c>
      <c r="EV13" s="132">
        <v>0</v>
      </c>
      <c r="EW13" s="132">
        <v>0</v>
      </c>
      <c r="EX13" s="132">
        <v>0</v>
      </c>
      <c r="EY13" s="132">
        <v>0</v>
      </c>
      <c r="EZ13" s="132">
        <v>0</v>
      </c>
      <c r="FA13" s="132" t="str">
        <f>SUM(EO13:EZ13)</f>
        <v>0</v>
      </c>
      <c r="FB13" s="181">
        <v>0</v>
      </c>
      <c r="FC13" s="181">
        <v>0</v>
      </c>
      <c r="FD13" s="181">
        <v>0</v>
      </c>
      <c r="FE13" s="181">
        <v>0</v>
      </c>
      <c r="FF13" s="181">
        <v>0</v>
      </c>
      <c r="FG13" s="181">
        <v>0</v>
      </c>
      <c r="FH13" s="181">
        <v>0</v>
      </c>
      <c r="FI13" s="181">
        <v>0</v>
      </c>
      <c r="FJ13" s="181">
        <v>0</v>
      </c>
      <c r="FK13" s="181">
        <v>0</v>
      </c>
      <c r="FL13" s="181">
        <v>0</v>
      </c>
      <c r="FM13" s="181">
        <v>0</v>
      </c>
      <c r="FN13" s="132" t="str">
        <f>SUM(FB13:FM13)</f>
        <v>0</v>
      </c>
      <c r="FO13" s="132">
        <v>0</v>
      </c>
      <c r="FP13" s="132">
        <v>0</v>
      </c>
      <c r="FQ13" s="132">
        <v>0</v>
      </c>
      <c r="FR13" s="132">
        <v>0</v>
      </c>
      <c r="FS13" s="132">
        <v>0</v>
      </c>
      <c r="FT13" s="132">
        <v>0</v>
      </c>
      <c r="FU13" s="132">
        <v>0</v>
      </c>
      <c r="FV13" s="132">
        <v>0</v>
      </c>
      <c r="FW13" s="132">
        <v>0</v>
      </c>
      <c r="FX13" s="132">
        <v>0</v>
      </c>
      <c r="FY13" s="132">
        <v>0</v>
      </c>
      <c r="FZ13" s="132">
        <v>0</v>
      </c>
      <c r="GA13" s="132" t="str">
        <f>SUM(FO13:FZ13)</f>
        <v>0</v>
      </c>
      <c r="GB13" s="181">
        <v>0</v>
      </c>
      <c r="GC13" s="181">
        <v>0</v>
      </c>
      <c r="GD13" s="181">
        <v>0</v>
      </c>
      <c r="GE13" s="181">
        <v>0</v>
      </c>
      <c r="GF13" s="181">
        <v>0</v>
      </c>
      <c r="GG13" s="181">
        <v>0</v>
      </c>
      <c r="GH13" s="181">
        <v>0</v>
      </c>
      <c r="GI13" s="181">
        <v>0</v>
      </c>
      <c r="GJ13" s="181">
        <v>0</v>
      </c>
      <c r="GK13" s="181">
        <v>0</v>
      </c>
      <c r="GL13" s="181">
        <v>0</v>
      </c>
      <c r="GM13" s="181">
        <v>0</v>
      </c>
      <c r="GN13" s="181" t="str">
        <f>SUM(GB13:GM13)</f>
        <v>0</v>
      </c>
      <c r="GO13" s="137">
        <v>0</v>
      </c>
      <c r="GP13" s="137">
        <v>0</v>
      </c>
      <c r="GQ13" s="137">
        <v>0</v>
      </c>
      <c r="GR13" s="137">
        <v>0</v>
      </c>
      <c r="GS13" s="137">
        <v>0</v>
      </c>
      <c r="GT13" s="137">
        <v>0</v>
      </c>
      <c r="GU13" s="137">
        <v>0</v>
      </c>
      <c r="GV13" s="137">
        <v>0</v>
      </c>
      <c r="GW13" s="137">
        <v>0</v>
      </c>
      <c r="GX13" s="137">
        <v>0</v>
      </c>
      <c r="GY13" s="137">
        <v>0</v>
      </c>
      <c r="GZ13" s="137">
        <v>0</v>
      </c>
      <c r="HA13" s="132" t="str">
        <f>SUM(GO13:GZ13)</f>
        <v>0</v>
      </c>
      <c r="HB13" s="181">
        <v>0</v>
      </c>
      <c r="HC13" s="181">
        <v>0</v>
      </c>
      <c r="HD13" s="181">
        <v>0</v>
      </c>
      <c r="HE13" s="181">
        <v>0</v>
      </c>
      <c r="HF13" s="181">
        <v>0</v>
      </c>
      <c r="HG13" s="181">
        <v>0</v>
      </c>
      <c r="HH13" s="181">
        <v>0</v>
      </c>
      <c r="HI13" s="181">
        <v>0</v>
      </c>
      <c r="HJ13" s="181">
        <v>0</v>
      </c>
      <c r="HK13" s="181">
        <v>0</v>
      </c>
      <c r="HL13" s="181">
        <v>0</v>
      </c>
      <c r="HM13" s="181">
        <v>0</v>
      </c>
      <c r="HN13" s="181" t="str">
        <f>SUM(HB13:HM13)</f>
        <v>0</v>
      </c>
      <c r="HO13" s="132">
        <v>97</v>
      </c>
      <c r="HP13" s="132">
        <v>97</v>
      </c>
      <c r="HQ13" s="132">
        <v>97</v>
      </c>
      <c r="HR13" s="132">
        <v>97</v>
      </c>
      <c r="HS13" s="132">
        <v>97</v>
      </c>
      <c r="HT13" s="132">
        <v>97</v>
      </c>
      <c r="HU13" s="132">
        <v>97</v>
      </c>
      <c r="HV13" s="132">
        <v>97</v>
      </c>
      <c r="HW13" s="132">
        <v>97</v>
      </c>
      <c r="HX13" s="132">
        <v>97</v>
      </c>
      <c r="HY13" s="132">
        <v>97</v>
      </c>
      <c r="HZ13" s="132">
        <v>97</v>
      </c>
      <c r="IA13" s="132" t="str">
        <f>SUM(HO13:HZ13)</f>
        <v>0</v>
      </c>
      <c r="IB13" s="181">
        <v>0</v>
      </c>
      <c r="IC13" s="181">
        <v>0</v>
      </c>
      <c r="ID13" s="181">
        <v>0</v>
      </c>
      <c r="IE13" s="181">
        <v>0</v>
      </c>
      <c r="IF13" s="181">
        <v>0</v>
      </c>
      <c r="IG13" s="181">
        <v>0</v>
      </c>
      <c r="IH13" s="181">
        <v>0</v>
      </c>
      <c r="II13" s="181">
        <v>0</v>
      </c>
      <c r="IJ13" s="181">
        <v>0</v>
      </c>
      <c r="IK13" s="181">
        <v>0</v>
      </c>
      <c r="IL13" s="181">
        <v>0</v>
      </c>
      <c r="IM13" s="181">
        <v>0</v>
      </c>
      <c r="IN13" s="181" t="str">
        <f>SUM(IB13:IM13)</f>
        <v>0</v>
      </c>
      <c r="IO13" s="181">
        <v>0</v>
      </c>
      <c r="IP13" s="181">
        <v>0</v>
      </c>
      <c r="IQ13" s="181">
        <v>0</v>
      </c>
      <c r="IR13" s="181">
        <v>0</v>
      </c>
      <c r="IS13" s="181">
        <v>0</v>
      </c>
      <c r="IT13" s="181">
        <v>0</v>
      </c>
      <c r="IU13" s="181">
        <v>0</v>
      </c>
      <c r="IV13" s="181">
        <v>0</v>
      </c>
      <c r="IW13" s="181">
        <v>0</v>
      </c>
      <c r="IX13" s="181">
        <v>0</v>
      </c>
      <c r="IY13" s="181">
        <v>0</v>
      </c>
      <c r="IZ13" s="181">
        <v>0</v>
      </c>
      <c r="JA13" s="181" t="str">
        <f>SUM(IO13:IZ13)</f>
        <v>0</v>
      </c>
      <c r="JC13" s="135" t="str">
        <f>B13+O13+AB13+AO13+BB13+BO13+CB13+CO13+DB13+DO13+EB13+EO13+FB13+FO13+GB13+GO13+HB13+HO13+IB13+IO13</f>
        <v>0</v>
      </c>
      <c r="JD13" s="135" t="str">
        <f>C13+P13+AC13+AP13+BC13+BP13+CC13+CP13+DC13+DP13+EC13+EP13+FC13+FP13+GC13+GP13+HC13+HP13+IC13+IP13</f>
        <v>0</v>
      </c>
      <c r="JE13" s="135" t="str">
        <f>D13+Q13+AD13+AQ13+BD13+BQ13+CD13+CQ13+DD13+DQ13+ED13+EQ13+FD13+FQ13+GD13+GQ13+HD13+HQ13+ID13+IQ13</f>
        <v>0</v>
      </c>
      <c r="JF13" s="135" t="str">
        <f>E13+R13+AE13+AR13+BE13+BR13+CE13+CR13+DE13+DR13+EE13+ER13+FE13+FR13+GE13+GR13+HE13+HR13+IE13+IR13</f>
        <v>0</v>
      </c>
      <c r="JG13" s="135" t="str">
        <f>F13+S13+AF13+AS13+BF13+BS13+CF13+CS13+DF13+DS13+EF13+ES13+FF13+FS13+GF13+GS13+HF13+HS13+IF13+IS13</f>
        <v>0</v>
      </c>
      <c r="JH13" s="135" t="str">
        <f>G13+T13+AG13+AT13+BG13+BT13+CG13+CT13+DG13+DT13+EG13+ET13+FG13+FT13+GG13+GT13+HG13+HT13+IG13+IT13</f>
        <v>0</v>
      </c>
      <c r="JI13" s="135" t="str">
        <f>H13+U13+AH13+AU13+BH13+BU13+CH13+CU13+DH13+DU13+EH13+EU13+FH13+FU13+GH13+GU13+HH13+HU13+IH13+IU13</f>
        <v>0</v>
      </c>
      <c r="JJ13" s="135" t="str">
        <f>I13+V13+AI13+AV13+BI13+BV13+CI13+CV13+DI13+DV13+EI13+EV13+FI13+FV13+GI13+GV13+HI13+HV13+II13+IV13</f>
        <v>0</v>
      </c>
      <c r="JK13" s="135" t="str">
        <f>J13+W13+AJ13+AW13+BJ13+BW13+CJ13+CW13+DJ13+DW13+EJ13+EW13+FJ13+FW13+GJ13+GW13+HJ13+HW13+IJ13+IW13</f>
        <v>0</v>
      </c>
      <c r="JL13" s="135" t="str">
        <f>K13+X13+AK13+AX13+BK13+BX13+CK13+CX13+DK13+DX13+EK13+EX13+FK13+FX13+GK13+GX13+HK13+HX13+IK13+IX13</f>
        <v>0</v>
      </c>
      <c r="JM13" s="135" t="str">
        <f>L13+Y13+AL13+AY13+BL13+BY13+CL13+CY13+DL13+DY13+EL13+EY13+FL13+FY13+GL13+GY13+HL13+HY13+IL13+IY13</f>
        <v>0</v>
      </c>
      <c r="JN13" s="135" t="str">
        <f>M13+Z13+AM13+AZ13+BM13+BZ13+CM13+CZ13+DM13+DZ13+EM13+EZ13+FM13+FZ13+GM13+GZ13+HM13+HZ13+IM13+IZ13</f>
        <v>0</v>
      </c>
      <c r="JO13" s="132" t="str">
        <f>SUM(JC13:JN13)</f>
        <v>0</v>
      </c>
      <c r="JQ13" s="139" t="str">
        <f>N13+AA13+AN13+BA13+BN13+CA13+CN13+DA13+DN13+EA13+EN13+FA13+FN13+GA13+GN13+HA13+HN13+IA13+IN13+JA13</f>
        <v>0</v>
      </c>
    </row>
    <row r="14" spans="1:278">
      <c r="A14" s="130" t="s">
        <v>397</v>
      </c>
      <c r="B14" s="131">
        <v>150</v>
      </c>
      <c r="C14" s="131">
        <v>150</v>
      </c>
      <c r="D14" s="131">
        <v>150</v>
      </c>
      <c r="E14" s="131">
        <v>150</v>
      </c>
      <c r="F14" s="131">
        <v>150</v>
      </c>
      <c r="G14" s="131">
        <v>150</v>
      </c>
      <c r="H14" s="131">
        <v>150</v>
      </c>
      <c r="I14" s="131">
        <v>150</v>
      </c>
      <c r="J14" s="131">
        <v>150</v>
      </c>
      <c r="K14" s="131">
        <v>150</v>
      </c>
      <c r="L14" s="131">
        <v>150</v>
      </c>
      <c r="M14" s="131">
        <v>150</v>
      </c>
      <c r="N14" s="132" t="str">
        <f>SUM(B14:M14)</f>
        <v>0</v>
      </c>
      <c r="O14" s="133">
        <v>370</v>
      </c>
      <c r="P14" s="133">
        <v>370</v>
      </c>
      <c r="Q14" s="133">
        <v>370</v>
      </c>
      <c r="R14" s="133">
        <v>370</v>
      </c>
      <c r="S14" s="133">
        <v>370</v>
      </c>
      <c r="T14" s="133">
        <v>370</v>
      </c>
      <c r="U14" s="133">
        <v>370</v>
      </c>
      <c r="V14" s="133">
        <v>370</v>
      </c>
      <c r="W14" s="133">
        <v>370</v>
      </c>
      <c r="X14" s="133">
        <v>370</v>
      </c>
      <c r="Y14" s="133">
        <v>370</v>
      </c>
      <c r="Z14" s="133">
        <v>370</v>
      </c>
      <c r="AA14" s="132" t="str">
        <f>SUM(O14:Z14)</f>
        <v>0</v>
      </c>
      <c r="AB14" s="131">
        <v>290</v>
      </c>
      <c r="AC14" s="131">
        <v>290</v>
      </c>
      <c r="AD14" s="131">
        <v>290</v>
      </c>
      <c r="AE14" s="131">
        <v>290</v>
      </c>
      <c r="AF14" s="131">
        <v>290</v>
      </c>
      <c r="AG14" s="131">
        <v>290</v>
      </c>
      <c r="AH14" s="131">
        <v>290</v>
      </c>
      <c r="AI14" s="131">
        <v>290</v>
      </c>
      <c r="AJ14" s="131">
        <v>290</v>
      </c>
      <c r="AK14" s="131">
        <v>290</v>
      </c>
      <c r="AL14" s="131">
        <v>290</v>
      </c>
      <c r="AM14" s="131">
        <v>290</v>
      </c>
      <c r="AN14" s="132" t="str">
        <f>SUM(AB14:AM14)</f>
        <v>0</v>
      </c>
      <c r="AO14" s="133">
        <v>210</v>
      </c>
      <c r="AP14" s="133">
        <v>210</v>
      </c>
      <c r="AQ14" s="133">
        <v>210</v>
      </c>
      <c r="AR14" s="133">
        <v>210</v>
      </c>
      <c r="AS14" s="133">
        <v>210</v>
      </c>
      <c r="AT14" s="133">
        <v>210</v>
      </c>
      <c r="AU14" s="133">
        <v>210</v>
      </c>
      <c r="AV14" s="133">
        <v>210</v>
      </c>
      <c r="AW14" s="133">
        <v>210</v>
      </c>
      <c r="AX14" s="133">
        <v>210</v>
      </c>
      <c r="AY14" s="133">
        <v>210</v>
      </c>
      <c r="AZ14" s="133">
        <v>210</v>
      </c>
      <c r="BA14" s="132" t="str">
        <f>SUM(AO14:AZ14)</f>
        <v>0</v>
      </c>
      <c r="BB14" s="134">
        <v>206</v>
      </c>
      <c r="BC14" s="134">
        <v>206</v>
      </c>
      <c r="BD14" s="134">
        <v>206</v>
      </c>
      <c r="BE14" s="134">
        <v>206</v>
      </c>
      <c r="BF14" s="134">
        <v>206</v>
      </c>
      <c r="BG14" s="134">
        <v>206</v>
      </c>
      <c r="BH14" s="134">
        <v>206</v>
      </c>
      <c r="BI14" s="134">
        <v>206</v>
      </c>
      <c r="BJ14" s="134">
        <v>206</v>
      </c>
      <c r="BK14" s="134">
        <v>206</v>
      </c>
      <c r="BL14" s="134">
        <v>206</v>
      </c>
      <c r="BM14" s="134">
        <v>206</v>
      </c>
      <c r="BN14" s="132" t="str">
        <f>SUM(BB14:BM14)</f>
        <v>0</v>
      </c>
      <c r="BO14" s="135">
        <v>126</v>
      </c>
      <c r="BP14" s="135">
        <v>126</v>
      </c>
      <c r="BQ14" s="135">
        <v>126</v>
      </c>
      <c r="BR14" s="135">
        <v>126</v>
      </c>
      <c r="BS14" s="135">
        <v>126</v>
      </c>
      <c r="BT14" s="135">
        <v>126</v>
      </c>
      <c r="BU14" s="135">
        <v>126</v>
      </c>
      <c r="BV14" s="135">
        <v>126</v>
      </c>
      <c r="BW14" s="135">
        <v>126</v>
      </c>
      <c r="BX14" s="135">
        <v>126</v>
      </c>
      <c r="BY14" s="135">
        <v>126</v>
      </c>
      <c r="BZ14" s="135">
        <v>126</v>
      </c>
      <c r="CA14" s="132" t="str">
        <f>SUM(BO14:BZ14)</f>
        <v>0</v>
      </c>
      <c r="CB14" s="136">
        <v>627</v>
      </c>
      <c r="CC14" s="136">
        <v>627</v>
      </c>
      <c r="CD14" s="136">
        <v>627</v>
      </c>
      <c r="CE14" s="136">
        <v>627</v>
      </c>
      <c r="CF14" s="136">
        <v>627</v>
      </c>
      <c r="CG14" s="136">
        <v>627</v>
      </c>
      <c r="CH14" s="136">
        <v>627</v>
      </c>
      <c r="CI14" s="136">
        <v>627</v>
      </c>
      <c r="CJ14" s="136">
        <v>627</v>
      </c>
      <c r="CK14" s="136">
        <v>627</v>
      </c>
      <c r="CL14" s="136">
        <v>627</v>
      </c>
      <c r="CM14" s="136">
        <v>627</v>
      </c>
      <c r="CN14" s="132" t="str">
        <f>SUM(CB14:CM14)</f>
        <v>0</v>
      </c>
      <c r="CO14" s="137">
        <v>402</v>
      </c>
      <c r="CP14" s="137">
        <v>402</v>
      </c>
      <c r="CQ14" s="137">
        <v>402</v>
      </c>
      <c r="CR14" s="137">
        <v>402</v>
      </c>
      <c r="CS14" s="137">
        <v>402</v>
      </c>
      <c r="CT14" s="137">
        <v>402</v>
      </c>
      <c r="CU14" s="137">
        <v>402</v>
      </c>
      <c r="CV14" s="137">
        <v>402</v>
      </c>
      <c r="CW14" s="137">
        <v>402</v>
      </c>
      <c r="CX14" s="137">
        <v>402</v>
      </c>
      <c r="CY14" s="137">
        <v>402</v>
      </c>
      <c r="CZ14" s="137">
        <v>402</v>
      </c>
      <c r="DA14" s="132" t="str">
        <f>SUM(CO14:CZ14)</f>
        <v>0</v>
      </c>
      <c r="DB14" s="136">
        <v>297</v>
      </c>
      <c r="DC14" s="136">
        <v>297</v>
      </c>
      <c r="DD14" s="136">
        <v>297</v>
      </c>
      <c r="DE14" s="136">
        <v>297</v>
      </c>
      <c r="DF14" s="136">
        <v>297</v>
      </c>
      <c r="DG14" s="136">
        <v>297</v>
      </c>
      <c r="DH14" s="136">
        <v>297</v>
      </c>
      <c r="DI14" s="136">
        <v>297</v>
      </c>
      <c r="DJ14" s="136">
        <v>297</v>
      </c>
      <c r="DK14" s="136">
        <v>297</v>
      </c>
      <c r="DL14" s="136">
        <v>297</v>
      </c>
      <c r="DM14" s="136">
        <v>297</v>
      </c>
      <c r="DN14" s="132" t="str">
        <f>SUM(DB14:DM14)</f>
        <v>0</v>
      </c>
      <c r="DO14" s="137">
        <v>240</v>
      </c>
      <c r="DP14" s="137">
        <v>240</v>
      </c>
      <c r="DQ14" s="137">
        <v>240</v>
      </c>
      <c r="DR14" s="137">
        <v>240</v>
      </c>
      <c r="DS14" s="137">
        <v>240</v>
      </c>
      <c r="DT14" s="137">
        <v>240</v>
      </c>
      <c r="DU14" s="137">
        <v>240</v>
      </c>
      <c r="DV14" s="137">
        <v>240</v>
      </c>
      <c r="DW14" s="137">
        <v>240</v>
      </c>
      <c r="DX14" s="137">
        <v>240</v>
      </c>
      <c r="DY14" s="137">
        <v>240</v>
      </c>
      <c r="DZ14" s="137">
        <v>240</v>
      </c>
      <c r="EA14" s="132" t="str">
        <f>SUM(DO14:DZ14)</f>
        <v>0</v>
      </c>
      <c r="EB14" s="216">
        <v>0</v>
      </c>
      <c r="EC14" s="216">
        <v>0</v>
      </c>
      <c r="ED14" s="216">
        <v>0</v>
      </c>
      <c r="EE14" s="216">
        <v>0</v>
      </c>
      <c r="EF14" s="216">
        <v>0</v>
      </c>
      <c r="EG14" s="216">
        <v>0</v>
      </c>
      <c r="EH14" s="216">
        <v>0</v>
      </c>
      <c r="EI14" s="216">
        <v>0</v>
      </c>
      <c r="EJ14" s="216">
        <v>0</v>
      </c>
      <c r="EK14" s="216">
        <v>0</v>
      </c>
      <c r="EL14" s="216">
        <v>0</v>
      </c>
      <c r="EM14" s="216">
        <v>0</v>
      </c>
      <c r="EN14" s="132" t="str">
        <f>SUM(EB14:EM14)</f>
        <v>0</v>
      </c>
      <c r="EO14" s="132">
        <v>0</v>
      </c>
      <c r="EP14" s="132">
        <v>0</v>
      </c>
      <c r="EQ14" s="132">
        <v>0</v>
      </c>
      <c r="ER14" s="132">
        <v>0</v>
      </c>
      <c r="ES14" s="132">
        <v>0</v>
      </c>
      <c r="ET14" s="132">
        <v>0</v>
      </c>
      <c r="EU14" s="132">
        <v>0</v>
      </c>
      <c r="EV14" s="132">
        <v>0</v>
      </c>
      <c r="EW14" s="132">
        <v>0</v>
      </c>
      <c r="EX14" s="132">
        <v>0</v>
      </c>
      <c r="EY14" s="132">
        <v>0</v>
      </c>
      <c r="EZ14" s="132">
        <v>0</v>
      </c>
      <c r="FA14" s="132" t="str">
        <f>SUM(EO14:EZ14)</f>
        <v>0</v>
      </c>
      <c r="FB14" s="181">
        <v>0</v>
      </c>
      <c r="FC14" s="181">
        <v>0</v>
      </c>
      <c r="FD14" s="181">
        <v>0</v>
      </c>
      <c r="FE14" s="181">
        <v>0</v>
      </c>
      <c r="FF14" s="181">
        <v>0</v>
      </c>
      <c r="FG14" s="181">
        <v>0</v>
      </c>
      <c r="FH14" s="181">
        <v>0</v>
      </c>
      <c r="FI14" s="181">
        <v>0</v>
      </c>
      <c r="FJ14" s="181">
        <v>0</v>
      </c>
      <c r="FK14" s="181">
        <v>0</v>
      </c>
      <c r="FL14" s="181">
        <v>0</v>
      </c>
      <c r="FM14" s="181">
        <v>0</v>
      </c>
      <c r="FN14" s="132" t="str">
        <f>SUM(FB14:FM14)</f>
        <v>0</v>
      </c>
      <c r="FO14" s="132">
        <v>0</v>
      </c>
      <c r="FP14" s="132">
        <v>0</v>
      </c>
      <c r="FQ14" s="132">
        <v>0</v>
      </c>
      <c r="FR14" s="132">
        <v>0</v>
      </c>
      <c r="FS14" s="132">
        <v>0</v>
      </c>
      <c r="FT14" s="132">
        <v>0</v>
      </c>
      <c r="FU14" s="132">
        <v>0</v>
      </c>
      <c r="FV14" s="132">
        <v>0</v>
      </c>
      <c r="FW14" s="132">
        <v>0</v>
      </c>
      <c r="FX14" s="132">
        <v>0</v>
      </c>
      <c r="FY14" s="132">
        <v>0</v>
      </c>
      <c r="FZ14" s="132">
        <v>0</v>
      </c>
      <c r="GA14" s="132" t="str">
        <f>SUM(FO14:FZ14)</f>
        <v>0</v>
      </c>
      <c r="GB14" s="181">
        <v>0</v>
      </c>
      <c r="GC14" s="181">
        <v>0</v>
      </c>
      <c r="GD14" s="181">
        <v>0</v>
      </c>
      <c r="GE14" s="181">
        <v>0</v>
      </c>
      <c r="GF14" s="181">
        <v>0</v>
      </c>
      <c r="GG14" s="181">
        <v>0</v>
      </c>
      <c r="GH14" s="181">
        <v>0</v>
      </c>
      <c r="GI14" s="181">
        <v>0</v>
      </c>
      <c r="GJ14" s="181">
        <v>0</v>
      </c>
      <c r="GK14" s="181">
        <v>0</v>
      </c>
      <c r="GL14" s="181">
        <v>0</v>
      </c>
      <c r="GM14" s="181">
        <v>0</v>
      </c>
      <c r="GN14" s="181" t="str">
        <f>SUM(GB14:GM14)</f>
        <v>0</v>
      </c>
      <c r="GO14" s="137">
        <v>0</v>
      </c>
      <c r="GP14" s="137">
        <v>0</v>
      </c>
      <c r="GQ14" s="137">
        <v>0</v>
      </c>
      <c r="GR14" s="137">
        <v>0</v>
      </c>
      <c r="GS14" s="137">
        <v>0</v>
      </c>
      <c r="GT14" s="137">
        <v>0</v>
      </c>
      <c r="GU14" s="137">
        <v>0</v>
      </c>
      <c r="GV14" s="137">
        <v>0</v>
      </c>
      <c r="GW14" s="137">
        <v>0</v>
      </c>
      <c r="GX14" s="137">
        <v>0</v>
      </c>
      <c r="GY14" s="137">
        <v>0</v>
      </c>
      <c r="GZ14" s="137">
        <v>0</v>
      </c>
      <c r="HA14" s="132" t="str">
        <f>SUM(GO14:GZ14)</f>
        <v>0</v>
      </c>
      <c r="HB14" s="181">
        <v>0</v>
      </c>
      <c r="HC14" s="181">
        <v>0</v>
      </c>
      <c r="HD14" s="181">
        <v>0</v>
      </c>
      <c r="HE14" s="181">
        <v>0</v>
      </c>
      <c r="HF14" s="181">
        <v>0</v>
      </c>
      <c r="HG14" s="181">
        <v>0</v>
      </c>
      <c r="HH14" s="181">
        <v>0</v>
      </c>
      <c r="HI14" s="181">
        <v>0</v>
      </c>
      <c r="HJ14" s="181">
        <v>0</v>
      </c>
      <c r="HK14" s="181">
        <v>0</v>
      </c>
      <c r="HL14" s="181">
        <v>0</v>
      </c>
      <c r="HM14" s="181">
        <v>0</v>
      </c>
      <c r="HN14" s="181" t="str">
        <f>SUM(HB14:HM14)</f>
        <v>0</v>
      </c>
      <c r="HO14" s="132">
        <v>97</v>
      </c>
      <c r="HP14" s="132">
        <v>97</v>
      </c>
      <c r="HQ14" s="132">
        <v>97</v>
      </c>
      <c r="HR14" s="132">
        <v>97</v>
      </c>
      <c r="HS14" s="132">
        <v>97</v>
      </c>
      <c r="HT14" s="132">
        <v>97</v>
      </c>
      <c r="HU14" s="132">
        <v>97</v>
      </c>
      <c r="HV14" s="132">
        <v>97</v>
      </c>
      <c r="HW14" s="132">
        <v>97</v>
      </c>
      <c r="HX14" s="132">
        <v>97</v>
      </c>
      <c r="HY14" s="132">
        <v>97</v>
      </c>
      <c r="HZ14" s="132">
        <v>97</v>
      </c>
      <c r="IA14" s="132" t="str">
        <f>SUM(HO14:HZ14)</f>
        <v>0</v>
      </c>
      <c r="IB14" s="181">
        <v>0</v>
      </c>
      <c r="IC14" s="181">
        <v>0</v>
      </c>
      <c r="ID14" s="181">
        <v>0</v>
      </c>
      <c r="IE14" s="181">
        <v>0</v>
      </c>
      <c r="IF14" s="181">
        <v>0</v>
      </c>
      <c r="IG14" s="181">
        <v>0</v>
      </c>
      <c r="IH14" s="181">
        <v>0</v>
      </c>
      <c r="II14" s="181">
        <v>0</v>
      </c>
      <c r="IJ14" s="181">
        <v>0</v>
      </c>
      <c r="IK14" s="181">
        <v>0</v>
      </c>
      <c r="IL14" s="181">
        <v>0</v>
      </c>
      <c r="IM14" s="181">
        <v>0</v>
      </c>
      <c r="IN14" s="181" t="str">
        <f>SUM(IB14:IM14)</f>
        <v>0</v>
      </c>
      <c r="IO14" s="181">
        <v>0</v>
      </c>
      <c r="IP14" s="181">
        <v>0</v>
      </c>
      <c r="IQ14" s="181">
        <v>0</v>
      </c>
      <c r="IR14" s="181">
        <v>0</v>
      </c>
      <c r="IS14" s="181">
        <v>0</v>
      </c>
      <c r="IT14" s="181">
        <v>0</v>
      </c>
      <c r="IU14" s="181">
        <v>0</v>
      </c>
      <c r="IV14" s="181">
        <v>0</v>
      </c>
      <c r="IW14" s="181">
        <v>0</v>
      </c>
      <c r="IX14" s="181">
        <v>0</v>
      </c>
      <c r="IY14" s="181">
        <v>0</v>
      </c>
      <c r="IZ14" s="181">
        <v>0</v>
      </c>
      <c r="JA14" s="181" t="str">
        <f>SUM(IO14:IZ14)</f>
        <v>0</v>
      </c>
      <c r="JC14" s="135" t="str">
        <f>B14+O14+AB14+AO14+BB14+BO14+CB14+CO14+DB14+DO14+EB14+EO14+FB14+FO14+GB14+GO14+HB14+HO14+IB14+IO14</f>
        <v>0</v>
      </c>
      <c r="JD14" s="135" t="str">
        <f>C14+P14+AC14+AP14+BC14+BP14+CC14+CP14+DC14+DP14+EC14+EP14+FC14+FP14+GC14+GP14+HC14+HP14+IC14+IP14</f>
        <v>0</v>
      </c>
      <c r="JE14" s="135" t="str">
        <f>D14+Q14+AD14+AQ14+BD14+BQ14+CD14+CQ14+DD14+DQ14+ED14+EQ14+FD14+FQ14+GD14+GQ14+HD14+HQ14+ID14+IQ14</f>
        <v>0</v>
      </c>
      <c r="JF14" s="135" t="str">
        <f>E14+R14+AE14+AR14+BE14+BR14+CE14+CR14+DE14+DR14+EE14+ER14+FE14+FR14+GE14+GR14+HE14+HR14+IE14+IR14</f>
        <v>0</v>
      </c>
      <c r="JG14" s="135" t="str">
        <f>F14+S14+AF14+AS14+BF14+BS14+CF14+CS14+DF14+DS14+EF14+ES14+FF14+FS14+GF14+GS14+HF14+HS14+IF14+IS14</f>
        <v>0</v>
      </c>
      <c r="JH14" s="135" t="str">
        <f>G14+T14+AG14+AT14+BG14+BT14+CG14+CT14+DG14+DT14+EG14+ET14+FG14+FT14+GG14+GT14+HG14+HT14+IG14+IT14</f>
        <v>0</v>
      </c>
      <c r="JI14" s="135" t="str">
        <f>H14+U14+AH14+AU14+BH14+BU14+CH14+CU14+DH14+DU14+EH14+EU14+FH14+FU14+GH14+GU14+HH14+HU14+IH14+IU14</f>
        <v>0</v>
      </c>
      <c r="JJ14" s="135" t="str">
        <f>I14+V14+AI14+AV14+BI14+BV14+CI14+CV14+DI14+DV14+EI14+EV14+FI14+FV14+GI14+GV14+HI14+HV14+II14+IV14</f>
        <v>0</v>
      </c>
      <c r="JK14" s="135" t="str">
        <f>J14+W14+AJ14+AW14+BJ14+BW14+CJ14+CW14+DJ14+DW14+EJ14+EW14+FJ14+FW14+GJ14+GW14+HJ14+HW14+IJ14+IW14</f>
        <v>0</v>
      </c>
      <c r="JL14" s="135" t="str">
        <f>K14+X14+AK14+AX14+BK14+BX14+CK14+CX14+DK14+DX14+EK14+EX14+FK14+FX14+GK14+GX14+HK14+HX14+IK14+IX14</f>
        <v>0</v>
      </c>
      <c r="JM14" s="135" t="str">
        <f>L14+Y14+AL14+AY14+BL14+BY14+CL14+CY14+DL14+DY14+EL14+EY14+FL14+FY14+GL14+GY14+HL14+HY14+IL14+IY14</f>
        <v>0</v>
      </c>
      <c r="JN14" s="135" t="str">
        <f>M14+Z14+AM14+AZ14+BM14+BZ14+CM14+CZ14+DM14+DZ14+EM14+EZ14+FM14+FZ14+GM14+GZ14+HM14+HZ14+IM14+IZ14</f>
        <v>0</v>
      </c>
      <c r="JO14" s="132" t="str">
        <f>SUM(JC14:JN14)</f>
        <v>0</v>
      </c>
      <c r="JQ14" s="139" t="str">
        <f>N14+AA14+AN14+BA14+BN14+CA14+CN14+DA14+DN14+EA14+EN14+FA14+FN14+GA14+GN14+HA14+HN14+IA14+IN14+JA14</f>
        <v>0</v>
      </c>
    </row>
    <row r="15" spans="1:278">
      <c r="A15" s="130" t="s">
        <v>402</v>
      </c>
      <c r="B15" s="131">
        <v>200</v>
      </c>
      <c r="C15" s="131">
        <v>200</v>
      </c>
      <c r="D15" s="131">
        <v>200</v>
      </c>
      <c r="E15" s="131">
        <v>200</v>
      </c>
      <c r="F15" s="131">
        <v>200</v>
      </c>
      <c r="G15" s="131">
        <v>200</v>
      </c>
      <c r="H15" s="131">
        <v>200</v>
      </c>
      <c r="I15" s="131">
        <v>200</v>
      </c>
      <c r="J15" s="131">
        <v>200</v>
      </c>
      <c r="K15" s="131">
        <v>200</v>
      </c>
      <c r="L15" s="131">
        <v>200</v>
      </c>
      <c r="M15" s="131">
        <v>200</v>
      </c>
      <c r="N15" s="132" t="str">
        <f>SUM(B15:M15)</f>
        <v>0</v>
      </c>
      <c r="O15" s="133">
        <v>1690</v>
      </c>
      <c r="P15" s="133">
        <v>1690</v>
      </c>
      <c r="Q15" s="133">
        <v>1690</v>
      </c>
      <c r="R15" s="133">
        <v>1690</v>
      </c>
      <c r="S15" s="133">
        <v>1690</v>
      </c>
      <c r="T15" s="133">
        <v>1690</v>
      </c>
      <c r="U15" s="133">
        <v>1690</v>
      </c>
      <c r="V15" s="133">
        <v>1690</v>
      </c>
      <c r="W15" s="133">
        <v>1690</v>
      </c>
      <c r="X15" s="133">
        <v>1690</v>
      </c>
      <c r="Y15" s="133">
        <v>1690</v>
      </c>
      <c r="Z15" s="133">
        <v>1690</v>
      </c>
      <c r="AA15" s="132" t="str">
        <f>SUM(O15:Z15)</f>
        <v>0</v>
      </c>
      <c r="AB15" s="131">
        <v>620</v>
      </c>
      <c r="AC15" s="131">
        <v>620</v>
      </c>
      <c r="AD15" s="131">
        <v>620</v>
      </c>
      <c r="AE15" s="131">
        <v>620</v>
      </c>
      <c r="AF15" s="131">
        <v>620</v>
      </c>
      <c r="AG15" s="131">
        <v>620</v>
      </c>
      <c r="AH15" s="131">
        <v>620</v>
      </c>
      <c r="AI15" s="131">
        <v>620</v>
      </c>
      <c r="AJ15" s="131">
        <v>620</v>
      </c>
      <c r="AK15" s="131">
        <v>620</v>
      </c>
      <c r="AL15" s="131">
        <v>620</v>
      </c>
      <c r="AM15" s="131">
        <v>620</v>
      </c>
      <c r="AN15" s="132" t="str">
        <f>SUM(AB15:AM15)</f>
        <v>0</v>
      </c>
      <c r="AO15" s="133">
        <v>1070</v>
      </c>
      <c r="AP15" s="133">
        <v>1070</v>
      </c>
      <c r="AQ15" s="133">
        <v>1070</v>
      </c>
      <c r="AR15" s="133">
        <v>1070</v>
      </c>
      <c r="AS15" s="133">
        <v>1070</v>
      </c>
      <c r="AT15" s="133">
        <v>1070</v>
      </c>
      <c r="AU15" s="133">
        <v>1070</v>
      </c>
      <c r="AV15" s="133">
        <v>1070</v>
      </c>
      <c r="AW15" s="133">
        <v>1070</v>
      </c>
      <c r="AX15" s="133">
        <v>1070</v>
      </c>
      <c r="AY15" s="133">
        <v>1070</v>
      </c>
      <c r="AZ15" s="133">
        <v>1070</v>
      </c>
      <c r="BA15" s="132" t="str">
        <f>SUM(AO15:AZ15)</f>
        <v>0</v>
      </c>
      <c r="BB15" s="134">
        <v>340</v>
      </c>
      <c r="BC15" s="134">
        <v>340</v>
      </c>
      <c r="BD15" s="134">
        <v>340</v>
      </c>
      <c r="BE15" s="134">
        <v>340</v>
      </c>
      <c r="BF15" s="134">
        <v>340</v>
      </c>
      <c r="BG15" s="134">
        <v>340</v>
      </c>
      <c r="BH15" s="134">
        <v>340</v>
      </c>
      <c r="BI15" s="134">
        <v>340</v>
      </c>
      <c r="BJ15" s="134">
        <v>340</v>
      </c>
      <c r="BK15" s="134">
        <v>340</v>
      </c>
      <c r="BL15" s="134">
        <v>340</v>
      </c>
      <c r="BM15" s="134">
        <v>340</v>
      </c>
      <c r="BN15" s="132" t="str">
        <f>SUM(BB15:BM15)</f>
        <v>0</v>
      </c>
      <c r="BO15" s="135">
        <v>150</v>
      </c>
      <c r="BP15" s="135">
        <v>150</v>
      </c>
      <c r="BQ15" s="135">
        <v>150</v>
      </c>
      <c r="BR15" s="135">
        <v>150</v>
      </c>
      <c r="BS15" s="135">
        <v>150</v>
      </c>
      <c r="BT15" s="135">
        <v>150</v>
      </c>
      <c r="BU15" s="135">
        <v>150</v>
      </c>
      <c r="BV15" s="135">
        <v>150</v>
      </c>
      <c r="BW15" s="135">
        <v>150</v>
      </c>
      <c r="BX15" s="135">
        <v>150</v>
      </c>
      <c r="BY15" s="135">
        <v>150</v>
      </c>
      <c r="BZ15" s="135">
        <v>150</v>
      </c>
      <c r="CA15" s="132" t="str">
        <f>SUM(BO15:BZ15)</f>
        <v>0</v>
      </c>
      <c r="CB15" s="136">
        <v>1068</v>
      </c>
      <c r="CC15" s="136">
        <v>1068</v>
      </c>
      <c r="CD15" s="136">
        <v>1068</v>
      </c>
      <c r="CE15" s="136">
        <v>1068</v>
      </c>
      <c r="CF15" s="136">
        <v>1068</v>
      </c>
      <c r="CG15" s="136">
        <v>1068</v>
      </c>
      <c r="CH15" s="136">
        <v>1068</v>
      </c>
      <c r="CI15" s="136">
        <v>1068</v>
      </c>
      <c r="CJ15" s="136">
        <v>1068</v>
      </c>
      <c r="CK15" s="136">
        <v>1068</v>
      </c>
      <c r="CL15" s="136">
        <v>1068</v>
      </c>
      <c r="CM15" s="136">
        <v>1068</v>
      </c>
      <c r="CN15" s="132" t="str">
        <f>SUM(CB15:CM15)</f>
        <v>0</v>
      </c>
      <c r="CO15" s="137">
        <v>680</v>
      </c>
      <c r="CP15" s="137">
        <v>680</v>
      </c>
      <c r="CQ15" s="137">
        <v>680</v>
      </c>
      <c r="CR15" s="137">
        <v>680</v>
      </c>
      <c r="CS15" s="137">
        <v>680</v>
      </c>
      <c r="CT15" s="137">
        <v>680</v>
      </c>
      <c r="CU15" s="137">
        <v>680</v>
      </c>
      <c r="CV15" s="137">
        <v>680</v>
      </c>
      <c r="CW15" s="137">
        <v>680</v>
      </c>
      <c r="CX15" s="137">
        <v>680</v>
      </c>
      <c r="CY15" s="137">
        <v>680</v>
      </c>
      <c r="CZ15" s="137">
        <v>680</v>
      </c>
      <c r="DA15" s="132" t="str">
        <f>SUM(CO15:CZ15)</f>
        <v>0</v>
      </c>
      <c r="DB15" s="136">
        <v>320</v>
      </c>
      <c r="DC15" s="136">
        <v>320</v>
      </c>
      <c r="DD15" s="136">
        <v>320</v>
      </c>
      <c r="DE15" s="136">
        <v>320</v>
      </c>
      <c r="DF15" s="136">
        <v>320</v>
      </c>
      <c r="DG15" s="136">
        <v>320</v>
      </c>
      <c r="DH15" s="136">
        <v>320</v>
      </c>
      <c r="DI15" s="136">
        <v>320</v>
      </c>
      <c r="DJ15" s="136">
        <v>320</v>
      </c>
      <c r="DK15" s="136">
        <v>320</v>
      </c>
      <c r="DL15" s="136">
        <v>320</v>
      </c>
      <c r="DM15" s="136">
        <v>320</v>
      </c>
      <c r="DN15" s="132" t="str">
        <f>SUM(DB15:DM15)</f>
        <v>0</v>
      </c>
      <c r="DO15" s="137">
        <v>260</v>
      </c>
      <c r="DP15" s="137">
        <v>260</v>
      </c>
      <c r="DQ15" s="137">
        <v>260</v>
      </c>
      <c r="DR15" s="137">
        <v>260</v>
      </c>
      <c r="DS15" s="137">
        <v>260</v>
      </c>
      <c r="DT15" s="137">
        <v>260</v>
      </c>
      <c r="DU15" s="137">
        <v>260</v>
      </c>
      <c r="DV15" s="137">
        <v>260</v>
      </c>
      <c r="DW15" s="137">
        <v>260</v>
      </c>
      <c r="DX15" s="137">
        <v>260</v>
      </c>
      <c r="DY15" s="137">
        <v>260</v>
      </c>
      <c r="DZ15" s="137">
        <v>260</v>
      </c>
      <c r="EA15" s="132" t="str">
        <f>SUM(DO15:DZ15)</f>
        <v>0</v>
      </c>
      <c r="EB15" s="216">
        <v>0</v>
      </c>
      <c r="EC15" s="216">
        <v>0</v>
      </c>
      <c r="ED15" s="216">
        <v>0</v>
      </c>
      <c r="EE15" s="216">
        <v>0</v>
      </c>
      <c r="EF15" s="216">
        <v>0</v>
      </c>
      <c r="EG15" s="216">
        <v>0</v>
      </c>
      <c r="EH15" s="216">
        <v>0</v>
      </c>
      <c r="EI15" s="216">
        <v>0</v>
      </c>
      <c r="EJ15" s="216">
        <v>0</v>
      </c>
      <c r="EK15" s="216">
        <v>0</v>
      </c>
      <c r="EL15" s="216">
        <v>0</v>
      </c>
      <c r="EM15" s="216">
        <v>0</v>
      </c>
      <c r="EN15" s="132" t="str">
        <f>SUM(EB15:EM15)</f>
        <v>0</v>
      </c>
      <c r="EO15" s="132">
        <v>0</v>
      </c>
      <c r="EP15" s="132">
        <v>0</v>
      </c>
      <c r="EQ15" s="132">
        <v>0</v>
      </c>
      <c r="ER15" s="132">
        <v>0</v>
      </c>
      <c r="ES15" s="132">
        <v>0</v>
      </c>
      <c r="ET15" s="132">
        <v>0</v>
      </c>
      <c r="EU15" s="132">
        <v>0</v>
      </c>
      <c r="EV15" s="132">
        <v>0</v>
      </c>
      <c r="EW15" s="132">
        <v>0</v>
      </c>
      <c r="EX15" s="132">
        <v>0</v>
      </c>
      <c r="EY15" s="132">
        <v>0</v>
      </c>
      <c r="EZ15" s="132">
        <v>0</v>
      </c>
      <c r="FA15" s="132" t="str">
        <f>SUM(EO15:EZ15)</f>
        <v>0</v>
      </c>
      <c r="FB15" s="181">
        <v>0</v>
      </c>
      <c r="FC15" s="181">
        <v>0</v>
      </c>
      <c r="FD15" s="181">
        <v>0</v>
      </c>
      <c r="FE15" s="181">
        <v>0</v>
      </c>
      <c r="FF15" s="181">
        <v>0</v>
      </c>
      <c r="FG15" s="181">
        <v>0</v>
      </c>
      <c r="FH15" s="181">
        <v>0</v>
      </c>
      <c r="FI15" s="181">
        <v>0</v>
      </c>
      <c r="FJ15" s="181">
        <v>0</v>
      </c>
      <c r="FK15" s="181">
        <v>0</v>
      </c>
      <c r="FL15" s="181">
        <v>0</v>
      </c>
      <c r="FM15" s="181">
        <v>0</v>
      </c>
      <c r="FN15" s="132" t="str">
        <f>SUM(FB15:FM15)</f>
        <v>0</v>
      </c>
      <c r="FO15" s="132">
        <v>0</v>
      </c>
      <c r="FP15" s="132">
        <v>0</v>
      </c>
      <c r="FQ15" s="132">
        <v>0</v>
      </c>
      <c r="FR15" s="132">
        <v>0</v>
      </c>
      <c r="FS15" s="132">
        <v>0</v>
      </c>
      <c r="FT15" s="132">
        <v>0</v>
      </c>
      <c r="FU15" s="132">
        <v>0</v>
      </c>
      <c r="FV15" s="132">
        <v>0</v>
      </c>
      <c r="FW15" s="132">
        <v>0</v>
      </c>
      <c r="FX15" s="132">
        <v>0</v>
      </c>
      <c r="FY15" s="132">
        <v>0</v>
      </c>
      <c r="FZ15" s="132">
        <v>0</v>
      </c>
      <c r="GA15" s="132" t="str">
        <f>SUM(FO15:FZ15)</f>
        <v>0</v>
      </c>
      <c r="GB15" s="181">
        <v>0</v>
      </c>
      <c r="GC15" s="181">
        <v>0</v>
      </c>
      <c r="GD15" s="181">
        <v>0</v>
      </c>
      <c r="GE15" s="181">
        <v>0</v>
      </c>
      <c r="GF15" s="181">
        <v>0</v>
      </c>
      <c r="GG15" s="181">
        <v>0</v>
      </c>
      <c r="GH15" s="181">
        <v>0</v>
      </c>
      <c r="GI15" s="181">
        <v>0</v>
      </c>
      <c r="GJ15" s="181">
        <v>0</v>
      </c>
      <c r="GK15" s="181">
        <v>0</v>
      </c>
      <c r="GL15" s="181">
        <v>0</v>
      </c>
      <c r="GM15" s="181">
        <v>0</v>
      </c>
      <c r="GN15" s="181" t="str">
        <f>SUM(GB15:GM15)</f>
        <v>0</v>
      </c>
      <c r="GO15" s="137">
        <v>0</v>
      </c>
      <c r="GP15" s="137">
        <v>0</v>
      </c>
      <c r="GQ15" s="137">
        <v>0</v>
      </c>
      <c r="GR15" s="137">
        <v>0</v>
      </c>
      <c r="GS15" s="137">
        <v>0</v>
      </c>
      <c r="GT15" s="137">
        <v>0</v>
      </c>
      <c r="GU15" s="137">
        <v>0</v>
      </c>
      <c r="GV15" s="137">
        <v>0</v>
      </c>
      <c r="GW15" s="137">
        <v>0</v>
      </c>
      <c r="GX15" s="137">
        <v>0</v>
      </c>
      <c r="GY15" s="137">
        <v>0</v>
      </c>
      <c r="GZ15" s="137">
        <v>0</v>
      </c>
      <c r="HA15" s="132" t="str">
        <f>SUM(GO15:GZ15)</f>
        <v>0</v>
      </c>
      <c r="HB15" s="181">
        <v>0</v>
      </c>
      <c r="HC15" s="181">
        <v>0</v>
      </c>
      <c r="HD15" s="181">
        <v>0</v>
      </c>
      <c r="HE15" s="181">
        <v>0</v>
      </c>
      <c r="HF15" s="181">
        <v>0</v>
      </c>
      <c r="HG15" s="181">
        <v>0</v>
      </c>
      <c r="HH15" s="181">
        <v>0</v>
      </c>
      <c r="HI15" s="181">
        <v>0</v>
      </c>
      <c r="HJ15" s="181">
        <v>0</v>
      </c>
      <c r="HK15" s="181">
        <v>0</v>
      </c>
      <c r="HL15" s="181">
        <v>0</v>
      </c>
      <c r="HM15" s="181">
        <v>0</v>
      </c>
      <c r="HN15" s="181" t="str">
        <f>SUM(HB15:HM15)</f>
        <v>0</v>
      </c>
      <c r="HO15" s="132">
        <v>200</v>
      </c>
      <c r="HP15" s="132">
        <v>200</v>
      </c>
      <c r="HQ15" s="132">
        <v>200</v>
      </c>
      <c r="HR15" s="132">
        <v>200</v>
      </c>
      <c r="HS15" s="132">
        <v>200</v>
      </c>
      <c r="HT15" s="132">
        <v>200</v>
      </c>
      <c r="HU15" s="132">
        <v>200</v>
      </c>
      <c r="HV15" s="132">
        <v>200</v>
      </c>
      <c r="HW15" s="132">
        <v>200</v>
      </c>
      <c r="HX15" s="132">
        <v>200</v>
      </c>
      <c r="HY15" s="132">
        <v>200</v>
      </c>
      <c r="HZ15" s="132">
        <v>200</v>
      </c>
      <c r="IA15" s="132" t="str">
        <f>SUM(HO15:HZ15)</f>
        <v>0</v>
      </c>
      <c r="IB15" s="181">
        <v>0</v>
      </c>
      <c r="IC15" s="181">
        <v>0</v>
      </c>
      <c r="ID15" s="181">
        <v>0</v>
      </c>
      <c r="IE15" s="181">
        <v>0</v>
      </c>
      <c r="IF15" s="181">
        <v>0</v>
      </c>
      <c r="IG15" s="181">
        <v>0</v>
      </c>
      <c r="IH15" s="181">
        <v>0</v>
      </c>
      <c r="II15" s="181">
        <v>0</v>
      </c>
      <c r="IJ15" s="181">
        <v>0</v>
      </c>
      <c r="IK15" s="181">
        <v>0</v>
      </c>
      <c r="IL15" s="181">
        <v>0</v>
      </c>
      <c r="IM15" s="181">
        <v>0</v>
      </c>
      <c r="IN15" s="181" t="str">
        <f>SUM(IB15:IM15)</f>
        <v>0</v>
      </c>
      <c r="IO15" s="181">
        <v>0</v>
      </c>
      <c r="IP15" s="181">
        <v>0</v>
      </c>
      <c r="IQ15" s="181">
        <v>0</v>
      </c>
      <c r="IR15" s="181">
        <v>0</v>
      </c>
      <c r="IS15" s="181">
        <v>0</v>
      </c>
      <c r="IT15" s="181">
        <v>0</v>
      </c>
      <c r="IU15" s="181">
        <v>0</v>
      </c>
      <c r="IV15" s="181">
        <v>0</v>
      </c>
      <c r="IW15" s="181">
        <v>0</v>
      </c>
      <c r="IX15" s="181">
        <v>0</v>
      </c>
      <c r="IY15" s="181">
        <v>0</v>
      </c>
      <c r="IZ15" s="181">
        <v>0</v>
      </c>
      <c r="JA15" s="181" t="str">
        <f>SUM(IO15:IZ15)</f>
        <v>0</v>
      </c>
      <c r="JC15" s="135" t="str">
        <f>B15+O15+AB15+AO15+BB15+BO15+CB15+CO15+DB15+DO15+EB15+EO15+FB15+FO15+GB15+GO15+HB15+HO15+IB15+IO15</f>
        <v>0</v>
      </c>
      <c r="JD15" s="135" t="str">
        <f>C15+P15+AC15+AP15+BC15+BP15+CC15+CP15+DC15+DP15+EC15+EP15+FC15+FP15+GC15+GP15+HC15+HP15+IC15+IP15</f>
        <v>0</v>
      </c>
      <c r="JE15" s="135" t="str">
        <f>D15+Q15+AD15+AQ15+BD15+BQ15+CD15+CQ15+DD15+DQ15+ED15+EQ15+FD15+FQ15+GD15+GQ15+HD15+HQ15+ID15+IQ15</f>
        <v>0</v>
      </c>
      <c r="JF15" s="135" t="str">
        <f>E15+R15+AE15+AR15+BE15+BR15+CE15+CR15+DE15+DR15+EE15+ER15+FE15+FR15+GE15+GR15+HE15+HR15+IE15+IR15</f>
        <v>0</v>
      </c>
      <c r="JG15" s="135" t="str">
        <f>F15+S15+AF15+AS15+BF15+BS15+CF15+CS15+DF15+DS15+EF15+ES15+FF15+FS15+GF15+GS15+HF15+HS15+IF15+IS15</f>
        <v>0</v>
      </c>
      <c r="JH15" s="135" t="str">
        <f>G15+T15+AG15+AT15+BG15+BT15+CG15+CT15+DG15+DT15+EG15+ET15+FG15+FT15+GG15+GT15+HG15+HT15+IG15+IT15</f>
        <v>0</v>
      </c>
      <c r="JI15" s="135" t="str">
        <f>H15+U15+AH15+AU15+BH15+BU15+CH15+CU15+DH15+DU15+EH15+EU15+FH15+FU15+GH15+GU15+HH15+HU15+IH15+IU15</f>
        <v>0</v>
      </c>
      <c r="JJ15" s="135" t="str">
        <f>I15+V15+AI15+AV15+BI15+BV15+CI15+CV15+DI15+DV15+EI15+EV15+FI15+FV15+GI15+GV15+HI15+HV15+II15+IV15</f>
        <v>0</v>
      </c>
      <c r="JK15" s="135" t="str">
        <f>J15+W15+AJ15+AW15+BJ15+BW15+CJ15+CW15+DJ15+DW15+EJ15+EW15+FJ15+FW15+GJ15+GW15+HJ15+HW15+IJ15+IW15</f>
        <v>0</v>
      </c>
      <c r="JL15" s="135" t="str">
        <f>K15+X15+AK15+AX15+BK15+BX15+CK15+CX15+DK15+DX15+EK15+EX15+FK15+FX15+GK15+GX15+HK15+HX15+IK15+IX15</f>
        <v>0</v>
      </c>
      <c r="JM15" s="135" t="str">
        <f>L15+Y15+AL15+AY15+BL15+BY15+CL15+CY15+DL15+DY15+EL15+EY15+FL15+FY15+GL15+GY15+HL15+HY15+IL15+IY15</f>
        <v>0</v>
      </c>
      <c r="JN15" s="135" t="str">
        <f>M15+Z15+AM15+AZ15+BM15+BZ15+CM15+CZ15+DM15+DZ15+EM15+EZ15+FM15+FZ15+GM15+GZ15+HM15+HZ15+IM15+IZ15</f>
        <v>0</v>
      </c>
      <c r="JO15" s="132" t="str">
        <f>SUM(JC15:JN15)</f>
        <v>0</v>
      </c>
      <c r="JQ15" s="139" t="str">
        <f>N15+AA15+AN15+BA15+BN15+CA15+CN15+DA15+DN15+EA15+EN15+FA15+FN15+GA15+GN15+HA15+HN15+IA15+IN15+JA15</f>
        <v>0</v>
      </c>
    </row>
    <row r="16" spans="1:278">
      <c r="A16" s="130" t="s">
        <v>408</v>
      </c>
      <c r="B16" s="131">
        <v>150</v>
      </c>
      <c r="C16" s="131">
        <v>150</v>
      </c>
      <c r="D16" s="131">
        <v>150</v>
      </c>
      <c r="E16" s="131">
        <v>150</v>
      </c>
      <c r="F16" s="131">
        <v>150</v>
      </c>
      <c r="G16" s="131">
        <v>150</v>
      </c>
      <c r="H16" s="131">
        <v>150</v>
      </c>
      <c r="I16" s="131">
        <v>150</v>
      </c>
      <c r="J16" s="131">
        <v>150</v>
      </c>
      <c r="K16" s="131">
        <v>150</v>
      </c>
      <c r="L16" s="131">
        <v>150</v>
      </c>
      <c r="M16" s="131">
        <v>150</v>
      </c>
      <c r="N16" s="132" t="str">
        <f>SUM(B16:M16)</f>
        <v>0</v>
      </c>
      <c r="O16" s="133">
        <v>250</v>
      </c>
      <c r="P16" s="133">
        <v>250</v>
      </c>
      <c r="Q16" s="133">
        <v>250</v>
      </c>
      <c r="R16" s="133">
        <v>250</v>
      </c>
      <c r="S16" s="133">
        <v>250</v>
      </c>
      <c r="T16" s="133">
        <v>250</v>
      </c>
      <c r="U16" s="133">
        <v>250</v>
      </c>
      <c r="V16" s="133">
        <v>250</v>
      </c>
      <c r="W16" s="133">
        <v>250</v>
      </c>
      <c r="X16" s="133">
        <v>250</v>
      </c>
      <c r="Y16" s="133">
        <v>250</v>
      </c>
      <c r="Z16" s="133">
        <v>250</v>
      </c>
      <c r="AA16" s="132" t="str">
        <f>SUM(O16:Z16)</f>
        <v>0</v>
      </c>
      <c r="AB16" s="131">
        <v>1961</v>
      </c>
      <c r="AC16" s="131">
        <v>1961</v>
      </c>
      <c r="AD16" s="131">
        <v>1961</v>
      </c>
      <c r="AE16" s="131">
        <v>1961</v>
      </c>
      <c r="AF16" s="131">
        <v>1961</v>
      </c>
      <c r="AG16" s="131">
        <v>1961</v>
      </c>
      <c r="AH16" s="131">
        <v>1961</v>
      </c>
      <c r="AI16" s="131">
        <v>1961</v>
      </c>
      <c r="AJ16" s="131">
        <v>1961</v>
      </c>
      <c r="AK16" s="131">
        <v>1961</v>
      </c>
      <c r="AL16" s="131">
        <v>1961</v>
      </c>
      <c r="AM16" s="131">
        <v>1961</v>
      </c>
      <c r="AN16" s="132" t="str">
        <f>SUM(AB16:AM16)</f>
        <v>0</v>
      </c>
      <c r="AO16" s="133">
        <v>601</v>
      </c>
      <c r="AP16" s="133">
        <v>601</v>
      </c>
      <c r="AQ16" s="133">
        <v>601</v>
      </c>
      <c r="AR16" s="133">
        <v>601</v>
      </c>
      <c r="AS16" s="133">
        <v>601</v>
      </c>
      <c r="AT16" s="133">
        <v>601</v>
      </c>
      <c r="AU16" s="133">
        <v>601</v>
      </c>
      <c r="AV16" s="133">
        <v>601</v>
      </c>
      <c r="AW16" s="133">
        <v>601</v>
      </c>
      <c r="AX16" s="133">
        <v>601</v>
      </c>
      <c r="AY16" s="133">
        <v>601</v>
      </c>
      <c r="AZ16" s="133">
        <v>601</v>
      </c>
      <c r="BA16" s="132" t="str">
        <f>SUM(AO16:AZ16)</f>
        <v>0</v>
      </c>
      <c r="BB16" s="134">
        <v>206</v>
      </c>
      <c r="BC16" s="134">
        <v>206</v>
      </c>
      <c r="BD16" s="134">
        <v>206</v>
      </c>
      <c r="BE16" s="134">
        <v>206</v>
      </c>
      <c r="BF16" s="134">
        <v>206</v>
      </c>
      <c r="BG16" s="134">
        <v>206</v>
      </c>
      <c r="BH16" s="134">
        <v>206</v>
      </c>
      <c r="BI16" s="134">
        <v>206</v>
      </c>
      <c r="BJ16" s="134">
        <v>206</v>
      </c>
      <c r="BK16" s="134">
        <v>206</v>
      </c>
      <c r="BL16" s="134">
        <v>206</v>
      </c>
      <c r="BM16" s="134">
        <v>206</v>
      </c>
      <c r="BN16" s="132" t="str">
        <f>SUM(BB16:BM16)</f>
        <v>0</v>
      </c>
      <c r="BO16" s="135">
        <v>163</v>
      </c>
      <c r="BP16" s="135">
        <v>163</v>
      </c>
      <c r="BQ16" s="135">
        <v>163</v>
      </c>
      <c r="BR16" s="135">
        <v>163</v>
      </c>
      <c r="BS16" s="135">
        <v>163</v>
      </c>
      <c r="BT16" s="135">
        <v>163</v>
      </c>
      <c r="BU16" s="135">
        <v>163</v>
      </c>
      <c r="BV16" s="135">
        <v>163</v>
      </c>
      <c r="BW16" s="135">
        <v>163</v>
      </c>
      <c r="BX16" s="135">
        <v>163</v>
      </c>
      <c r="BY16" s="135">
        <v>163</v>
      </c>
      <c r="BZ16" s="135">
        <v>163</v>
      </c>
      <c r="CA16" s="132" t="str">
        <f>SUM(BO16:BZ16)</f>
        <v>0</v>
      </c>
      <c r="CB16" s="136">
        <v>1018</v>
      </c>
      <c r="CC16" s="136">
        <v>1018</v>
      </c>
      <c r="CD16" s="136">
        <v>1018</v>
      </c>
      <c r="CE16" s="136">
        <v>1018</v>
      </c>
      <c r="CF16" s="136">
        <v>1018</v>
      </c>
      <c r="CG16" s="136">
        <v>1018</v>
      </c>
      <c r="CH16" s="136">
        <v>1018</v>
      </c>
      <c r="CI16" s="136">
        <v>1018</v>
      </c>
      <c r="CJ16" s="136">
        <v>1018</v>
      </c>
      <c r="CK16" s="136">
        <v>1018</v>
      </c>
      <c r="CL16" s="136">
        <v>1018</v>
      </c>
      <c r="CM16" s="136">
        <v>1018</v>
      </c>
      <c r="CN16" s="132" t="str">
        <f>SUM(CB16:CM16)</f>
        <v>0</v>
      </c>
      <c r="CO16" s="137">
        <v>650</v>
      </c>
      <c r="CP16" s="137">
        <v>650</v>
      </c>
      <c r="CQ16" s="137">
        <v>650</v>
      </c>
      <c r="CR16" s="137">
        <v>650</v>
      </c>
      <c r="CS16" s="137">
        <v>650</v>
      </c>
      <c r="CT16" s="137">
        <v>650</v>
      </c>
      <c r="CU16" s="137">
        <v>650</v>
      </c>
      <c r="CV16" s="137">
        <v>650</v>
      </c>
      <c r="CW16" s="137">
        <v>650</v>
      </c>
      <c r="CX16" s="137">
        <v>650</v>
      </c>
      <c r="CY16" s="137">
        <v>650</v>
      </c>
      <c r="CZ16" s="137">
        <v>650</v>
      </c>
      <c r="DA16" s="132" t="str">
        <f>SUM(CO16:CZ16)</f>
        <v>0</v>
      </c>
      <c r="DB16" s="136">
        <v>337</v>
      </c>
      <c r="DC16" s="136">
        <v>337</v>
      </c>
      <c r="DD16" s="136">
        <v>337</v>
      </c>
      <c r="DE16" s="136">
        <v>337</v>
      </c>
      <c r="DF16" s="136">
        <v>337</v>
      </c>
      <c r="DG16" s="136">
        <v>337</v>
      </c>
      <c r="DH16" s="136">
        <v>337</v>
      </c>
      <c r="DI16" s="136">
        <v>337</v>
      </c>
      <c r="DJ16" s="136">
        <v>337</v>
      </c>
      <c r="DK16" s="136">
        <v>337</v>
      </c>
      <c r="DL16" s="136">
        <v>337</v>
      </c>
      <c r="DM16" s="136">
        <v>337</v>
      </c>
      <c r="DN16" s="132" t="str">
        <f>SUM(DB16:DM16)</f>
        <v>0</v>
      </c>
      <c r="DO16" s="137">
        <v>240</v>
      </c>
      <c r="DP16" s="137">
        <v>240</v>
      </c>
      <c r="DQ16" s="137">
        <v>240</v>
      </c>
      <c r="DR16" s="137">
        <v>240</v>
      </c>
      <c r="DS16" s="137">
        <v>240</v>
      </c>
      <c r="DT16" s="137">
        <v>240</v>
      </c>
      <c r="DU16" s="137">
        <v>240</v>
      </c>
      <c r="DV16" s="137">
        <v>240</v>
      </c>
      <c r="DW16" s="137">
        <v>240</v>
      </c>
      <c r="DX16" s="137">
        <v>240</v>
      </c>
      <c r="DY16" s="137">
        <v>240</v>
      </c>
      <c r="DZ16" s="137">
        <v>240</v>
      </c>
      <c r="EA16" s="132" t="str">
        <f>SUM(DO16:DZ16)</f>
        <v>0</v>
      </c>
      <c r="EB16" s="216">
        <v>0</v>
      </c>
      <c r="EC16" s="216">
        <v>0</v>
      </c>
      <c r="ED16" s="216">
        <v>0</v>
      </c>
      <c r="EE16" s="216">
        <v>0</v>
      </c>
      <c r="EF16" s="216">
        <v>0</v>
      </c>
      <c r="EG16" s="216">
        <v>0</v>
      </c>
      <c r="EH16" s="216">
        <v>0</v>
      </c>
      <c r="EI16" s="216">
        <v>0</v>
      </c>
      <c r="EJ16" s="216">
        <v>0</v>
      </c>
      <c r="EK16" s="216">
        <v>0</v>
      </c>
      <c r="EL16" s="216">
        <v>0</v>
      </c>
      <c r="EM16" s="216">
        <v>0</v>
      </c>
      <c r="EN16" s="132" t="str">
        <f>SUM(EB16:EM16)</f>
        <v>0</v>
      </c>
      <c r="EO16" s="132">
        <v>0</v>
      </c>
      <c r="EP16" s="132">
        <v>0</v>
      </c>
      <c r="EQ16" s="132">
        <v>0</v>
      </c>
      <c r="ER16" s="132">
        <v>0</v>
      </c>
      <c r="ES16" s="132">
        <v>0</v>
      </c>
      <c r="ET16" s="132">
        <v>0</v>
      </c>
      <c r="EU16" s="132">
        <v>0</v>
      </c>
      <c r="EV16" s="132">
        <v>0</v>
      </c>
      <c r="EW16" s="132">
        <v>0</v>
      </c>
      <c r="EX16" s="132">
        <v>0</v>
      </c>
      <c r="EY16" s="132">
        <v>0</v>
      </c>
      <c r="EZ16" s="132">
        <v>0</v>
      </c>
      <c r="FA16" s="132" t="str">
        <f>SUM(EO16:EZ16)</f>
        <v>0</v>
      </c>
      <c r="FB16" s="181">
        <v>0</v>
      </c>
      <c r="FC16" s="181">
        <v>0</v>
      </c>
      <c r="FD16" s="181">
        <v>0</v>
      </c>
      <c r="FE16" s="181">
        <v>0</v>
      </c>
      <c r="FF16" s="181">
        <v>0</v>
      </c>
      <c r="FG16" s="181">
        <v>0</v>
      </c>
      <c r="FH16" s="181">
        <v>0</v>
      </c>
      <c r="FI16" s="181">
        <v>0</v>
      </c>
      <c r="FJ16" s="181">
        <v>0</v>
      </c>
      <c r="FK16" s="181">
        <v>0</v>
      </c>
      <c r="FL16" s="181">
        <v>0</v>
      </c>
      <c r="FM16" s="181">
        <v>0</v>
      </c>
      <c r="FN16" s="132" t="str">
        <f>SUM(FB16:FM16)</f>
        <v>0</v>
      </c>
      <c r="FO16" s="132">
        <v>0</v>
      </c>
      <c r="FP16" s="132">
        <v>0</v>
      </c>
      <c r="FQ16" s="132">
        <v>0</v>
      </c>
      <c r="FR16" s="132">
        <v>0</v>
      </c>
      <c r="FS16" s="132">
        <v>0</v>
      </c>
      <c r="FT16" s="132">
        <v>0</v>
      </c>
      <c r="FU16" s="132">
        <v>0</v>
      </c>
      <c r="FV16" s="132">
        <v>0</v>
      </c>
      <c r="FW16" s="132">
        <v>0</v>
      </c>
      <c r="FX16" s="132">
        <v>0</v>
      </c>
      <c r="FY16" s="132">
        <v>0</v>
      </c>
      <c r="FZ16" s="132">
        <v>0</v>
      </c>
      <c r="GA16" s="132" t="str">
        <f>SUM(FO16:FZ16)</f>
        <v>0</v>
      </c>
      <c r="GB16" s="181">
        <v>0</v>
      </c>
      <c r="GC16" s="181">
        <v>0</v>
      </c>
      <c r="GD16" s="181">
        <v>0</v>
      </c>
      <c r="GE16" s="181">
        <v>0</v>
      </c>
      <c r="GF16" s="181">
        <v>0</v>
      </c>
      <c r="GG16" s="181">
        <v>0</v>
      </c>
      <c r="GH16" s="181">
        <v>0</v>
      </c>
      <c r="GI16" s="181">
        <v>0</v>
      </c>
      <c r="GJ16" s="181">
        <v>0</v>
      </c>
      <c r="GK16" s="181">
        <v>0</v>
      </c>
      <c r="GL16" s="181">
        <v>0</v>
      </c>
      <c r="GM16" s="181">
        <v>0</v>
      </c>
      <c r="GN16" s="181" t="str">
        <f>SUM(GB16:GM16)</f>
        <v>0</v>
      </c>
      <c r="GO16" s="137">
        <v>0</v>
      </c>
      <c r="GP16" s="137">
        <v>0</v>
      </c>
      <c r="GQ16" s="137">
        <v>0</v>
      </c>
      <c r="GR16" s="137">
        <v>0</v>
      </c>
      <c r="GS16" s="137">
        <v>0</v>
      </c>
      <c r="GT16" s="137">
        <v>0</v>
      </c>
      <c r="GU16" s="137">
        <v>0</v>
      </c>
      <c r="GV16" s="137">
        <v>0</v>
      </c>
      <c r="GW16" s="137">
        <v>0</v>
      </c>
      <c r="GX16" s="137">
        <v>0</v>
      </c>
      <c r="GY16" s="137">
        <v>0</v>
      </c>
      <c r="GZ16" s="137">
        <v>0</v>
      </c>
      <c r="HA16" s="132" t="str">
        <f>SUM(GO16:GZ16)</f>
        <v>0</v>
      </c>
      <c r="HB16" s="181">
        <v>0</v>
      </c>
      <c r="HC16" s="181">
        <v>0</v>
      </c>
      <c r="HD16" s="181">
        <v>0</v>
      </c>
      <c r="HE16" s="181">
        <v>0</v>
      </c>
      <c r="HF16" s="181">
        <v>0</v>
      </c>
      <c r="HG16" s="181">
        <v>0</v>
      </c>
      <c r="HH16" s="181">
        <v>0</v>
      </c>
      <c r="HI16" s="181">
        <v>0</v>
      </c>
      <c r="HJ16" s="181">
        <v>0</v>
      </c>
      <c r="HK16" s="181">
        <v>0</v>
      </c>
      <c r="HL16" s="181">
        <v>0</v>
      </c>
      <c r="HM16" s="181">
        <v>0</v>
      </c>
      <c r="HN16" s="181" t="str">
        <f>SUM(HB16:HM16)</f>
        <v>0</v>
      </c>
      <c r="HO16" s="132">
        <v>97</v>
      </c>
      <c r="HP16" s="132">
        <v>97</v>
      </c>
      <c r="HQ16" s="132">
        <v>97</v>
      </c>
      <c r="HR16" s="132">
        <v>97</v>
      </c>
      <c r="HS16" s="132">
        <v>97</v>
      </c>
      <c r="HT16" s="132">
        <v>97</v>
      </c>
      <c r="HU16" s="132">
        <v>97</v>
      </c>
      <c r="HV16" s="132">
        <v>97</v>
      </c>
      <c r="HW16" s="132">
        <v>97</v>
      </c>
      <c r="HX16" s="132">
        <v>97</v>
      </c>
      <c r="HY16" s="132">
        <v>97</v>
      </c>
      <c r="HZ16" s="132">
        <v>97</v>
      </c>
      <c r="IA16" s="132" t="str">
        <f>SUM(HO16:HZ16)</f>
        <v>0</v>
      </c>
      <c r="IB16" s="181">
        <v>0</v>
      </c>
      <c r="IC16" s="181">
        <v>0</v>
      </c>
      <c r="ID16" s="181">
        <v>0</v>
      </c>
      <c r="IE16" s="181">
        <v>0</v>
      </c>
      <c r="IF16" s="181">
        <v>0</v>
      </c>
      <c r="IG16" s="181">
        <v>0</v>
      </c>
      <c r="IH16" s="181">
        <v>0</v>
      </c>
      <c r="II16" s="181">
        <v>0</v>
      </c>
      <c r="IJ16" s="181">
        <v>0</v>
      </c>
      <c r="IK16" s="181">
        <v>0</v>
      </c>
      <c r="IL16" s="181">
        <v>0</v>
      </c>
      <c r="IM16" s="181">
        <v>0</v>
      </c>
      <c r="IN16" s="181" t="str">
        <f>SUM(IB16:IM16)</f>
        <v>0</v>
      </c>
      <c r="IO16" s="181">
        <v>0</v>
      </c>
      <c r="IP16" s="181">
        <v>0</v>
      </c>
      <c r="IQ16" s="181">
        <v>0</v>
      </c>
      <c r="IR16" s="181">
        <v>0</v>
      </c>
      <c r="IS16" s="181">
        <v>0</v>
      </c>
      <c r="IT16" s="181">
        <v>0</v>
      </c>
      <c r="IU16" s="181">
        <v>0</v>
      </c>
      <c r="IV16" s="181">
        <v>0</v>
      </c>
      <c r="IW16" s="181">
        <v>0</v>
      </c>
      <c r="IX16" s="181">
        <v>0</v>
      </c>
      <c r="IY16" s="181">
        <v>0</v>
      </c>
      <c r="IZ16" s="181">
        <v>0</v>
      </c>
      <c r="JA16" s="181" t="str">
        <f>SUM(IO16:IZ16)</f>
        <v>0</v>
      </c>
      <c r="JC16" s="135" t="str">
        <f>B16+O16+AB16+AO16+BB16+BO16+CB16+CO16+DB16+DO16+EB16+EO16+FB16+FO16+GB16+GO16+HB16+HO16+IB16+IO16</f>
        <v>0</v>
      </c>
      <c r="JD16" s="135" t="str">
        <f>C16+P16+AC16+AP16+BC16+BP16+CC16+CP16+DC16+DP16+EC16+EP16+FC16+FP16+GC16+GP16+HC16+HP16+IC16+IP16</f>
        <v>0</v>
      </c>
      <c r="JE16" s="135" t="str">
        <f>D16+Q16+AD16+AQ16+BD16+BQ16+CD16+CQ16+DD16+DQ16+ED16+EQ16+FD16+FQ16+GD16+GQ16+HD16+HQ16+ID16+IQ16</f>
        <v>0</v>
      </c>
      <c r="JF16" s="135" t="str">
        <f>E16+R16+AE16+AR16+BE16+BR16+CE16+CR16+DE16+DR16+EE16+ER16+FE16+FR16+GE16+GR16+HE16+HR16+IE16+IR16</f>
        <v>0</v>
      </c>
      <c r="JG16" s="135" t="str">
        <f>F16+S16+AF16+AS16+BF16+BS16+CF16+CS16+DF16+DS16+EF16+ES16+FF16+FS16+GF16+GS16+HF16+HS16+IF16+IS16</f>
        <v>0</v>
      </c>
      <c r="JH16" s="135" t="str">
        <f>G16+T16+AG16+AT16+BG16+BT16+CG16+CT16+DG16+DT16+EG16+ET16+FG16+FT16+GG16+GT16+HG16+HT16+IG16+IT16</f>
        <v>0</v>
      </c>
      <c r="JI16" s="135" t="str">
        <f>H16+U16+AH16+AU16+BH16+BU16+CH16+CU16+DH16+DU16+EH16+EU16+FH16+FU16+GH16+GU16+HH16+HU16+IH16+IU16</f>
        <v>0</v>
      </c>
      <c r="JJ16" s="135" t="str">
        <f>I16+V16+AI16+AV16+BI16+BV16+CI16+CV16+DI16+DV16+EI16+EV16+FI16+FV16+GI16+GV16+HI16+HV16+II16+IV16</f>
        <v>0</v>
      </c>
      <c r="JK16" s="135" t="str">
        <f>J16+W16+AJ16+AW16+BJ16+BW16+CJ16+CW16+DJ16+DW16+EJ16+EW16+FJ16+FW16+GJ16+GW16+HJ16+HW16+IJ16+IW16</f>
        <v>0</v>
      </c>
      <c r="JL16" s="135" t="str">
        <f>K16+X16+AK16+AX16+BK16+BX16+CK16+CX16+DK16+DX16+EK16+EX16+FK16+FX16+GK16+GX16+HK16+HX16+IK16+IX16</f>
        <v>0</v>
      </c>
      <c r="JM16" s="135" t="str">
        <f>L16+Y16+AL16+AY16+BL16+BY16+CL16+CY16+DL16+DY16+EL16+EY16+FL16+FY16+GL16+GY16+HL16+HY16+IL16+IY16</f>
        <v>0</v>
      </c>
      <c r="JN16" s="135" t="str">
        <f>M16+Z16+AM16+AZ16+BM16+BZ16+CM16+CZ16+DM16+DZ16+EM16+EZ16+FM16+FZ16+GM16+GZ16+HM16+HZ16+IM16+IZ16</f>
        <v>0</v>
      </c>
      <c r="JO16" s="132" t="str">
        <f>SUM(JC16:JN16)</f>
        <v>0</v>
      </c>
      <c r="JQ16" s="139" t="str">
        <f>N16+AA16+AN16+BA16+BN16+CA16+CN16+DA16+DN16+EA16+EN16+FA16+FN16+GA16+GN16+HA16+HN16+IA16+IN16+JA16</f>
        <v>0</v>
      </c>
    </row>
    <row r="17" spans="1:278">
      <c r="A17" s="130" t="s">
        <v>414</v>
      </c>
      <c r="B17" s="131">
        <v>150</v>
      </c>
      <c r="C17" s="131">
        <v>150</v>
      </c>
      <c r="D17" s="131">
        <v>150</v>
      </c>
      <c r="E17" s="131">
        <v>150</v>
      </c>
      <c r="F17" s="131">
        <v>150</v>
      </c>
      <c r="G17" s="131">
        <v>150</v>
      </c>
      <c r="H17" s="131">
        <v>150</v>
      </c>
      <c r="I17" s="131">
        <v>150</v>
      </c>
      <c r="J17" s="131">
        <v>150</v>
      </c>
      <c r="K17" s="131">
        <v>150</v>
      </c>
      <c r="L17" s="131">
        <v>150</v>
      </c>
      <c r="M17" s="131">
        <v>150</v>
      </c>
      <c r="N17" s="132" t="str">
        <f>SUM(B17:M17)</f>
        <v>0</v>
      </c>
      <c r="O17" s="133">
        <v>500</v>
      </c>
      <c r="P17" s="133">
        <v>500</v>
      </c>
      <c r="Q17" s="133">
        <v>500</v>
      </c>
      <c r="R17" s="133">
        <v>500</v>
      </c>
      <c r="S17" s="133">
        <v>500</v>
      </c>
      <c r="T17" s="133">
        <v>500</v>
      </c>
      <c r="U17" s="133">
        <v>500</v>
      </c>
      <c r="V17" s="133">
        <v>500</v>
      </c>
      <c r="W17" s="133">
        <v>500</v>
      </c>
      <c r="X17" s="133">
        <v>500</v>
      </c>
      <c r="Y17" s="133">
        <v>500</v>
      </c>
      <c r="Z17" s="133">
        <v>500</v>
      </c>
      <c r="AA17" s="132" t="str">
        <f>SUM(O17:Z17)</f>
        <v>0</v>
      </c>
      <c r="AB17" s="131">
        <v>629</v>
      </c>
      <c r="AC17" s="131">
        <v>629</v>
      </c>
      <c r="AD17" s="131">
        <v>629</v>
      </c>
      <c r="AE17" s="131">
        <v>629</v>
      </c>
      <c r="AF17" s="131">
        <v>629</v>
      </c>
      <c r="AG17" s="131">
        <v>629</v>
      </c>
      <c r="AH17" s="131">
        <v>629</v>
      </c>
      <c r="AI17" s="131">
        <v>629</v>
      </c>
      <c r="AJ17" s="131">
        <v>629</v>
      </c>
      <c r="AK17" s="131">
        <v>629</v>
      </c>
      <c r="AL17" s="131">
        <v>629</v>
      </c>
      <c r="AM17" s="131">
        <v>629</v>
      </c>
      <c r="AN17" s="132" t="str">
        <f>SUM(AB17:AM17)</f>
        <v>0</v>
      </c>
      <c r="AO17" s="133">
        <v>393</v>
      </c>
      <c r="AP17" s="133">
        <v>393</v>
      </c>
      <c r="AQ17" s="133">
        <v>393</v>
      </c>
      <c r="AR17" s="133">
        <v>393</v>
      </c>
      <c r="AS17" s="133">
        <v>393</v>
      </c>
      <c r="AT17" s="133">
        <v>393</v>
      </c>
      <c r="AU17" s="133">
        <v>393</v>
      </c>
      <c r="AV17" s="133">
        <v>393</v>
      </c>
      <c r="AW17" s="133">
        <v>393</v>
      </c>
      <c r="AX17" s="133">
        <v>393</v>
      </c>
      <c r="AY17" s="133">
        <v>393</v>
      </c>
      <c r="AZ17" s="133">
        <v>393</v>
      </c>
      <c r="BA17" s="132" t="str">
        <f>SUM(AO17:AZ17)</f>
        <v>0</v>
      </c>
      <c r="BB17" s="134">
        <v>206</v>
      </c>
      <c r="BC17" s="134">
        <v>206</v>
      </c>
      <c r="BD17" s="134">
        <v>206</v>
      </c>
      <c r="BE17" s="134">
        <v>206</v>
      </c>
      <c r="BF17" s="134">
        <v>206</v>
      </c>
      <c r="BG17" s="134">
        <v>206</v>
      </c>
      <c r="BH17" s="134">
        <v>206</v>
      </c>
      <c r="BI17" s="134">
        <v>206</v>
      </c>
      <c r="BJ17" s="134">
        <v>206</v>
      </c>
      <c r="BK17" s="134">
        <v>206</v>
      </c>
      <c r="BL17" s="134">
        <v>206</v>
      </c>
      <c r="BM17" s="134">
        <v>206</v>
      </c>
      <c r="BN17" s="132" t="str">
        <f>SUM(BB17:BM17)</f>
        <v>0</v>
      </c>
      <c r="BO17" s="135">
        <v>113</v>
      </c>
      <c r="BP17" s="135">
        <v>113</v>
      </c>
      <c r="BQ17" s="135">
        <v>113</v>
      </c>
      <c r="BR17" s="135">
        <v>113</v>
      </c>
      <c r="BS17" s="135">
        <v>113</v>
      </c>
      <c r="BT17" s="135">
        <v>113</v>
      </c>
      <c r="BU17" s="135">
        <v>113</v>
      </c>
      <c r="BV17" s="135">
        <v>113</v>
      </c>
      <c r="BW17" s="135">
        <v>113</v>
      </c>
      <c r="BX17" s="135">
        <v>113</v>
      </c>
      <c r="BY17" s="135">
        <v>113</v>
      </c>
      <c r="BZ17" s="135">
        <v>113</v>
      </c>
      <c r="CA17" s="132" t="str">
        <f>SUM(BO17:BZ17)</f>
        <v>0</v>
      </c>
      <c r="CB17" s="136">
        <v>687</v>
      </c>
      <c r="CC17" s="136">
        <v>687</v>
      </c>
      <c r="CD17" s="136">
        <v>687</v>
      </c>
      <c r="CE17" s="136">
        <v>687</v>
      </c>
      <c r="CF17" s="136">
        <v>687</v>
      </c>
      <c r="CG17" s="136">
        <v>687</v>
      </c>
      <c r="CH17" s="136">
        <v>687</v>
      </c>
      <c r="CI17" s="136">
        <v>687</v>
      </c>
      <c r="CJ17" s="136">
        <v>687</v>
      </c>
      <c r="CK17" s="136">
        <v>687</v>
      </c>
      <c r="CL17" s="136">
        <v>687</v>
      </c>
      <c r="CM17" s="136">
        <v>687</v>
      </c>
      <c r="CN17" s="132" t="str">
        <f>SUM(CB17:CM17)</f>
        <v>0</v>
      </c>
      <c r="CO17" s="137">
        <v>432</v>
      </c>
      <c r="CP17" s="137">
        <v>432</v>
      </c>
      <c r="CQ17" s="137">
        <v>432</v>
      </c>
      <c r="CR17" s="137">
        <v>432</v>
      </c>
      <c r="CS17" s="137">
        <v>432</v>
      </c>
      <c r="CT17" s="137">
        <v>432</v>
      </c>
      <c r="CU17" s="137">
        <v>432</v>
      </c>
      <c r="CV17" s="137">
        <v>432</v>
      </c>
      <c r="CW17" s="137">
        <v>432</v>
      </c>
      <c r="CX17" s="137">
        <v>432</v>
      </c>
      <c r="CY17" s="137">
        <v>432</v>
      </c>
      <c r="CZ17" s="137">
        <v>432</v>
      </c>
      <c r="DA17" s="132" t="str">
        <f>SUM(CO17:CZ17)</f>
        <v>0</v>
      </c>
      <c r="DB17" s="136">
        <v>284</v>
      </c>
      <c r="DC17" s="136">
        <v>284</v>
      </c>
      <c r="DD17" s="136">
        <v>284</v>
      </c>
      <c r="DE17" s="136">
        <v>284</v>
      </c>
      <c r="DF17" s="136">
        <v>284</v>
      </c>
      <c r="DG17" s="136">
        <v>284</v>
      </c>
      <c r="DH17" s="136">
        <v>284</v>
      </c>
      <c r="DI17" s="136">
        <v>284</v>
      </c>
      <c r="DJ17" s="136">
        <v>284</v>
      </c>
      <c r="DK17" s="136">
        <v>284</v>
      </c>
      <c r="DL17" s="136">
        <v>284</v>
      </c>
      <c r="DM17" s="136">
        <v>284</v>
      </c>
      <c r="DN17" s="132" t="str">
        <f>SUM(DB17:DM17)</f>
        <v>0</v>
      </c>
      <c r="DO17" s="137">
        <v>240</v>
      </c>
      <c r="DP17" s="137">
        <v>240</v>
      </c>
      <c r="DQ17" s="137">
        <v>240</v>
      </c>
      <c r="DR17" s="137">
        <v>240</v>
      </c>
      <c r="DS17" s="137">
        <v>240</v>
      </c>
      <c r="DT17" s="137">
        <v>240</v>
      </c>
      <c r="DU17" s="137">
        <v>240</v>
      </c>
      <c r="DV17" s="137">
        <v>240</v>
      </c>
      <c r="DW17" s="137">
        <v>240</v>
      </c>
      <c r="DX17" s="137">
        <v>240</v>
      </c>
      <c r="DY17" s="137">
        <v>240</v>
      </c>
      <c r="DZ17" s="137">
        <v>240</v>
      </c>
      <c r="EA17" s="132" t="str">
        <f>SUM(DO17:DZ17)</f>
        <v>0</v>
      </c>
      <c r="EB17" s="216">
        <v>0</v>
      </c>
      <c r="EC17" s="216">
        <v>0</v>
      </c>
      <c r="ED17" s="216">
        <v>0</v>
      </c>
      <c r="EE17" s="216">
        <v>0</v>
      </c>
      <c r="EF17" s="216">
        <v>0</v>
      </c>
      <c r="EG17" s="216">
        <v>0</v>
      </c>
      <c r="EH17" s="216">
        <v>0</v>
      </c>
      <c r="EI17" s="216">
        <v>0</v>
      </c>
      <c r="EJ17" s="216">
        <v>0</v>
      </c>
      <c r="EK17" s="216">
        <v>0</v>
      </c>
      <c r="EL17" s="216">
        <v>0</v>
      </c>
      <c r="EM17" s="216">
        <v>0</v>
      </c>
      <c r="EN17" s="132" t="str">
        <f>SUM(EB17:EM17)</f>
        <v>0</v>
      </c>
      <c r="EO17" s="132">
        <v>0</v>
      </c>
      <c r="EP17" s="132">
        <v>0</v>
      </c>
      <c r="EQ17" s="132">
        <v>0</v>
      </c>
      <c r="ER17" s="132">
        <v>0</v>
      </c>
      <c r="ES17" s="132">
        <v>0</v>
      </c>
      <c r="ET17" s="132">
        <v>0</v>
      </c>
      <c r="EU17" s="132">
        <v>0</v>
      </c>
      <c r="EV17" s="132">
        <v>0</v>
      </c>
      <c r="EW17" s="132">
        <v>0</v>
      </c>
      <c r="EX17" s="132">
        <v>0</v>
      </c>
      <c r="EY17" s="132">
        <v>0</v>
      </c>
      <c r="EZ17" s="132">
        <v>0</v>
      </c>
      <c r="FA17" s="132" t="str">
        <f>SUM(EO17:EZ17)</f>
        <v>0</v>
      </c>
      <c r="FB17" s="181">
        <v>0</v>
      </c>
      <c r="FC17" s="181">
        <v>0</v>
      </c>
      <c r="FD17" s="181">
        <v>0</v>
      </c>
      <c r="FE17" s="181">
        <v>0</v>
      </c>
      <c r="FF17" s="181">
        <v>0</v>
      </c>
      <c r="FG17" s="181">
        <v>0</v>
      </c>
      <c r="FH17" s="181">
        <v>0</v>
      </c>
      <c r="FI17" s="181">
        <v>0</v>
      </c>
      <c r="FJ17" s="181">
        <v>0</v>
      </c>
      <c r="FK17" s="181">
        <v>0</v>
      </c>
      <c r="FL17" s="181">
        <v>0</v>
      </c>
      <c r="FM17" s="181">
        <v>0</v>
      </c>
      <c r="FN17" s="132" t="str">
        <f>SUM(FB17:FM17)</f>
        <v>0</v>
      </c>
      <c r="FO17" s="132">
        <v>0</v>
      </c>
      <c r="FP17" s="132">
        <v>0</v>
      </c>
      <c r="FQ17" s="132">
        <v>0</v>
      </c>
      <c r="FR17" s="132">
        <v>0</v>
      </c>
      <c r="FS17" s="132">
        <v>0</v>
      </c>
      <c r="FT17" s="132">
        <v>0</v>
      </c>
      <c r="FU17" s="132">
        <v>0</v>
      </c>
      <c r="FV17" s="132">
        <v>0</v>
      </c>
      <c r="FW17" s="132">
        <v>0</v>
      </c>
      <c r="FX17" s="132">
        <v>0</v>
      </c>
      <c r="FY17" s="132">
        <v>0</v>
      </c>
      <c r="FZ17" s="132">
        <v>0</v>
      </c>
      <c r="GA17" s="132" t="str">
        <f>SUM(FO17:FZ17)</f>
        <v>0</v>
      </c>
      <c r="GB17" s="181">
        <v>0</v>
      </c>
      <c r="GC17" s="181">
        <v>0</v>
      </c>
      <c r="GD17" s="181">
        <v>0</v>
      </c>
      <c r="GE17" s="181">
        <v>0</v>
      </c>
      <c r="GF17" s="181">
        <v>0</v>
      </c>
      <c r="GG17" s="181">
        <v>0</v>
      </c>
      <c r="GH17" s="181">
        <v>0</v>
      </c>
      <c r="GI17" s="181">
        <v>0</v>
      </c>
      <c r="GJ17" s="181">
        <v>0</v>
      </c>
      <c r="GK17" s="181">
        <v>0</v>
      </c>
      <c r="GL17" s="181">
        <v>0</v>
      </c>
      <c r="GM17" s="181">
        <v>0</v>
      </c>
      <c r="GN17" s="181" t="str">
        <f>SUM(GB17:GM17)</f>
        <v>0</v>
      </c>
      <c r="GO17" s="137">
        <v>0</v>
      </c>
      <c r="GP17" s="137">
        <v>0</v>
      </c>
      <c r="GQ17" s="137">
        <v>0</v>
      </c>
      <c r="GR17" s="137">
        <v>0</v>
      </c>
      <c r="GS17" s="137">
        <v>0</v>
      </c>
      <c r="GT17" s="137">
        <v>0</v>
      </c>
      <c r="GU17" s="137">
        <v>0</v>
      </c>
      <c r="GV17" s="137">
        <v>0</v>
      </c>
      <c r="GW17" s="137">
        <v>0</v>
      </c>
      <c r="GX17" s="137">
        <v>0</v>
      </c>
      <c r="GY17" s="137">
        <v>0</v>
      </c>
      <c r="GZ17" s="137">
        <v>0</v>
      </c>
      <c r="HA17" s="132" t="str">
        <f>SUM(GO17:GZ17)</f>
        <v>0</v>
      </c>
      <c r="HB17" s="181">
        <v>0</v>
      </c>
      <c r="HC17" s="181">
        <v>0</v>
      </c>
      <c r="HD17" s="181">
        <v>0</v>
      </c>
      <c r="HE17" s="181">
        <v>0</v>
      </c>
      <c r="HF17" s="181">
        <v>0</v>
      </c>
      <c r="HG17" s="181">
        <v>0</v>
      </c>
      <c r="HH17" s="181">
        <v>0</v>
      </c>
      <c r="HI17" s="181">
        <v>0</v>
      </c>
      <c r="HJ17" s="181">
        <v>0</v>
      </c>
      <c r="HK17" s="181">
        <v>0</v>
      </c>
      <c r="HL17" s="181">
        <v>0</v>
      </c>
      <c r="HM17" s="181">
        <v>0</v>
      </c>
      <c r="HN17" s="181" t="str">
        <f>SUM(HB17:HM17)</f>
        <v>0</v>
      </c>
      <c r="HO17" s="132">
        <v>97</v>
      </c>
      <c r="HP17" s="132">
        <v>97</v>
      </c>
      <c r="HQ17" s="132">
        <v>97</v>
      </c>
      <c r="HR17" s="132">
        <v>97</v>
      </c>
      <c r="HS17" s="132">
        <v>97</v>
      </c>
      <c r="HT17" s="132">
        <v>97</v>
      </c>
      <c r="HU17" s="132">
        <v>97</v>
      </c>
      <c r="HV17" s="132">
        <v>97</v>
      </c>
      <c r="HW17" s="132">
        <v>97</v>
      </c>
      <c r="HX17" s="132">
        <v>97</v>
      </c>
      <c r="HY17" s="132">
        <v>97</v>
      </c>
      <c r="HZ17" s="132">
        <v>97</v>
      </c>
      <c r="IA17" s="132" t="str">
        <f>SUM(HO17:HZ17)</f>
        <v>0</v>
      </c>
      <c r="IB17" s="181">
        <v>0</v>
      </c>
      <c r="IC17" s="181">
        <v>0</v>
      </c>
      <c r="ID17" s="181">
        <v>0</v>
      </c>
      <c r="IE17" s="181">
        <v>0</v>
      </c>
      <c r="IF17" s="181">
        <v>0</v>
      </c>
      <c r="IG17" s="181">
        <v>0</v>
      </c>
      <c r="IH17" s="181">
        <v>0</v>
      </c>
      <c r="II17" s="181">
        <v>0</v>
      </c>
      <c r="IJ17" s="181">
        <v>0</v>
      </c>
      <c r="IK17" s="181">
        <v>0</v>
      </c>
      <c r="IL17" s="181">
        <v>0</v>
      </c>
      <c r="IM17" s="181">
        <v>0</v>
      </c>
      <c r="IN17" s="181" t="str">
        <f>SUM(IB17:IM17)</f>
        <v>0</v>
      </c>
      <c r="IO17" s="181">
        <v>0</v>
      </c>
      <c r="IP17" s="181">
        <v>0</v>
      </c>
      <c r="IQ17" s="181">
        <v>0</v>
      </c>
      <c r="IR17" s="181">
        <v>0</v>
      </c>
      <c r="IS17" s="181">
        <v>0</v>
      </c>
      <c r="IT17" s="181">
        <v>0</v>
      </c>
      <c r="IU17" s="181">
        <v>0</v>
      </c>
      <c r="IV17" s="181">
        <v>0</v>
      </c>
      <c r="IW17" s="181">
        <v>0</v>
      </c>
      <c r="IX17" s="181">
        <v>0</v>
      </c>
      <c r="IY17" s="181">
        <v>0</v>
      </c>
      <c r="IZ17" s="181">
        <v>0</v>
      </c>
      <c r="JA17" s="181" t="str">
        <f>SUM(IO17:IZ17)</f>
        <v>0</v>
      </c>
      <c r="JC17" s="135" t="str">
        <f>B17+O17+AB17+AO17+BB17+BO17+CB17+CO17+DB17+DO17+EB17+EO17+FB17+FO17+GB17+GO17+HB17+HO17+IB17+IO17</f>
        <v>0</v>
      </c>
      <c r="JD17" s="135" t="str">
        <f>C17+P17+AC17+AP17+BC17+BP17+CC17+CP17+DC17+DP17+EC17+EP17+FC17+FP17+GC17+GP17+HC17+HP17+IC17+IP17</f>
        <v>0</v>
      </c>
      <c r="JE17" s="135" t="str">
        <f>D17+Q17+AD17+AQ17+BD17+BQ17+CD17+CQ17+DD17+DQ17+ED17+EQ17+FD17+FQ17+GD17+GQ17+HD17+HQ17+ID17+IQ17</f>
        <v>0</v>
      </c>
      <c r="JF17" s="135" t="str">
        <f>E17+R17+AE17+AR17+BE17+BR17+CE17+CR17+DE17+DR17+EE17+ER17+FE17+FR17+GE17+GR17+HE17+HR17+IE17+IR17</f>
        <v>0</v>
      </c>
      <c r="JG17" s="135" t="str">
        <f>F17+S17+AF17+AS17+BF17+BS17+CF17+CS17+DF17+DS17+EF17+ES17+FF17+FS17+GF17+GS17+HF17+HS17+IF17+IS17</f>
        <v>0</v>
      </c>
      <c r="JH17" s="135" t="str">
        <f>G17+T17+AG17+AT17+BG17+BT17+CG17+CT17+DG17+DT17+EG17+ET17+FG17+FT17+GG17+GT17+HG17+HT17+IG17+IT17</f>
        <v>0</v>
      </c>
      <c r="JI17" s="135" t="str">
        <f>H17+U17+AH17+AU17+BH17+BU17+CH17+CU17+DH17+DU17+EH17+EU17+FH17+FU17+GH17+GU17+HH17+HU17+IH17+IU17</f>
        <v>0</v>
      </c>
      <c r="JJ17" s="135" t="str">
        <f>I17+V17+AI17+AV17+BI17+BV17+CI17+CV17+DI17+DV17+EI17+EV17+FI17+FV17+GI17+GV17+HI17+HV17+II17+IV17</f>
        <v>0</v>
      </c>
      <c r="JK17" s="135" t="str">
        <f>J17+W17+AJ17+AW17+BJ17+BW17+CJ17+CW17+DJ17+DW17+EJ17+EW17+FJ17+FW17+GJ17+GW17+HJ17+HW17+IJ17+IW17</f>
        <v>0</v>
      </c>
      <c r="JL17" s="135" t="str">
        <f>K17+X17+AK17+AX17+BK17+BX17+CK17+CX17+DK17+DX17+EK17+EX17+FK17+FX17+GK17+GX17+HK17+HX17+IK17+IX17</f>
        <v>0</v>
      </c>
      <c r="JM17" s="135" t="str">
        <f>L17+Y17+AL17+AY17+BL17+BY17+CL17+CY17+DL17+DY17+EL17+EY17+FL17+FY17+GL17+GY17+HL17+HY17+IL17+IY17</f>
        <v>0</v>
      </c>
      <c r="JN17" s="135" t="str">
        <f>M17+Z17+AM17+AZ17+BM17+BZ17+CM17+CZ17+DM17+DZ17+EM17+EZ17+FM17+FZ17+GM17+GZ17+HM17+HZ17+IM17+IZ17</f>
        <v>0</v>
      </c>
      <c r="JO17" s="132" t="str">
        <f>SUM(JC17:JN17)</f>
        <v>0</v>
      </c>
      <c r="JQ17" s="139" t="str">
        <f>N17+AA17+AN17+BA17+BN17+CA17+CN17+DA17+DN17+EA17+EN17+FA17+FN17+GA17+GN17+HA17+HN17+IA17+IN17+JA17</f>
        <v>0</v>
      </c>
    </row>
    <row r="18" spans="1:278">
      <c r="A18" s="130" t="s">
        <v>420</v>
      </c>
      <c r="B18" s="131">
        <v>150</v>
      </c>
      <c r="C18" s="131">
        <v>150</v>
      </c>
      <c r="D18" s="131">
        <v>150</v>
      </c>
      <c r="E18" s="131">
        <v>150</v>
      </c>
      <c r="F18" s="131">
        <v>150</v>
      </c>
      <c r="G18" s="131">
        <v>150</v>
      </c>
      <c r="H18" s="131">
        <v>150</v>
      </c>
      <c r="I18" s="131">
        <v>150</v>
      </c>
      <c r="J18" s="131">
        <v>150</v>
      </c>
      <c r="K18" s="131">
        <v>150</v>
      </c>
      <c r="L18" s="131">
        <v>150</v>
      </c>
      <c r="M18" s="131">
        <v>150</v>
      </c>
      <c r="N18" s="132" t="str">
        <f>SUM(B18:M18)</f>
        <v>0</v>
      </c>
      <c r="O18" s="133">
        <v>250</v>
      </c>
      <c r="P18" s="133">
        <v>250</v>
      </c>
      <c r="Q18" s="133">
        <v>250</v>
      </c>
      <c r="R18" s="133">
        <v>250</v>
      </c>
      <c r="S18" s="133">
        <v>250</v>
      </c>
      <c r="T18" s="133">
        <v>250</v>
      </c>
      <c r="U18" s="133">
        <v>250</v>
      </c>
      <c r="V18" s="133">
        <v>250</v>
      </c>
      <c r="W18" s="133">
        <v>250</v>
      </c>
      <c r="X18" s="133">
        <v>250</v>
      </c>
      <c r="Y18" s="133">
        <v>250</v>
      </c>
      <c r="Z18" s="133">
        <v>250</v>
      </c>
      <c r="AA18" s="132" t="str">
        <f>SUM(O18:Z18)</f>
        <v>0</v>
      </c>
      <c r="AB18" s="131">
        <v>580</v>
      </c>
      <c r="AC18" s="131">
        <v>580</v>
      </c>
      <c r="AD18" s="131">
        <v>580</v>
      </c>
      <c r="AE18" s="131">
        <v>580</v>
      </c>
      <c r="AF18" s="131">
        <v>580</v>
      </c>
      <c r="AG18" s="131">
        <v>580</v>
      </c>
      <c r="AH18" s="131">
        <v>580</v>
      </c>
      <c r="AI18" s="131">
        <v>580</v>
      </c>
      <c r="AJ18" s="131">
        <v>580</v>
      </c>
      <c r="AK18" s="131">
        <v>580</v>
      </c>
      <c r="AL18" s="131">
        <v>580</v>
      </c>
      <c r="AM18" s="131">
        <v>580</v>
      </c>
      <c r="AN18" s="132" t="str">
        <f>SUM(AB18:AM18)</f>
        <v>0</v>
      </c>
      <c r="AO18" s="133">
        <v>362</v>
      </c>
      <c r="AP18" s="133">
        <v>362</v>
      </c>
      <c r="AQ18" s="133">
        <v>362</v>
      </c>
      <c r="AR18" s="133">
        <v>362</v>
      </c>
      <c r="AS18" s="133">
        <v>362</v>
      </c>
      <c r="AT18" s="133">
        <v>362</v>
      </c>
      <c r="AU18" s="133">
        <v>362</v>
      </c>
      <c r="AV18" s="133">
        <v>362</v>
      </c>
      <c r="AW18" s="133">
        <v>362</v>
      </c>
      <c r="AX18" s="133">
        <v>362</v>
      </c>
      <c r="AY18" s="133">
        <v>362</v>
      </c>
      <c r="AZ18" s="133">
        <v>362</v>
      </c>
      <c r="BA18" s="132" t="str">
        <f>SUM(AO18:AZ18)</f>
        <v>0</v>
      </c>
      <c r="BB18" s="134">
        <v>206</v>
      </c>
      <c r="BC18" s="134">
        <v>206</v>
      </c>
      <c r="BD18" s="134">
        <v>206</v>
      </c>
      <c r="BE18" s="134">
        <v>206</v>
      </c>
      <c r="BF18" s="134">
        <v>206</v>
      </c>
      <c r="BG18" s="134">
        <v>206</v>
      </c>
      <c r="BH18" s="134">
        <v>206</v>
      </c>
      <c r="BI18" s="134">
        <v>206</v>
      </c>
      <c r="BJ18" s="134">
        <v>206</v>
      </c>
      <c r="BK18" s="134">
        <v>206</v>
      </c>
      <c r="BL18" s="134">
        <v>206</v>
      </c>
      <c r="BM18" s="134">
        <v>206</v>
      </c>
      <c r="BN18" s="132" t="str">
        <f>SUM(BB18:BM18)</f>
        <v>0</v>
      </c>
      <c r="BO18" s="135">
        <v>129</v>
      </c>
      <c r="BP18" s="135">
        <v>129</v>
      </c>
      <c r="BQ18" s="135">
        <v>129</v>
      </c>
      <c r="BR18" s="135">
        <v>129</v>
      </c>
      <c r="BS18" s="135">
        <v>129</v>
      </c>
      <c r="BT18" s="135">
        <v>129</v>
      </c>
      <c r="BU18" s="135">
        <v>129</v>
      </c>
      <c r="BV18" s="135">
        <v>129</v>
      </c>
      <c r="BW18" s="135">
        <v>129</v>
      </c>
      <c r="BX18" s="135">
        <v>129</v>
      </c>
      <c r="BY18" s="135">
        <v>129</v>
      </c>
      <c r="BZ18" s="135">
        <v>129</v>
      </c>
      <c r="CA18" s="132" t="str">
        <f>SUM(BO18:BZ18)</f>
        <v>0</v>
      </c>
      <c r="CB18" s="136">
        <v>639</v>
      </c>
      <c r="CC18" s="136">
        <v>639</v>
      </c>
      <c r="CD18" s="136">
        <v>639</v>
      </c>
      <c r="CE18" s="136">
        <v>639</v>
      </c>
      <c r="CF18" s="136">
        <v>639</v>
      </c>
      <c r="CG18" s="136">
        <v>639</v>
      </c>
      <c r="CH18" s="136">
        <v>639</v>
      </c>
      <c r="CI18" s="136">
        <v>639</v>
      </c>
      <c r="CJ18" s="136">
        <v>639</v>
      </c>
      <c r="CK18" s="136">
        <v>639</v>
      </c>
      <c r="CL18" s="136">
        <v>639</v>
      </c>
      <c r="CM18" s="136">
        <v>639</v>
      </c>
      <c r="CN18" s="132" t="str">
        <f>SUM(CB18:CM18)</f>
        <v>0</v>
      </c>
      <c r="CO18" s="137">
        <v>410</v>
      </c>
      <c r="CP18" s="137">
        <v>410</v>
      </c>
      <c r="CQ18" s="137">
        <v>410</v>
      </c>
      <c r="CR18" s="137">
        <v>410</v>
      </c>
      <c r="CS18" s="137">
        <v>410</v>
      </c>
      <c r="CT18" s="137">
        <v>410</v>
      </c>
      <c r="CU18" s="137">
        <v>410</v>
      </c>
      <c r="CV18" s="137">
        <v>410</v>
      </c>
      <c r="CW18" s="137">
        <v>410</v>
      </c>
      <c r="CX18" s="137">
        <v>410</v>
      </c>
      <c r="CY18" s="137">
        <v>410</v>
      </c>
      <c r="CZ18" s="137">
        <v>410</v>
      </c>
      <c r="DA18" s="132" t="str">
        <f>SUM(CO18:CZ18)</f>
        <v>0</v>
      </c>
      <c r="DB18" s="136">
        <v>300</v>
      </c>
      <c r="DC18" s="136">
        <v>300</v>
      </c>
      <c r="DD18" s="136">
        <v>300</v>
      </c>
      <c r="DE18" s="136">
        <v>300</v>
      </c>
      <c r="DF18" s="136">
        <v>300</v>
      </c>
      <c r="DG18" s="136">
        <v>300</v>
      </c>
      <c r="DH18" s="136">
        <v>300</v>
      </c>
      <c r="DI18" s="136">
        <v>300</v>
      </c>
      <c r="DJ18" s="136">
        <v>300</v>
      </c>
      <c r="DK18" s="136">
        <v>300</v>
      </c>
      <c r="DL18" s="136">
        <v>300</v>
      </c>
      <c r="DM18" s="136">
        <v>300</v>
      </c>
      <c r="DN18" s="132" t="str">
        <f>SUM(DB18:DM18)</f>
        <v>0</v>
      </c>
      <c r="DO18" s="137">
        <v>240</v>
      </c>
      <c r="DP18" s="137">
        <v>240</v>
      </c>
      <c r="DQ18" s="137">
        <v>240</v>
      </c>
      <c r="DR18" s="137">
        <v>240</v>
      </c>
      <c r="DS18" s="137">
        <v>240</v>
      </c>
      <c r="DT18" s="137">
        <v>240</v>
      </c>
      <c r="DU18" s="137">
        <v>240</v>
      </c>
      <c r="DV18" s="137">
        <v>240</v>
      </c>
      <c r="DW18" s="137">
        <v>240</v>
      </c>
      <c r="DX18" s="137">
        <v>240</v>
      </c>
      <c r="DY18" s="137">
        <v>240</v>
      </c>
      <c r="DZ18" s="137">
        <v>240</v>
      </c>
      <c r="EA18" s="132" t="str">
        <f>SUM(DO18:DZ18)</f>
        <v>0</v>
      </c>
      <c r="EB18" s="216">
        <v>0</v>
      </c>
      <c r="EC18" s="216">
        <v>0</v>
      </c>
      <c r="ED18" s="216">
        <v>0</v>
      </c>
      <c r="EE18" s="216">
        <v>0</v>
      </c>
      <c r="EF18" s="216">
        <v>0</v>
      </c>
      <c r="EG18" s="216">
        <v>0</v>
      </c>
      <c r="EH18" s="216">
        <v>0</v>
      </c>
      <c r="EI18" s="216">
        <v>0</v>
      </c>
      <c r="EJ18" s="216">
        <v>0</v>
      </c>
      <c r="EK18" s="216">
        <v>0</v>
      </c>
      <c r="EL18" s="216">
        <v>0</v>
      </c>
      <c r="EM18" s="216">
        <v>0</v>
      </c>
      <c r="EN18" s="132" t="str">
        <f>SUM(EB18:EM18)</f>
        <v>0</v>
      </c>
      <c r="EO18" s="132">
        <v>0</v>
      </c>
      <c r="EP18" s="132">
        <v>0</v>
      </c>
      <c r="EQ18" s="132">
        <v>0</v>
      </c>
      <c r="ER18" s="132">
        <v>0</v>
      </c>
      <c r="ES18" s="132">
        <v>0</v>
      </c>
      <c r="ET18" s="132">
        <v>0</v>
      </c>
      <c r="EU18" s="132">
        <v>0</v>
      </c>
      <c r="EV18" s="132">
        <v>0</v>
      </c>
      <c r="EW18" s="132">
        <v>0</v>
      </c>
      <c r="EX18" s="132">
        <v>0</v>
      </c>
      <c r="EY18" s="132">
        <v>0</v>
      </c>
      <c r="EZ18" s="132">
        <v>0</v>
      </c>
      <c r="FA18" s="132" t="str">
        <f>SUM(EO18:EZ18)</f>
        <v>0</v>
      </c>
      <c r="FB18" s="181">
        <v>0</v>
      </c>
      <c r="FC18" s="181">
        <v>0</v>
      </c>
      <c r="FD18" s="181">
        <v>0</v>
      </c>
      <c r="FE18" s="181">
        <v>0</v>
      </c>
      <c r="FF18" s="181">
        <v>0</v>
      </c>
      <c r="FG18" s="181">
        <v>0</v>
      </c>
      <c r="FH18" s="181">
        <v>0</v>
      </c>
      <c r="FI18" s="181">
        <v>0</v>
      </c>
      <c r="FJ18" s="181">
        <v>0</v>
      </c>
      <c r="FK18" s="181">
        <v>0</v>
      </c>
      <c r="FL18" s="181">
        <v>0</v>
      </c>
      <c r="FM18" s="181">
        <v>0</v>
      </c>
      <c r="FN18" s="132" t="str">
        <f>SUM(FB18:FM18)</f>
        <v>0</v>
      </c>
      <c r="FO18" s="132">
        <v>0</v>
      </c>
      <c r="FP18" s="132">
        <v>0</v>
      </c>
      <c r="FQ18" s="132">
        <v>0</v>
      </c>
      <c r="FR18" s="132">
        <v>0</v>
      </c>
      <c r="FS18" s="132">
        <v>0</v>
      </c>
      <c r="FT18" s="132">
        <v>0</v>
      </c>
      <c r="FU18" s="132">
        <v>0</v>
      </c>
      <c r="FV18" s="132">
        <v>0</v>
      </c>
      <c r="FW18" s="132">
        <v>0</v>
      </c>
      <c r="FX18" s="132">
        <v>0</v>
      </c>
      <c r="FY18" s="132">
        <v>0</v>
      </c>
      <c r="FZ18" s="132">
        <v>0</v>
      </c>
      <c r="GA18" s="132" t="str">
        <f>SUM(FO18:FZ18)</f>
        <v>0</v>
      </c>
      <c r="GB18" s="181">
        <v>0</v>
      </c>
      <c r="GC18" s="181">
        <v>0</v>
      </c>
      <c r="GD18" s="181">
        <v>0</v>
      </c>
      <c r="GE18" s="181">
        <v>0</v>
      </c>
      <c r="GF18" s="181">
        <v>0</v>
      </c>
      <c r="GG18" s="181">
        <v>0</v>
      </c>
      <c r="GH18" s="181">
        <v>0</v>
      </c>
      <c r="GI18" s="181">
        <v>0</v>
      </c>
      <c r="GJ18" s="181">
        <v>0</v>
      </c>
      <c r="GK18" s="181">
        <v>0</v>
      </c>
      <c r="GL18" s="181">
        <v>0</v>
      </c>
      <c r="GM18" s="181">
        <v>0</v>
      </c>
      <c r="GN18" s="181" t="str">
        <f>SUM(GB18:GM18)</f>
        <v>0</v>
      </c>
      <c r="GO18" s="137">
        <v>0</v>
      </c>
      <c r="GP18" s="137">
        <v>0</v>
      </c>
      <c r="GQ18" s="137">
        <v>0</v>
      </c>
      <c r="GR18" s="137">
        <v>0</v>
      </c>
      <c r="GS18" s="137">
        <v>0</v>
      </c>
      <c r="GT18" s="137">
        <v>0</v>
      </c>
      <c r="GU18" s="137">
        <v>0</v>
      </c>
      <c r="GV18" s="137">
        <v>0</v>
      </c>
      <c r="GW18" s="137">
        <v>0</v>
      </c>
      <c r="GX18" s="137">
        <v>0</v>
      </c>
      <c r="GY18" s="137">
        <v>0</v>
      </c>
      <c r="GZ18" s="137">
        <v>0</v>
      </c>
      <c r="HA18" s="132" t="str">
        <f>SUM(GO18:GZ18)</f>
        <v>0</v>
      </c>
      <c r="HB18" s="181">
        <v>0</v>
      </c>
      <c r="HC18" s="181">
        <v>0</v>
      </c>
      <c r="HD18" s="181">
        <v>0</v>
      </c>
      <c r="HE18" s="181">
        <v>0</v>
      </c>
      <c r="HF18" s="181">
        <v>0</v>
      </c>
      <c r="HG18" s="181">
        <v>0</v>
      </c>
      <c r="HH18" s="181">
        <v>0</v>
      </c>
      <c r="HI18" s="181">
        <v>0</v>
      </c>
      <c r="HJ18" s="181">
        <v>0</v>
      </c>
      <c r="HK18" s="181">
        <v>0</v>
      </c>
      <c r="HL18" s="181">
        <v>0</v>
      </c>
      <c r="HM18" s="181">
        <v>0</v>
      </c>
      <c r="HN18" s="181" t="str">
        <f>SUM(HB18:HM18)</f>
        <v>0</v>
      </c>
      <c r="HO18" s="132">
        <v>97</v>
      </c>
      <c r="HP18" s="132">
        <v>97</v>
      </c>
      <c r="HQ18" s="132">
        <v>97</v>
      </c>
      <c r="HR18" s="132">
        <v>97</v>
      </c>
      <c r="HS18" s="132">
        <v>97</v>
      </c>
      <c r="HT18" s="132">
        <v>97</v>
      </c>
      <c r="HU18" s="132">
        <v>97</v>
      </c>
      <c r="HV18" s="132">
        <v>97</v>
      </c>
      <c r="HW18" s="132">
        <v>97</v>
      </c>
      <c r="HX18" s="132">
        <v>97</v>
      </c>
      <c r="HY18" s="132">
        <v>97</v>
      </c>
      <c r="HZ18" s="132">
        <v>97</v>
      </c>
      <c r="IA18" s="132" t="str">
        <f>SUM(HO18:HZ18)</f>
        <v>0</v>
      </c>
      <c r="IB18" s="181">
        <v>0</v>
      </c>
      <c r="IC18" s="181">
        <v>0</v>
      </c>
      <c r="ID18" s="181">
        <v>0</v>
      </c>
      <c r="IE18" s="181">
        <v>0</v>
      </c>
      <c r="IF18" s="181">
        <v>0</v>
      </c>
      <c r="IG18" s="181">
        <v>0</v>
      </c>
      <c r="IH18" s="181">
        <v>0</v>
      </c>
      <c r="II18" s="181">
        <v>0</v>
      </c>
      <c r="IJ18" s="181">
        <v>0</v>
      </c>
      <c r="IK18" s="181">
        <v>0</v>
      </c>
      <c r="IL18" s="181">
        <v>0</v>
      </c>
      <c r="IM18" s="181">
        <v>0</v>
      </c>
      <c r="IN18" s="181" t="str">
        <f>SUM(IB18:IM18)</f>
        <v>0</v>
      </c>
      <c r="IO18" s="181">
        <v>0</v>
      </c>
      <c r="IP18" s="181">
        <v>0</v>
      </c>
      <c r="IQ18" s="181">
        <v>0</v>
      </c>
      <c r="IR18" s="181">
        <v>0</v>
      </c>
      <c r="IS18" s="181">
        <v>0</v>
      </c>
      <c r="IT18" s="181">
        <v>0</v>
      </c>
      <c r="IU18" s="181">
        <v>0</v>
      </c>
      <c r="IV18" s="181">
        <v>0</v>
      </c>
      <c r="IW18" s="181">
        <v>0</v>
      </c>
      <c r="IX18" s="181">
        <v>0</v>
      </c>
      <c r="IY18" s="181">
        <v>0</v>
      </c>
      <c r="IZ18" s="181">
        <v>0</v>
      </c>
      <c r="JA18" s="181" t="str">
        <f>SUM(IO18:IZ18)</f>
        <v>0</v>
      </c>
      <c r="JC18" s="135" t="str">
        <f>B18+O18+AB18+AO18+BB18+BO18+CB18+CO18+DB18+DO18+EB18+EO18+FB18+FO18+GB18+GO18+HB18+HO18+IB18+IO18</f>
        <v>0</v>
      </c>
      <c r="JD18" s="135" t="str">
        <f>C18+P18+AC18+AP18+BC18+BP18+CC18+CP18+DC18+DP18+EC18+EP18+FC18+FP18+GC18+GP18+HC18+HP18+IC18+IP18</f>
        <v>0</v>
      </c>
      <c r="JE18" s="135" t="str">
        <f>D18+Q18+AD18+AQ18+BD18+BQ18+CD18+CQ18+DD18+DQ18+ED18+EQ18+FD18+FQ18+GD18+GQ18+HD18+HQ18+ID18+IQ18</f>
        <v>0</v>
      </c>
      <c r="JF18" s="135" t="str">
        <f>E18+R18+AE18+AR18+BE18+BR18+CE18+CR18+DE18+DR18+EE18+ER18+FE18+FR18+GE18+GR18+HE18+HR18+IE18+IR18</f>
        <v>0</v>
      </c>
      <c r="JG18" s="135" t="str">
        <f>F18+S18+AF18+AS18+BF18+BS18+CF18+CS18+DF18+DS18+EF18+ES18+FF18+FS18+GF18+GS18+HF18+HS18+IF18+IS18</f>
        <v>0</v>
      </c>
      <c r="JH18" s="135" t="str">
        <f>G18+T18+AG18+AT18+BG18+BT18+CG18+CT18+DG18+DT18+EG18+ET18+FG18+FT18+GG18+GT18+HG18+HT18+IG18+IT18</f>
        <v>0</v>
      </c>
      <c r="JI18" s="135" t="str">
        <f>H18+U18+AH18+AU18+BH18+BU18+CH18+CU18+DH18+DU18+EH18+EU18+FH18+FU18+GH18+GU18+HH18+HU18+IH18+IU18</f>
        <v>0</v>
      </c>
      <c r="JJ18" s="135" t="str">
        <f>I18+V18+AI18+AV18+BI18+BV18+CI18+CV18+DI18+DV18+EI18+EV18+FI18+FV18+GI18+GV18+HI18+HV18+II18+IV18</f>
        <v>0</v>
      </c>
      <c r="JK18" s="135" t="str">
        <f>J18+W18+AJ18+AW18+BJ18+BW18+CJ18+CW18+DJ18+DW18+EJ18+EW18+FJ18+FW18+GJ18+GW18+HJ18+HW18+IJ18+IW18</f>
        <v>0</v>
      </c>
      <c r="JL18" s="135" t="str">
        <f>K18+X18+AK18+AX18+BK18+BX18+CK18+CX18+DK18+DX18+EK18+EX18+FK18+FX18+GK18+GX18+HK18+HX18+IK18+IX18</f>
        <v>0</v>
      </c>
      <c r="JM18" s="135" t="str">
        <f>L18+Y18+AL18+AY18+BL18+BY18+CL18+CY18+DL18+DY18+EL18+EY18+FL18+FY18+GL18+GY18+HL18+HY18+IL18+IY18</f>
        <v>0</v>
      </c>
      <c r="JN18" s="135" t="str">
        <f>M18+Z18+AM18+AZ18+BM18+BZ18+CM18+CZ18+DM18+DZ18+EM18+EZ18+FM18+FZ18+GM18+GZ18+HM18+HZ18+IM18+IZ18</f>
        <v>0</v>
      </c>
      <c r="JO18" s="132" t="str">
        <f>SUM(JC18:JN18)</f>
        <v>0</v>
      </c>
      <c r="JQ18" s="139" t="str">
        <f>N18+AA18+AN18+BA18+BN18+CA18+CN18+DA18+DN18+EA18+EN18+FA18+FN18+GA18+GN18+HA18+HN18+IA18+IN18+JA18</f>
        <v>0</v>
      </c>
    </row>
    <row r="19" spans="1:278">
      <c r="A19" s="130" t="s">
        <v>425</v>
      </c>
      <c r="B19" s="131">
        <v>150</v>
      </c>
      <c r="C19" s="131">
        <v>150</v>
      </c>
      <c r="D19" s="131">
        <v>150</v>
      </c>
      <c r="E19" s="131">
        <v>150</v>
      </c>
      <c r="F19" s="131">
        <v>150</v>
      </c>
      <c r="G19" s="131">
        <v>150</v>
      </c>
      <c r="H19" s="131">
        <v>150</v>
      </c>
      <c r="I19" s="131">
        <v>150</v>
      </c>
      <c r="J19" s="131">
        <v>150</v>
      </c>
      <c r="K19" s="131">
        <v>150</v>
      </c>
      <c r="L19" s="131">
        <v>150</v>
      </c>
      <c r="M19" s="131">
        <v>150</v>
      </c>
      <c r="N19" s="132" t="str">
        <f>SUM(B19:M19)</f>
        <v>0</v>
      </c>
      <c r="O19" s="133">
        <v>1200</v>
      </c>
      <c r="P19" s="133">
        <v>1200</v>
      </c>
      <c r="Q19" s="133">
        <v>1200</v>
      </c>
      <c r="R19" s="133">
        <v>1200</v>
      </c>
      <c r="S19" s="133">
        <v>1200</v>
      </c>
      <c r="T19" s="133">
        <v>1200</v>
      </c>
      <c r="U19" s="133">
        <v>1200</v>
      </c>
      <c r="V19" s="133">
        <v>1200</v>
      </c>
      <c r="W19" s="133">
        <v>1200</v>
      </c>
      <c r="X19" s="133">
        <v>1200</v>
      </c>
      <c r="Y19" s="133">
        <v>1200</v>
      </c>
      <c r="Z19" s="133">
        <v>1200</v>
      </c>
      <c r="AA19" s="132" t="str">
        <f>SUM(O19:Z19)</f>
        <v>0</v>
      </c>
      <c r="AB19" s="131">
        <v>1409</v>
      </c>
      <c r="AC19" s="131">
        <v>1409</v>
      </c>
      <c r="AD19" s="131">
        <v>1409</v>
      </c>
      <c r="AE19" s="131">
        <v>1409</v>
      </c>
      <c r="AF19" s="131">
        <v>1409</v>
      </c>
      <c r="AG19" s="131">
        <v>1409</v>
      </c>
      <c r="AH19" s="131">
        <v>1409</v>
      </c>
      <c r="AI19" s="131">
        <v>1409</v>
      </c>
      <c r="AJ19" s="131">
        <v>1409</v>
      </c>
      <c r="AK19" s="131">
        <v>1409</v>
      </c>
      <c r="AL19" s="131">
        <v>1409</v>
      </c>
      <c r="AM19" s="131">
        <v>1409</v>
      </c>
      <c r="AN19" s="132" t="str">
        <f>SUM(AB19:AM19)</f>
        <v>0</v>
      </c>
      <c r="AO19" s="133">
        <v>693</v>
      </c>
      <c r="AP19" s="133">
        <v>693</v>
      </c>
      <c r="AQ19" s="133">
        <v>693</v>
      </c>
      <c r="AR19" s="133">
        <v>693</v>
      </c>
      <c r="AS19" s="133">
        <v>693</v>
      </c>
      <c r="AT19" s="133">
        <v>693</v>
      </c>
      <c r="AU19" s="133">
        <v>693</v>
      </c>
      <c r="AV19" s="133">
        <v>693</v>
      </c>
      <c r="AW19" s="133">
        <v>693</v>
      </c>
      <c r="AX19" s="133">
        <v>693</v>
      </c>
      <c r="AY19" s="133">
        <v>693</v>
      </c>
      <c r="AZ19" s="133">
        <v>693</v>
      </c>
      <c r="BA19" s="132" t="str">
        <f>SUM(AO19:AZ19)</f>
        <v>0</v>
      </c>
      <c r="BB19" s="134">
        <v>206</v>
      </c>
      <c r="BC19" s="134">
        <v>206</v>
      </c>
      <c r="BD19" s="134">
        <v>206</v>
      </c>
      <c r="BE19" s="134">
        <v>206</v>
      </c>
      <c r="BF19" s="134">
        <v>206</v>
      </c>
      <c r="BG19" s="134">
        <v>206</v>
      </c>
      <c r="BH19" s="134">
        <v>206</v>
      </c>
      <c r="BI19" s="134">
        <v>206</v>
      </c>
      <c r="BJ19" s="134">
        <v>206</v>
      </c>
      <c r="BK19" s="134">
        <v>206</v>
      </c>
      <c r="BL19" s="134">
        <v>206</v>
      </c>
      <c r="BM19" s="134">
        <v>206</v>
      </c>
      <c r="BN19" s="132" t="str">
        <f>SUM(BB19:BM19)</f>
        <v>0</v>
      </c>
      <c r="BO19" s="135">
        <v>185</v>
      </c>
      <c r="BP19" s="135">
        <v>185</v>
      </c>
      <c r="BQ19" s="135">
        <v>185</v>
      </c>
      <c r="BR19" s="135">
        <v>185</v>
      </c>
      <c r="BS19" s="135">
        <v>185</v>
      </c>
      <c r="BT19" s="135">
        <v>185</v>
      </c>
      <c r="BU19" s="135">
        <v>185</v>
      </c>
      <c r="BV19" s="135">
        <v>185</v>
      </c>
      <c r="BW19" s="135">
        <v>185</v>
      </c>
      <c r="BX19" s="135">
        <v>185</v>
      </c>
      <c r="BY19" s="135">
        <v>185</v>
      </c>
      <c r="BZ19" s="135">
        <v>185</v>
      </c>
      <c r="CA19" s="132" t="str">
        <f>SUM(BO19:BZ19)</f>
        <v>0</v>
      </c>
      <c r="CB19" s="136">
        <v>1163</v>
      </c>
      <c r="CC19" s="136">
        <v>1163</v>
      </c>
      <c r="CD19" s="136">
        <v>1163</v>
      </c>
      <c r="CE19" s="136">
        <v>1163</v>
      </c>
      <c r="CF19" s="136">
        <v>1163</v>
      </c>
      <c r="CG19" s="136">
        <v>1163</v>
      </c>
      <c r="CH19" s="136">
        <v>1163</v>
      </c>
      <c r="CI19" s="136">
        <v>1163</v>
      </c>
      <c r="CJ19" s="136">
        <v>1163</v>
      </c>
      <c r="CK19" s="136">
        <v>1163</v>
      </c>
      <c r="CL19" s="136">
        <v>1163</v>
      </c>
      <c r="CM19" s="136">
        <v>1163</v>
      </c>
      <c r="CN19" s="132" t="str">
        <f>SUM(CB19:CM19)</f>
        <v>0</v>
      </c>
      <c r="CO19" s="137">
        <v>752</v>
      </c>
      <c r="CP19" s="137">
        <v>752</v>
      </c>
      <c r="CQ19" s="137">
        <v>752</v>
      </c>
      <c r="CR19" s="137">
        <v>752</v>
      </c>
      <c r="CS19" s="137">
        <v>752</v>
      </c>
      <c r="CT19" s="137">
        <v>752</v>
      </c>
      <c r="CU19" s="137">
        <v>752</v>
      </c>
      <c r="CV19" s="137">
        <v>752</v>
      </c>
      <c r="CW19" s="137">
        <v>752</v>
      </c>
      <c r="CX19" s="137">
        <v>752</v>
      </c>
      <c r="CY19" s="137">
        <v>752</v>
      </c>
      <c r="CZ19" s="137">
        <v>752</v>
      </c>
      <c r="DA19" s="132" t="str">
        <f>SUM(CO19:CZ19)</f>
        <v>0</v>
      </c>
      <c r="DB19" s="136">
        <v>361</v>
      </c>
      <c r="DC19" s="136">
        <v>361</v>
      </c>
      <c r="DD19" s="136">
        <v>361</v>
      </c>
      <c r="DE19" s="136">
        <v>361</v>
      </c>
      <c r="DF19" s="136">
        <v>361</v>
      </c>
      <c r="DG19" s="136">
        <v>361</v>
      </c>
      <c r="DH19" s="136">
        <v>361</v>
      </c>
      <c r="DI19" s="136">
        <v>361</v>
      </c>
      <c r="DJ19" s="136">
        <v>361</v>
      </c>
      <c r="DK19" s="136">
        <v>361</v>
      </c>
      <c r="DL19" s="136">
        <v>361</v>
      </c>
      <c r="DM19" s="136">
        <v>361</v>
      </c>
      <c r="DN19" s="132" t="str">
        <f>SUM(DB19:DM19)</f>
        <v>0</v>
      </c>
      <c r="DO19" s="137">
        <v>240</v>
      </c>
      <c r="DP19" s="137">
        <v>240</v>
      </c>
      <c r="DQ19" s="137">
        <v>240</v>
      </c>
      <c r="DR19" s="137">
        <v>240</v>
      </c>
      <c r="DS19" s="137">
        <v>240</v>
      </c>
      <c r="DT19" s="137">
        <v>240</v>
      </c>
      <c r="DU19" s="137">
        <v>240</v>
      </c>
      <c r="DV19" s="137">
        <v>240</v>
      </c>
      <c r="DW19" s="137">
        <v>240</v>
      </c>
      <c r="DX19" s="137">
        <v>240</v>
      </c>
      <c r="DY19" s="137">
        <v>240</v>
      </c>
      <c r="DZ19" s="137">
        <v>240</v>
      </c>
      <c r="EA19" s="132" t="str">
        <f>SUM(DO19:DZ19)</f>
        <v>0</v>
      </c>
      <c r="EB19" s="216">
        <v>0</v>
      </c>
      <c r="EC19" s="216">
        <v>0</v>
      </c>
      <c r="ED19" s="216">
        <v>0</v>
      </c>
      <c r="EE19" s="216">
        <v>0</v>
      </c>
      <c r="EF19" s="216">
        <v>0</v>
      </c>
      <c r="EG19" s="216">
        <v>0</v>
      </c>
      <c r="EH19" s="216">
        <v>0</v>
      </c>
      <c r="EI19" s="216">
        <v>0</v>
      </c>
      <c r="EJ19" s="216">
        <v>0</v>
      </c>
      <c r="EK19" s="216">
        <v>0</v>
      </c>
      <c r="EL19" s="216">
        <v>0</v>
      </c>
      <c r="EM19" s="216">
        <v>0</v>
      </c>
      <c r="EN19" s="132" t="str">
        <f>SUM(EB19:EM19)</f>
        <v>0</v>
      </c>
      <c r="EO19" s="132">
        <v>0</v>
      </c>
      <c r="EP19" s="132">
        <v>0</v>
      </c>
      <c r="EQ19" s="132">
        <v>0</v>
      </c>
      <c r="ER19" s="132">
        <v>0</v>
      </c>
      <c r="ES19" s="132">
        <v>0</v>
      </c>
      <c r="ET19" s="132">
        <v>0</v>
      </c>
      <c r="EU19" s="132">
        <v>0</v>
      </c>
      <c r="EV19" s="132">
        <v>0</v>
      </c>
      <c r="EW19" s="132">
        <v>0</v>
      </c>
      <c r="EX19" s="132">
        <v>0</v>
      </c>
      <c r="EY19" s="132">
        <v>0</v>
      </c>
      <c r="EZ19" s="132">
        <v>0</v>
      </c>
      <c r="FA19" s="132" t="str">
        <f>SUM(EO19:EZ19)</f>
        <v>0</v>
      </c>
      <c r="FB19" s="181">
        <v>0</v>
      </c>
      <c r="FC19" s="181">
        <v>0</v>
      </c>
      <c r="FD19" s="181">
        <v>0</v>
      </c>
      <c r="FE19" s="181">
        <v>0</v>
      </c>
      <c r="FF19" s="181">
        <v>0</v>
      </c>
      <c r="FG19" s="181">
        <v>0</v>
      </c>
      <c r="FH19" s="181">
        <v>0</v>
      </c>
      <c r="FI19" s="181">
        <v>0</v>
      </c>
      <c r="FJ19" s="181">
        <v>0</v>
      </c>
      <c r="FK19" s="181">
        <v>0</v>
      </c>
      <c r="FL19" s="181">
        <v>0</v>
      </c>
      <c r="FM19" s="181">
        <v>0</v>
      </c>
      <c r="FN19" s="132" t="str">
        <f>SUM(FB19:FM19)</f>
        <v>0</v>
      </c>
      <c r="FO19" s="132">
        <v>0</v>
      </c>
      <c r="FP19" s="132">
        <v>0</v>
      </c>
      <c r="FQ19" s="132">
        <v>0</v>
      </c>
      <c r="FR19" s="132">
        <v>0</v>
      </c>
      <c r="FS19" s="132">
        <v>0</v>
      </c>
      <c r="FT19" s="132">
        <v>0</v>
      </c>
      <c r="FU19" s="132">
        <v>0</v>
      </c>
      <c r="FV19" s="132">
        <v>0</v>
      </c>
      <c r="FW19" s="132">
        <v>0</v>
      </c>
      <c r="FX19" s="132">
        <v>0</v>
      </c>
      <c r="FY19" s="132">
        <v>0</v>
      </c>
      <c r="FZ19" s="132">
        <v>0</v>
      </c>
      <c r="GA19" s="132" t="str">
        <f>SUM(FO19:FZ19)</f>
        <v>0</v>
      </c>
      <c r="GB19" s="181">
        <v>0</v>
      </c>
      <c r="GC19" s="181">
        <v>0</v>
      </c>
      <c r="GD19" s="181">
        <v>0</v>
      </c>
      <c r="GE19" s="181">
        <v>0</v>
      </c>
      <c r="GF19" s="181">
        <v>0</v>
      </c>
      <c r="GG19" s="181">
        <v>0</v>
      </c>
      <c r="GH19" s="181">
        <v>0</v>
      </c>
      <c r="GI19" s="181">
        <v>0</v>
      </c>
      <c r="GJ19" s="181">
        <v>0</v>
      </c>
      <c r="GK19" s="181">
        <v>0</v>
      </c>
      <c r="GL19" s="181">
        <v>0</v>
      </c>
      <c r="GM19" s="181">
        <v>0</v>
      </c>
      <c r="GN19" s="181" t="str">
        <f>SUM(GB19:GM19)</f>
        <v>0</v>
      </c>
      <c r="GO19" s="137">
        <v>0</v>
      </c>
      <c r="GP19" s="137">
        <v>0</v>
      </c>
      <c r="GQ19" s="137">
        <v>0</v>
      </c>
      <c r="GR19" s="137">
        <v>0</v>
      </c>
      <c r="GS19" s="137">
        <v>0</v>
      </c>
      <c r="GT19" s="137">
        <v>0</v>
      </c>
      <c r="GU19" s="137">
        <v>0</v>
      </c>
      <c r="GV19" s="137">
        <v>0</v>
      </c>
      <c r="GW19" s="137">
        <v>0</v>
      </c>
      <c r="GX19" s="137">
        <v>0</v>
      </c>
      <c r="GY19" s="137">
        <v>0</v>
      </c>
      <c r="GZ19" s="137">
        <v>0</v>
      </c>
      <c r="HA19" s="132" t="str">
        <f>SUM(GO19:GZ19)</f>
        <v>0</v>
      </c>
      <c r="HB19" s="181">
        <v>0</v>
      </c>
      <c r="HC19" s="181">
        <v>0</v>
      </c>
      <c r="HD19" s="181">
        <v>0</v>
      </c>
      <c r="HE19" s="181">
        <v>0</v>
      </c>
      <c r="HF19" s="181">
        <v>0</v>
      </c>
      <c r="HG19" s="181">
        <v>0</v>
      </c>
      <c r="HH19" s="181">
        <v>0</v>
      </c>
      <c r="HI19" s="181">
        <v>0</v>
      </c>
      <c r="HJ19" s="181">
        <v>0</v>
      </c>
      <c r="HK19" s="181">
        <v>0</v>
      </c>
      <c r="HL19" s="181">
        <v>0</v>
      </c>
      <c r="HM19" s="181">
        <v>0</v>
      </c>
      <c r="HN19" s="181" t="str">
        <f>SUM(HB19:HM19)</f>
        <v>0</v>
      </c>
      <c r="HO19" s="132">
        <v>97</v>
      </c>
      <c r="HP19" s="132">
        <v>97</v>
      </c>
      <c r="HQ19" s="132">
        <v>97</v>
      </c>
      <c r="HR19" s="132">
        <v>97</v>
      </c>
      <c r="HS19" s="132">
        <v>97</v>
      </c>
      <c r="HT19" s="132">
        <v>97</v>
      </c>
      <c r="HU19" s="132">
        <v>97</v>
      </c>
      <c r="HV19" s="132">
        <v>97</v>
      </c>
      <c r="HW19" s="132">
        <v>97</v>
      </c>
      <c r="HX19" s="132">
        <v>97</v>
      </c>
      <c r="HY19" s="132">
        <v>97</v>
      </c>
      <c r="HZ19" s="132">
        <v>97</v>
      </c>
      <c r="IA19" s="132" t="str">
        <f>SUM(HO19:HZ19)</f>
        <v>0</v>
      </c>
      <c r="IB19" s="181">
        <v>0</v>
      </c>
      <c r="IC19" s="181">
        <v>0</v>
      </c>
      <c r="ID19" s="181">
        <v>0</v>
      </c>
      <c r="IE19" s="181">
        <v>0</v>
      </c>
      <c r="IF19" s="181">
        <v>0</v>
      </c>
      <c r="IG19" s="181">
        <v>0</v>
      </c>
      <c r="IH19" s="181">
        <v>0</v>
      </c>
      <c r="II19" s="181">
        <v>0</v>
      </c>
      <c r="IJ19" s="181">
        <v>0</v>
      </c>
      <c r="IK19" s="181">
        <v>0</v>
      </c>
      <c r="IL19" s="181">
        <v>0</v>
      </c>
      <c r="IM19" s="181">
        <v>0</v>
      </c>
      <c r="IN19" s="181" t="str">
        <f>SUM(IB19:IM19)</f>
        <v>0</v>
      </c>
      <c r="IO19" s="181">
        <v>0</v>
      </c>
      <c r="IP19" s="181">
        <v>0</v>
      </c>
      <c r="IQ19" s="181">
        <v>0</v>
      </c>
      <c r="IR19" s="181">
        <v>0</v>
      </c>
      <c r="IS19" s="181">
        <v>0</v>
      </c>
      <c r="IT19" s="181">
        <v>0</v>
      </c>
      <c r="IU19" s="181">
        <v>0</v>
      </c>
      <c r="IV19" s="181">
        <v>0</v>
      </c>
      <c r="IW19" s="181">
        <v>0</v>
      </c>
      <c r="IX19" s="181">
        <v>0</v>
      </c>
      <c r="IY19" s="181">
        <v>0</v>
      </c>
      <c r="IZ19" s="181">
        <v>0</v>
      </c>
      <c r="JA19" s="181" t="str">
        <f>SUM(IO19:IZ19)</f>
        <v>0</v>
      </c>
      <c r="JC19" s="135" t="str">
        <f>B19+O19+AB19+AO19+BB19+BO19+CB19+CO19+DB19+DO19+EB19+EO19+FB19+FO19+GB19+GO19+HB19+HO19+IB19+IO19</f>
        <v>0</v>
      </c>
      <c r="JD19" s="135" t="str">
        <f>C19+P19+AC19+AP19+BC19+BP19+CC19+CP19+DC19+DP19+EC19+EP19+FC19+FP19+GC19+GP19+HC19+HP19+IC19+IP19</f>
        <v>0</v>
      </c>
      <c r="JE19" s="135" t="str">
        <f>D19+Q19+AD19+AQ19+BD19+BQ19+CD19+CQ19+DD19+DQ19+ED19+EQ19+FD19+FQ19+GD19+GQ19+HD19+HQ19+ID19+IQ19</f>
        <v>0</v>
      </c>
      <c r="JF19" s="135" t="str">
        <f>E19+R19+AE19+AR19+BE19+BR19+CE19+CR19+DE19+DR19+EE19+ER19+FE19+FR19+GE19+GR19+HE19+HR19+IE19+IR19</f>
        <v>0</v>
      </c>
      <c r="JG19" s="135" t="str">
        <f>F19+S19+AF19+AS19+BF19+BS19+CF19+CS19+DF19+DS19+EF19+ES19+FF19+FS19+GF19+GS19+HF19+HS19+IF19+IS19</f>
        <v>0</v>
      </c>
      <c r="JH19" s="135" t="str">
        <f>G19+T19+AG19+AT19+BG19+BT19+CG19+CT19+DG19+DT19+EG19+ET19+FG19+FT19+GG19+GT19+HG19+HT19+IG19+IT19</f>
        <v>0</v>
      </c>
      <c r="JI19" s="135" t="str">
        <f>H19+U19+AH19+AU19+BH19+BU19+CH19+CU19+DH19+DU19+EH19+EU19+FH19+FU19+GH19+GU19+HH19+HU19+IH19+IU19</f>
        <v>0</v>
      </c>
      <c r="JJ19" s="135" t="str">
        <f>I19+V19+AI19+AV19+BI19+BV19+CI19+CV19+DI19+DV19+EI19+EV19+FI19+FV19+GI19+GV19+HI19+HV19+II19+IV19</f>
        <v>0</v>
      </c>
      <c r="JK19" s="135" t="str">
        <f>J19+W19+AJ19+AW19+BJ19+BW19+CJ19+CW19+DJ19+DW19+EJ19+EW19+FJ19+FW19+GJ19+GW19+HJ19+HW19+IJ19+IW19</f>
        <v>0</v>
      </c>
      <c r="JL19" s="135" t="str">
        <f>K19+X19+AK19+AX19+BK19+BX19+CK19+CX19+DK19+DX19+EK19+EX19+FK19+FX19+GK19+GX19+HK19+HX19+IK19+IX19</f>
        <v>0</v>
      </c>
      <c r="JM19" s="135" t="str">
        <f>L19+Y19+AL19+AY19+BL19+BY19+CL19+CY19+DL19+DY19+EL19+EY19+FL19+FY19+GL19+GY19+HL19+HY19+IL19+IY19</f>
        <v>0</v>
      </c>
      <c r="JN19" s="135" t="str">
        <f>M19+Z19+AM19+AZ19+BM19+BZ19+CM19+CZ19+DM19+DZ19+EM19+EZ19+FM19+FZ19+GM19+GZ19+HM19+HZ19+IM19+IZ19</f>
        <v>0</v>
      </c>
      <c r="JO19" s="132" t="str">
        <f>SUM(JC19:JN19)</f>
        <v>0</v>
      </c>
      <c r="JQ19" s="139" t="str">
        <f>N19+AA19+AN19+BA19+BN19+CA19+CN19+DA19+DN19+EA19+EN19+FA19+FN19+GA19+GN19+HA19+HN19+IA19+IN19+JA19</f>
        <v>0</v>
      </c>
    </row>
    <row r="20" spans="1:278">
      <c r="A20" s="130" t="s">
        <v>430</v>
      </c>
      <c r="B20" s="131">
        <v>150</v>
      </c>
      <c r="C20" s="131">
        <v>150</v>
      </c>
      <c r="D20" s="131">
        <v>150</v>
      </c>
      <c r="E20" s="131">
        <v>150</v>
      </c>
      <c r="F20" s="131">
        <v>150</v>
      </c>
      <c r="G20" s="131">
        <v>150</v>
      </c>
      <c r="H20" s="131">
        <v>150</v>
      </c>
      <c r="I20" s="131">
        <v>150</v>
      </c>
      <c r="J20" s="131">
        <v>150</v>
      </c>
      <c r="K20" s="131">
        <v>150</v>
      </c>
      <c r="L20" s="131">
        <v>150</v>
      </c>
      <c r="M20" s="131">
        <v>150</v>
      </c>
      <c r="N20" s="132" t="str">
        <f>SUM(B20:M20)</f>
        <v>0</v>
      </c>
      <c r="O20" s="133">
        <v>500</v>
      </c>
      <c r="P20" s="133">
        <v>500</v>
      </c>
      <c r="Q20" s="133">
        <v>500</v>
      </c>
      <c r="R20" s="133">
        <v>500</v>
      </c>
      <c r="S20" s="133">
        <v>500</v>
      </c>
      <c r="T20" s="133">
        <v>500</v>
      </c>
      <c r="U20" s="133">
        <v>500</v>
      </c>
      <c r="V20" s="133">
        <v>500</v>
      </c>
      <c r="W20" s="133">
        <v>500</v>
      </c>
      <c r="X20" s="133">
        <v>500</v>
      </c>
      <c r="Y20" s="133">
        <v>500</v>
      </c>
      <c r="Z20" s="133">
        <v>500</v>
      </c>
      <c r="AA20" s="132" t="str">
        <f>SUM(O20:Z20)</f>
        <v>0</v>
      </c>
      <c r="AB20" s="131">
        <v>698</v>
      </c>
      <c r="AC20" s="131">
        <v>698</v>
      </c>
      <c r="AD20" s="131">
        <v>698</v>
      </c>
      <c r="AE20" s="131">
        <v>698</v>
      </c>
      <c r="AF20" s="131">
        <v>698</v>
      </c>
      <c r="AG20" s="131">
        <v>698</v>
      </c>
      <c r="AH20" s="131">
        <v>698</v>
      </c>
      <c r="AI20" s="131">
        <v>698</v>
      </c>
      <c r="AJ20" s="131">
        <v>698</v>
      </c>
      <c r="AK20" s="131">
        <v>698</v>
      </c>
      <c r="AL20" s="131">
        <v>698</v>
      </c>
      <c r="AM20" s="131">
        <v>698</v>
      </c>
      <c r="AN20" s="132" t="str">
        <f>SUM(AB20:AM20)</f>
        <v>0</v>
      </c>
      <c r="AO20" s="133">
        <v>437</v>
      </c>
      <c r="AP20" s="133">
        <v>437</v>
      </c>
      <c r="AQ20" s="133">
        <v>437</v>
      </c>
      <c r="AR20" s="133">
        <v>437</v>
      </c>
      <c r="AS20" s="133">
        <v>437</v>
      </c>
      <c r="AT20" s="133">
        <v>437</v>
      </c>
      <c r="AU20" s="133">
        <v>437</v>
      </c>
      <c r="AV20" s="133">
        <v>437</v>
      </c>
      <c r="AW20" s="133">
        <v>437</v>
      </c>
      <c r="AX20" s="133">
        <v>437</v>
      </c>
      <c r="AY20" s="133">
        <v>437</v>
      </c>
      <c r="AZ20" s="133">
        <v>437</v>
      </c>
      <c r="BA20" s="132" t="str">
        <f>SUM(AO20:AZ20)</f>
        <v>0</v>
      </c>
      <c r="BB20" s="134">
        <v>206</v>
      </c>
      <c r="BC20" s="134">
        <v>206</v>
      </c>
      <c r="BD20" s="134">
        <v>206</v>
      </c>
      <c r="BE20" s="134">
        <v>206</v>
      </c>
      <c r="BF20" s="134">
        <v>206</v>
      </c>
      <c r="BG20" s="134">
        <v>206</v>
      </c>
      <c r="BH20" s="134">
        <v>206</v>
      </c>
      <c r="BI20" s="134">
        <v>206</v>
      </c>
      <c r="BJ20" s="134">
        <v>206</v>
      </c>
      <c r="BK20" s="134">
        <v>206</v>
      </c>
      <c r="BL20" s="134">
        <v>206</v>
      </c>
      <c r="BM20" s="134">
        <v>206</v>
      </c>
      <c r="BN20" s="132" t="str">
        <f>SUM(BB20:BM20)</f>
        <v>0</v>
      </c>
      <c r="BO20" s="135">
        <v>123</v>
      </c>
      <c r="BP20" s="135">
        <v>123</v>
      </c>
      <c r="BQ20" s="135">
        <v>123</v>
      </c>
      <c r="BR20" s="135">
        <v>123</v>
      </c>
      <c r="BS20" s="135">
        <v>123</v>
      </c>
      <c r="BT20" s="135">
        <v>123</v>
      </c>
      <c r="BU20" s="135">
        <v>123</v>
      </c>
      <c r="BV20" s="135">
        <v>123</v>
      </c>
      <c r="BW20" s="135">
        <v>123</v>
      </c>
      <c r="BX20" s="135">
        <v>123</v>
      </c>
      <c r="BY20" s="135">
        <v>123</v>
      </c>
      <c r="BZ20" s="135">
        <v>123</v>
      </c>
      <c r="CA20" s="132" t="str">
        <f>SUM(BO20:BZ20)</f>
        <v>0</v>
      </c>
      <c r="CB20" s="136">
        <v>753</v>
      </c>
      <c r="CC20" s="136">
        <v>753</v>
      </c>
      <c r="CD20" s="136">
        <v>753</v>
      </c>
      <c r="CE20" s="136">
        <v>753</v>
      </c>
      <c r="CF20" s="136">
        <v>753</v>
      </c>
      <c r="CG20" s="136">
        <v>753</v>
      </c>
      <c r="CH20" s="136">
        <v>753</v>
      </c>
      <c r="CI20" s="136">
        <v>753</v>
      </c>
      <c r="CJ20" s="136">
        <v>753</v>
      </c>
      <c r="CK20" s="136">
        <v>753</v>
      </c>
      <c r="CL20" s="136">
        <v>753</v>
      </c>
      <c r="CM20" s="136">
        <v>753</v>
      </c>
      <c r="CN20" s="132" t="str">
        <f>SUM(CB20:CM20)</f>
        <v>0</v>
      </c>
      <c r="CO20" s="137">
        <v>476</v>
      </c>
      <c r="CP20" s="137">
        <v>476</v>
      </c>
      <c r="CQ20" s="137">
        <v>476</v>
      </c>
      <c r="CR20" s="137">
        <v>476</v>
      </c>
      <c r="CS20" s="137">
        <v>476</v>
      </c>
      <c r="CT20" s="137">
        <v>476</v>
      </c>
      <c r="CU20" s="137">
        <v>476</v>
      </c>
      <c r="CV20" s="137">
        <v>476</v>
      </c>
      <c r="CW20" s="137">
        <v>476</v>
      </c>
      <c r="CX20" s="137">
        <v>476</v>
      </c>
      <c r="CY20" s="137">
        <v>476</v>
      </c>
      <c r="CZ20" s="137">
        <v>476</v>
      </c>
      <c r="DA20" s="132" t="str">
        <f>SUM(CO20:CZ20)</f>
        <v>0</v>
      </c>
      <c r="DB20" s="136">
        <v>294</v>
      </c>
      <c r="DC20" s="136">
        <v>294</v>
      </c>
      <c r="DD20" s="136">
        <v>294</v>
      </c>
      <c r="DE20" s="136">
        <v>294</v>
      </c>
      <c r="DF20" s="136">
        <v>294</v>
      </c>
      <c r="DG20" s="136">
        <v>294</v>
      </c>
      <c r="DH20" s="136">
        <v>294</v>
      </c>
      <c r="DI20" s="136">
        <v>294</v>
      </c>
      <c r="DJ20" s="136">
        <v>294</v>
      </c>
      <c r="DK20" s="136">
        <v>294</v>
      </c>
      <c r="DL20" s="136">
        <v>294</v>
      </c>
      <c r="DM20" s="136">
        <v>294</v>
      </c>
      <c r="DN20" s="132" t="str">
        <f>SUM(DB20:DM20)</f>
        <v>0</v>
      </c>
      <c r="DO20" s="137">
        <v>240</v>
      </c>
      <c r="DP20" s="137">
        <v>240</v>
      </c>
      <c r="DQ20" s="137">
        <v>240</v>
      </c>
      <c r="DR20" s="137">
        <v>240</v>
      </c>
      <c r="DS20" s="137">
        <v>240</v>
      </c>
      <c r="DT20" s="137">
        <v>240</v>
      </c>
      <c r="DU20" s="137">
        <v>240</v>
      </c>
      <c r="DV20" s="137">
        <v>240</v>
      </c>
      <c r="DW20" s="137">
        <v>240</v>
      </c>
      <c r="DX20" s="137">
        <v>240</v>
      </c>
      <c r="DY20" s="137">
        <v>240</v>
      </c>
      <c r="DZ20" s="137">
        <v>240</v>
      </c>
      <c r="EA20" s="132" t="str">
        <f>SUM(DO20:DZ20)</f>
        <v>0</v>
      </c>
      <c r="EB20" s="216">
        <v>0</v>
      </c>
      <c r="EC20" s="216">
        <v>0</v>
      </c>
      <c r="ED20" s="216">
        <v>0</v>
      </c>
      <c r="EE20" s="216">
        <v>0</v>
      </c>
      <c r="EF20" s="216">
        <v>0</v>
      </c>
      <c r="EG20" s="216">
        <v>0</v>
      </c>
      <c r="EH20" s="216">
        <v>0</v>
      </c>
      <c r="EI20" s="216">
        <v>0</v>
      </c>
      <c r="EJ20" s="216">
        <v>0</v>
      </c>
      <c r="EK20" s="216">
        <v>0</v>
      </c>
      <c r="EL20" s="216">
        <v>0</v>
      </c>
      <c r="EM20" s="216">
        <v>0</v>
      </c>
      <c r="EN20" s="132" t="str">
        <f>SUM(EB20:EM20)</f>
        <v>0</v>
      </c>
      <c r="EO20" s="132">
        <v>0</v>
      </c>
      <c r="EP20" s="132">
        <v>0</v>
      </c>
      <c r="EQ20" s="132">
        <v>0</v>
      </c>
      <c r="ER20" s="132">
        <v>0</v>
      </c>
      <c r="ES20" s="132">
        <v>0</v>
      </c>
      <c r="ET20" s="132">
        <v>0</v>
      </c>
      <c r="EU20" s="132">
        <v>0</v>
      </c>
      <c r="EV20" s="132">
        <v>0</v>
      </c>
      <c r="EW20" s="132">
        <v>0</v>
      </c>
      <c r="EX20" s="132">
        <v>0</v>
      </c>
      <c r="EY20" s="132">
        <v>0</v>
      </c>
      <c r="EZ20" s="132">
        <v>0</v>
      </c>
      <c r="FA20" s="132" t="str">
        <f>SUM(EO20:EZ20)</f>
        <v>0</v>
      </c>
      <c r="FB20" s="181">
        <v>0</v>
      </c>
      <c r="FC20" s="181">
        <v>0</v>
      </c>
      <c r="FD20" s="181">
        <v>0</v>
      </c>
      <c r="FE20" s="181">
        <v>0</v>
      </c>
      <c r="FF20" s="181">
        <v>0</v>
      </c>
      <c r="FG20" s="181">
        <v>0</v>
      </c>
      <c r="FH20" s="181">
        <v>0</v>
      </c>
      <c r="FI20" s="181">
        <v>0</v>
      </c>
      <c r="FJ20" s="181">
        <v>0</v>
      </c>
      <c r="FK20" s="181">
        <v>0</v>
      </c>
      <c r="FL20" s="181">
        <v>0</v>
      </c>
      <c r="FM20" s="181">
        <v>0</v>
      </c>
      <c r="FN20" s="132" t="str">
        <f>SUM(FB20:FM20)</f>
        <v>0</v>
      </c>
      <c r="FO20" s="132">
        <v>0</v>
      </c>
      <c r="FP20" s="132">
        <v>0</v>
      </c>
      <c r="FQ20" s="132">
        <v>0</v>
      </c>
      <c r="FR20" s="132">
        <v>0</v>
      </c>
      <c r="FS20" s="132">
        <v>0</v>
      </c>
      <c r="FT20" s="132">
        <v>0</v>
      </c>
      <c r="FU20" s="132">
        <v>0</v>
      </c>
      <c r="FV20" s="132">
        <v>0</v>
      </c>
      <c r="FW20" s="132">
        <v>0</v>
      </c>
      <c r="FX20" s="132">
        <v>0</v>
      </c>
      <c r="FY20" s="132">
        <v>0</v>
      </c>
      <c r="FZ20" s="132">
        <v>0</v>
      </c>
      <c r="GA20" s="132" t="str">
        <f>SUM(FO20:FZ20)</f>
        <v>0</v>
      </c>
      <c r="GB20" s="181">
        <v>0</v>
      </c>
      <c r="GC20" s="181">
        <v>0</v>
      </c>
      <c r="GD20" s="181">
        <v>0</v>
      </c>
      <c r="GE20" s="181">
        <v>0</v>
      </c>
      <c r="GF20" s="181">
        <v>0</v>
      </c>
      <c r="GG20" s="181">
        <v>0</v>
      </c>
      <c r="GH20" s="181">
        <v>0</v>
      </c>
      <c r="GI20" s="181">
        <v>0</v>
      </c>
      <c r="GJ20" s="181">
        <v>0</v>
      </c>
      <c r="GK20" s="181">
        <v>0</v>
      </c>
      <c r="GL20" s="181">
        <v>0</v>
      </c>
      <c r="GM20" s="181">
        <v>0</v>
      </c>
      <c r="GN20" s="181" t="str">
        <f>SUM(GB20:GM20)</f>
        <v>0</v>
      </c>
      <c r="GO20" s="137">
        <v>0</v>
      </c>
      <c r="GP20" s="137">
        <v>0</v>
      </c>
      <c r="GQ20" s="137">
        <v>0</v>
      </c>
      <c r="GR20" s="137">
        <v>0</v>
      </c>
      <c r="GS20" s="137">
        <v>0</v>
      </c>
      <c r="GT20" s="137">
        <v>0</v>
      </c>
      <c r="GU20" s="137">
        <v>0</v>
      </c>
      <c r="GV20" s="137">
        <v>0</v>
      </c>
      <c r="GW20" s="137">
        <v>0</v>
      </c>
      <c r="GX20" s="137">
        <v>0</v>
      </c>
      <c r="GY20" s="137">
        <v>0</v>
      </c>
      <c r="GZ20" s="137">
        <v>0</v>
      </c>
      <c r="HA20" s="132" t="str">
        <f>SUM(GO20:GZ20)</f>
        <v>0</v>
      </c>
      <c r="HB20" s="181">
        <v>0</v>
      </c>
      <c r="HC20" s="181">
        <v>0</v>
      </c>
      <c r="HD20" s="181">
        <v>0</v>
      </c>
      <c r="HE20" s="181">
        <v>0</v>
      </c>
      <c r="HF20" s="181">
        <v>0</v>
      </c>
      <c r="HG20" s="181">
        <v>0</v>
      </c>
      <c r="HH20" s="181">
        <v>0</v>
      </c>
      <c r="HI20" s="181">
        <v>0</v>
      </c>
      <c r="HJ20" s="181">
        <v>0</v>
      </c>
      <c r="HK20" s="181">
        <v>0</v>
      </c>
      <c r="HL20" s="181">
        <v>0</v>
      </c>
      <c r="HM20" s="181">
        <v>0</v>
      </c>
      <c r="HN20" s="181" t="str">
        <f>SUM(HB20:HM20)</f>
        <v>0</v>
      </c>
      <c r="HO20" s="132">
        <v>97</v>
      </c>
      <c r="HP20" s="132">
        <v>97</v>
      </c>
      <c r="HQ20" s="132">
        <v>97</v>
      </c>
      <c r="HR20" s="132">
        <v>97</v>
      </c>
      <c r="HS20" s="132">
        <v>97</v>
      </c>
      <c r="HT20" s="132">
        <v>97</v>
      </c>
      <c r="HU20" s="132">
        <v>97</v>
      </c>
      <c r="HV20" s="132">
        <v>97</v>
      </c>
      <c r="HW20" s="132">
        <v>97</v>
      </c>
      <c r="HX20" s="132">
        <v>97</v>
      </c>
      <c r="HY20" s="132">
        <v>97</v>
      </c>
      <c r="HZ20" s="132">
        <v>97</v>
      </c>
      <c r="IA20" s="132" t="str">
        <f>SUM(HO20:HZ20)</f>
        <v>0</v>
      </c>
      <c r="IB20" s="181">
        <v>0</v>
      </c>
      <c r="IC20" s="181">
        <v>0</v>
      </c>
      <c r="ID20" s="181">
        <v>0</v>
      </c>
      <c r="IE20" s="181">
        <v>0</v>
      </c>
      <c r="IF20" s="181">
        <v>0</v>
      </c>
      <c r="IG20" s="181">
        <v>0</v>
      </c>
      <c r="IH20" s="181">
        <v>0</v>
      </c>
      <c r="II20" s="181">
        <v>0</v>
      </c>
      <c r="IJ20" s="181">
        <v>0</v>
      </c>
      <c r="IK20" s="181">
        <v>0</v>
      </c>
      <c r="IL20" s="181">
        <v>0</v>
      </c>
      <c r="IM20" s="181">
        <v>0</v>
      </c>
      <c r="IN20" s="181" t="str">
        <f>SUM(IB20:IM20)</f>
        <v>0</v>
      </c>
      <c r="IO20" s="181">
        <v>0</v>
      </c>
      <c r="IP20" s="181">
        <v>0</v>
      </c>
      <c r="IQ20" s="181">
        <v>0</v>
      </c>
      <c r="IR20" s="181">
        <v>0</v>
      </c>
      <c r="IS20" s="181">
        <v>0</v>
      </c>
      <c r="IT20" s="181">
        <v>0</v>
      </c>
      <c r="IU20" s="181">
        <v>0</v>
      </c>
      <c r="IV20" s="181">
        <v>0</v>
      </c>
      <c r="IW20" s="181">
        <v>0</v>
      </c>
      <c r="IX20" s="181">
        <v>0</v>
      </c>
      <c r="IY20" s="181">
        <v>0</v>
      </c>
      <c r="IZ20" s="181">
        <v>0</v>
      </c>
      <c r="JA20" s="181" t="str">
        <f>SUM(IO20:IZ20)</f>
        <v>0</v>
      </c>
      <c r="JC20" s="135" t="str">
        <f>B20+O20+AB20+AO20+BB20+BO20+CB20+CO20+DB20+DO20+EB20+EO20+FB20+FO20+GB20+GO20+HB20+HO20+IB20+IO20</f>
        <v>0</v>
      </c>
      <c r="JD20" s="135" t="str">
        <f>C20+P20+AC20+AP20+BC20+BP20+CC20+CP20+DC20+DP20+EC20+EP20+FC20+FP20+GC20+GP20+HC20+HP20+IC20+IP20</f>
        <v>0</v>
      </c>
      <c r="JE20" s="135" t="str">
        <f>D20+Q20+AD20+AQ20+BD20+BQ20+CD20+CQ20+DD20+DQ20+ED20+EQ20+FD20+FQ20+GD20+GQ20+HD20+HQ20+ID20+IQ20</f>
        <v>0</v>
      </c>
      <c r="JF20" s="135" t="str">
        <f>E20+R20+AE20+AR20+BE20+BR20+CE20+CR20+DE20+DR20+EE20+ER20+FE20+FR20+GE20+GR20+HE20+HR20+IE20+IR20</f>
        <v>0</v>
      </c>
      <c r="JG20" s="135" t="str">
        <f>F20+S20+AF20+AS20+BF20+BS20+CF20+CS20+DF20+DS20+EF20+ES20+FF20+FS20+GF20+GS20+HF20+HS20+IF20+IS20</f>
        <v>0</v>
      </c>
      <c r="JH20" s="135" t="str">
        <f>G20+T20+AG20+AT20+BG20+BT20+CG20+CT20+DG20+DT20+EG20+ET20+FG20+FT20+GG20+GT20+HG20+HT20+IG20+IT20</f>
        <v>0</v>
      </c>
      <c r="JI20" s="135" t="str">
        <f>H20+U20+AH20+AU20+BH20+BU20+CH20+CU20+DH20+DU20+EH20+EU20+FH20+FU20+GH20+GU20+HH20+HU20+IH20+IU20</f>
        <v>0</v>
      </c>
      <c r="JJ20" s="135" t="str">
        <f>I20+V20+AI20+AV20+BI20+BV20+CI20+CV20+DI20+DV20+EI20+EV20+FI20+FV20+GI20+GV20+HI20+HV20+II20+IV20</f>
        <v>0</v>
      </c>
      <c r="JK20" s="135" t="str">
        <f>J20+W20+AJ20+AW20+BJ20+BW20+CJ20+CW20+DJ20+DW20+EJ20+EW20+FJ20+FW20+GJ20+GW20+HJ20+HW20+IJ20+IW20</f>
        <v>0</v>
      </c>
      <c r="JL20" s="135" t="str">
        <f>K20+X20+AK20+AX20+BK20+BX20+CK20+CX20+DK20+DX20+EK20+EX20+FK20+FX20+GK20+GX20+HK20+HX20+IK20+IX20</f>
        <v>0</v>
      </c>
      <c r="JM20" s="135" t="str">
        <f>L20+Y20+AL20+AY20+BL20+BY20+CL20+CY20+DL20+DY20+EL20+EY20+FL20+FY20+GL20+GY20+HL20+HY20+IL20+IY20</f>
        <v>0</v>
      </c>
      <c r="JN20" s="135" t="str">
        <f>M20+Z20+AM20+AZ20+BM20+BZ20+CM20+CZ20+DM20+DZ20+EM20+EZ20+FM20+FZ20+GM20+GZ20+HM20+HZ20+IM20+IZ20</f>
        <v>0</v>
      </c>
      <c r="JO20" s="132" t="str">
        <f>SUM(JC20:JN20)</f>
        <v>0</v>
      </c>
      <c r="JQ20" s="139" t="str">
        <f>N20+AA20+AN20+BA20+BN20+CA20+CN20+DA20+DN20+EA20+EN20+FA20+FN20+GA20+GN20+HA20+HN20+IA20+IN20+JA20</f>
        <v>0</v>
      </c>
    </row>
    <row r="21" spans="1:278">
      <c r="A21" s="130" t="s">
        <v>435</v>
      </c>
      <c r="B21" s="131">
        <v>150</v>
      </c>
      <c r="C21" s="131">
        <v>150</v>
      </c>
      <c r="D21" s="131">
        <v>150</v>
      </c>
      <c r="E21" s="131">
        <v>150</v>
      </c>
      <c r="F21" s="131">
        <v>150</v>
      </c>
      <c r="G21" s="131">
        <v>150</v>
      </c>
      <c r="H21" s="131">
        <v>150</v>
      </c>
      <c r="I21" s="131">
        <v>150</v>
      </c>
      <c r="J21" s="131">
        <v>150</v>
      </c>
      <c r="K21" s="131">
        <v>150</v>
      </c>
      <c r="L21" s="131">
        <v>150</v>
      </c>
      <c r="M21" s="131">
        <v>150</v>
      </c>
      <c r="N21" s="132" t="str">
        <f>SUM(B21:M21)</f>
        <v>0</v>
      </c>
      <c r="O21" s="133">
        <v>250</v>
      </c>
      <c r="P21" s="133">
        <v>250</v>
      </c>
      <c r="Q21" s="133">
        <v>250</v>
      </c>
      <c r="R21" s="133">
        <v>250</v>
      </c>
      <c r="S21" s="133">
        <v>250</v>
      </c>
      <c r="T21" s="133">
        <v>250</v>
      </c>
      <c r="U21" s="133">
        <v>250</v>
      </c>
      <c r="V21" s="133">
        <v>250</v>
      </c>
      <c r="W21" s="133">
        <v>250</v>
      </c>
      <c r="X21" s="133">
        <v>250</v>
      </c>
      <c r="Y21" s="133">
        <v>250</v>
      </c>
      <c r="Z21" s="133">
        <v>250</v>
      </c>
      <c r="AA21" s="132" t="str">
        <f>SUM(O21:Z21)</f>
        <v>0</v>
      </c>
      <c r="AB21" s="131">
        <v>590</v>
      </c>
      <c r="AC21" s="131">
        <v>590</v>
      </c>
      <c r="AD21" s="131">
        <v>590</v>
      </c>
      <c r="AE21" s="131">
        <v>590</v>
      </c>
      <c r="AF21" s="131">
        <v>590</v>
      </c>
      <c r="AG21" s="131">
        <v>590</v>
      </c>
      <c r="AH21" s="131">
        <v>590</v>
      </c>
      <c r="AI21" s="131">
        <v>590</v>
      </c>
      <c r="AJ21" s="131">
        <v>590</v>
      </c>
      <c r="AK21" s="131">
        <v>590</v>
      </c>
      <c r="AL21" s="131">
        <v>590</v>
      </c>
      <c r="AM21" s="131">
        <v>590</v>
      </c>
      <c r="AN21" s="132" t="str">
        <f>SUM(AB21:AM21)</f>
        <v>0</v>
      </c>
      <c r="AO21" s="133">
        <v>369</v>
      </c>
      <c r="AP21" s="133">
        <v>369</v>
      </c>
      <c r="AQ21" s="133">
        <v>369</v>
      </c>
      <c r="AR21" s="133">
        <v>369</v>
      </c>
      <c r="AS21" s="133">
        <v>369</v>
      </c>
      <c r="AT21" s="133">
        <v>369</v>
      </c>
      <c r="AU21" s="133">
        <v>369</v>
      </c>
      <c r="AV21" s="133">
        <v>369</v>
      </c>
      <c r="AW21" s="133">
        <v>369</v>
      </c>
      <c r="AX21" s="133">
        <v>369</v>
      </c>
      <c r="AY21" s="133">
        <v>369</v>
      </c>
      <c r="AZ21" s="133">
        <v>369</v>
      </c>
      <c r="BA21" s="132" t="str">
        <f>SUM(AO21:AZ21)</f>
        <v>0</v>
      </c>
      <c r="BB21" s="134">
        <v>206</v>
      </c>
      <c r="BC21" s="134">
        <v>206</v>
      </c>
      <c r="BD21" s="134">
        <v>206</v>
      </c>
      <c r="BE21" s="134">
        <v>206</v>
      </c>
      <c r="BF21" s="134">
        <v>206</v>
      </c>
      <c r="BG21" s="134">
        <v>206</v>
      </c>
      <c r="BH21" s="134">
        <v>206</v>
      </c>
      <c r="BI21" s="134">
        <v>206</v>
      </c>
      <c r="BJ21" s="134">
        <v>206</v>
      </c>
      <c r="BK21" s="134">
        <v>206</v>
      </c>
      <c r="BL21" s="134">
        <v>206</v>
      </c>
      <c r="BM21" s="134">
        <v>206</v>
      </c>
      <c r="BN21" s="132" t="str">
        <f>SUM(BB21:BM21)</f>
        <v>0</v>
      </c>
      <c r="BO21" s="135">
        <v>110</v>
      </c>
      <c r="BP21" s="135">
        <v>110</v>
      </c>
      <c r="BQ21" s="135">
        <v>110</v>
      </c>
      <c r="BR21" s="135">
        <v>110</v>
      </c>
      <c r="BS21" s="135">
        <v>110</v>
      </c>
      <c r="BT21" s="135">
        <v>110</v>
      </c>
      <c r="BU21" s="135">
        <v>110</v>
      </c>
      <c r="BV21" s="135">
        <v>110</v>
      </c>
      <c r="BW21" s="135">
        <v>110</v>
      </c>
      <c r="BX21" s="135">
        <v>110</v>
      </c>
      <c r="BY21" s="135">
        <v>110</v>
      </c>
      <c r="BZ21" s="135">
        <v>110</v>
      </c>
      <c r="CA21" s="132" t="str">
        <f>SUM(BO21:BZ21)</f>
        <v>0</v>
      </c>
      <c r="CB21" s="136">
        <v>640</v>
      </c>
      <c r="CC21" s="136">
        <v>640</v>
      </c>
      <c r="CD21" s="136">
        <v>640</v>
      </c>
      <c r="CE21" s="136">
        <v>640</v>
      </c>
      <c r="CF21" s="136">
        <v>640</v>
      </c>
      <c r="CG21" s="136">
        <v>640</v>
      </c>
      <c r="CH21" s="136">
        <v>640</v>
      </c>
      <c r="CI21" s="136">
        <v>640</v>
      </c>
      <c r="CJ21" s="136">
        <v>640</v>
      </c>
      <c r="CK21" s="136">
        <v>640</v>
      </c>
      <c r="CL21" s="136">
        <v>640</v>
      </c>
      <c r="CM21" s="136">
        <v>640</v>
      </c>
      <c r="CN21" s="132" t="str">
        <f>SUM(CB21:CM21)</f>
        <v>0</v>
      </c>
      <c r="CO21" s="137">
        <v>403</v>
      </c>
      <c r="CP21" s="137">
        <v>403</v>
      </c>
      <c r="CQ21" s="137">
        <v>403</v>
      </c>
      <c r="CR21" s="137">
        <v>403</v>
      </c>
      <c r="CS21" s="137">
        <v>403</v>
      </c>
      <c r="CT21" s="137">
        <v>403</v>
      </c>
      <c r="CU21" s="137">
        <v>403</v>
      </c>
      <c r="CV21" s="137">
        <v>403</v>
      </c>
      <c r="CW21" s="137">
        <v>403</v>
      </c>
      <c r="CX21" s="137">
        <v>403</v>
      </c>
      <c r="CY21" s="137">
        <v>403</v>
      </c>
      <c r="CZ21" s="137">
        <v>403</v>
      </c>
      <c r="DA21" s="132" t="str">
        <f>SUM(CO21:CZ21)</f>
        <v>0</v>
      </c>
      <c r="DB21" s="136">
        <v>279</v>
      </c>
      <c r="DC21" s="136">
        <v>279</v>
      </c>
      <c r="DD21" s="136">
        <v>279</v>
      </c>
      <c r="DE21" s="136">
        <v>279</v>
      </c>
      <c r="DF21" s="136">
        <v>279</v>
      </c>
      <c r="DG21" s="136">
        <v>279</v>
      </c>
      <c r="DH21" s="136">
        <v>279</v>
      </c>
      <c r="DI21" s="136">
        <v>279</v>
      </c>
      <c r="DJ21" s="136">
        <v>279</v>
      </c>
      <c r="DK21" s="136">
        <v>279</v>
      </c>
      <c r="DL21" s="136">
        <v>279</v>
      </c>
      <c r="DM21" s="136">
        <v>279</v>
      </c>
      <c r="DN21" s="132" t="str">
        <f>SUM(DB21:DM21)</f>
        <v>0</v>
      </c>
      <c r="DO21" s="137">
        <v>240</v>
      </c>
      <c r="DP21" s="137">
        <v>240</v>
      </c>
      <c r="DQ21" s="137">
        <v>240</v>
      </c>
      <c r="DR21" s="137">
        <v>240</v>
      </c>
      <c r="DS21" s="137">
        <v>240</v>
      </c>
      <c r="DT21" s="137">
        <v>240</v>
      </c>
      <c r="DU21" s="137">
        <v>240</v>
      </c>
      <c r="DV21" s="137">
        <v>240</v>
      </c>
      <c r="DW21" s="137">
        <v>240</v>
      </c>
      <c r="DX21" s="137">
        <v>240</v>
      </c>
      <c r="DY21" s="137">
        <v>240</v>
      </c>
      <c r="DZ21" s="137">
        <v>240</v>
      </c>
      <c r="EA21" s="132" t="str">
        <f>SUM(DO21:DZ21)</f>
        <v>0</v>
      </c>
      <c r="EB21" s="216">
        <v>0</v>
      </c>
      <c r="EC21" s="216">
        <v>0</v>
      </c>
      <c r="ED21" s="216">
        <v>0</v>
      </c>
      <c r="EE21" s="216">
        <v>0</v>
      </c>
      <c r="EF21" s="216">
        <v>0</v>
      </c>
      <c r="EG21" s="216">
        <v>0</v>
      </c>
      <c r="EH21" s="216">
        <v>0</v>
      </c>
      <c r="EI21" s="216">
        <v>0</v>
      </c>
      <c r="EJ21" s="216">
        <v>0</v>
      </c>
      <c r="EK21" s="216">
        <v>0</v>
      </c>
      <c r="EL21" s="216">
        <v>0</v>
      </c>
      <c r="EM21" s="216">
        <v>0</v>
      </c>
      <c r="EN21" s="132" t="str">
        <f>SUM(EB21:EM21)</f>
        <v>0</v>
      </c>
      <c r="EO21" s="132">
        <v>0</v>
      </c>
      <c r="EP21" s="132">
        <v>0</v>
      </c>
      <c r="EQ21" s="132">
        <v>0</v>
      </c>
      <c r="ER21" s="132">
        <v>0</v>
      </c>
      <c r="ES21" s="132">
        <v>0</v>
      </c>
      <c r="ET21" s="132">
        <v>0</v>
      </c>
      <c r="EU21" s="132">
        <v>0</v>
      </c>
      <c r="EV21" s="132">
        <v>0</v>
      </c>
      <c r="EW21" s="132">
        <v>0</v>
      </c>
      <c r="EX21" s="132">
        <v>0</v>
      </c>
      <c r="EY21" s="132">
        <v>0</v>
      </c>
      <c r="EZ21" s="132">
        <v>0</v>
      </c>
      <c r="FA21" s="132" t="str">
        <f>SUM(EO21:EZ21)</f>
        <v>0</v>
      </c>
      <c r="FB21" s="181">
        <v>0</v>
      </c>
      <c r="FC21" s="181">
        <v>0</v>
      </c>
      <c r="FD21" s="181">
        <v>0</v>
      </c>
      <c r="FE21" s="181">
        <v>0</v>
      </c>
      <c r="FF21" s="181">
        <v>0</v>
      </c>
      <c r="FG21" s="181">
        <v>0</v>
      </c>
      <c r="FH21" s="181">
        <v>0</v>
      </c>
      <c r="FI21" s="181">
        <v>0</v>
      </c>
      <c r="FJ21" s="181">
        <v>0</v>
      </c>
      <c r="FK21" s="181">
        <v>0</v>
      </c>
      <c r="FL21" s="181">
        <v>0</v>
      </c>
      <c r="FM21" s="181">
        <v>0</v>
      </c>
      <c r="FN21" s="132" t="str">
        <f>SUM(FB21:FM21)</f>
        <v>0</v>
      </c>
      <c r="FO21" s="132">
        <v>0</v>
      </c>
      <c r="FP21" s="132">
        <v>0</v>
      </c>
      <c r="FQ21" s="132">
        <v>0</v>
      </c>
      <c r="FR21" s="132">
        <v>0</v>
      </c>
      <c r="FS21" s="132">
        <v>0</v>
      </c>
      <c r="FT21" s="132">
        <v>0</v>
      </c>
      <c r="FU21" s="132">
        <v>0</v>
      </c>
      <c r="FV21" s="132">
        <v>0</v>
      </c>
      <c r="FW21" s="132">
        <v>0</v>
      </c>
      <c r="FX21" s="132">
        <v>0</v>
      </c>
      <c r="FY21" s="132">
        <v>0</v>
      </c>
      <c r="FZ21" s="132">
        <v>0</v>
      </c>
      <c r="GA21" s="132" t="str">
        <f>SUM(FO21:FZ21)</f>
        <v>0</v>
      </c>
      <c r="GB21" s="181">
        <v>0</v>
      </c>
      <c r="GC21" s="181">
        <v>0</v>
      </c>
      <c r="GD21" s="181">
        <v>0</v>
      </c>
      <c r="GE21" s="181">
        <v>0</v>
      </c>
      <c r="GF21" s="181">
        <v>0</v>
      </c>
      <c r="GG21" s="181">
        <v>0</v>
      </c>
      <c r="GH21" s="181">
        <v>0</v>
      </c>
      <c r="GI21" s="181">
        <v>0</v>
      </c>
      <c r="GJ21" s="181">
        <v>0</v>
      </c>
      <c r="GK21" s="181">
        <v>0</v>
      </c>
      <c r="GL21" s="181">
        <v>0</v>
      </c>
      <c r="GM21" s="181">
        <v>0</v>
      </c>
      <c r="GN21" s="181" t="str">
        <f>SUM(GB21:GM21)</f>
        <v>0</v>
      </c>
      <c r="GO21" s="137">
        <v>0</v>
      </c>
      <c r="GP21" s="137">
        <v>0</v>
      </c>
      <c r="GQ21" s="137">
        <v>0</v>
      </c>
      <c r="GR21" s="137">
        <v>0</v>
      </c>
      <c r="GS21" s="137">
        <v>0</v>
      </c>
      <c r="GT21" s="137">
        <v>0</v>
      </c>
      <c r="GU21" s="137">
        <v>0</v>
      </c>
      <c r="GV21" s="137">
        <v>0</v>
      </c>
      <c r="GW21" s="137">
        <v>0</v>
      </c>
      <c r="GX21" s="137">
        <v>0</v>
      </c>
      <c r="GY21" s="137">
        <v>0</v>
      </c>
      <c r="GZ21" s="137">
        <v>0</v>
      </c>
      <c r="HA21" s="132" t="str">
        <f>SUM(GO21:GZ21)</f>
        <v>0</v>
      </c>
      <c r="HB21" s="181">
        <v>0</v>
      </c>
      <c r="HC21" s="181">
        <v>0</v>
      </c>
      <c r="HD21" s="181">
        <v>0</v>
      </c>
      <c r="HE21" s="181">
        <v>0</v>
      </c>
      <c r="HF21" s="181">
        <v>0</v>
      </c>
      <c r="HG21" s="181">
        <v>0</v>
      </c>
      <c r="HH21" s="181">
        <v>0</v>
      </c>
      <c r="HI21" s="181">
        <v>0</v>
      </c>
      <c r="HJ21" s="181">
        <v>0</v>
      </c>
      <c r="HK21" s="181">
        <v>0</v>
      </c>
      <c r="HL21" s="181">
        <v>0</v>
      </c>
      <c r="HM21" s="181">
        <v>0</v>
      </c>
      <c r="HN21" s="181" t="str">
        <f>SUM(HB21:HM21)</f>
        <v>0</v>
      </c>
      <c r="HO21" s="132">
        <v>97</v>
      </c>
      <c r="HP21" s="132">
        <v>97</v>
      </c>
      <c r="HQ21" s="132">
        <v>97</v>
      </c>
      <c r="HR21" s="132">
        <v>97</v>
      </c>
      <c r="HS21" s="132">
        <v>97</v>
      </c>
      <c r="HT21" s="132">
        <v>97</v>
      </c>
      <c r="HU21" s="132">
        <v>97</v>
      </c>
      <c r="HV21" s="132">
        <v>97</v>
      </c>
      <c r="HW21" s="132">
        <v>97</v>
      </c>
      <c r="HX21" s="132">
        <v>97</v>
      </c>
      <c r="HY21" s="132">
        <v>97</v>
      </c>
      <c r="HZ21" s="132">
        <v>97</v>
      </c>
      <c r="IA21" s="132" t="str">
        <f>SUM(HO21:HZ21)</f>
        <v>0</v>
      </c>
      <c r="IB21" s="181">
        <v>0</v>
      </c>
      <c r="IC21" s="181">
        <v>0</v>
      </c>
      <c r="ID21" s="181">
        <v>0</v>
      </c>
      <c r="IE21" s="181">
        <v>0</v>
      </c>
      <c r="IF21" s="181">
        <v>0</v>
      </c>
      <c r="IG21" s="181">
        <v>0</v>
      </c>
      <c r="IH21" s="181">
        <v>0</v>
      </c>
      <c r="II21" s="181">
        <v>0</v>
      </c>
      <c r="IJ21" s="181">
        <v>0</v>
      </c>
      <c r="IK21" s="181">
        <v>0</v>
      </c>
      <c r="IL21" s="181">
        <v>0</v>
      </c>
      <c r="IM21" s="181">
        <v>0</v>
      </c>
      <c r="IN21" s="181" t="str">
        <f>SUM(IB21:IM21)</f>
        <v>0</v>
      </c>
      <c r="IO21" s="181">
        <v>0</v>
      </c>
      <c r="IP21" s="181">
        <v>0</v>
      </c>
      <c r="IQ21" s="181">
        <v>0</v>
      </c>
      <c r="IR21" s="181">
        <v>0</v>
      </c>
      <c r="IS21" s="181">
        <v>0</v>
      </c>
      <c r="IT21" s="181">
        <v>0</v>
      </c>
      <c r="IU21" s="181">
        <v>0</v>
      </c>
      <c r="IV21" s="181">
        <v>0</v>
      </c>
      <c r="IW21" s="181">
        <v>0</v>
      </c>
      <c r="IX21" s="181">
        <v>0</v>
      </c>
      <c r="IY21" s="181">
        <v>0</v>
      </c>
      <c r="IZ21" s="181">
        <v>0</v>
      </c>
      <c r="JA21" s="181" t="str">
        <f>SUM(IO21:IZ21)</f>
        <v>0</v>
      </c>
      <c r="JC21" s="135" t="str">
        <f>B21+O21+AB21+AO21+BB21+BO21+CB21+CO21+DB21+DO21+EB21+EO21+FB21+FO21+GB21+GO21+HB21+HO21+IB21+IO21</f>
        <v>0</v>
      </c>
      <c r="JD21" s="135" t="str">
        <f>C21+P21+AC21+AP21+BC21+BP21+CC21+CP21+DC21+DP21+EC21+EP21+FC21+FP21+GC21+GP21+HC21+HP21+IC21+IP21</f>
        <v>0</v>
      </c>
      <c r="JE21" s="135" t="str">
        <f>D21+Q21+AD21+AQ21+BD21+BQ21+CD21+CQ21+DD21+DQ21+ED21+EQ21+FD21+FQ21+GD21+GQ21+HD21+HQ21+ID21+IQ21</f>
        <v>0</v>
      </c>
      <c r="JF21" s="135" t="str">
        <f>E21+R21+AE21+AR21+BE21+BR21+CE21+CR21+DE21+DR21+EE21+ER21+FE21+FR21+GE21+GR21+HE21+HR21+IE21+IR21</f>
        <v>0</v>
      </c>
      <c r="JG21" s="135" t="str">
        <f>F21+S21+AF21+AS21+BF21+BS21+CF21+CS21+DF21+DS21+EF21+ES21+FF21+FS21+GF21+GS21+HF21+HS21+IF21+IS21</f>
        <v>0</v>
      </c>
      <c r="JH21" s="135" t="str">
        <f>G21+T21+AG21+AT21+BG21+BT21+CG21+CT21+DG21+DT21+EG21+ET21+FG21+FT21+GG21+GT21+HG21+HT21+IG21+IT21</f>
        <v>0</v>
      </c>
      <c r="JI21" s="135" t="str">
        <f>H21+U21+AH21+AU21+BH21+BU21+CH21+CU21+DH21+DU21+EH21+EU21+FH21+FU21+GH21+GU21+HH21+HU21+IH21+IU21</f>
        <v>0</v>
      </c>
      <c r="JJ21" s="135" t="str">
        <f>I21+V21+AI21+AV21+BI21+BV21+CI21+CV21+DI21+DV21+EI21+EV21+FI21+FV21+GI21+GV21+HI21+HV21+II21+IV21</f>
        <v>0</v>
      </c>
      <c r="JK21" s="135" t="str">
        <f>J21+W21+AJ21+AW21+BJ21+BW21+CJ21+CW21+DJ21+DW21+EJ21+EW21+FJ21+FW21+GJ21+GW21+HJ21+HW21+IJ21+IW21</f>
        <v>0</v>
      </c>
      <c r="JL21" s="135" t="str">
        <f>K21+X21+AK21+AX21+BK21+BX21+CK21+CX21+DK21+DX21+EK21+EX21+FK21+FX21+GK21+GX21+HK21+HX21+IK21+IX21</f>
        <v>0</v>
      </c>
      <c r="JM21" s="135" t="str">
        <f>L21+Y21+AL21+AY21+BL21+BY21+CL21+CY21+DL21+DY21+EL21+EY21+FL21+FY21+GL21+GY21+HL21+HY21+IL21+IY21</f>
        <v>0</v>
      </c>
      <c r="JN21" s="135" t="str">
        <f>M21+Z21+AM21+AZ21+BM21+BZ21+CM21+CZ21+DM21+DZ21+EM21+EZ21+FM21+FZ21+GM21+GZ21+HM21+HZ21+IM21+IZ21</f>
        <v>0</v>
      </c>
      <c r="JO21" s="132" t="str">
        <f>SUM(JC21:JN21)</f>
        <v>0</v>
      </c>
      <c r="JQ21" s="139" t="str">
        <f>N21+AA21+AN21+BA21+BN21+CA21+CN21+DA21+DN21+EA21+EN21+FA21+FN21+GA21+GN21+HA21+HN21+IA21+IN21+JA21</f>
        <v>0</v>
      </c>
    </row>
    <row r="22" spans="1:278">
      <c r="A22" s="130" t="s">
        <v>437</v>
      </c>
      <c r="B22" s="131">
        <v>170</v>
      </c>
      <c r="C22" s="131">
        <v>170</v>
      </c>
      <c r="D22" s="131">
        <v>170</v>
      </c>
      <c r="E22" s="131">
        <v>170</v>
      </c>
      <c r="F22" s="131">
        <v>170</v>
      </c>
      <c r="G22" s="131">
        <v>170</v>
      </c>
      <c r="H22" s="131">
        <v>170</v>
      </c>
      <c r="I22" s="131">
        <v>170</v>
      </c>
      <c r="J22" s="131">
        <v>170</v>
      </c>
      <c r="K22" s="131">
        <v>170</v>
      </c>
      <c r="L22" s="131">
        <v>170</v>
      </c>
      <c r="M22" s="131">
        <v>170</v>
      </c>
      <c r="N22" s="132" t="str">
        <f>SUM(B22:M22)</f>
        <v>0</v>
      </c>
      <c r="O22" s="133">
        <v>820</v>
      </c>
      <c r="P22" s="133">
        <v>820</v>
      </c>
      <c r="Q22" s="133">
        <v>820</v>
      </c>
      <c r="R22" s="133">
        <v>820</v>
      </c>
      <c r="S22" s="133">
        <v>820</v>
      </c>
      <c r="T22" s="133">
        <v>820</v>
      </c>
      <c r="U22" s="133">
        <v>820</v>
      </c>
      <c r="V22" s="133">
        <v>820</v>
      </c>
      <c r="W22" s="133">
        <v>820</v>
      </c>
      <c r="X22" s="133">
        <v>820</v>
      </c>
      <c r="Y22" s="133">
        <v>820</v>
      </c>
      <c r="Z22" s="133">
        <v>820</v>
      </c>
      <c r="AA22" s="132" t="str">
        <f>SUM(O22:Z22)</f>
        <v>0</v>
      </c>
      <c r="AB22" s="131">
        <v>600</v>
      </c>
      <c r="AC22" s="131">
        <v>600</v>
      </c>
      <c r="AD22" s="131">
        <v>600</v>
      </c>
      <c r="AE22" s="131">
        <v>600</v>
      </c>
      <c r="AF22" s="131">
        <v>600</v>
      </c>
      <c r="AG22" s="131">
        <v>600</v>
      </c>
      <c r="AH22" s="131">
        <v>600</v>
      </c>
      <c r="AI22" s="131">
        <v>600</v>
      </c>
      <c r="AJ22" s="131">
        <v>600</v>
      </c>
      <c r="AK22" s="131">
        <v>600</v>
      </c>
      <c r="AL22" s="131">
        <v>600</v>
      </c>
      <c r="AM22" s="131">
        <v>600</v>
      </c>
      <c r="AN22" s="132" t="str">
        <f>SUM(AB22:AM22)</f>
        <v>0</v>
      </c>
      <c r="AO22" s="133">
        <v>510</v>
      </c>
      <c r="AP22" s="133">
        <v>510</v>
      </c>
      <c r="AQ22" s="133">
        <v>510</v>
      </c>
      <c r="AR22" s="133">
        <v>510</v>
      </c>
      <c r="AS22" s="133">
        <v>510</v>
      </c>
      <c r="AT22" s="133">
        <v>510</v>
      </c>
      <c r="AU22" s="133">
        <v>510</v>
      </c>
      <c r="AV22" s="133">
        <v>510</v>
      </c>
      <c r="AW22" s="133">
        <v>510</v>
      </c>
      <c r="AX22" s="133">
        <v>510</v>
      </c>
      <c r="AY22" s="133">
        <v>510</v>
      </c>
      <c r="AZ22" s="133">
        <v>510</v>
      </c>
      <c r="BA22" s="132" t="str">
        <f>SUM(AO22:AZ22)</f>
        <v>0</v>
      </c>
      <c r="BB22" s="134">
        <v>340</v>
      </c>
      <c r="BC22" s="134">
        <v>340</v>
      </c>
      <c r="BD22" s="134">
        <v>340</v>
      </c>
      <c r="BE22" s="134">
        <v>340</v>
      </c>
      <c r="BF22" s="134">
        <v>340</v>
      </c>
      <c r="BG22" s="134">
        <v>340</v>
      </c>
      <c r="BH22" s="134">
        <v>340</v>
      </c>
      <c r="BI22" s="134">
        <v>340</v>
      </c>
      <c r="BJ22" s="134">
        <v>340</v>
      </c>
      <c r="BK22" s="134">
        <v>340</v>
      </c>
      <c r="BL22" s="134">
        <v>340</v>
      </c>
      <c r="BM22" s="134">
        <v>340</v>
      </c>
      <c r="BN22" s="132" t="str">
        <f>SUM(BB22:BM22)</f>
        <v>0</v>
      </c>
      <c r="BO22" s="135">
        <v>110</v>
      </c>
      <c r="BP22" s="135">
        <v>110</v>
      </c>
      <c r="BQ22" s="135">
        <v>110</v>
      </c>
      <c r="BR22" s="135">
        <v>110</v>
      </c>
      <c r="BS22" s="135">
        <v>110</v>
      </c>
      <c r="BT22" s="135">
        <v>110</v>
      </c>
      <c r="BU22" s="135">
        <v>110</v>
      </c>
      <c r="BV22" s="135">
        <v>110</v>
      </c>
      <c r="BW22" s="135">
        <v>110</v>
      </c>
      <c r="BX22" s="135">
        <v>110</v>
      </c>
      <c r="BY22" s="135">
        <v>110</v>
      </c>
      <c r="BZ22" s="135">
        <v>110</v>
      </c>
      <c r="CA22" s="132" t="str">
        <f>SUM(BO22:BZ22)</f>
        <v>0</v>
      </c>
      <c r="CB22" s="136">
        <v>765</v>
      </c>
      <c r="CC22" s="136">
        <v>765</v>
      </c>
      <c r="CD22" s="136">
        <v>765</v>
      </c>
      <c r="CE22" s="136">
        <v>765</v>
      </c>
      <c r="CF22" s="136">
        <v>765</v>
      </c>
      <c r="CG22" s="136">
        <v>765</v>
      </c>
      <c r="CH22" s="136">
        <v>765</v>
      </c>
      <c r="CI22" s="136">
        <v>765</v>
      </c>
      <c r="CJ22" s="136">
        <v>765</v>
      </c>
      <c r="CK22" s="136">
        <v>765</v>
      </c>
      <c r="CL22" s="136">
        <v>765</v>
      </c>
      <c r="CM22" s="136">
        <v>765</v>
      </c>
      <c r="CN22" s="132" t="str">
        <f>SUM(CB22:CM22)</f>
        <v>0</v>
      </c>
      <c r="CO22" s="137">
        <v>480</v>
      </c>
      <c r="CP22" s="137">
        <v>480</v>
      </c>
      <c r="CQ22" s="137">
        <v>480</v>
      </c>
      <c r="CR22" s="137">
        <v>480</v>
      </c>
      <c r="CS22" s="137">
        <v>480</v>
      </c>
      <c r="CT22" s="137">
        <v>480</v>
      </c>
      <c r="CU22" s="137">
        <v>480</v>
      </c>
      <c r="CV22" s="137">
        <v>480</v>
      </c>
      <c r="CW22" s="137">
        <v>480</v>
      </c>
      <c r="CX22" s="137">
        <v>480</v>
      </c>
      <c r="CY22" s="137">
        <v>480</v>
      </c>
      <c r="CZ22" s="137">
        <v>480</v>
      </c>
      <c r="DA22" s="132" t="str">
        <f>SUM(CO22:CZ22)</f>
        <v>0</v>
      </c>
      <c r="DB22" s="136">
        <v>230</v>
      </c>
      <c r="DC22" s="136">
        <v>230</v>
      </c>
      <c r="DD22" s="136">
        <v>230</v>
      </c>
      <c r="DE22" s="136">
        <v>230</v>
      </c>
      <c r="DF22" s="136">
        <v>230</v>
      </c>
      <c r="DG22" s="136">
        <v>230</v>
      </c>
      <c r="DH22" s="136">
        <v>230</v>
      </c>
      <c r="DI22" s="136">
        <v>230</v>
      </c>
      <c r="DJ22" s="136">
        <v>230</v>
      </c>
      <c r="DK22" s="136">
        <v>230</v>
      </c>
      <c r="DL22" s="136">
        <v>230</v>
      </c>
      <c r="DM22" s="136">
        <v>230</v>
      </c>
      <c r="DN22" s="132" t="str">
        <f>SUM(DB22:DM22)</f>
        <v>0</v>
      </c>
      <c r="DO22" s="137">
        <v>230</v>
      </c>
      <c r="DP22" s="137">
        <v>230</v>
      </c>
      <c r="DQ22" s="137">
        <v>230</v>
      </c>
      <c r="DR22" s="137">
        <v>230</v>
      </c>
      <c r="DS22" s="137">
        <v>230</v>
      </c>
      <c r="DT22" s="137">
        <v>230</v>
      </c>
      <c r="DU22" s="137">
        <v>230</v>
      </c>
      <c r="DV22" s="137">
        <v>230</v>
      </c>
      <c r="DW22" s="137">
        <v>230</v>
      </c>
      <c r="DX22" s="137">
        <v>230</v>
      </c>
      <c r="DY22" s="137">
        <v>230</v>
      </c>
      <c r="DZ22" s="137">
        <v>230</v>
      </c>
      <c r="EA22" s="132" t="str">
        <f>SUM(DO22:DZ22)</f>
        <v>0</v>
      </c>
      <c r="EB22" s="216">
        <v>0</v>
      </c>
      <c r="EC22" s="216">
        <v>0</v>
      </c>
      <c r="ED22" s="216">
        <v>0</v>
      </c>
      <c r="EE22" s="216">
        <v>0</v>
      </c>
      <c r="EF22" s="216">
        <v>0</v>
      </c>
      <c r="EG22" s="216">
        <v>0</v>
      </c>
      <c r="EH22" s="216">
        <v>0</v>
      </c>
      <c r="EI22" s="216">
        <v>0</v>
      </c>
      <c r="EJ22" s="216">
        <v>0</v>
      </c>
      <c r="EK22" s="216">
        <v>0</v>
      </c>
      <c r="EL22" s="216">
        <v>0</v>
      </c>
      <c r="EM22" s="216">
        <v>0</v>
      </c>
      <c r="EN22" s="132" t="str">
        <f>SUM(EB22:EM22)</f>
        <v>0</v>
      </c>
      <c r="EO22" s="132">
        <v>0</v>
      </c>
      <c r="EP22" s="132">
        <v>0</v>
      </c>
      <c r="EQ22" s="132">
        <v>0</v>
      </c>
      <c r="ER22" s="132">
        <v>0</v>
      </c>
      <c r="ES22" s="132">
        <v>0</v>
      </c>
      <c r="ET22" s="132">
        <v>0</v>
      </c>
      <c r="EU22" s="132">
        <v>0</v>
      </c>
      <c r="EV22" s="132">
        <v>0</v>
      </c>
      <c r="EW22" s="132">
        <v>0</v>
      </c>
      <c r="EX22" s="132">
        <v>0</v>
      </c>
      <c r="EY22" s="132">
        <v>0</v>
      </c>
      <c r="EZ22" s="132">
        <v>0</v>
      </c>
      <c r="FA22" s="132" t="str">
        <f>SUM(EO22:EZ22)</f>
        <v>0</v>
      </c>
      <c r="FB22" s="181">
        <v>0</v>
      </c>
      <c r="FC22" s="181">
        <v>0</v>
      </c>
      <c r="FD22" s="181">
        <v>0</v>
      </c>
      <c r="FE22" s="181">
        <v>0</v>
      </c>
      <c r="FF22" s="181">
        <v>0</v>
      </c>
      <c r="FG22" s="181">
        <v>0</v>
      </c>
      <c r="FH22" s="181">
        <v>0</v>
      </c>
      <c r="FI22" s="181">
        <v>0</v>
      </c>
      <c r="FJ22" s="181">
        <v>0</v>
      </c>
      <c r="FK22" s="181">
        <v>0</v>
      </c>
      <c r="FL22" s="181">
        <v>0</v>
      </c>
      <c r="FM22" s="181">
        <v>0</v>
      </c>
      <c r="FN22" s="132" t="str">
        <f>SUM(FB22:FM22)</f>
        <v>0</v>
      </c>
      <c r="FO22" s="132">
        <v>0</v>
      </c>
      <c r="FP22" s="132">
        <v>0</v>
      </c>
      <c r="FQ22" s="132">
        <v>0</v>
      </c>
      <c r="FR22" s="132">
        <v>0</v>
      </c>
      <c r="FS22" s="132">
        <v>0</v>
      </c>
      <c r="FT22" s="132">
        <v>0</v>
      </c>
      <c r="FU22" s="132">
        <v>0</v>
      </c>
      <c r="FV22" s="132">
        <v>0</v>
      </c>
      <c r="FW22" s="132">
        <v>0</v>
      </c>
      <c r="FX22" s="132">
        <v>0</v>
      </c>
      <c r="FY22" s="132">
        <v>0</v>
      </c>
      <c r="FZ22" s="132">
        <v>0</v>
      </c>
      <c r="GA22" s="132" t="str">
        <f>SUM(FO22:FZ22)</f>
        <v>0</v>
      </c>
      <c r="GB22" s="181">
        <v>0</v>
      </c>
      <c r="GC22" s="181">
        <v>0</v>
      </c>
      <c r="GD22" s="181">
        <v>0</v>
      </c>
      <c r="GE22" s="181">
        <v>0</v>
      </c>
      <c r="GF22" s="181">
        <v>0</v>
      </c>
      <c r="GG22" s="181">
        <v>0</v>
      </c>
      <c r="GH22" s="181">
        <v>0</v>
      </c>
      <c r="GI22" s="181">
        <v>0</v>
      </c>
      <c r="GJ22" s="181">
        <v>0</v>
      </c>
      <c r="GK22" s="181">
        <v>0</v>
      </c>
      <c r="GL22" s="181">
        <v>0</v>
      </c>
      <c r="GM22" s="181">
        <v>0</v>
      </c>
      <c r="GN22" s="181" t="str">
        <f>SUM(GB22:GM22)</f>
        <v>0</v>
      </c>
      <c r="GO22" s="137">
        <v>0</v>
      </c>
      <c r="GP22" s="137">
        <v>0</v>
      </c>
      <c r="GQ22" s="137">
        <v>0</v>
      </c>
      <c r="GR22" s="137">
        <v>0</v>
      </c>
      <c r="GS22" s="137">
        <v>0</v>
      </c>
      <c r="GT22" s="137">
        <v>0</v>
      </c>
      <c r="GU22" s="137">
        <v>0</v>
      </c>
      <c r="GV22" s="137">
        <v>0</v>
      </c>
      <c r="GW22" s="137">
        <v>0</v>
      </c>
      <c r="GX22" s="137">
        <v>0</v>
      </c>
      <c r="GY22" s="137">
        <v>0</v>
      </c>
      <c r="GZ22" s="137">
        <v>0</v>
      </c>
      <c r="HA22" s="132" t="str">
        <f>SUM(GO22:GZ22)</f>
        <v>0</v>
      </c>
      <c r="HB22" s="181">
        <v>0</v>
      </c>
      <c r="HC22" s="181">
        <v>0</v>
      </c>
      <c r="HD22" s="181">
        <v>0</v>
      </c>
      <c r="HE22" s="181">
        <v>0</v>
      </c>
      <c r="HF22" s="181">
        <v>0</v>
      </c>
      <c r="HG22" s="181">
        <v>0</v>
      </c>
      <c r="HH22" s="181">
        <v>0</v>
      </c>
      <c r="HI22" s="181">
        <v>0</v>
      </c>
      <c r="HJ22" s="181">
        <v>0</v>
      </c>
      <c r="HK22" s="181">
        <v>0</v>
      </c>
      <c r="HL22" s="181">
        <v>0</v>
      </c>
      <c r="HM22" s="181">
        <v>0</v>
      </c>
      <c r="HN22" s="181" t="str">
        <f>SUM(HB22:HM22)</f>
        <v>0</v>
      </c>
      <c r="HO22" s="132">
        <v>150</v>
      </c>
      <c r="HP22" s="132">
        <v>150</v>
      </c>
      <c r="HQ22" s="132">
        <v>150</v>
      </c>
      <c r="HR22" s="132">
        <v>150</v>
      </c>
      <c r="HS22" s="132">
        <v>150</v>
      </c>
      <c r="HT22" s="132">
        <v>150</v>
      </c>
      <c r="HU22" s="132">
        <v>150</v>
      </c>
      <c r="HV22" s="132">
        <v>150</v>
      </c>
      <c r="HW22" s="132">
        <v>150</v>
      </c>
      <c r="HX22" s="132">
        <v>150</v>
      </c>
      <c r="HY22" s="132">
        <v>150</v>
      </c>
      <c r="HZ22" s="132">
        <v>150</v>
      </c>
      <c r="IA22" s="132" t="str">
        <f>SUM(HO22:HZ22)</f>
        <v>0</v>
      </c>
      <c r="IB22" s="181">
        <v>0</v>
      </c>
      <c r="IC22" s="181">
        <v>0</v>
      </c>
      <c r="ID22" s="181">
        <v>0</v>
      </c>
      <c r="IE22" s="181">
        <v>0</v>
      </c>
      <c r="IF22" s="181">
        <v>0</v>
      </c>
      <c r="IG22" s="181">
        <v>0</v>
      </c>
      <c r="IH22" s="181">
        <v>0</v>
      </c>
      <c r="II22" s="181">
        <v>0</v>
      </c>
      <c r="IJ22" s="181">
        <v>0</v>
      </c>
      <c r="IK22" s="181">
        <v>0</v>
      </c>
      <c r="IL22" s="181">
        <v>0</v>
      </c>
      <c r="IM22" s="181">
        <v>0</v>
      </c>
      <c r="IN22" s="181" t="str">
        <f>SUM(IB22:IM22)</f>
        <v>0</v>
      </c>
      <c r="IO22" s="181">
        <v>0</v>
      </c>
      <c r="IP22" s="181">
        <v>0</v>
      </c>
      <c r="IQ22" s="181">
        <v>0</v>
      </c>
      <c r="IR22" s="181">
        <v>0</v>
      </c>
      <c r="IS22" s="181">
        <v>0</v>
      </c>
      <c r="IT22" s="181">
        <v>0</v>
      </c>
      <c r="IU22" s="181">
        <v>0</v>
      </c>
      <c r="IV22" s="181">
        <v>0</v>
      </c>
      <c r="IW22" s="181">
        <v>0</v>
      </c>
      <c r="IX22" s="181">
        <v>0</v>
      </c>
      <c r="IY22" s="181">
        <v>0</v>
      </c>
      <c r="IZ22" s="181">
        <v>0</v>
      </c>
      <c r="JA22" s="181" t="str">
        <f>SUM(IO22:IZ22)</f>
        <v>0</v>
      </c>
      <c r="JC22" s="135" t="str">
        <f>B22+O22+AB22+AO22+BB22+BO22+CB22+CO22+DB22+DO22+EB22+EO22+FB22+FO22+GB22+GO22+HB22+HO22+IB22+IO22</f>
        <v>0</v>
      </c>
      <c r="JD22" s="135" t="str">
        <f>C22+P22+AC22+AP22+BC22+BP22+CC22+CP22+DC22+DP22+EC22+EP22+FC22+FP22+GC22+GP22+HC22+HP22+IC22+IP22</f>
        <v>0</v>
      </c>
      <c r="JE22" s="135" t="str">
        <f>D22+Q22+AD22+AQ22+BD22+BQ22+CD22+CQ22+DD22+DQ22+ED22+EQ22+FD22+FQ22+GD22+GQ22+HD22+HQ22+ID22+IQ22</f>
        <v>0</v>
      </c>
      <c r="JF22" s="135" t="str">
        <f>E22+R22+AE22+AR22+BE22+BR22+CE22+CR22+DE22+DR22+EE22+ER22+FE22+FR22+GE22+GR22+HE22+HR22+IE22+IR22</f>
        <v>0</v>
      </c>
      <c r="JG22" s="135" t="str">
        <f>F22+S22+AF22+AS22+BF22+BS22+CF22+CS22+DF22+DS22+EF22+ES22+FF22+FS22+GF22+GS22+HF22+HS22+IF22+IS22</f>
        <v>0</v>
      </c>
      <c r="JH22" s="135" t="str">
        <f>G22+T22+AG22+AT22+BG22+BT22+CG22+CT22+DG22+DT22+EG22+ET22+FG22+FT22+GG22+GT22+HG22+HT22+IG22+IT22</f>
        <v>0</v>
      </c>
      <c r="JI22" s="135" t="str">
        <f>H22+U22+AH22+AU22+BH22+BU22+CH22+CU22+DH22+DU22+EH22+EU22+FH22+FU22+GH22+GU22+HH22+HU22+IH22+IU22</f>
        <v>0</v>
      </c>
      <c r="JJ22" s="135" t="str">
        <f>I22+V22+AI22+AV22+BI22+BV22+CI22+CV22+DI22+DV22+EI22+EV22+FI22+FV22+GI22+GV22+HI22+HV22+II22+IV22</f>
        <v>0</v>
      </c>
      <c r="JK22" s="135" t="str">
        <f>J22+W22+AJ22+AW22+BJ22+BW22+CJ22+CW22+DJ22+DW22+EJ22+EW22+FJ22+FW22+GJ22+GW22+HJ22+HW22+IJ22+IW22</f>
        <v>0</v>
      </c>
      <c r="JL22" s="135" t="str">
        <f>K22+X22+AK22+AX22+BK22+BX22+CK22+CX22+DK22+DX22+EK22+EX22+FK22+FX22+GK22+GX22+HK22+HX22+IK22+IX22</f>
        <v>0</v>
      </c>
      <c r="JM22" s="135" t="str">
        <f>L22+Y22+AL22+AY22+BL22+BY22+CL22+CY22+DL22+DY22+EL22+EY22+FL22+FY22+GL22+GY22+HL22+HY22+IL22+IY22</f>
        <v>0</v>
      </c>
      <c r="JN22" s="135" t="str">
        <f>M22+Z22+AM22+AZ22+BM22+BZ22+CM22+CZ22+DM22+DZ22+EM22+EZ22+FM22+FZ22+GM22+GZ22+HM22+HZ22+IM22+IZ22</f>
        <v>0</v>
      </c>
      <c r="JO22" s="132" t="str">
        <f>SUM(JC22:JN22)</f>
        <v>0</v>
      </c>
      <c r="JQ22" s="139" t="str">
        <f>N22+AA22+AN22+BA22+BN22+CA22+CN22+DA22+DN22+EA22+EN22+FA22+FN22+GA22+GN22+HA22+HN22+IA22+IN22+JA22</f>
        <v>0</v>
      </c>
    </row>
    <row r="23" spans="1:278">
      <c r="A23" s="130" t="s">
        <v>442</v>
      </c>
      <c r="B23" s="131">
        <v>150</v>
      </c>
      <c r="C23" s="131">
        <v>150</v>
      </c>
      <c r="D23" s="131">
        <v>150</v>
      </c>
      <c r="E23" s="131">
        <v>150</v>
      </c>
      <c r="F23" s="131">
        <v>150</v>
      </c>
      <c r="G23" s="131">
        <v>150</v>
      </c>
      <c r="H23" s="131">
        <v>150</v>
      </c>
      <c r="I23" s="131">
        <v>150</v>
      </c>
      <c r="J23" s="131">
        <v>150</v>
      </c>
      <c r="K23" s="131">
        <v>150</v>
      </c>
      <c r="L23" s="131">
        <v>150</v>
      </c>
      <c r="M23" s="131">
        <v>150</v>
      </c>
      <c r="N23" s="132" t="str">
        <f>SUM(B23:M23)</f>
        <v>0</v>
      </c>
      <c r="O23" s="133">
        <v>500</v>
      </c>
      <c r="P23" s="133">
        <v>500</v>
      </c>
      <c r="Q23" s="133">
        <v>500</v>
      </c>
      <c r="R23" s="133">
        <v>500</v>
      </c>
      <c r="S23" s="133">
        <v>500</v>
      </c>
      <c r="T23" s="133">
        <v>500</v>
      </c>
      <c r="U23" s="133">
        <v>500</v>
      </c>
      <c r="V23" s="133">
        <v>500</v>
      </c>
      <c r="W23" s="133">
        <v>500</v>
      </c>
      <c r="X23" s="133">
        <v>500</v>
      </c>
      <c r="Y23" s="133">
        <v>500</v>
      </c>
      <c r="Z23" s="133">
        <v>500</v>
      </c>
      <c r="AA23" s="132" t="str">
        <f>SUM(O23:Z23)</f>
        <v>0</v>
      </c>
      <c r="AB23" s="131">
        <v>668</v>
      </c>
      <c r="AC23" s="131">
        <v>668</v>
      </c>
      <c r="AD23" s="131">
        <v>668</v>
      </c>
      <c r="AE23" s="131">
        <v>668</v>
      </c>
      <c r="AF23" s="131">
        <v>668</v>
      </c>
      <c r="AG23" s="131">
        <v>668</v>
      </c>
      <c r="AH23" s="131">
        <v>668</v>
      </c>
      <c r="AI23" s="131">
        <v>668</v>
      </c>
      <c r="AJ23" s="131">
        <v>668</v>
      </c>
      <c r="AK23" s="131">
        <v>668</v>
      </c>
      <c r="AL23" s="131">
        <v>668</v>
      </c>
      <c r="AM23" s="131">
        <v>668</v>
      </c>
      <c r="AN23" s="132" t="str">
        <f>SUM(AB23:AM23)</f>
        <v>0</v>
      </c>
      <c r="AO23" s="133">
        <v>418</v>
      </c>
      <c r="AP23" s="133">
        <v>418</v>
      </c>
      <c r="AQ23" s="133">
        <v>418</v>
      </c>
      <c r="AR23" s="133">
        <v>418</v>
      </c>
      <c r="AS23" s="133">
        <v>418</v>
      </c>
      <c r="AT23" s="133">
        <v>418</v>
      </c>
      <c r="AU23" s="133">
        <v>418</v>
      </c>
      <c r="AV23" s="133">
        <v>418</v>
      </c>
      <c r="AW23" s="133">
        <v>418</v>
      </c>
      <c r="AX23" s="133">
        <v>418</v>
      </c>
      <c r="AY23" s="133">
        <v>418</v>
      </c>
      <c r="AZ23" s="133">
        <v>418</v>
      </c>
      <c r="BA23" s="132" t="str">
        <f>SUM(AO23:AZ23)</f>
        <v>0</v>
      </c>
      <c r="BB23" s="134">
        <v>206</v>
      </c>
      <c r="BC23" s="134">
        <v>206</v>
      </c>
      <c r="BD23" s="134">
        <v>206</v>
      </c>
      <c r="BE23" s="134">
        <v>206</v>
      </c>
      <c r="BF23" s="134">
        <v>206</v>
      </c>
      <c r="BG23" s="134">
        <v>206</v>
      </c>
      <c r="BH23" s="134">
        <v>206</v>
      </c>
      <c r="BI23" s="134">
        <v>206</v>
      </c>
      <c r="BJ23" s="134">
        <v>206</v>
      </c>
      <c r="BK23" s="134">
        <v>206</v>
      </c>
      <c r="BL23" s="134">
        <v>206</v>
      </c>
      <c r="BM23" s="134">
        <v>206</v>
      </c>
      <c r="BN23" s="132" t="str">
        <f>SUM(BB23:BM23)</f>
        <v>0</v>
      </c>
      <c r="BO23" s="135">
        <v>119</v>
      </c>
      <c r="BP23" s="135">
        <v>119</v>
      </c>
      <c r="BQ23" s="135">
        <v>119</v>
      </c>
      <c r="BR23" s="135">
        <v>119</v>
      </c>
      <c r="BS23" s="135">
        <v>119</v>
      </c>
      <c r="BT23" s="135">
        <v>119</v>
      </c>
      <c r="BU23" s="135">
        <v>119</v>
      </c>
      <c r="BV23" s="135">
        <v>119</v>
      </c>
      <c r="BW23" s="135">
        <v>119</v>
      </c>
      <c r="BX23" s="135">
        <v>119</v>
      </c>
      <c r="BY23" s="135">
        <v>119</v>
      </c>
      <c r="BZ23" s="135">
        <v>119</v>
      </c>
      <c r="CA23" s="132" t="str">
        <f>SUM(BO23:BZ23)</f>
        <v>0</v>
      </c>
      <c r="CB23" s="136">
        <v>727</v>
      </c>
      <c r="CC23" s="136">
        <v>727</v>
      </c>
      <c r="CD23" s="136">
        <v>727</v>
      </c>
      <c r="CE23" s="136">
        <v>727</v>
      </c>
      <c r="CF23" s="136">
        <v>727</v>
      </c>
      <c r="CG23" s="136">
        <v>727</v>
      </c>
      <c r="CH23" s="136">
        <v>727</v>
      </c>
      <c r="CI23" s="136">
        <v>727</v>
      </c>
      <c r="CJ23" s="136">
        <v>727</v>
      </c>
      <c r="CK23" s="136">
        <v>727</v>
      </c>
      <c r="CL23" s="136">
        <v>727</v>
      </c>
      <c r="CM23" s="136">
        <v>727</v>
      </c>
      <c r="CN23" s="132" t="str">
        <f>SUM(CB23:CM23)</f>
        <v>0</v>
      </c>
      <c r="CO23" s="137">
        <v>458</v>
      </c>
      <c r="CP23" s="137">
        <v>458</v>
      </c>
      <c r="CQ23" s="137">
        <v>458</v>
      </c>
      <c r="CR23" s="137">
        <v>458</v>
      </c>
      <c r="CS23" s="137">
        <v>458</v>
      </c>
      <c r="CT23" s="137">
        <v>458</v>
      </c>
      <c r="CU23" s="137">
        <v>458</v>
      </c>
      <c r="CV23" s="137">
        <v>458</v>
      </c>
      <c r="CW23" s="137">
        <v>458</v>
      </c>
      <c r="CX23" s="137">
        <v>458</v>
      </c>
      <c r="CY23" s="137">
        <v>458</v>
      </c>
      <c r="CZ23" s="137">
        <v>458</v>
      </c>
      <c r="DA23" s="132" t="str">
        <f>SUM(CO23:CZ23)</f>
        <v>0</v>
      </c>
      <c r="DB23" s="136">
        <v>291</v>
      </c>
      <c r="DC23" s="136">
        <v>291</v>
      </c>
      <c r="DD23" s="136">
        <v>291</v>
      </c>
      <c r="DE23" s="136">
        <v>291</v>
      </c>
      <c r="DF23" s="136">
        <v>291</v>
      </c>
      <c r="DG23" s="136">
        <v>291</v>
      </c>
      <c r="DH23" s="136">
        <v>291</v>
      </c>
      <c r="DI23" s="136">
        <v>291</v>
      </c>
      <c r="DJ23" s="136">
        <v>291</v>
      </c>
      <c r="DK23" s="136">
        <v>291</v>
      </c>
      <c r="DL23" s="136">
        <v>291</v>
      </c>
      <c r="DM23" s="136">
        <v>291</v>
      </c>
      <c r="DN23" s="132" t="str">
        <f>SUM(DB23:DM23)</f>
        <v>0</v>
      </c>
      <c r="DO23" s="137">
        <v>240</v>
      </c>
      <c r="DP23" s="137">
        <v>240</v>
      </c>
      <c r="DQ23" s="137">
        <v>240</v>
      </c>
      <c r="DR23" s="137">
        <v>240</v>
      </c>
      <c r="DS23" s="137">
        <v>240</v>
      </c>
      <c r="DT23" s="137">
        <v>240</v>
      </c>
      <c r="DU23" s="137">
        <v>240</v>
      </c>
      <c r="DV23" s="137">
        <v>240</v>
      </c>
      <c r="DW23" s="137">
        <v>240</v>
      </c>
      <c r="DX23" s="137">
        <v>240</v>
      </c>
      <c r="DY23" s="137">
        <v>240</v>
      </c>
      <c r="DZ23" s="137">
        <v>240</v>
      </c>
      <c r="EA23" s="132" t="str">
        <f>SUM(DO23:DZ23)</f>
        <v>0</v>
      </c>
      <c r="EB23" s="216">
        <v>0</v>
      </c>
      <c r="EC23" s="216">
        <v>0</v>
      </c>
      <c r="ED23" s="216">
        <v>0</v>
      </c>
      <c r="EE23" s="216">
        <v>0</v>
      </c>
      <c r="EF23" s="216">
        <v>0</v>
      </c>
      <c r="EG23" s="216">
        <v>0</v>
      </c>
      <c r="EH23" s="216">
        <v>0</v>
      </c>
      <c r="EI23" s="216">
        <v>0</v>
      </c>
      <c r="EJ23" s="216">
        <v>0</v>
      </c>
      <c r="EK23" s="216">
        <v>0</v>
      </c>
      <c r="EL23" s="216">
        <v>0</v>
      </c>
      <c r="EM23" s="216">
        <v>0</v>
      </c>
      <c r="EN23" s="132" t="str">
        <f>SUM(EB23:EM23)</f>
        <v>0</v>
      </c>
      <c r="EO23" s="132">
        <v>0</v>
      </c>
      <c r="EP23" s="132">
        <v>0</v>
      </c>
      <c r="EQ23" s="132">
        <v>0</v>
      </c>
      <c r="ER23" s="132">
        <v>0</v>
      </c>
      <c r="ES23" s="132">
        <v>0</v>
      </c>
      <c r="ET23" s="132">
        <v>0</v>
      </c>
      <c r="EU23" s="132">
        <v>0</v>
      </c>
      <c r="EV23" s="132">
        <v>0</v>
      </c>
      <c r="EW23" s="132">
        <v>0</v>
      </c>
      <c r="EX23" s="132">
        <v>0</v>
      </c>
      <c r="EY23" s="132">
        <v>0</v>
      </c>
      <c r="EZ23" s="132">
        <v>0</v>
      </c>
      <c r="FA23" s="132" t="str">
        <f>SUM(EO23:EZ23)</f>
        <v>0</v>
      </c>
      <c r="FB23" s="181">
        <v>0</v>
      </c>
      <c r="FC23" s="181">
        <v>0</v>
      </c>
      <c r="FD23" s="181">
        <v>0</v>
      </c>
      <c r="FE23" s="181">
        <v>0</v>
      </c>
      <c r="FF23" s="181">
        <v>0</v>
      </c>
      <c r="FG23" s="181">
        <v>0</v>
      </c>
      <c r="FH23" s="181">
        <v>0</v>
      </c>
      <c r="FI23" s="181">
        <v>0</v>
      </c>
      <c r="FJ23" s="181">
        <v>0</v>
      </c>
      <c r="FK23" s="181">
        <v>0</v>
      </c>
      <c r="FL23" s="181">
        <v>0</v>
      </c>
      <c r="FM23" s="181">
        <v>0</v>
      </c>
      <c r="FN23" s="132" t="str">
        <f>SUM(FB23:FM23)</f>
        <v>0</v>
      </c>
      <c r="FO23" s="132">
        <v>0</v>
      </c>
      <c r="FP23" s="132">
        <v>0</v>
      </c>
      <c r="FQ23" s="132">
        <v>0</v>
      </c>
      <c r="FR23" s="132">
        <v>0</v>
      </c>
      <c r="FS23" s="132">
        <v>0</v>
      </c>
      <c r="FT23" s="132">
        <v>0</v>
      </c>
      <c r="FU23" s="132">
        <v>0</v>
      </c>
      <c r="FV23" s="132">
        <v>0</v>
      </c>
      <c r="FW23" s="132">
        <v>0</v>
      </c>
      <c r="FX23" s="132">
        <v>0</v>
      </c>
      <c r="FY23" s="132">
        <v>0</v>
      </c>
      <c r="FZ23" s="132">
        <v>0</v>
      </c>
      <c r="GA23" s="132" t="str">
        <f>SUM(FO23:FZ23)</f>
        <v>0</v>
      </c>
      <c r="GB23" s="181">
        <v>0</v>
      </c>
      <c r="GC23" s="181">
        <v>0</v>
      </c>
      <c r="GD23" s="181">
        <v>0</v>
      </c>
      <c r="GE23" s="181">
        <v>0</v>
      </c>
      <c r="GF23" s="181">
        <v>0</v>
      </c>
      <c r="GG23" s="181">
        <v>0</v>
      </c>
      <c r="GH23" s="181">
        <v>0</v>
      </c>
      <c r="GI23" s="181">
        <v>0</v>
      </c>
      <c r="GJ23" s="181">
        <v>0</v>
      </c>
      <c r="GK23" s="181">
        <v>0</v>
      </c>
      <c r="GL23" s="181">
        <v>0</v>
      </c>
      <c r="GM23" s="181">
        <v>0</v>
      </c>
      <c r="GN23" s="181" t="str">
        <f>SUM(GB23:GM23)</f>
        <v>0</v>
      </c>
      <c r="GO23" s="137">
        <v>0</v>
      </c>
      <c r="GP23" s="137">
        <v>0</v>
      </c>
      <c r="GQ23" s="137">
        <v>0</v>
      </c>
      <c r="GR23" s="137">
        <v>0</v>
      </c>
      <c r="GS23" s="137">
        <v>0</v>
      </c>
      <c r="GT23" s="137">
        <v>0</v>
      </c>
      <c r="GU23" s="137">
        <v>0</v>
      </c>
      <c r="GV23" s="137">
        <v>0</v>
      </c>
      <c r="GW23" s="137">
        <v>0</v>
      </c>
      <c r="GX23" s="137">
        <v>0</v>
      </c>
      <c r="GY23" s="137">
        <v>0</v>
      </c>
      <c r="GZ23" s="137">
        <v>0</v>
      </c>
      <c r="HA23" s="132" t="str">
        <f>SUM(GO23:GZ23)</f>
        <v>0</v>
      </c>
      <c r="HB23" s="181">
        <v>0</v>
      </c>
      <c r="HC23" s="181">
        <v>0</v>
      </c>
      <c r="HD23" s="181">
        <v>0</v>
      </c>
      <c r="HE23" s="181">
        <v>0</v>
      </c>
      <c r="HF23" s="181">
        <v>0</v>
      </c>
      <c r="HG23" s="181">
        <v>0</v>
      </c>
      <c r="HH23" s="181">
        <v>0</v>
      </c>
      <c r="HI23" s="181">
        <v>0</v>
      </c>
      <c r="HJ23" s="181">
        <v>0</v>
      </c>
      <c r="HK23" s="181">
        <v>0</v>
      </c>
      <c r="HL23" s="181">
        <v>0</v>
      </c>
      <c r="HM23" s="181">
        <v>0</v>
      </c>
      <c r="HN23" s="181" t="str">
        <f>SUM(HB23:HM23)</f>
        <v>0</v>
      </c>
      <c r="HO23" s="132">
        <v>97</v>
      </c>
      <c r="HP23" s="132">
        <v>97</v>
      </c>
      <c r="HQ23" s="132">
        <v>97</v>
      </c>
      <c r="HR23" s="132">
        <v>97</v>
      </c>
      <c r="HS23" s="132">
        <v>97</v>
      </c>
      <c r="HT23" s="132">
        <v>97</v>
      </c>
      <c r="HU23" s="132">
        <v>97</v>
      </c>
      <c r="HV23" s="132">
        <v>97</v>
      </c>
      <c r="HW23" s="132">
        <v>97</v>
      </c>
      <c r="HX23" s="132">
        <v>97</v>
      </c>
      <c r="HY23" s="132">
        <v>97</v>
      </c>
      <c r="HZ23" s="132">
        <v>97</v>
      </c>
      <c r="IA23" s="132" t="str">
        <f>SUM(HO23:HZ23)</f>
        <v>0</v>
      </c>
      <c r="IB23" s="181">
        <v>0</v>
      </c>
      <c r="IC23" s="181">
        <v>0</v>
      </c>
      <c r="ID23" s="181">
        <v>0</v>
      </c>
      <c r="IE23" s="181">
        <v>0</v>
      </c>
      <c r="IF23" s="181">
        <v>0</v>
      </c>
      <c r="IG23" s="181">
        <v>0</v>
      </c>
      <c r="IH23" s="181">
        <v>0</v>
      </c>
      <c r="II23" s="181">
        <v>0</v>
      </c>
      <c r="IJ23" s="181">
        <v>0</v>
      </c>
      <c r="IK23" s="181">
        <v>0</v>
      </c>
      <c r="IL23" s="181">
        <v>0</v>
      </c>
      <c r="IM23" s="181">
        <v>0</v>
      </c>
      <c r="IN23" s="181" t="str">
        <f>SUM(IB23:IM23)</f>
        <v>0</v>
      </c>
      <c r="IO23" s="181">
        <v>0</v>
      </c>
      <c r="IP23" s="181">
        <v>0</v>
      </c>
      <c r="IQ23" s="181">
        <v>0</v>
      </c>
      <c r="IR23" s="181">
        <v>0</v>
      </c>
      <c r="IS23" s="181">
        <v>0</v>
      </c>
      <c r="IT23" s="181">
        <v>0</v>
      </c>
      <c r="IU23" s="181">
        <v>0</v>
      </c>
      <c r="IV23" s="181">
        <v>0</v>
      </c>
      <c r="IW23" s="181">
        <v>0</v>
      </c>
      <c r="IX23" s="181">
        <v>0</v>
      </c>
      <c r="IY23" s="181">
        <v>0</v>
      </c>
      <c r="IZ23" s="181">
        <v>0</v>
      </c>
      <c r="JA23" s="181" t="str">
        <f>SUM(IO23:IZ23)</f>
        <v>0</v>
      </c>
      <c r="JC23" s="135" t="str">
        <f>B23+O23+AB23+AO23+BB23+BO23+CB23+CO23+DB23+DO23+EB23+EO23+FB23+FO23+GB23+GO23+HB23+HO23+IB23+IO23</f>
        <v>0</v>
      </c>
      <c r="JD23" s="135" t="str">
        <f>C23+P23+AC23+AP23+BC23+BP23+CC23+CP23+DC23+DP23+EC23+EP23+FC23+FP23+GC23+GP23+HC23+HP23+IC23+IP23</f>
        <v>0</v>
      </c>
      <c r="JE23" s="135" t="str">
        <f>D23+Q23+AD23+AQ23+BD23+BQ23+CD23+CQ23+DD23+DQ23+ED23+EQ23+FD23+FQ23+GD23+GQ23+HD23+HQ23+ID23+IQ23</f>
        <v>0</v>
      </c>
      <c r="JF23" s="135" t="str">
        <f>E23+R23+AE23+AR23+BE23+BR23+CE23+CR23+DE23+DR23+EE23+ER23+FE23+FR23+GE23+GR23+HE23+HR23+IE23+IR23</f>
        <v>0</v>
      </c>
      <c r="JG23" s="135" t="str">
        <f>F23+S23+AF23+AS23+BF23+BS23+CF23+CS23+DF23+DS23+EF23+ES23+FF23+FS23+GF23+GS23+HF23+HS23+IF23+IS23</f>
        <v>0</v>
      </c>
      <c r="JH23" s="135" t="str">
        <f>G23+T23+AG23+AT23+BG23+BT23+CG23+CT23+DG23+DT23+EG23+ET23+FG23+FT23+GG23+GT23+HG23+HT23+IG23+IT23</f>
        <v>0</v>
      </c>
      <c r="JI23" s="135" t="str">
        <f>H23+U23+AH23+AU23+BH23+BU23+CH23+CU23+DH23+DU23+EH23+EU23+FH23+FU23+GH23+GU23+HH23+HU23+IH23+IU23</f>
        <v>0</v>
      </c>
      <c r="JJ23" s="135" t="str">
        <f>I23+V23+AI23+AV23+BI23+BV23+CI23+CV23+DI23+DV23+EI23+EV23+FI23+FV23+GI23+GV23+HI23+HV23+II23+IV23</f>
        <v>0</v>
      </c>
      <c r="JK23" s="135" t="str">
        <f>J23+W23+AJ23+AW23+BJ23+BW23+CJ23+CW23+DJ23+DW23+EJ23+EW23+FJ23+FW23+GJ23+GW23+HJ23+HW23+IJ23+IW23</f>
        <v>0</v>
      </c>
      <c r="JL23" s="135" t="str">
        <f>K23+X23+AK23+AX23+BK23+BX23+CK23+CX23+DK23+DX23+EK23+EX23+FK23+FX23+GK23+GX23+HK23+HX23+IK23+IX23</f>
        <v>0</v>
      </c>
      <c r="JM23" s="135" t="str">
        <f>L23+Y23+AL23+AY23+BL23+BY23+CL23+CY23+DL23+DY23+EL23+EY23+FL23+FY23+GL23+GY23+HL23+HY23+IL23+IY23</f>
        <v>0</v>
      </c>
      <c r="JN23" s="135" t="str">
        <f>M23+Z23+AM23+AZ23+BM23+BZ23+CM23+CZ23+DM23+DZ23+EM23+EZ23+FM23+FZ23+GM23+GZ23+HM23+HZ23+IM23+IZ23</f>
        <v>0</v>
      </c>
      <c r="JO23" s="132" t="str">
        <f>SUM(JC23:JN23)</f>
        <v>0</v>
      </c>
      <c r="JQ23" s="139" t="str">
        <f>N23+AA23+AN23+BA23+BN23+CA23+CN23+DA23+DN23+EA23+EN23+FA23+FN23+GA23+GN23+HA23+HN23+IA23+IN23+JA23</f>
        <v>0</v>
      </c>
    </row>
    <row r="24" spans="1:278">
      <c r="A24" s="130" t="s">
        <v>448</v>
      </c>
      <c r="B24" s="131">
        <v>150</v>
      </c>
      <c r="C24" s="131">
        <v>150</v>
      </c>
      <c r="D24" s="131">
        <v>150</v>
      </c>
      <c r="E24" s="131">
        <v>150</v>
      </c>
      <c r="F24" s="131">
        <v>150</v>
      </c>
      <c r="G24" s="131">
        <v>150</v>
      </c>
      <c r="H24" s="131">
        <v>150</v>
      </c>
      <c r="I24" s="131">
        <v>150</v>
      </c>
      <c r="J24" s="131">
        <v>150</v>
      </c>
      <c r="K24" s="131">
        <v>150</v>
      </c>
      <c r="L24" s="131">
        <v>150</v>
      </c>
      <c r="M24" s="131">
        <v>150</v>
      </c>
      <c r="N24" s="132" t="str">
        <f>SUM(B24:M24)</f>
        <v>0</v>
      </c>
      <c r="O24" s="133">
        <v>500</v>
      </c>
      <c r="P24" s="133">
        <v>500</v>
      </c>
      <c r="Q24" s="133">
        <v>500</v>
      </c>
      <c r="R24" s="133">
        <v>500</v>
      </c>
      <c r="S24" s="133">
        <v>500</v>
      </c>
      <c r="T24" s="133">
        <v>500</v>
      </c>
      <c r="U24" s="133">
        <v>500</v>
      </c>
      <c r="V24" s="133">
        <v>500</v>
      </c>
      <c r="W24" s="133">
        <v>500</v>
      </c>
      <c r="X24" s="133">
        <v>500</v>
      </c>
      <c r="Y24" s="133">
        <v>500</v>
      </c>
      <c r="Z24" s="133">
        <v>500</v>
      </c>
      <c r="AA24" s="132" t="str">
        <f>SUM(O24:Z24)</f>
        <v>0</v>
      </c>
      <c r="AB24" s="131">
        <v>689</v>
      </c>
      <c r="AC24" s="131">
        <v>689</v>
      </c>
      <c r="AD24" s="131">
        <v>689</v>
      </c>
      <c r="AE24" s="131">
        <v>689</v>
      </c>
      <c r="AF24" s="131">
        <v>689</v>
      </c>
      <c r="AG24" s="131">
        <v>689</v>
      </c>
      <c r="AH24" s="131">
        <v>689</v>
      </c>
      <c r="AI24" s="131">
        <v>689</v>
      </c>
      <c r="AJ24" s="131">
        <v>689</v>
      </c>
      <c r="AK24" s="131">
        <v>689</v>
      </c>
      <c r="AL24" s="131">
        <v>689</v>
      </c>
      <c r="AM24" s="131">
        <v>689</v>
      </c>
      <c r="AN24" s="132" t="str">
        <f>SUM(AB24:AM24)</f>
        <v>0</v>
      </c>
      <c r="AO24" s="133">
        <v>431</v>
      </c>
      <c r="AP24" s="133">
        <v>431</v>
      </c>
      <c r="AQ24" s="133">
        <v>431</v>
      </c>
      <c r="AR24" s="133">
        <v>431</v>
      </c>
      <c r="AS24" s="133">
        <v>431</v>
      </c>
      <c r="AT24" s="133">
        <v>431</v>
      </c>
      <c r="AU24" s="133">
        <v>431</v>
      </c>
      <c r="AV24" s="133">
        <v>431</v>
      </c>
      <c r="AW24" s="133">
        <v>431</v>
      </c>
      <c r="AX24" s="133">
        <v>431</v>
      </c>
      <c r="AY24" s="133">
        <v>431</v>
      </c>
      <c r="AZ24" s="133">
        <v>431</v>
      </c>
      <c r="BA24" s="132" t="str">
        <f>SUM(AO24:AZ24)</f>
        <v>0</v>
      </c>
      <c r="BB24" s="134">
        <v>206</v>
      </c>
      <c r="BC24" s="134">
        <v>206</v>
      </c>
      <c r="BD24" s="134">
        <v>206</v>
      </c>
      <c r="BE24" s="134">
        <v>206</v>
      </c>
      <c r="BF24" s="134">
        <v>206</v>
      </c>
      <c r="BG24" s="134">
        <v>206</v>
      </c>
      <c r="BH24" s="134">
        <v>206</v>
      </c>
      <c r="BI24" s="134">
        <v>206</v>
      </c>
      <c r="BJ24" s="134">
        <v>206</v>
      </c>
      <c r="BK24" s="134">
        <v>206</v>
      </c>
      <c r="BL24" s="134">
        <v>206</v>
      </c>
      <c r="BM24" s="134">
        <v>206</v>
      </c>
      <c r="BN24" s="132" t="str">
        <f>SUM(BB24:BM24)</f>
        <v>0</v>
      </c>
      <c r="BO24" s="135">
        <v>123</v>
      </c>
      <c r="BP24" s="135">
        <v>123</v>
      </c>
      <c r="BQ24" s="135">
        <v>123</v>
      </c>
      <c r="BR24" s="135">
        <v>123</v>
      </c>
      <c r="BS24" s="135">
        <v>123</v>
      </c>
      <c r="BT24" s="135">
        <v>123</v>
      </c>
      <c r="BU24" s="135">
        <v>123</v>
      </c>
      <c r="BV24" s="135">
        <v>123</v>
      </c>
      <c r="BW24" s="135">
        <v>123</v>
      </c>
      <c r="BX24" s="135">
        <v>123</v>
      </c>
      <c r="BY24" s="135">
        <v>123</v>
      </c>
      <c r="BZ24" s="135">
        <v>123</v>
      </c>
      <c r="CA24" s="132" t="str">
        <f>SUM(BO24:BZ24)</f>
        <v>0</v>
      </c>
      <c r="CB24" s="136">
        <v>743</v>
      </c>
      <c r="CC24" s="136">
        <v>743</v>
      </c>
      <c r="CD24" s="136">
        <v>743</v>
      </c>
      <c r="CE24" s="136">
        <v>743</v>
      </c>
      <c r="CF24" s="136">
        <v>743</v>
      </c>
      <c r="CG24" s="136">
        <v>743</v>
      </c>
      <c r="CH24" s="136">
        <v>743</v>
      </c>
      <c r="CI24" s="136">
        <v>743</v>
      </c>
      <c r="CJ24" s="136">
        <v>743</v>
      </c>
      <c r="CK24" s="136">
        <v>743</v>
      </c>
      <c r="CL24" s="136">
        <v>743</v>
      </c>
      <c r="CM24" s="136">
        <v>743</v>
      </c>
      <c r="CN24" s="132" t="str">
        <f>SUM(CB24:CM24)</f>
        <v>0</v>
      </c>
      <c r="CO24" s="137">
        <v>471</v>
      </c>
      <c r="CP24" s="137">
        <v>471</v>
      </c>
      <c r="CQ24" s="137">
        <v>471</v>
      </c>
      <c r="CR24" s="137">
        <v>471</v>
      </c>
      <c r="CS24" s="137">
        <v>471</v>
      </c>
      <c r="CT24" s="137">
        <v>471</v>
      </c>
      <c r="CU24" s="137">
        <v>471</v>
      </c>
      <c r="CV24" s="137">
        <v>471</v>
      </c>
      <c r="CW24" s="137">
        <v>471</v>
      </c>
      <c r="CX24" s="137">
        <v>471</v>
      </c>
      <c r="CY24" s="137">
        <v>471</v>
      </c>
      <c r="CZ24" s="137">
        <v>471</v>
      </c>
      <c r="DA24" s="132" t="str">
        <f>SUM(CO24:CZ24)</f>
        <v>0</v>
      </c>
      <c r="DB24" s="136">
        <v>295</v>
      </c>
      <c r="DC24" s="136">
        <v>295</v>
      </c>
      <c r="DD24" s="136">
        <v>295</v>
      </c>
      <c r="DE24" s="136">
        <v>295</v>
      </c>
      <c r="DF24" s="136">
        <v>295</v>
      </c>
      <c r="DG24" s="136">
        <v>295</v>
      </c>
      <c r="DH24" s="136">
        <v>295</v>
      </c>
      <c r="DI24" s="136">
        <v>295</v>
      </c>
      <c r="DJ24" s="136">
        <v>295</v>
      </c>
      <c r="DK24" s="136">
        <v>295</v>
      </c>
      <c r="DL24" s="136">
        <v>295</v>
      </c>
      <c r="DM24" s="136">
        <v>295</v>
      </c>
      <c r="DN24" s="132" t="str">
        <f>SUM(DB24:DM24)</f>
        <v>0</v>
      </c>
      <c r="DO24" s="137">
        <v>240</v>
      </c>
      <c r="DP24" s="137">
        <v>240</v>
      </c>
      <c r="DQ24" s="137">
        <v>240</v>
      </c>
      <c r="DR24" s="137">
        <v>240</v>
      </c>
      <c r="DS24" s="137">
        <v>240</v>
      </c>
      <c r="DT24" s="137">
        <v>240</v>
      </c>
      <c r="DU24" s="137">
        <v>240</v>
      </c>
      <c r="DV24" s="137">
        <v>240</v>
      </c>
      <c r="DW24" s="137">
        <v>240</v>
      </c>
      <c r="DX24" s="137">
        <v>240</v>
      </c>
      <c r="DY24" s="137">
        <v>240</v>
      </c>
      <c r="DZ24" s="137">
        <v>240</v>
      </c>
      <c r="EA24" s="132" t="str">
        <f>SUM(DO24:DZ24)</f>
        <v>0</v>
      </c>
      <c r="EB24" s="216">
        <v>0</v>
      </c>
      <c r="EC24" s="216">
        <v>0</v>
      </c>
      <c r="ED24" s="216">
        <v>0</v>
      </c>
      <c r="EE24" s="216">
        <v>0</v>
      </c>
      <c r="EF24" s="216">
        <v>0</v>
      </c>
      <c r="EG24" s="216">
        <v>0</v>
      </c>
      <c r="EH24" s="216">
        <v>0</v>
      </c>
      <c r="EI24" s="216">
        <v>0</v>
      </c>
      <c r="EJ24" s="216">
        <v>0</v>
      </c>
      <c r="EK24" s="216">
        <v>0</v>
      </c>
      <c r="EL24" s="216">
        <v>0</v>
      </c>
      <c r="EM24" s="216">
        <v>0</v>
      </c>
      <c r="EN24" s="132" t="str">
        <f>SUM(EB24:EM24)</f>
        <v>0</v>
      </c>
      <c r="EO24" s="132">
        <v>0</v>
      </c>
      <c r="EP24" s="132">
        <v>0</v>
      </c>
      <c r="EQ24" s="132">
        <v>0</v>
      </c>
      <c r="ER24" s="132">
        <v>0</v>
      </c>
      <c r="ES24" s="132">
        <v>0</v>
      </c>
      <c r="ET24" s="132">
        <v>0</v>
      </c>
      <c r="EU24" s="132">
        <v>0</v>
      </c>
      <c r="EV24" s="132">
        <v>0</v>
      </c>
      <c r="EW24" s="132">
        <v>0</v>
      </c>
      <c r="EX24" s="132">
        <v>0</v>
      </c>
      <c r="EY24" s="132">
        <v>0</v>
      </c>
      <c r="EZ24" s="132">
        <v>0</v>
      </c>
      <c r="FA24" s="132" t="str">
        <f>SUM(EO24:EZ24)</f>
        <v>0</v>
      </c>
      <c r="FB24" s="181">
        <v>0</v>
      </c>
      <c r="FC24" s="181">
        <v>0</v>
      </c>
      <c r="FD24" s="181">
        <v>0</v>
      </c>
      <c r="FE24" s="181">
        <v>0</v>
      </c>
      <c r="FF24" s="181">
        <v>0</v>
      </c>
      <c r="FG24" s="181">
        <v>0</v>
      </c>
      <c r="FH24" s="181">
        <v>0</v>
      </c>
      <c r="FI24" s="181">
        <v>0</v>
      </c>
      <c r="FJ24" s="181">
        <v>0</v>
      </c>
      <c r="FK24" s="181">
        <v>0</v>
      </c>
      <c r="FL24" s="181">
        <v>0</v>
      </c>
      <c r="FM24" s="181">
        <v>0</v>
      </c>
      <c r="FN24" s="132" t="str">
        <f>SUM(FB24:FM24)</f>
        <v>0</v>
      </c>
      <c r="FO24" s="132">
        <v>0</v>
      </c>
      <c r="FP24" s="132">
        <v>0</v>
      </c>
      <c r="FQ24" s="132">
        <v>0</v>
      </c>
      <c r="FR24" s="132">
        <v>0</v>
      </c>
      <c r="FS24" s="132">
        <v>0</v>
      </c>
      <c r="FT24" s="132">
        <v>0</v>
      </c>
      <c r="FU24" s="132">
        <v>0</v>
      </c>
      <c r="FV24" s="132">
        <v>0</v>
      </c>
      <c r="FW24" s="132">
        <v>0</v>
      </c>
      <c r="FX24" s="132">
        <v>0</v>
      </c>
      <c r="FY24" s="132">
        <v>0</v>
      </c>
      <c r="FZ24" s="132">
        <v>0</v>
      </c>
      <c r="GA24" s="132" t="str">
        <f>SUM(FO24:FZ24)</f>
        <v>0</v>
      </c>
      <c r="GB24" s="181">
        <v>0</v>
      </c>
      <c r="GC24" s="181">
        <v>0</v>
      </c>
      <c r="GD24" s="181">
        <v>0</v>
      </c>
      <c r="GE24" s="181">
        <v>0</v>
      </c>
      <c r="GF24" s="181">
        <v>0</v>
      </c>
      <c r="GG24" s="181">
        <v>0</v>
      </c>
      <c r="GH24" s="181">
        <v>0</v>
      </c>
      <c r="GI24" s="181">
        <v>0</v>
      </c>
      <c r="GJ24" s="181">
        <v>0</v>
      </c>
      <c r="GK24" s="181">
        <v>0</v>
      </c>
      <c r="GL24" s="181">
        <v>0</v>
      </c>
      <c r="GM24" s="181">
        <v>0</v>
      </c>
      <c r="GN24" s="181" t="str">
        <f>SUM(GB24:GM24)</f>
        <v>0</v>
      </c>
      <c r="GO24" s="137">
        <v>0</v>
      </c>
      <c r="GP24" s="137">
        <v>0</v>
      </c>
      <c r="GQ24" s="137">
        <v>0</v>
      </c>
      <c r="GR24" s="137">
        <v>0</v>
      </c>
      <c r="GS24" s="137">
        <v>0</v>
      </c>
      <c r="GT24" s="137">
        <v>0</v>
      </c>
      <c r="GU24" s="137">
        <v>0</v>
      </c>
      <c r="GV24" s="137">
        <v>0</v>
      </c>
      <c r="GW24" s="137">
        <v>0</v>
      </c>
      <c r="GX24" s="137">
        <v>0</v>
      </c>
      <c r="GY24" s="137">
        <v>0</v>
      </c>
      <c r="GZ24" s="137">
        <v>0</v>
      </c>
      <c r="HA24" s="132" t="str">
        <f>SUM(GO24:GZ24)</f>
        <v>0</v>
      </c>
      <c r="HB24" s="181">
        <v>0</v>
      </c>
      <c r="HC24" s="181">
        <v>0</v>
      </c>
      <c r="HD24" s="181">
        <v>0</v>
      </c>
      <c r="HE24" s="181">
        <v>0</v>
      </c>
      <c r="HF24" s="181">
        <v>0</v>
      </c>
      <c r="HG24" s="181">
        <v>0</v>
      </c>
      <c r="HH24" s="181">
        <v>0</v>
      </c>
      <c r="HI24" s="181">
        <v>0</v>
      </c>
      <c r="HJ24" s="181">
        <v>0</v>
      </c>
      <c r="HK24" s="181">
        <v>0</v>
      </c>
      <c r="HL24" s="181">
        <v>0</v>
      </c>
      <c r="HM24" s="181">
        <v>0</v>
      </c>
      <c r="HN24" s="181" t="str">
        <f>SUM(HB24:HM24)</f>
        <v>0</v>
      </c>
      <c r="HO24" s="132">
        <v>97</v>
      </c>
      <c r="HP24" s="132">
        <v>97</v>
      </c>
      <c r="HQ24" s="132">
        <v>97</v>
      </c>
      <c r="HR24" s="132">
        <v>97</v>
      </c>
      <c r="HS24" s="132">
        <v>97</v>
      </c>
      <c r="HT24" s="132">
        <v>97</v>
      </c>
      <c r="HU24" s="132">
        <v>97</v>
      </c>
      <c r="HV24" s="132">
        <v>97</v>
      </c>
      <c r="HW24" s="132">
        <v>97</v>
      </c>
      <c r="HX24" s="132">
        <v>97</v>
      </c>
      <c r="HY24" s="132">
        <v>97</v>
      </c>
      <c r="HZ24" s="132">
        <v>97</v>
      </c>
      <c r="IA24" s="132" t="str">
        <f>SUM(HO24:HZ24)</f>
        <v>0</v>
      </c>
      <c r="IB24" s="181">
        <v>0</v>
      </c>
      <c r="IC24" s="181">
        <v>0</v>
      </c>
      <c r="ID24" s="181">
        <v>0</v>
      </c>
      <c r="IE24" s="181">
        <v>0</v>
      </c>
      <c r="IF24" s="181">
        <v>0</v>
      </c>
      <c r="IG24" s="181">
        <v>0</v>
      </c>
      <c r="IH24" s="181">
        <v>0</v>
      </c>
      <c r="II24" s="181">
        <v>0</v>
      </c>
      <c r="IJ24" s="181">
        <v>0</v>
      </c>
      <c r="IK24" s="181">
        <v>0</v>
      </c>
      <c r="IL24" s="181">
        <v>0</v>
      </c>
      <c r="IM24" s="181">
        <v>0</v>
      </c>
      <c r="IN24" s="181" t="str">
        <f>SUM(IB24:IM24)</f>
        <v>0</v>
      </c>
      <c r="IO24" s="181">
        <v>0</v>
      </c>
      <c r="IP24" s="181">
        <v>0</v>
      </c>
      <c r="IQ24" s="181">
        <v>0</v>
      </c>
      <c r="IR24" s="181">
        <v>0</v>
      </c>
      <c r="IS24" s="181">
        <v>0</v>
      </c>
      <c r="IT24" s="181">
        <v>0</v>
      </c>
      <c r="IU24" s="181">
        <v>0</v>
      </c>
      <c r="IV24" s="181">
        <v>0</v>
      </c>
      <c r="IW24" s="181">
        <v>0</v>
      </c>
      <c r="IX24" s="181">
        <v>0</v>
      </c>
      <c r="IY24" s="181">
        <v>0</v>
      </c>
      <c r="IZ24" s="181">
        <v>0</v>
      </c>
      <c r="JA24" s="181" t="str">
        <f>SUM(IO24:IZ24)</f>
        <v>0</v>
      </c>
      <c r="JC24" s="135" t="str">
        <f>B24+O24+AB24+AO24+BB24+BO24+CB24+CO24+DB24+DO24+EB24+EO24+FB24+FO24+GB24+GO24+HB24+HO24+IB24+IO24</f>
        <v>0</v>
      </c>
      <c r="JD24" s="135" t="str">
        <f>C24+P24+AC24+AP24+BC24+BP24+CC24+CP24+DC24+DP24+EC24+EP24+FC24+FP24+GC24+GP24+HC24+HP24+IC24+IP24</f>
        <v>0</v>
      </c>
      <c r="JE24" s="135" t="str">
        <f>D24+Q24+AD24+AQ24+BD24+BQ24+CD24+CQ24+DD24+DQ24+ED24+EQ24+FD24+FQ24+GD24+GQ24+HD24+HQ24+ID24+IQ24</f>
        <v>0</v>
      </c>
      <c r="JF24" s="135" t="str">
        <f>E24+R24+AE24+AR24+BE24+BR24+CE24+CR24+DE24+DR24+EE24+ER24+FE24+FR24+GE24+GR24+HE24+HR24+IE24+IR24</f>
        <v>0</v>
      </c>
      <c r="JG24" s="135" t="str">
        <f>F24+S24+AF24+AS24+BF24+BS24+CF24+CS24+DF24+DS24+EF24+ES24+FF24+FS24+GF24+GS24+HF24+HS24+IF24+IS24</f>
        <v>0</v>
      </c>
      <c r="JH24" s="135" t="str">
        <f>G24+T24+AG24+AT24+BG24+BT24+CG24+CT24+DG24+DT24+EG24+ET24+FG24+FT24+GG24+GT24+HG24+HT24+IG24+IT24</f>
        <v>0</v>
      </c>
      <c r="JI24" s="135" t="str">
        <f>H24+U24+AH24+AU24+BH24+BU24+CH24+CU24+DH24+DU24+EH24+EU24+FH24+FU24+GH24+GU24+HH24+HU24+IH24+IU24</f>
        <v>0</v>
      </c>
      <c r="JJ24" s="135" t="str">
        <f>I24+V24+AI24+AV24+BI24+BV24+CI24+CV24+DI24+DV24+EI24+EV24+FI24+FV24+GI24+GV24+HI24+HV24+II24+IV24</f>
        <v>0</v>
      </c>
      <c r="JK24" s="135" t="str">
        <f>J24+W24+AJ24+AW24+BJ24+BW24+CJ24+CW24+DJ24+DW24+EJ24+EW24+FJ24+FW24+GJ24+GW24+HJ24+HW24+IJ24+IW24</f>
        <v>0</v>
      </c>
      <c r="JL24" s="135" t="str">
        <f>K24+X24+AK24+AX24+BK24+BX24+CK24+CX24+DK24+DX24+EK24+EX24+FK24+FX24+GK24+GX24+HK24+HX24+IK24+IX24</f>
        <v>0</v>
      </c>
      <c r="JM24" s="135" t="str">
        <f>L24+Y24+AL24+AY24+BL24+BY24+CL24+CY24+DL24+DY24+EL24+EY24+FL24+FY24+GL24+GY24+HL24+HY24+IL24+IY24</f>
        <v>0</v>
      </c>
      <c r="JN24" s="135" t="str">
        <f>M24+Z24+AM24+AZ24+BM24+BZ24+CM24+CZ24+DM24+DZ24+EM24+EZ24+FM24+FZ24+GM24+GZ24+HM24+HZ24+IM24+IZ24</f>
        <v>0</v>
      </c>
      <c r="JO24" s="132" t="str">
        <f>SUM(JC24:JN24)</f>
        <v>0</v>
      </c>
      <c r="JQ24" s="139" t="str">
        <f>N24+AA24+AN24+BA24+BN24+CA24+CN24+DA24+DN24+EA24+EN24+FA24+FN24+GA24+GN24+HA24+HN24+IA24+IN24+JA24</f>
        <v>0</v>
      </c>
    </row>
    <row r="25" spans="1:278">
      <c r="A25" s="130" t="s">
        <v>454</v>
      </c>
      <c r="B25" s="131">
        <v>150</v>
      </c>
      <c r="C25" s="131">
        <v>150</v>
      </c>
      <c r="D25" s="131">
        <v>150</v>
      </c>
      <c r="E25" s="131">
        <v>150</v>
      </c>
      <c r="F25" s="131">
        <v>150</v>
      </c>
      <c r="G25" s="131">
        <v>150</v>
      </c>
      <c r="H25" s="131">
        <v>150</v>
      </c>
      <c r="I25" s="131">
        <v>150</v>
      </c>
      <c r="J25" s="131">
        <v>150</v>
      </c>
      <c r="K25" s="131">
        <v>150</v>
      </c>
      <c r="L25" s="131">
        <v>150</v>
      </c>
      <c r="M25" s="131">
        <v>150</v>
      </c>
      <c r="N25" s="132" t="str">
        <f>SUM(B25:M25)</f>
        <v>0</v>
      </c>
      <c r="O25" s="133">
        <v>500</v>
      </c>
      <c r="P25" s="133">
        <v>500</v>
      </c>
      <c r="Q25" s="133">
        <v>500</v>
      </c>
      <c r="R25" s="133">
        <v>500</v>
      </c>
      <c r="S25" s="133">
        <v>500</v>
      </c>
      <c r="T25" s="133">
        <v>500</v>
      </c>
      <c r="U25" s="133">
        <v>500</v>
      </c>
      <c r="V25" s="133">
        <v>500</v>
      </c>
      <c r="W25" s="133">
        <v>500</v>
      </c>
      <c r="X25" s="133">
        <v>500</v>
      </c>
      <c r="Y25" s="133">
        <v>500</v>
      </c>
      <c r="Z25" s="133">
        <v>500</v>
      </c>
      <c r="AA25" s="132" t="str">
        <f>SUM(O25:Z25)</f>
        <v>0</v>
      </c>
      <c r="AB25" s="131">
        <v>757</v>
      </c>
      <c r="AC25" s="131">
        <v>757</v>
      </c>
      <c r="AD25" s="131">
        <v>757</v>
      </c>
      <c r="AE25" s="131">
        <v>757</v>
      </c>
      <c r="AF25" s="131">
        <v>757</v>
      </c>
      <c r="AG25" s="131">
        <v>757</v>
      </c>
      <c r="AH25" s="131">
        <v>757</v>
      </c>
      <c r="AI25" s="131">
        <v>757</v>
      </c>
      <c r="AJ25" s="131">
        <v>757</v>
      </c>
      <c r="AK25" s="131">
        <v>757</v>
      </c>
      <c r="AL25" s="131">
        <v>757</v>
      </c>
      <c r="AM25" s="131">
        <v>757</v>
      </c>
      <c r="AN25" s="132" t="str">
        <f>SUM(AB25:AM25)</f>
        <v>0</v>
      </c>
      <c r="AO25" s="133">
        <v>473</v>
      </c>
      <c r="AP25" s="133">
        <v>473</v>
      </c>
      <c r="AQ25" s="133">
        <v>473</v>
      </c>
      <c r="AR25" s="133">
        <v>473</v>
      </c>
      <c r="AS25" s="133">
        <v>473</v>
      </c>
      <c r="AT25" s="133">
        <v>473</v>
      </c>
      <c r="AU25" s="133">
        <v>473</v>
      </c>
      <c r="AV25" s="133">
        <v>473</v>
      </c>
      <c r="AW25" s="133">
        <v>473</v>
      </c>
      <c r="AX25" s="133">
        <v>473</v>
      </c>
      <c r="AY25" s="133">
        <v>473</v>
      </c>
      <c r="AZ25" s="133">
        <v>473</v>
      </c>
      <c r="BA25" s="132" t="str">
        <f>SUM(AO25:AZ25)</f>
        <v>0</v>
      </c>
      <c r="BB25" s="134">
        <v>206</v>
      </c>
      <c r="BC25" s="134">
        <v>206</v>
      </c>
      <c r="BD25" s="134">
        <v>206</v>
      </c>
      <c r="BE25" s="134">
        <v>206</v>
      </c>
      <c r="BF25" s="134">
        <v>206</v>
      </c>
      <c r="BG25" s="134">
        <v>206</v>
      </c>
      <c r="BH25" s="134">
        <v>206</v>
      </c>
      <c r="BI25" s="134">
        <v>206</v>
      </c>
      <c r="BJ25" s="134">
        <v>206</v>
      </c>
      <c r="BK25" s="134">
        <v>206</v>
      </c>
      <c r="BL25" s="134">
        <v>206</v>
      </c>
      <c r="BM25" s="134">
        <v>206</v>
      </c>
      <c r="BN25" s="132" t="str">
        <f>SUM(BB25:BM25)</f>
        <v>0</v>
      </c>
      <c r="BO25" s="135">
        <v>133</v>
      </c>
      <c r="BP25" s="135">
        <v>133</v>
      </c>
      <c r="BQ25" s="135">
        <v>133</v>
      </c>
      <c r="BR25" s="135">
        <v>133</v>
      </c>
      <c r="BS25" s="135">
        <v>133</v>
      </c>
      <c r="BT25" s="135">
        <v>133</v>
      </c>
      <c r="BU25" s="135">
        <v>133</v>
      </c>
      <c r="BV25" s="135">
        <v>133</v>
      </c>
      <c r="BW25" s="135">
        <v>133</v>
      </c>
      <c r="BX25" s="135">
        <v>133</v>
      </c>
      <c r="BY25" s="135">
        <v>133</v>
      </c>
      <c r="BZ25" s="135">
        <v>133</v>
      </c>
      <c r="CA25" s="132" t="str">
        <f>SUM(BO25:BZ25)</f>
        <v>0</v>
      </c>
      <c r="CB25" s="136">
        <v>829</v>
      </c>
      <c r="CC25" s="136">
        <v>829</v>
      </c>
      <c r="CD25" s="136">
        <v>829</v>
      </c>
      <c r="CE25" s="136">
        <v>829</v>
      </c>
      <c r="CF25" s="136">
        <v>829</v>
      </c>
      <c r="CG25" s="136">
        <v>829</v>
      </c>
      <c r="CH25" s="136">
        <v>829</v>
      </c>
      <c r="CI25" s="136">
        <v>829</v>
      </c>
      <c r="CJ25" s="136">
        <v>829</v>
      </c>
      <c r="CK25" s="136">
        <v>829</v>
      </c>
      <c r="CL25" s="136">
        <v>829</v>
      </c>
      <c r="CM25" s="136">
        <v>829</v>
      </c>
      <c r="CN25" s="132" t="str">
        <f>SUM(CB25:CM25)</f>
        <v>0</v>
      </c>
      <c r="CO25" s="137">
        <v>521</v>
      </c>
      <c r="CP25" s="137">
        <v>521</v>
      </c>
      <c r="CQ25" s="137">
        <v>521</v>
      </c>
      <c r="CR25" s="137">
        <v>521</v>
      </c>
      <c r="CS25" s="137">
        <v>521</v>
      </c>
      <c r="CT25" s="137">
        <v>521</v>
      </c>
      <c r="CU25" s="137">
        <v>521</v>
      </c>
      <c r="CV25" s="137">
        <v>521</v>
      </c>
      <c r="CW25" s="137">
        <v>521</v>
      </c>
      <c r="CX25" s="137">
        <v>521</v>
      </c>
      <c r="CY25" s="137">
        <v>521</v>
      </c>
      <c r="CZ25" s="137">
        <v>521</v>
      </c>
      <c r="DA25" s="132" t="str">
        <f>SUM(CO25:CZ25)</f>
        <v>0</v>
      </c>
      <c r="DB25" s="136">
        <v>306</v>
      </c>
      <c r="DC25" s="136">
        <v>306</v>
      </c>
      <c r="DD25" s="136">
        <v>306</v>
      </c>
      <c r="DE25" s="136">
        <v>306</v>
      </c>
      <c r="DF25" s="136">
        <v>306</v>
      </c>
      <c r="DG25" s="136">
        <v>306</v>
      </c>
      <c r="DH25" s="136">
        <v>306</v>
      </c>
      <c r="DI25" s="136">
        <v>306</v>
      </c>
      <c r="DJ25" s="136">
        <v>306</v>
      </c>
      <c r="DK25" s="136">
        <v>306</v>
      </c>
      <c r="DL25" s="136">
        <v>306</v>
      </c>
      <c r="DM25" s="136">
        <v>306</v>
      </c>
      <c r="DN25" s="132" t="str">
        <f>SUM(DB25:DM25)</f>
        <v>0</v>
      </c>
      <c r="DO25" s="137">
        <v>240</v>
      </c>
      <c r="DP25" s="137">
        <v>240</v>
      </c>
      <c r="DQ25" s="137">
        <v>240</v>
      </c>
      <c r="DR25" s="137">
        <v>240</v>
      </c>
      <c r="DS25" s="137">
        <v>240</v>
      </c>
      <c r="DT25" s="137">
        <v>240</v>
      </c>
      <c r="DU25" s="137">
        <v>240</v>
      </c>
      <c r="DV25" s="137">
        <v>240</v>
      </c>
      <c r="DW25" s="137">
        <v>240</v>
      </c>
      <c r="DX25" s="137">
        <v>240</v>
      </c>
      <c r="DY25" s="137">
        <v>240</v>
      </c>
      <c r="DZ25" s="137">
        <v>240</v>
      </c>
      <c r="EA25" s="132" t="str">
        <f>SUM(DO25:DZ25)</f>
        <v>0</v>
      </c>
      <c r="EB25" s="216">
        <v>0</v>
      </c>
      <c r="EC25" s="216">
        <v>0</v>
      </c>
      <c r="ED25" s="216">
        <v>0</v>
      </c>
      <c r="EE25" s="216">
        <v>0</v>
      </c>
      <c r="EF25" s="216">
        <v>0</v>
      </c>
      <c r="EG25" s="216">
        <v>0</v>
      </c>
      <c r="EH25" s="216">
        <v>0</v>
      </c>
      <c r="EI25" s="216">
        <v>0</v>
      </c>
      <c r="EJ25" s="216">
        <v>0</v>
      </c>
      <c r="EK25" s="216">
        <v>0</v>
      </c>
      <c r="EL25" s="216">
        <v>0</v>
      </c>
      <c r="EM25" s="216">
        <v>0</v>
      </c>
      <c r="EN25" s="132" t="str">
        <f>SUM(EB25:EM25)</f>
        <v>0</v>
      </c>
      <c r="EO25" s="132">
        <v>0</v>
      </c>
      <c r="EP25" s="132">
        <v>0</v>
      </c>
      <c r="EQ25" s="132">
        <v>0</v>
      </c>
      <c r="ER25" s="132">
        <v>0</v>
      </c>
      <c r="ES25" s="132">
        <v>0</v>
      </c>
      <c r="ET25" s="132">
        <v>0</v>
      </c>
      <c r="EU25" s="132">
        <v>0</v>
      </c>
      <c r="EV25" s="132">
        <v>0</v>
      </c>
      <c r="EW25" s="132">
        <v>0</v>
      </c>
      <c r="EX25" s="132">
        <v>0</v>
      </c>
      <c r="EY25" s="132">
        <v>0</v>
      </c>
      <c r="EZ25" s="132">
        <v>0</v>
      </c>
      <c r="FA25" s="132" t="str">
        <f>SUM(EO25:EZ25)</f>
        <v>0</v>
      </c>
      <c r="FB25" s="181">
        <v>0</v>
      </c>
      <c r="FC25" s="181">
        <v>0</v>
      </c>
      <c r="FD25" s="181">
        <v>0</v>
      </c>
      <c r="FE25" s="181">
        <v>0</v>
      </c>
      <c r="FF25" s="181">
        <v>0</v>
      </c>
      <c r="FG25" s="181">
        <v>0</v>
      </c>
      <c r="FH25" s="181">
        <v>0</v>
      </c>
      <c r="FI25" s="181">
        <v>0</v>
      </c>
      <c r="FJ25" s="181">
        <v>0</v>
      </c>
      <c r="FK25" s="181">
        <v>0</v>
      </c>
      <c r="FL25" s="181">
        <v>0</v>
      </c>
      <c r="FM25" s="181">
        <v>0</v>
      </c>
      <c r="FN25" s="132" t="str">
        <f>SUM(FB25:FM25)</f>
        <v>0</v>
      </c>
      <c r="FO25" s="132">
        <v>0</v>
      </c>
      <c r="FP25" s="132">
        <v>0</v>
      </c>
      <c r="FQ25" s="132">
        <v>0</v>
      </c>
      <c r="FR25" s="132">
        <v>0</v>
      </c>
      <c r="FS25" s="132">
        <v>0</v>
      </c>
      <c r="FT25" s="132">
        <v>0</v>
      </c>
      <c r="FU25" s="132">
        <v>0</v>
      </c>
      <c r="FV25" s="132">
        <v>0</v>
      </c>
      <c r="FW25" s="132">
        <v>0</v>
      </c>
      <c r="FX25" s="132">
        <v>0</v>
      </c>
      <c r="FY25" s="132">
        <v>0</v>
      </c>
      <c r="FZ25" s="132">
        <v>0</v>
      </c>
      <c r="GA25" s="132" t="str">
        <f>SUM(FO25:FZ25)</f>
        <v>0</v>
      </c>
      <c r="GB25" s="181">
        <v>0</v>
      </c>
      <c r="GC25" s="181">
        <v>0</v>
      </c>
      <c r="GD25" s="181">
        <v>0</v>
      </c>
      <c r="GE25" s="181">
        <v>0</v>
      </c>
      <c r="GF25" s="181">
        <v>0</v>
      </c>
      <c r="GG25" s="181">
        <v>0</v>
      </c>
      <c r="GH25" s="181">
        <v>0</v>
      </c>
      <c r="GI25" s="181">
        <v>0</v>
      </c>
      <c r="GJ25" s="181">
        <v>0</v>
      </c>
      <c r="GK25" s="181">
        <v>0</v>
      </c>
      <c r="GL25" s="181">
        <v>0</v>
      </c>
      <c r="GM25" s="181">
        <v>0</v>
      </c>
      <c r="GN25" s="181" t="str">
        <f>SUM(GB25:GM25)</f>
        <v>0</v>
      </c>
      <c r="GO25" s="137">
        <v>0</v>
      </c>
      <c r="GP25" s="137">
        <v>0</v>
      </c>
      <c r="GQ25" s="137">
        <v>0</v>
      </c>
      <c r="GR25" s="137">
        <v>0</v>
      </c>
      <c r="GS25" s="137">
        <v>0</v>
      </c>
      <c r="GT25" s="137">
        <v>0</v>
      </c>
      <c r="GU25" s="137">
        <v>0</v>
      </c>
      <c r="GV25" s="137">
        <v>0</v>
      </c>
      <c r="GW25" s="137">
        <v>0</v>
      </c>
      <c r="GX25" s="137">
        <v>0</v>
      </c>
      <c r="GY25" s="137">
        <v>0</v>
      </c>
      <c r="GZ25" s="137">
        <v>0</v>
      </c>
      <c r="HA25" s="132" t="str">
        <f>SUM(GO25:GZ25)</f>
        <v>0</v>
      </c>
      <c r="HB25" s="181">
        <v>0</v>
      </c>
      <c r="HC25" s="181">
        <v>0</v>
      </c>
      <c r="HD25" s="181">
        <v>0</v>
      </c>
      <c r="HE25" s="181">
        <v>0</v>
      </c>
      <c r="HF25" s="181">
        <v>0</v>
      </c>
      <c r="HG25" s="181">
        <v>0</v>
      </c>
      <c r="HH25" s="181">
        <v>0</v>
      </c>
      <c r="HI25" s="181">
        <v>0</v>
      </c>
      <c r="HJ25" s="181">
        <v>0</v>
      </c>
      <c r="HK25" s="181">
        <v>0</v>
      </c>
      <c r="HL25" s="181">
        <v>0</v>
      </c>
      <c r="HM25" s="181">
        <v>0</v>
      </c>
      <c r="HN25" s="181" t="str">
        <f>SUM(HB25:HM25)</f>
        <v>0</v>
      </c>
      <c r="HO25" s="132">
        <v>97</v>
      </c>
      <c r="HP25" s="132">
        <v>97</v>
      </c>
      <c r="HQ25" s="132">
        <v>97</v>
      </c>
      <c r="HR25" s="132">
        <v>97</v>
      </c>
      <c r="HS25" s="132">
        <v>97</v>
      </c>
      <c r="HT25" s="132">
        <v>97</v>
      </c>
      <c r="HU25" s="132">
        <v>97</v>
      </c>
      <c r="HV25" s="132">
        <v>97</v>
      </c>
      <c r="HW25" s="132">
        <v>97</v>
      </c>
      <c r="HX25" s="132">
        <v>97</v>
      </c>
      <c r="HY25" s="132">
        <v>97</v>
      </c>
      <c r="HZ25" s="132">
        <v>97</v>
      </c>
      <c r="IA25" s="132" t="str">
        <f>SUM(HO25:HZ25)</f>
        <v>0</v>
      </c>
      <c r="IB25" s="181">
        <v>0</v>
      </c>
      <c r="IC25" s="181">
        <v>0</v>
      </c>
      <c r="ID25" s="181">
        <v>0</v>
      </c>
      <c r="IE25" s="181">
        <v>0</v>
      </c>
      <c r="IF25" s="181">
        <v>0</v>
      </c>
      <c r="IG25" s="181">
        <v>0</v>
      </c>
      <c r="IH25" s="181">
        <v>0</v>
      </c>
      <c r="II25" s="181">
        <v>0</v>
      </c>
      <c r="IJ25" s="181">
        <v>0</v>
      </c>
      <c r="IK25" s="181">
        <v>0</v>
      </c>
      <c r="IL25" s="181">
        <v>0</v>
      </c>
      <c r="IM25" s="181">
        <v>0</v>
      </c>
      <c r="IN25" s="181" t="str">
        <f>SUM(IB25:IM25)</f>
        <v>0</v>
      </c>
      <c r="IO25" s="181">
        <v>0</v>
      </c>
      <c r="IP25" s="181">
        <v>0</v>
      </c>
      <c r="IQ25" s="181">
        <v>0</v>
      </c>
      <c r="IR25" s="181">
        <v>0</v>
      </c>
      <c r="IS25" s="181">
        <v>0</v>
      </c>
      <c r="IT25" s="181">
        <v>0</v>
      </c>
      <c r="IU25" s="181">
        <v>0</v>
      </c>
      <c r="IV25" s="181">
        <v>0</v>
      </c>
      <c r="IW25" s="181">
        <v>0</v>
      </c>
      <c r="IX25" s="181">
        <v>0</v>
      </c>
      <c r="IY25" s="181">
        <v>0</v>
      </c>
      <c r="IZ25" s="181">
        <v>0</v>
      </c>
      <c r="JA25" s="181" t="str">
        <f>SUM(IO25:IZ25)</f>
        <v>0</v>
      </c>
      <c r="JC25" s="135" t="str">
        <f>B25+O25+AB25+AO25+BB25+BO25+CB25+CO25+DB25+DO25+EB25+EO25+FB25+FO25+GB25+GO25+HB25+HO25+IB25+IO25</f>
        <v>0</v>
      </c>
      <c r="JD25" s="135" t="str">
        <f>C25+P25+AC25+AP25+BC25+BP25+CC25+CP25+DC25+DP25+EC25+EP25+FC25+FP25+GC25+GP25+HC25+HP25+IC25+IP25</f>
        <v>0</v>
      </c>
      <c r="JE25" s="135" t="str">
        <f>D25+Q25+AD25+AQ25+BD25+BQ25+CD25+CQ25+DD25+DQ25+ED25+EQ25+FD25+FQ25+GD25+GQ25+HD25+HQ25+ID25+IQ25</f>
        <v>0</v>
      </c>
      <c r="JF25" s="135" t="str">
        <f>E25+R25+AE25+AR25+BE25+BR25+CE25+CR25+DE25+DR25+EE25+ER25+FE25+FR25+GE25+GR25+HE25+HR25+IE25+IR25</f>
        <v>0</v>
      </c>
      <c r="JG25" s="135" t="str">
        <f>F25+S25+AF25+AS25+BF25+BS25+CF25+CS25+DF25+DS25+EF25+ES25+FF25+FS25+GF25+GS25+HF25+HS25+IF25+IS25</f>
        <v>0</v>
      </c>
      <c r="JH25" s="135" t="str">
        <f>G25+T25+AG25+AT25+BG25+BT25+CG25+CT25+DG25+DT25+EG25+ET25+FG25+FT25+GG25+GT25+HG25+HT25+IG25+IT25</f>
        <v>0</v>
      </c>
      <c r="JI25" s="135" t="str">
        <f>H25+U25+AH25+AU25+BH25+BU25+CH25+CU25+DH25+DU25+EH25+EU25+FH25+FU25+GH25+GU25+HH25+HU25+IH25+IU25</f>
        <v>0</v>
      </c>
      <c r="JJ25" s="135" t="str">
        <f>I25+V25+AI25+AV25+BI25+BV25+CI25+CV25+DI25+DV25+EI25+EV25+FI25+FV25+GI25+GV25+HI25+HV25+II25+IV25</f>
        <v>0</v>
      </c>
      <c r="JK25" s="135" t="str">
        <f>J25+W25+AJ25+AW25+BJ25+BW25+CJ25+CW25+DJ25+DW25+EJ25+EW25+FJ25+FW25+GJ25+GW25+HJ25+HW25+IJ25+IW25</f>
        <v>0</v>
      </c>
      <c r="JL25" s="135" t="str">
        <f>K25+X25+AK25+AX25+BK25+BX25+CK25+CX25+DK25+DX25+EK25+EX25+FK25+FX25+GK25+GX25+HK25+HX25+IK25+IX25</f>
        <v>0</v>
      </c>
      <c r="JM25" s="135" t="str">
        <f>L25+Y25+AL25+AY25+BL25+BY25+CL25+CY25+DL25+DY25+EL25+EY25+FL25+FY25+GL25+GY25+HL25+HY25+IL25+IY25</f>
        <v>0</v>
      </c>
      <c r="JN25" s="135" t="str">
        <f>M25+Z25+AM25+AZ25+BM25+BZ25+CM25+CZ25+DM25+DZ25+EM25+EZ25+FM25+FZ25+GM25+GZ25+HM25+HZ25+IM25+IZ25</f>
        <v>0</v>
      </c>
      <c r="JO25" s="132" t="str">
        <f>SUM(JC25:JN25)</f>
        <v>0</v>
      </c>
      <c r="JQ25" s="139" t="str">
        <f>N25+AA25+AN25+BA25+BN25+CA25+CN25+DA25+DN25+EA25+EN25+FA25+FN25+GA25+GN25+HA25+HN25+IA25+IN25+JA25</f>
        <v>0</v>
      </c>
    </row>
    <row r="26" spans="1:278">
      <c r="A26" s="130" t="s">
        <v>459</v>
      </c>
      <c r="B26" s="131">
        <v>150</v>
      </c>
      <c r="C26" s="131">
        <v>150</v>
      </c>
      <c r="D26" s="131">
        <v>150</v>
      </c>
      <c r="E26" s="131">
        <v>150</v>
      </c>
      <c r="F26" s="131">
        <v>150</v>
      </c>
      <c r="G26" s="131">
        <v>150</v>
      </c>
      <c r="H26" s="131">
        <v>150</v>
      </c>
      <c r="I26" s="131">
        <v>150</v>
      </c>
      <c r="J26" s="131">
        <v>150</v>
      </c>
      <c r="K26" s="131">
        <v>150</v>
      </c>
      <c r="L26" s="131">
        <v>150</v>
      </c>
      <c r="M26" s="131">
        <v>150</v>
      </c>
      <c r="N26" s="132" t="str">
        <f>SUM(B26:M26)</f>
        <v>0</v>
      </c>
      <c r="O26" s="133">
        <v>250</v>
      </c>
      <c r="P26" s="133">
        <v>250</v>
      </c>
      <c r="Q26" s="133">
        <v>250</v>
      </c>
      <c r="R26" s="133">
        <v>250</v>
      </c>
      <c r="S26" s="133">
        <v>250</v>
      </c>
      <c r="T26" s="133">
        <v>250</v>
      </c>
      <c r="U26" s="133">
        <v>250</v>
      </c>
      <c r="V26" s="133">
        <v>250</v>
      </c>
      <c r="W26" s="133">
        <v>250</v>
      </c>
      <c r="X26" s="133">
        <v>250</v>
      </c>
      <c r="Y26" s="133">
        <v>250</v>
      </c>
      <c r="Z26" s="133">
        <v>250</v>
      </c>
      <c r="AA26" s="132" t="str">
        <f>SUM(O26:Z26)</f>
        <v>0</v>
      </c>
      <c r="AB26" s="131">
        <v>500</v>
      </c>
      <c r="AC26" s="131">
        <v>500</v>
      </c>
      <c r="AD26" s="131">
        <v>500</v>
      </c>
      <c r="AE26" s="131">
        <v>500</v>
      </c>
      <c r="AF26" s="131">
        <v>500</v>
      </c>
      <c r="AG26" s="131">
        <v>500</v>
      </c>
      <c r="AH26" s="131">
        <v>500</v>
      </c>
      <c r="AI26" s="131">
        <v>500</v>
      </c>
      <c r="AJ26" s="131">
        <v>500</v>
      </c>
      <c r="AK26" s="131">
        <v>500</v>
      </c>
      <c r="AL26" s="131">
        <v>500</v>
      </c>
      <c r="AM26" s="131">
        <v>500</v>
      </c>
      <c r="AN26" s="132" t="str">
        <f>SUM(AB26:AM26)</f>
        <v>0</v>
      </c>
      <c r="AO26" s="133">
        <v>313</v>
      </c>
      <c r="AP26" s="133">
        <v>313</v>
      </c>
      <c r="AQ26" s="133">
        <v>313</v>
      </c>
      <c r="AR26" s="133">
        <v>313</v>
      </c>
      <c r="AS26" s="133">
        <v>313</v>
      </c>
      <c r="AT26" s="133">
        <v>313</v>
      </c>
      <c r="AU26" s="133">
        <v>313</v>
      </c>
      <c r="AV26" s="133">
        <v>313</v>
      </c>
      <c r="AW26" s="133">
        <v>313</v>
      </c>
      <c r="AX26" s="133">
        <v>313</v>
      </c>
      <c r="AY26" s="133">
        <v>313</v>
      </c>
      <c r="AZ26" s="133">
        <v>313</v>
      </c>
      <c r="BA26" s="132" t="str">
        <f>SUM(AO26:AZ26)</f>
        <v>0</v>
      </c>
      <c r="BB26" s="134">
        <v>206</v>
      </c>
      <c r="BC26" s="134">
        <v>206</v>
      </c>
      <c r="BD26" s="134">
        <v>206</v>
      </c>
      <c r="BE26" s="134">
        <v>206</v>
      </c>
      <c r="BF26" s="134">
        <v>206</v>
      </c>
      <c r="BG26" s="134">
        <v>206</v>
      </c>
      <c r="BH26" s="134">
        <v>206</v>
      </c>
      <c r="BI26" s="134">
        <v>206</v>
      </c>
      <c r="BJ26" s="134">
        <v>206</v>
      </c>
      <c r="BK26" s="134">
        <v>206</v>
      </c>
      <c r="BL26" s="134">
        <v>206</v>
      </c>
      <c r="BM26" s="134">
        <v>206</v>
      </c>
      <c r="BN26" s="132" t="str">
        <f>SUM(BB26:BM26)</f>
        <v>0</v>
      </c>
      <c r="BO26" s="135">
        <v>96</v>
      </c>
      <c r="BP26" s="135">
        <v>96</v>
      </c>
      <c r="BQ26" s="135">
        <v>96</v>
      </c>
      <c r="BR26" s="135">
        <v>96</v>
      </c>
      <c r="BS26" s="135">
        <v>96</v>
      </c>
      <c r="BT26" s="135">
        <v>96</v>
      </c>
      <c r="BU26" s="135">
        <v>96</v>
      </c>
      <c r="BV26" s="135">
        <v>96</v>
      </c>
      <c r="BW26" s="135">
        <v>96</v>
      </c>
      <c r="BX26" s="135">
        <v>96</v>
      </c>
      <c r="BY26" s="135">
        <v>96</v>
      </c>
      <c r="BZ26" s="135">
        <v>96</v>
      </c>
      <c r="CA26" s="132" t="str">
        <f>SUM(BO26:BZ26)</f>
        <v>0</v>
      </c>
      <c r="CB26" s="136">
        <v>547</v>
      </c>
      <c r="CC26" s="136">
        <v>547</v>
      </c>
      <c r="CD26" s="136">
        <v>547</v>
      </c>
      <c r="CE26" s="136">
        <v>547</v>
      </c>
      <c r="CF26" s="136">
        <v>547</v>
      </c>
      <c r="CG26" s="136">
        <v>547</v>
      </c>
      <c r="CH26" s="136">
        <v>547</v>
      </c>
      <c r="CI26" s="136">
        <v>547</v>
      </c>
      <c r="CJ26" s="136">
        <v>547</v>
      </c>
      <c r="CK26" s="136">
        <v>547</v>
      </c>
      <c r="CL26" s="136">
        <v>547</v>
      </c>
      <c r="CM26" s="136">
        <v>547</v>
      </c>
      <c r="CN26" s="132" t="str">
        <f>SUM(CB26:CM26)</f>
        <v>0</v>
      </c>
      <c r="CO26" s="137">
        <v>344</v>
      </c>
      <c r="CP26" s="137">
        <v>344</v>
      </c>
      <c r="CQ26" s="137">
        <v>344</v>
      </c>
      <c r="CR26" s="137">
        <v>344</v>
      </c>
      <c r="CS26" s="137">
        <v>344</v>
      </c>
      <c r="CT26" s="137">
        <v>344</v>
      </c>
      <c r="CU26" s="137">
        <v>344</v>
      </c>
      <c r="CV26" s="137">
        <v>344</v>
      </c>
      <c r="CW26" s="137">
        <v>344</v>
      </c>
      <c r="CX26" s="137">
        <v>344</v>
      </c>
      <c r="CY26" s="137">
        <v>344</v>
      </c>
      <c r="CZ26" s="137">
        <v>344</v>
      </c>
      <c r="DA26" s="132" t="str">
        <f>SUM(CO26:CZ26)</f>
        <v>0</v>
      </c>
      <c r="DB26" s="136">
        <v>265</v>
      </c>
      <c r="DC26" s="136">
        <v>265</v>
      </c>
      <c r="DD26" s="136">
        <v>265</v>
      </c>
      <c r="DE26" s="136">
        <v>265</v>
      </c>
      <c r="DF26" s="136">
        <v>265</v>
      </c>
      <c r="DG26" s="136">
        <v>265</v>
      </c>
      <c r="DH26" s="136">
        <v>265</v>
      </c>
      <c r="DI26" s="136">
        <v>265</v>
      </c>
      <c r="DJ26" s="136">
        <v>265</v>
      </c>
      <c r="DK26" s="136">
        <v>265</v>
      </c>
      <c r="DL26" s="136">
        <v>265</v>
      </c>
      <c r="DM26" s="136">
        <v>265</v>
      </c>
      <c r="DN26" s="132" t="str">
        <f>SUM(DB26:DM26)</f>
        <v>0</v>
      </c>
      <c r="DO26" s="137">
        <v>240</v>
      </c>
      <c r="DP26" s="137">
        <v>240</v>
      </c>
      <c r="DQ26" s="137">
        <v>240</v>
      </c>
      <c r="DR26" s="137">
        <v>240</v>
      </c>
      <c r="DS26" s="137">
        <v>240</v>
      </c>
      <c r="DT26" s="137">
        <v>240</v>
      </c>
      <c r="DU26" s="137">
        <v>240</v>
      </c>
      <c r="DV26" s="137">
        <v>240</v>
      </c>
      <c r="DW26" s="137">
        <v>240</v>
      </c>
      <c r="DX26" s="137">
        <v>240</v>
      </c>
      <c r="DY26" s="137">
        <v>240</v>
      </c>
      <c r="DZ26" s="137">
        <v>240</v>
      </c>
      <c r="EA26" s="132" t="str">
        <f>SUM(DO26:DZ26)</f>
        <v>0</v>
      </c>
      <c r="EB26" s="216">
        <v>0</v>
      </c>
      <c r="EC26" s="216">
        <v>0</v>
      </c>
      <c r="ED26" s="216">
        <v>0</v>
      </c>
      <c r="EE26" s="216">
        <v>0</v>
      </c>
      <c r="EF26" s="216">
        <v>0</v>
      </c>
      <c r="EG26" s="216">
        <v>0</v>
      </c>
      <c r="EH26" s="216">
        <v>0</v>
      </c>
      <c r="EI26" s="216">
        <v>0</v>
      </c>
      <c r="EJ26" s="216">
        <v>0</v>
      </c>
      <c r="EK26" s="216">
        <v>0</v>
      </c>
      <c r="EL26" s="216">
        <v>0</v>
      </c>
      <c r="EM26" s="216">
        <v>0</v>
      </c>
      <c r="EN26" s="132" t="str">
        <f>SUM(EB26:EM26)</f>
        <v>0</v>
      </c>
      <c r="EO26" s="132">
        <v>0</v>
      </c>
      <c r="EP26" s="132">
        <v>0</v>
      </c>
      <c r="EQ26" s="132">
        <v>0</v>
      </c>
      <c r="ER26" s="132">
        <v>0</v>
      </c>
      <c r="ES26" s="132">
        <v>0</v>
      </c>
      <c r="ET26" s="132">
        <v>0</v>
      </c>
      <c r="EU26" s="132">
        <v>0</v>
      </c>
      <c r="EV26" s="132">
        <v>0</v>
      </c>
      <c r="EW26" s="132">
        <v>0</v>
      </c>
      <c r="EX26" s="132">
        <v>0</v>
      </c>
      <c r="EY26" s="132">
        <v>0</v>
      </c>
      <c r="EZ26" s="132">
        <v>0</v>
      </c>
      <c r="FA26" s="132" t="str">
        <f>SUM(EO26:EZ26)</f>
        <v>0</v>
      </c>
      <c r="FB26" s="181">
        <v>0</v>
      </c>
      <c r="FC26" s="181">
        <v>0</v>
      </c>
      <c r="FD26" s="181">
        <v>0</v>
      </c>
      <c r="FE26" s="181">
        <v>0</v>
      </c>
      <c r="FF26" s="181">
        <v>0</v>
      </c>
      <c r="FG26" s="181">
        <v>0</v>
      </c>
      <c r="FH26" s="181">
        <v>0</v>
      </c>
      <c r="FI26" s="181">
        <v>0</v>
      </c>
      <c r="FJ26" s="181">
        <v>0</v>
      </c>
      <c r="FK26" s="181">
        <v>0</v>
      </c>
      <c r="FL26" s="181">
        <v>0</v>
      </c>
      <c r="FM26" s="181">
        <v>0</v>
      </c>
      <c r="FN26" s="132" t="str">
        <f>SUM(FB26:FM26)</f>
        <v>0</v>
      </c>
      <c r="FO26" s="132">
        <v>0</v>
      </c>
      <c r="FP26" s="132">
        <v>0</v>
      </c>
      <c r="FQ26" s="132">
        <v>0</v>
      </c>
      <c r="FR26" s="132">
        <v>0</v>
      </c>
      <c r="FS26" s="132">
        <v>0</v>
      </c>
      <c r="FT26" s="132">
        <v>0</v>
      </c>
      <c r="FU26" s="132">
        <v>0</v>
      </c>
      <c r="FV26" s="132">
        <v>0</v>
      </c>
      <c r="FW26" s="132">
        <v>0</v>
      </c>
      <c r="FX26" s="132">
        <v>0</v>
      </c>
      <c r="FY26" s="132">
        <v>0</v>
      </c>
      <c r="FZ26" s="132">
        <v>0</v>
      </c>
      <c r="GA26" s="132" t="str">
        <f>SUM(FO26:FZ26)</f>
        <v>0</v>
      </c>
      <c r="GB26" s="181">
        <v>0</v>
      </c>
      <c r="GC26" s="181">
        <v>0</v>
      </c>
      <c r="GD26" s="181">
        <v>0</v>
      </c>
      <c r="GE26" s="181">
        <v>0</v>
      </c>
      <c r="GF26" s="181">
        <v>0</v>
      </c>
      <c r="GG26" s="181">
        <v>0</v>
      </c>
      <c r="GH26" s="181">
        <v>0</v>
      </c>
      <c r="GI26" s="181">
        <v>0</v>
      </c>
      <c r="GJ26" s="181">
        <v>0</v>
      </c>
      <c r="GK26" s="181">
        <v>0</v>
      </c>
      <c r="GL26" s="181">
        <v>0</v>
      </c>
      <c r="GM26" s="181">
        <v>0</v>
      </c>
      <c r="GN26" s="181" t="str">
        <f>SUM(GB26:GM26)</f>
        <v>0</v>
      </c>
      <c r="GO26" s="137">
        <v>0</v>
      </c>
      <c r="GP26" s="137">
        <v>0</v>
      </c>
      <c r="GQ26" s="137">
        <v>0</v>
      </c>
      <c r="GR26" s="137">
        <v>0</v>
      </c>
      <c r="GS26" s="137">
        <v>0</v>
      </c>
      <c r="GT26" s="137">
        <v>0</v>
      </c>
      <c r="GU26" s="137">
        <v>0</v>
      </c>
      <c r="GV26" s="137">
        <v>0</v>
      </c>
      <c r="GW26" s="137">
        <v>0</v>
      </c>
      <c r="GX26" s="137">
        <v>0</v>
      </c>
      <c r="GY26" s="137">
        <v>0</v>
      </c>
      <c r="GZ26" s="137">
        <v>0</v>
      </c>
      <c r="HA26" s="132" t="str">
        <f>SUM(GO26:GZ26)</f>
        <v>0</v>
      </c>
      <c r="HB26" s="181">
        <v>0</v>
      </c>
      <c r="HC26" s="181">
        <v>0</v>
      </c>
      <c r="HD26" s="181">
        <v>0</v>
      </c>
      <c r="HE26" s="181">
        <v>0</v>
      </c>
      <c r="HF26" s="181">
        <v>0</v>
      </c>
      <c r="HG26" s="181">
        <v>0</v>
      </c>
      <c r="HH26" s="181">
        <v>0</v>
      </c>
      <c r="HI26" s="181">
        <v>0</v>
      </c>
      <c r="HJ26" s="181">
        <v>0</v>
      </c>
      <c r="HK26" s="181">
        <v>0</v>
      </c>
      <c r="HL26" s="181">
        <v>0</v>
      </c>
      <c r="HM26" s="181">
        <v>0</v>
      </c>
      <c r="HN26" s="181" t="str">
        <f>SUM(HB26:HM26)</f>
        <v>0</v>
      </c>
      <c r="HO26" s="132">
        <v>97</v>
      </c>
      <c r="HP26" s="132">
        <v>97</v>
      </c>
      <c r="HQ26" s="132">
        <v>97</v>
      </c>
      <c r="HR26" s="132">
        <v>97</v>
      </c>
      <c r="HS26" s="132">
        <v>97</v>
      </c>
      <c r="HT26" s="132">
        <v>97</v>
      </c>
      <c r="HU26" s="132">
        <v>97</v>
      </c>
      <c r="HV26" s="132">
        <v>97</v>
      </c>
      <c r="HW26" s="132">
        <v>97</v>
      </c>
      <c r="HX26" s="132">
        <v>97</v>
      </c>
      <c r="HY26" s="132">
        <v>97</v>
      </c>
      <c r="HZ26" s="132">
        <v>97</v>
      </c>
      <c r="IA26" s="132" t="str">
        <f>SUM(HO26:HZ26)</f>
        <v>0</v>
      </c>
      <c r="IB26" s="181">
        <v>0</v>
      </c>
      <c r="IC26" s="181">
        <v>0</v>
      </c>
      <c r="ID26" s="181">
        <v>0</v>
      </c>
      <c r="IE26" s="181">
        <v>0</v>
      </c>
      <c r="IF26" s="181">
        <v>0</v>
      </c>
      <c r="IG26" s="181">
        <v>0</v>
      </c>
      <c r="IH26" s="181">
        <v>0</v>
      </c>
      <c r="II26" s="181">
        <v>0</v>
      </c>
      <c r="IJ26" s="181">
        <v>0</v>
      </c>
      <c r="IK26" s="181">
        <v>0</v>
      </c>
      <c r="IL26" s="181">
        <v>0</v>
      </c>
      <c r="IM26" s="181">
        <v>0</v>
      </c>
      <c r="IN26" s="181" t="str">
        <f>SUM(IB26:IM26)</f>
        <v>0</v>
      </c>
      <c r="IO26" s="181">
        <v>0</v>
      </c>
      <c r="IP26" s="181">
        <v>0</v>
      </c>
      <c r="IQ26" s="181">
        <v>0</v>
      </c>
      <c r="IR26" s="181">
        <v>0</v>
      </c>
      <c r="IS26" s="181">
        <v>0</v>
      </c>
      <c r="IT26" s="181">
        <v>0</v>
      </c>
      <c r="IU26" s="181">
        <v>0</v>
      </c>
      <c r="IV26" s="181">
        <v>0</v>
      </c>
      <c r="IW26" s="181">
        <v>0</v>
      </c>
      <c r="IX26" s="181">
        <v>0</v>
      </c>
      <c r="IY26" s="181">
        <v>0</v>
      </c>
      <c r="IZ26" s="181">
        <v>0</v>
      </c>
      <c r="JA26" s="181" t="str">
        <f>SUM(IO26:IZ26)</f>
        <v>0</v>
      </c>
      <c r="JC26" s="135" t="str">
        <f>B26+O26+AB26+AO26+BB26+BO26+CB26+CO26+DB26+DO26+EB26+EO26+FB26+FO26+GB26+GO26+HB26+HO26+IB26+IO26</f>
        <v>0</v>
      </c>
      <c r="JD26" s="135" t="str">
        <f>C26+P26+AC26+AP26+BC26+BP26+CC26+CP26+DC26+DP26+EC26+EP26+FC26+FP26+GC26+GP26+HC26+HP26+IC26+IP26</f>
        <v>0</v>
      </c>
      <c r="JE26" s="135" t="str">
        <f>D26+Q26+AD26+AQ26+BD26+BQ26+CD26+CQ26+DD26+DQ26+ED26+EQ26+FD26+FQ26+GD26+GQ26+HD26+HQ26+ID26+IQ26</f>
        <v>0</v>
      </c>
      <c r="JF26" s="135" t="str">
        <f>E26+R26+AE26+AR26+BE26+BR26+CE26+CR26+DE26+DR26+EE26+ER26+FE26+FR26+GE26+GR26+HE26+HR26+IE26+IR26</f>
        <v>0</v>
      </c>
      <c r="JG26" s="135" t="str">
        <f>F26+S26+AF26+AS26+BF26+BS26+CF26+CS26+DF26+DS26+EF26+ES26+FF26+FS26+GF26+GS26+HF26+HS26+IF26+IS26</f>
        <v>0</v>
      </c>
      <c r="JH26" s="135" t="str">
        <f>G26+T26+AG26+AT26+BG26+BT26+CG26+CT26+DG26+DT26+EG26+ET26+FG26+FT26+GG26+GT26+HG26+HT26+IG26+IT26</f>
        <v>0</v>
      </c>
      <c r="JI26" s="135" t="str">
        <f>H26+U26+AH26+AU26+BH26+BU26+CH26+CU26+DH26+DU26+EH26+EU26+FH26+FU26+GH26+GU26+HH26+HU26+IH26+IU26</f>
        <v>0</v>
      </c>
      <c r="JJ26" s="135" t="str">
        <f>I26+V26+AI26+AV26+BI26+BV26+CI26+CV26+DI26+DV26+EI26+EV26+FI26+FV26+GI26+GV26+HI26+HV26+II26+IV26</f>
        <v>0</v>
      </c>
      <c r="JK26" s="135" t="str">
        <f>J26+W26+AJ26+AW26+BJ26+BW26+CJ26+CW26+DJ26+DW26+EJ26+EW26+FJ26+FW26+GJ26+GW26+HJ26+HW26+IJ26+IW26</f>
        <v>0</v>
      </c>
      <c r="JL26" s="135" t="str">
        <f>K26+X26+AK26+AX26+BK26+BX26+CK26+CX26+DK26+DX26+EK26+EX26+FK26+FX26+GK26+GX26+HK26+HX26+IK26+IX26</f>
        <v>0</v>
      </c>
      <c r="JM26" s="135" t="str">
        <f>L26+Y26+AL26+AY26+BL26+BY26+CL26+CY26+DL26+DY26+EL26+EY26+FL26+FY26+GL26+GY26+HL26+HY26+IL26+IY26</f>
        <v>0</v>
      </c>
      <c r="JN26" s="135" t="str">
        <f>M26+Z26+AM26+AZ26+BM26+BZ26+CM26+CZ26+DM26+DZ26+EM26+EZ26+FM26+FZ26+GM26+GZ26+HM26+HZ26+IM26+IZ26</f>
        <v>0</v>
      </c>
      <c r="JO26" s="132" t="str">
        <f>SUM(JC26:JN26)</f>
        <v>0</v>
      </c>
      <c r="JQ26" s="139" t="str">
        <f>N26+AA26+AN26+BA26+BN26+CA26+CN26+DA26+DN26+EA26+EN26+FA26+FN26+GA26+GN26+HA26+HN26+IA26+IN26+JA26</f>
        <v>0</v>
      </c>
    </row>
    <row r="27" spans="1:278">
      <c r="A27" s="130"/>
      <c r="B27" s="131"/>
      <c r="C27" s="131"/>
      <c r="D27" s="131"/>
      <c r="E27" s="131"/>
      <c r="F27" s="131"/>
      <c r="G27" s="131"/>
      <c r="H27" s="131"/>
      <c r="I27" s="131"/>
      <c r="J27" s="131"/>
      <c r="K27" s="131"/>
      <c r="L27" s="131"/>
      <c r="M27" s="131"/>
      <c r="N27" s="132" t="str">
        <f>SUM(B27:M27)</f>
        <v>0</v>
      </c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  <c r="AA27" s="132" t="str">
        <f>SUM(O27:Z27)</f>
        <v>0</v>
      </c>
      <c r="AB27" s="131"/>
      <c r="AC27" s="131"/>
      <c r="AD27" s="131"/>
      <c r="AE27" s="131"/>
      <c r="AF27" s="131"/>
      <c r="AG27" s="131"/>
      <c r="AH27" s="131"/>
      <c r="AI27" s="131"/>
      <c r="AJ27" s="131"/>
      <c r="AK27" s="131"/>
      <c r="AL27" s="131"/>
      <c r="AM27" s="131"/>
      <c r="AN27" s="132" t="str">
        <f>SUM(AB27:AM27)</f>
        <v>0</v>
      </c>
      <c r="AO27" s="133"/>
      <c r="AP27" s="133"/>
      <c r="AQ27" s="133"/>
      <c r="AR27" s="133"/>
      <c r="AS27" s="133"/>
      <c r="AT27" s="133"/>
      <c r="AU27" s="133"/>
      <c r="AV27" s="133"/>
      <c r="AW27" s="133"/>
      <c r="AX27" s="133"/>
      <c r="AY27" s="133"/>
      <c r="AZ27" s="133"/>
      <c r="BA27" s="132" t="str">
        <f>SUM(AO27:AZ27)</f>
        <v>0</v>
      </c>
      <c r="BB27" s="134"/>
      <c r="BC27" s="134"/>
      <c r="BD27" s="134"/>
      <c r="BE27" s="134"/>
      <c r="BF27" s="134"/>
      <c r="BG27" s="134"/>
      <c r="BH27" s="134"/>
      <c r="BI27" s="134"/>
      <c r="BJ27" s="134"/>
      <c r="BK27" s="134"/>
      <c r="BL27" s="134"/>
      <c r="BM27" s="134"/>
      <c r="BN27" s="132" t="str">
        <f>SUM(BB27:BM27)</f>
        <v>0</v>
      </c>
      <c r="BO27" s="135"/>
      <c r="BP27" s="135"/>
      <c r="BQ27" s="135"/>
      <c r="BR27" s="135"/>
      <c r="BS27" s="135"/>
      <c r="BT27" s="135"/>
      <c r="BU27" s="135"/>
      <c r="BV27" s="135"/>
      <c r="BW27" s="135"/>
      <c r="BX27" s="135"/>
      <c r="BY27" s="135"/>
      <c r="BZ27" s="135"/>
      <c r="CA27" s="132" t="str">
        <f>SUM(BO27:BZ27)</f>
        <v>0</v>
      </c>
      <c r="CB27" s="136"/>
      <c r="CC27" s="136"/>
      <c r="CD27" s="136"/>
      <c r="CE27" s="136"/>
      <c r="CF27" s="136"/>
      <c r="CG27" s="136"/>
      <c r="CH27" s="136"/>
      <c r="CI27" s="136"/>
      <c r="CJ27" s="136"/>
      <c r="CK27" s="136"/>
      <c r="CL27" s="136"/>
      <c r="CM27" s="136"/>
      <c r="CN27" s="132" t="str">
        <f>SUM(CB27:CM27)</f>
        <v>0</v>
      </c>
      <c r="CO27" s="137"/>
      <c r="CP27" s="137"/>
      <c r="CQ27" s="137"/>
      <c r="CR27" s="137"/>
      <c r="CS27" s="137"/>
      <c r="CT27" s="137"/>
      <c r="CU27" s="137"/>
      <c r="CV27" s="137"/>
      <c r="CW27" s="137"/>
      <c r="CX27" s="137"/>
      <c r="CY27" s="137"/>
      <c r="CZ27" s="137"/>
      <c r="DA27" s="132" t="str">
        <f>SUM(CO27:CZ27)</f>
        <v>0</v>
      </c>
      <c r="DB27" s="136"/>
      <c r="DC27" s="136"/>
      <c r="DD27" s="136"/>
      <c r="DE27" s="136"/>
      <c r="DF27" s="136"/>
      <c r="DG27" s="136"/>
      <c r="DH27" s="136"/>
      <c r="DI27" s="136"/>
      <c r="DJ27" s="136"/>
      <c r="DK27" s="136"/>
      <c r="DL27" s="136"/>
      <c r="DM27" s="136"/>
      <c r="DN27" s="132" t="str">
        <f>SUM(DB27:DM27)</f>
        <v>0</v>
      </c>
      <c r="DO27" s="137"/>
      <c r="DP27" s="137"/>
      <c r="DQ27" s="137"/>
      <c r="DR27" s="137"/>
      <c r="DS27" s="137"/>
      <c r="DT27" s="137"/>
      <c r="DU27" s="137"/>
      <c r="DV27" s="137"/>
      <c r="DW27" s="137"/>
      <c r="DX27" s="137"/>
      <c r="DY27" s="137"/>
      <c r="DZ27" s="137"/>
      <c r="EA27" s="132" t="str">
        <f>SUM(DO27:DZ27)</f>
        <v>0</v>
      </c>
      <c r="EB27" s="216"/>
      <c r="EC27" s="216"/>
      <c r="ED27" s="216"/>
      <c r="EE27" s="216"/>
      <c r="EF27" s="216"/>
      <c r="EG27" s="216"/>
      <c r="EH27" s="216"/>
      <c r="EI27" s="216"/>
      <c r="EJ27" s="216"/>
      <c r="EK27" s="216"/>
      <c r="EL27" s="216"/>
      <c r="EM27" s="216"/>
      <c r="EN27" s="132" t="str">
        <f>SUM(EB27:EM27)</f>
        <v>0</v>
      </c>
      <c r="EO27" s="132"/>
      <c r="EP27" s="132"/>
      <c r="EQ27" s="132"/>
      <c r="ER27" s="132"/>
      <c r="ES27" s="132"/>
      <c r="ET27" s="132"/>
      <c r="EU27" s="132"/>
      <c r="EV27" s="132"/>
      <c r="EW27" s="132"/>
      <c r="EX27" s="132"/>
      <c r="EY27" s="132"/>
      <c r="EZ27" s="132"/>
      <c r="FA27" s="132" t="str">
        <f>SUM(EO27:EZ27)</f>
        <v>0</v>
      </c>
      <c r="FB27" s="181"/>
      <c r="FC27" s="181"/>
      <c r="FD27" s="181"/>
      <c r="FE27" s="181"/>
      <c r="FF27" s="181"/>
      <c r="FG27" s="181"/>
      <c r="FH27" s="181"/>
      <c r="FI27" s="181"/>
      <c r="FJ27" s="181"/>
      <c r="FK27" s="181"/>
      <c r="FL27" s="181"/>
      <c r="FM27" s="181"/>
      <c r="FN27" s="132" t="str">
        <f>SUM(FB27:FM27)</f>
        <v>0</v>
      </c>
      <c r="FO27" s="132"/>
      <c r="FP27" s="132"/>
      <c r="FQ27" s="132"/>
      <c r="FR27" s="132"/>
      <c r="FS27" s="132"/>
      <c r="FT27" s="132"/>
      <c r="FU27" s="132"/>
      <c r="FV27" s="132"/>
      <c r="FW27" s="132"/>
      <c r="FX27" s="132"/>
      <c r="FY27" s="132"/>
      <c r="FZ27" s="132"/>
      <c r="GA27" s="132" t="str">
        <f>SUM(FO27:FZ27)</f>
        <v>0</v>
      </c>
      <c r="GB27" s="181"/>
      <c r="GC27" s="181"/>
      <c r="GD27" s="181"/>
      <c r="GE27" s="181"/>
      <c r="GF27" s="181"/>
      <c r="GG27" s="181"/>
      <c r="GH27" s="181"/>
      <c r="GI27" s="181"/>
      <c r="GJ27" s="181"/>
      <c r="GK27" s="181"/>
      <c r="GL27" s="181"/>
      <c r="GM27" s="181"/>
      <c r="GN27" s="181" t="str">
        <f>SUM(GB27:GM27)</f>
        <v>0</v>
      </c>
      <c r="GO27" s="137"/>
      <c r="GP27" s="137"/>
      <c r="GQ27" s="137"/>
      <c r="GR27" s="137"/>
      <c r="GS27" s="137"/>
      <c r="GT27" s="137"/>
      <c r="GU27" s="137"/>
      <c r="GV27" s="137"/>
      <c r="GW27" s="137"/>
      <c r="GX27" s="137"/>
      <c r="GY27" s="137"/>
      <c r="GZ27" s="137"/>
      <c r="HA27" s="132" t="str">
        <f>SUM(GO27:GZ27)</f>
        <v>0</v>
      </c>
      <c r="HB27" s="181"/>
      <c r="HC27" s="181"/>
      <c r="HD27" s="181"/>
      <c r="HE27" s="181"/>
      <c r="HF27" s="181"/>
      <c r="HG27" s="181"/>
      <c r="HH27" s="181"/>
      <c r="HI27" s="181"/>
      <c r="HJ27" s="181"/>
      <c r="HK27" s="181"/>
      <c r="HL27" s="181"/>
      <c r="HM27" s="181"/>
      <c r="HN27" s="181" t="str">
        <f>SUM(HB27:HM27)</f>
        <v>0</v>
      </c>
      <c r="HO27" s="132"/>
      <c r="HP27" s="132"/>
      <c r="HQ27" s="132"/>
      <c r="HR27" s="132"/>
      <c r="HS27" s="132"/>
      <c r="HT27" s="132"/>
      <c r="HU27" s="132"/>
      <c r="HV27" s="132"/>
      <c r="HW27" s="132"/>
      <c r="HX27" s="132"/>
      <c r="HY27" s="132"/>
      <c r="HZ27" s="132"/>
      <c r="IA27" s="132" t="str">
        <f>SUM(HO27:HZ27)</f>
        <v>0</v>
      </c>
      <c r="IB27" s="181"/>
      <c r="IC27" s="181"/>
      <c r="ID27" s="181"/>
      <c r="IE27" s="181"/>
      <c r="IF27" s="181"/>
      <c r="IG27" s="181"/>
      <c r="IH27" s="181"/>
      <c r="II27" s="181"/>
      <c r="IJ27" s="181"/>
      <c r="IK27" s="181"/>
      <c r="IL27" s="181"/>
      <c r="IM27" s="181"/>
      <c r="IN27" s="181" t="str">
        <f>SUM(IB27:IM27)</f>
        <v>0</v>
      </c>
      <c r="IO27" s="181"/>
      <c r="IP27" s="181"/>
      <c r="IQ27" s="181"/>
      <c r="IR27" s="181"/>
      <c r="IS27" s="181"/>
      <c r="IT27" s="181"/>
      <c r="IU27" s="181"/>
      <c r="IV27" s="181"/>
      <c r="IW27" s="181"/>
      <c r="IX27" s="181"/>
      <c r="IY27" s="181"/>
      <c r="IZ27" s="181"/>
      <c r="JA27" s="181" t="str">
        <f>SUM(IO27:IZ27)</f>
        <v>0</v>
      </c>
      <c r="JC27" s="135" t="str">
        <f>B27+O27+AB27+AO27+BB27+BO27+CB27+CO27+DB27+DO27+EB27+EO27+FB27+FO27+GB27+GO27+HB27+HO27+IB27+IO27</f>
        <v>0</v>
      </c>
      <c r="JD27" s="135" t="str">
        <f>C27+P27+AC27+AP27+BC27+BP27+CC27+CP27+DC27+DP27+EC27+EP27+FC27+FP27+GC27+GP27+HC27+HP27+IC27+IP27</f>
        <v>0</v>
      </c>
      <c r="JE27" s="135" t="str">
        <f>D27+Q27+AD27+AQ27+BD27+BQ27+CD27+CQ27+DD27+DQ27+ED27+EQ27+FD27+FQ27+GD27+GQ27+HD27+HQ27+ID27+IQ27</f>
        <v>0</v>
      </c>
      <c r="JF27" s="135" t="str">
        <f>E27+R27+AE27+AR27+BE27+BR27+CE27+CR27+DE27+DR27+EE27+ER27+FE27+FR27+GE27+GR27+HE27+HR27+IE27+IR27</f>
        <v>0</v>
      </c>
      <c r="JG27" s="135" t="str">
        <f>F27+S27+AF27+AS27+BF27+BS27+CF27+CS27+DF27+DS27+EF27+ES27+FF27+FS27+GF27+GS27+HF27+HS27+IF27+IS27</f>
        <v>0</v>
      </c>
      <c r="JH27" s="135" t="str">
        <f>G27+T27+AG27+AT27+BG27+BT27+CG27+CT27+DG27+DT27+EG27+ET27+FG27+FT27+GG27+GT27+HG27+HT27+IG27+IT27</f>
        <v>0</v>
      </c>
      <c r="JI27" s="135" t="str">
        <f>H27+U27+AH27+AU27+BH27+BU27+CH27+CU27+DH27+DU27+EH27+EU27+FH27+FU27+GH27+GU27+HH27+HU27+IH27+IU27</f>
        <v>0</v>
      </c>
      <c r="JJ27" s="135" t="str">
        <f>I27+V27+AI27+AV27+BI27+BV27+CI27+CV27+DI27+DV27+EI27+EV27+FI27+FV27+GI27+GV27+HI27+HV27+II27+IV27</f>
        <v>0</v>
      </c>
      <c r="JK27" s="135" t="str">
        <f>J27+W27+AJ27+AW27+BJ27+BW27+CJ27+CW27+DJ27+DW27+EJ27+EW27+FJ27+FW27+GJ27+GW27+HJ27+HW27+IJ27+IW27</f>
        <v>0</v>
      </c>
      <c r="JL27" s="135" t="str">
        <f>K27+X27+AK27+AX27+BK27+BX27+CK27+CX27+DK27+DX27+EK27+EX27+FK27+FX27+GK27+GX27+HK27+HX27+IK27+IX27</f>
        <v>0</v>
      </c>
      <c r="JM27" s="135" t="str">
        <f>L27+Y27+AL27+AY27+BL27+BY27+CL27+CY27+DL27+DY27+EL27+EY27+FL27+FY27+GL27+GY27+HL27+HY27+IL27+IY27</f>
        <v>0</v>
      </c>
      <c r="JN27" s="135" t="str">
        <f>M27+Z27+AM27+AZ27+BM27+BZ27+CM27+CZ27+DM27+DZ27+EM27+EZ27+FM27+FZ27+GM27+GZ27+HM27+HZ27+IM27+IZ27</f>
        <v>0</v>
      </c>
      <c r="JO27" s="132" t="str">
        <f>SUM(JC27:JN27)</f>
        <v>0</v>
      </c>
      <c r="JQ27" s="139" t="str">
        <f>N27+AA27+AN27+BA27+BN27+CA27+CN27+DA27+DN27+EA27+EN27+FA27+FN27+GA27+GN27+HA27+HN27+IA27+IN27+JA27</f>
        <v>0</v>
      </c>
    </row>
    <row r="28" spans="1:278">
      <c r="A28" s="130"/>
      <c r="B28" s="131"/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1"/>
      <c r="N28" s="132" t="str">
        <f>SUM(B28:M28)</f>
        <v>0</v>
      </c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  <c r="AA28" s="132" t="str">
        <f>SUM(O28:Z28)</f>
        <v>0</v>
      </c>
      <c r="AB28" s="131"/>
      <c r="AC28" s="131"/>
      <c r="AD28" s="131"/>
      <c r="AE28" s="131"/>
      <c r="AF28" s="131"/>
      <c r="AG28" s="131"/>
      <c r="AH28" s="131"/>
      <c r="AI28" s="131"/>
      <c r="AJ28" s="131"/>
      <c r="AK28" s="131"/>
      <c r="AL28" s="131"/>
      <c r="AM28" s="131"/>
      <c r="AN28" s="132" t="str">
        <f>SUM(AB28:AM28)</f>
        <v>0</v>
      </c>
      <c r="AO28" s="133"/>
      <c r="AP28" s="133"/>
      <c r="AQ28" s="133"/>
      <c r="AR28" s="133"/>
      <c r="AS28" s="133"/>
      <c r="AT28" s="133"/>
      <c r="AU28" s="133"/>
      <c r="AV28" s="133"/>
      <c r="AW28" s="133"/>
      <c r="AX28" s="133"/>
      <c r="AY28" s="133"/>
      <c r="AZ28" s="133"/>
      <c r="BA28" s="132" t="str">
        <f>SUM(AO28:AZ28)</f>
        <v>0</v>
      </c>
      <c r="BB28" s="134"/>
      <c r="BC28" s="134"/>
      <c r="BD28" s="134"/>
      <c r="BE28" s="134"/>
      <c r="BF28" s="134"/>
      <c r="BG28" s="134"/>
      <c r="BH28" s="134"/>
      <c r="BI28" s="134"/>
      <c r="BJ28" s="134"/>
      <c r="BK28" s="134"/>
      <c r="BL28" s="134"/>
      <c r="BM28" s="134"/>
      <c r="BN28" s="132" t="str">
        <f>SUM(BB28:BM28)</f>
        <v>0</v>
      </c>
      <c r="BO28" s="135"/>
      <c r="BP28" s="135"/>
      <c r="BQ28" s="135"/>
      <c r="BR28" s="135"/>
      <c r="BS28" s="135"/>
      <c r="BT28" s="135"/>
      <c r="BU28" s="135"/>
      <c r="BV28" s="135"/>
      <c r="BW28" s="135"/>
      <c r="BX28" s="135"/>
      <c r="BY28" s="135"/>
      <c r="BZ28" s="135"/>
      <c r="CA28" s="132" t="str">
        <f>SUM(BO28:BZ28)</f>
        <v>0</v>
      </c>
      <c r="CB28" s="136"/>
      <c r="CC28" s="136"/>
      <c r="CD28" s="136"/>
      <c r="CE28" s="136"/>
      <c r="CF28" s="136"/>
      <c r="CG28" s="136"/>
      <c r="CH28" s="136"/>
      <c r="CI28" s="136"/>
      <c r="CJ28" s="136"/>
      <c r="CK28" s="136"/>
      <c r="CL28" s="136"/>
      <c r="CM28" s="136"/>
      <c r="CN28" s="132" t="str">
        <f>SUM(CB28:CM28)</f>
        <v>0</v>
      </c>
      <c r="CO28" s="137"/>
      <c r="CP28" s="137"/>
      <c r="CQ28" s="137"/>
      <c r="CR28" s="137"/>
      <c r="CS28" s="137"/>
      <c r="CT28" s="137"/>
      <c r="CU28" s="137"/>
      <c r="CV28" s="137"/>
      <c r="CW28" s="137"/>
      <c r="CX28" s="137"/>
      <c r="CY28" s="137"/>
      <c r="CZ28" s="137"/>
      <c r="DA28" s="132" t="str">
        <f>SUM(CO28:CZ28)</f>
        <v>0</v>
      </c>
      <c r="DB28" s="136"/>
      <c r="DC28" s="136"/>
      <c r="DD28" s="136"/>
      <c r="DE28" s="136"/>
      <c r="DF28" s="136"/>
      <c r="DG28" s="136"/>
      <c r="DH28" s="136"/>
      <c r="DI28" s="136"/>
      <c r="DJ28" s="136"/>
      <c r="DK28" s="136"/>
      <c r="DL28" s="136"/>
      <c r="DM28" s="136"/>
      <c r="DN28" s="132" t="str">
        <f>SUM(DB28:DM28)</f>
        <v>0</v>
      </c>
      <c r="DO28" s="137"/>
      <c r="DP28" s="137"/>
      <c r="DQ28" s="137"/>
      <c r="DR28" s="137"/>
      <c r="DS28" s="137"/>
      <c r="DT28" s="137"/>
      <c r="DU28" s="137"/>
      <c r="DV28" s="137"/>
      <c r="DW28" s="137"/>
      <c r="DX28" s="137"/>
      <c r="DY28" s="137"/>
      <c r="DZ28" s="137"/>
      <c r="EA28" s="132" t="str">
        <f>SUM(DO28:DZ28)</f>
        <v>0</v>
      </c>
      <c r="EB28" s="216"/>
      <c r="EC28" s="216"/>
      <c r="ED28" s="216"/>
      <c r="EE28" s="216"/>
      <c r="EF28" s="216"/>
      <c r="EG28" s="216"/>
      <c r="EH28" s="216"/>
      <c r="EI28" s="216"/>
      <c r="EJ28" s="216"/>
      <c r="EK28" s="216"/>
      <c r="EL28" s="216"/>
      <c r="EM28" s="216"/>
      <c r="EN28" s="132" t="str">
        <f>SUM(EB28:EM28)</f>
        <v>0</v>
      </c>
      <c r="EO28" s="132"/>
      <c r="EP28" s="132"/>
      <c r="EQ28" s="132"/>
      <c r="ER28" s="132"/>
      <c r="ES28" s="132"/>
      <c r="ET28" s="132"/>
      <c r="EU28" s="132"/>
      <c r="EV28" s="132"/>
      <c r="EW28" s="132"/>
      <c r="EX28" s="132"/>
      <c r="EY28" s="132"/>
      <c r="EZ28" s="132"/>
      <c r="FA28" s="132" t="str">
        <f>SUM(EO28:EZ28)</f>
        <v>0</v>
      </c>
      <c r="FB28" s="181"/>
      <c r="FC28" s="181"/>
      <c r="FD28" s="181"/>
      <c r="FE28" s="181"/>
      <c r="FF28" s="181"/>
      <c r="FG28" s="181"/>
      <c r="FH28" s="181"/>
      <c r="FI28" s="181"/>
      <c r="FJ28" s="181"/>
      <c r="FK28" s="181"/>
      <c r="FL28" s="181"/>
      <c r="FM28" s="181"/>
      <c r="FN28" s="132" t="str">
        <f>SUM(FB28:FM28)</f>
        <v>0</v>
      </c>
      <c r="FO28" s="132"/>
      <c r="FP28" s="132"/>
      <c r="FQ28" s="132"/>
      <c r="FR28" s="132"/>
      <c r="FS28" s="132"/>
      <c r="FT28" s="132"/>
      <c r="FU28" s="132"/>
      <c r="FV28" s="132"/>
      <c r="FW28" s="132"/>
      <c r="FX28" s="132"/>
      <c r="FY28" s="132"/>
      <c r="FZ28" s="132"/>
      <c r="GA28" s="132" t="str">
        <f>SUM(FO28:FZ28)</f>
        <v>0</v>
      </c>
      <c r="GB28" s="181"/>
      <c r="GC28" s="181"/>
      <c r="GD28" s="181"/>
      <c r="GE28" s="181"/>
      <c r="GF28" s="181"/>
      <c r="GG28" s="181"/>
      <c r="GH28" s="181"/>
      <c r="GI28" s="181"/>
      <c r="GJ28" s="181"/>
      <c r="GK28" s="181"/>
      <c r="GL28" s="181"/>
      <c r="GM28" s="181"/>
      <c r="GN28" s="181" t="str">
        <f>SUM(GB28:GM28)</f>
        <v>0</v>
      </c>
      <c r="GO28" s="137"/>
      <c r="GP28" s="137"/>
      <c r="GQ28" s="137"/>
      <c r="GR28" s="137"/>
      <c r="GS28" s="137"/>
      <c r="GT28" s="137"/>
      <c r="GU28" s="137"/>
      <c r="GV28" s="137"/>
      <c r="GW28" s="137"/>
      <c r="GX28" s="137"/>
      <c r="GY28" s="137"/>
      <c r="GZ28" s="137"/>
      <c r="HA28" s="132" t="str">
        <f>SUM(GO28:GZ28)</f>
        <v>0</v>
      </c>
      <c r="HB28" s="181"/>
      <c r="HC28" s="181"/>
      <c r="HD28" s="181"/>
      <c r="HE28" s="181"/>
      <c r="HF28" s="181"/>
      <c r="HG28" s="181"/>
      <c r="HH28" s="181"/>
      <c r="HI28" s="181"/>
      <c r="HJ28" s="181"/>
      <c r="HK28" s="181"/>
      <c r="HL28" s="181"/>
      <c r="HM28" s="181"/>
      <c r="HN28" s="181" t="str">
        <f>SUM(HB28:HM28)</f>
        <v>0</v>
      </c>
      <c r="HO28" s="132"/>
      <c r="HP28" s="132"/>
      <c r="HQ28" s="132"/>
      <c r="HR28" s="132"/>
      <c r="HS28" s="132"/>
      <c r="HT28" s="132"/>
      <c r="HU28" s="132"/>
      <c r="HV28" s="132"/>
      <c r="HW28" s="132"/>
      <c r="HX28" s="132"/>
      <c r="HY28" s="132"/>
      <c r="HZ28" s="132"/>
      <c r="IA28" s="132" t="str">
        <f>SUM(HO28:HZ28)</f>
        <v>0</v>
      </c>
      <c r="IB28" s="181"/>
      <c r="IC28" s="181"/>
      <c r="ID28" s="181"/>
      <c r="IE28" s="181"/>
      <c r="IF28" s="181"/>
      <c r="IG28" s="181"/>
      <c r="IH28" s="181"/>
      <c r="II28" s="181"/>
      <c r="IJ28" s="181"/>
      <c r="IK28" s="181"/>
      <c r="IL28" s="181"/>
      <c r="IM28" s="181"/>
      <c r="IN28" s="181" t="str">
        <f>SUM(IB28:IM28)</f>
        <v>0</v>
      </c>
      <c r="IO28" s="181"/>
      <c r="IP28" s="181"/>
      <c r="IQ28" s="181"/>
      <c r="IR28" s="181"/>
      <c r="IS28" s="181"/>
      <c r="IT28" s="181"/>
      <c r="IU28" s="181"/>
      <c r="IV28" s="181"/>
      <c r="IW28" s="181"/>
      <c r="IX28" s="181"/>
      <c r="IY28" s="181"/>
      <c r="IZ28" s="181"/>
      <c r="JA28" s="181" t="str">
        <f>SUM(IO28:IZ28)</f>
        <v>0</v>
      </c>
      <c r="JC28" s="135" t="str">
        <f>B28+O28+AB28+AO28+BB28+BO28+CB28+CO28+DB28+DO28+EB28+EO28+FB28+FO28+GB28+GO28+HB28+HO28+IB28+IO28</f>
        <v>0</v>
      </c>
      <c r="JD28" s="135" t="str">
        <f>C28+P28+AC28+AP28+BC28+BP28+CC28+CP28+DC28+DP28+EC28+EP28+FC28+FP28+GC28+GP28+HC28+HP28+IC28+IP28</f>
        <v>0</v>
      </c>
      <c r="JE28" s="135" t="str">
        <f>D28+Q28+AD28+AQ28+BD28+BQ28+CD28+CQ28+DD28+DQ28+ED28+EQ28+FD28+FQ28+GD28+GQ28+HD28+HQ28+ID28+IQ28</f>
        <v>0</v>
      </c>
      <c r="JF28" s="135" t="str">
        <f>E28+R28+AE28+AR28+BE28+BR28+CE28+CR28+DE28+DR28+EE28+ER28+FE28+FR28+GE28+GR28+HE28+HR28+IE28+IR28</f>
        <v>0</v>
      </c>
      <c r="JG28" s="135" t="str">
        <f>F28+S28+AF28+AS28+BF28+BS28+CF28+CS28+DF28+DS28+EF28+ES28+FF28+FS28+GF28+GS28+HF28+HS28+IF28+IS28</f>
        <v>0</v>
      </c>
      <c r="JH28" s="135" t="str">
        <f>G28+T28+AG28+AT28+BG28+BT28+CG28+CT28+DG28+DT28+EG28+ET28+FG28+FT28+GG28+GT28+HG28+HT28+IG28+IT28</f>
        <v>0</v>
      </c>
      <c r="JI28" s="135" t="str">
        <f>H28+U28+AH28+AU28+BH28+BU28+CH28+CU28+DH28+DU28+EH28+EU28+FH28+FU28+GH28+GU28+HH28+HU28+IH28+IU28</f>
        <v>0</v>
      </c>
      <c r="JJ28" s="135" t="str">
        <f>I28+V28+AI28+AV28+BI28+BV28+CI28+CV28+DI28+DV28+EI28+EV28+FI28+FV28+GI28+GV28+HI28+HV28+II28+IV28</f>
        <v>0</v>
      </c>
      <c r="JK28" s="135" t="str">
        <f>J28+W28+AJ28+AW28+BJ28+BW28+CJ28+CW28+DJ28+DW28+EJ28+EW28+FJ28+FW28+GJ28+GW28+HJ28+HW28+IJ28+IW28</f>
        <v>0</v>
      </c>
      <c r="JL28" s="135" t="str">
        <f>K28+X28+AK28+AX28+BK28+BX28+CK28+CX28+DK28+DX28+EK28+EX28+FK28+FX28+GK28+GX28+HK28+HX28+IK28+IX28</f>
        <v>0</v>
      </c>
      <c r="JM28" s="135" t="str">
        <f>L28+Y28+AL28+AY28+BL28+BY28+CL28+CY28+DL28+DY28+EL28+EY28+FL28+FY28+GL28+GY28+HL28+HY28+IL28+IY28</f>
        <v>0</v>
      </c>
      <c r="JN28" s="135" t="str">
        <f>M28+Z28+AM28+AZ28+BM28+BZ28+CM28+CZ28+DM28+DZ28+EM28+EZ28+FM28+FZ28+GM28+GZ28+HM28+HZ28+IM28+IZ28</f>
        <v>0</v>
      </c>
      <c r="JO28" s="132" t="str">
        <f>SUM(JC28:JN28)</f>
        <v>0</v>
      </c>
      <c r="JQ28" s="139" t="str">
        <f>N28+AA28+AN28+BA28+BN28+CA28+CN28+DA28+DN28+EA28+EN28+FA28+FN28+GA28+GN28+HA28+HN28+IA28+IN28+JA28</f>
        <v>0</v>
      </c>
    </row>
    <row r="29" spans="1:278">
      <c r="A29" s="130"/>
      <c r="B29" s="131"/>
      <c r="C29" s="131"/>
      <c r="D29" s="131"/>
      <c r="E29" s="131"/>
      <c r="F29" s="131"/>
      <c r="G29" s="131"/>
      <c r="H29" s="131"/>
      <c r="I29" s="131"/>
      <c r="J29" s="131"/>
      <c r="K29" s="131"/>
      <c r="L29" s="131"/>
      <c r="M29" s="131"/>
      <c r="N29" s="132" t="str">
        <f>SUM(B29:M29)</f>
        <v>0</v>
      </c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  <c r="AA29" s="132" t="str">
        <f>SUM(O29:Z29)</f>
        <v>0</v>
      </c>
      <c r="AB29" s="131"/>
      <c r="AC29" s="131"/>
      <c r="AD29" s="131"/>
      <c r="AE29" s="131"/>
      <c r="AF29" s="131"/>
      <c r="AG29" s="131"/>
      <c r="AH29" s="131"/>
      <c r="AI29" s="131"/>
      <c r="AJ29" s="131"/>
      <c r="AK29" s="131"/>
      <c r="AL29" s="131"/>
      <c r="AM29" s="131"/>
      <c r="AN29" s="132" t="str">
        <f>SUM(AB29:AM29)</f>
        <v>0</v>
      </c>
      <c r="AO29" s="133"/>
      <c r="AP29" s="133"/>
      <c r="AQ29" s="133"/>
      <c r="AR29" s="133"/>
      <c r="AS29" s="133"/>
      <c r="AT29" s="133"/>
      <c r="AU29" s="133"/>
      <c r="AV29" s="133"/>
      <c r="AW29" s="133"/>
      <c r="AX29" s="133"/>
      <c r="AY29" s="133"/>
      <c r="AZ29" s="133"/>
      <c r="BA29" s="132" t="str">
        <f>SUM(AO29:AZ29)</f>
        <v>0</v>
      </c>
      <c r="BB29" s="134"/>
      <c r="BC29" s="134"/>
      <c r="BD29" s="134"/>
      <c r="BE29" s="134"/>
      <c r="BF29" s="134"/>
      <c r="BG29" s="134"/>
      <c r="BH29" s="134"/>
      <c r="BI29" s="134"/>
      <c r="BJ29" s="134"/>
      <c r="BK29" s="134"/>
      <c r="BL29" s="134"/>
      <c r="BM29" s="134"/>
      <c r="BN29" s="132" t="str">
        <f>SUM(BB29:BM29)</f>
        <v>0</v>
      </c>
      <c r="BO29" s="135"/>
      <c r="BP29" s="135"/>
      <c r="BQ29" s="135"/>
      <c r="BR29" s="135"/>
      <c r="BS29" s="135"/>
      <c r="BT29" s="135"/>
      <c r="BU29" s="135"/>
      <c r="BV29" s="135"/>
      <c r="BW29" s="135"/>
      <c r="BX29" s="135"/>
      <c r="BY29" s="135"/>
      <c r="BZ29" s="135"/>
      <c r="CA29" s="132" t="str">
        <f>SUM(BO29:BZ29)</f>
        <v>0</v>
      </c>
      <c r="CB29" s="136"/>
      <c r="CC29" s="136"/>
      <c r="CD29" s="136"/>
      <c r="CE29" s="136"/>
      <c r="CF29" s="136"/>
      <c r="CG29" s="136"/>
      <c r="CH29" s="136"/>
      <c r="CI29" s="136"/>
      <c r="CJ29" s="136"/>
      <c r="CK29" s="136"/>
      <c r="CL29" s="136"/>
      <c r="CM29" s="136"/>
      <c r="CN29" s="132" t="str">
        <f>SUM(CB29:CM29)</f>
        <v>0</v>
      </c>
      <c r="CO29" s="137"/>
      <c r="CP29" s="137"/>
      <c r="CQ29" s="137"/>
      <c r="CR29" s="137"/>
      <c r="CS29" s="137"/>
      <c r="CT29" s="137"/>
      <c r="CU29" s="137"/>
      <c r="CV29" s="137"/>
      <c r="CW29" s="137"/>
      <c r="CX29" s="137"/>
      <c r="CY29" s="137"/>
      <c r="CZ29" s="137"/>
      <c r="DA29" s="132" t="str">
        <f>SUM(CO29:CZ29)</f>
        <v>0</v>
      </c>
      <c r="DB29" s="136"/>
      <c r="DC29" s="136"/>
      <c r="DD29" s="136"/>
      <c r="DE29" s="136"/>
      <c r="DF29" s="136"/>
      <c r="DG29" s="136"/>
      <c r="DH29" s="136"/>
      <c r="DI29" s="136"/>
      <c r="DJ29" s="136"/>
      <c r="DK29" s="136"/>
      <c r="DL29" s="136"/>
      <c r="DM29" s="136"/>
      <c r="DN29" s="132" t="str">
        <f>SUM(DB29:DM29)</f>
        <v>0</v>
      </c>
      <c r="DO29" s="137"/>
      <c r="DP29" s="137"/>
      <c r="DQ29" s="137"/>
      <c r="DR29" s="137"/>
      <c r="DS29" s="137"/>
      <c r="DT29" s="137"/>
      <c r="DU29" s="137"/>
      <c r="DV29" s="137"/>
      <c r="DW29" s="137"/>
      <c r="DX29" s="137"/>
      <c r="DY29" s="137"/>
      <c r="DZ29" s="137"/>
      <c r="EA29" s="132" t="str">
        <f>SUM(DO29:DZ29)</f>
        <v>0</v>
      </c>
      <c r="EB29" s="216"/>
      <c r="EC29" s="216"/>
      <c r="ED29" s="216"/>
      <c r="EE29" s="216"/>
      <c r="EF29" s="216"/>
      <c r="EG29" s="216"/>
      <c r="EH29" s="216"/>
      <c r="EI29" s="216"/>
      <c r="EJ29" s="216"/>
      <c r="EK29" s="216"/>
      <c r="EL29" s="216"/>
      <c r="EM29" s="216"/>
      <c r="EN29" s="132" t="str">
        <f>SUM(EB29:EM29)</f>
        <v>0</v>
      </c>
      <c r="EO29" s="132"/>
      <c r="EP29" s="132"/>
      <c r="EQ29" s="132"/>
      <c r="ER29" s="132"/>
      <c r="ES29" s="132"/>
      <c r="ET29" s="132"/>
      <c r="EU29" s="132"/>
      <c r="EV29" s="132"/>
      <c r="EW29" s="132"/>
      <c r="EX29" s="132"/>
      <c r="EY29" s="132"/>
      <c r="EZ29" s="132"/>
      <c r="FA29" s="132" t="str">
        <f>SUM(EO29:EZ29)</f>
        <v>0</v>
      </c>
      <c r="FB29" s="181"/>
      <c r="FC29" s="181"/>
      <c r="FD29" s="181"/>
      <c r="FE29" s="181"/>
      <c r="FF29" s="181"/>
      <c r="FG29" s="181"/>
      <c r="FH29" s="181"/>
      <c r="FI29" s="181"/>
      <c r="FJ29" s="181"/>
      <c r="FK29" s="181"/>
      <c r="FL29" s="181"/>
      <c r="FM29" s="181"/>
      <c r="FN29" s="132" t="str">
        <f>SUM(FB29:FM29)</f>
        <v>0</v>
      </c>
      <c r="FO29" s="132"/>
      <c r="FP29" s="132"/>
      <c r="FQ29" s="132"/>
      <c r="FR29" s="132"/>
      <c r="FS29" s="132"/>
      <c r="FT29" s="132"/>
      <c r="FU29" s="132"/>
      <c r="FV29" s="132"/>
      <c r="FW29" s="132"/>
      <c r="FX29" s="132"/>
      <c r="FY29" s="132"/>
      <c r="FZ29" s="132"/>
      <c r="GA29" s="132" t="str">
        <f>SUM(FO29:FZ29)</f>
        <v>0</v>
      </c>
      <c r="GB29" s="181"/>
      <c r="GC29" s="181"/>
      <c r="GD29" s="181"/>
      <c r="GE29" s="181"/>
      <c r="GF29" s="181"/>
      <c r="GG29" s="181"/>
      <c r="GH29" s="181"/>
      <c r="GI29" s="181"/>
      <c r="GJ29" s="181"/>
      <c r="GK29" s="181"/>
      <c r="GL29" s="181"/>
      <c r="GM29" s="181"/>
      <c r="GN29" s="181" t="str">
        <f>SUM(GB29:GM29)</f>
        <v>0</v>
      </c>
      <c r="GO29" s="137"/>
      <c r="GP29" s="137"/>
      <c r="GQ29" s="137"/>
      <c r="GR29" s="137"/>
      <c r="GS29" s="137"/>
      <c r="GT29" s="137"/>
      <c r="GU29" s="137"/>
      <c r="GV29" s="137"/>
      <c r="GW29" s="137"/>
      <c r="GX29" s="137"/>
      <c r="GY29" s="137"/>
      <c r="GZ29" s="137"/>
      <c r="HA29" s="132" t="str">
        <f>SUM(GO29:GZ29)</f>
        <v>0</v>
      </c>
      <c r="HB29" s="181"/>
      <c r="HC29" s="181"/>
      <c r="HD29" s="181"/>
      <c r="HE29" s="181"/>
      <c r="HF29" s="181"/>
      <c r="HG29" s="181"/>
      <c r="HH29" s="181"/>
      <c r="HI29" s="181"/>
      <c r="HJ29" s="181"/>
      <c r="HK29" s="181"/>
      <c r="HL29" s="181"/>
      <c r="HM29" s="181"/>
      <c r="HN29" s="181" t="str">
        <f>SUM(HB29:HM29)</f>
        <v>0</v>
      </c>
      <c r="HO29" s="132"/>
      <c r="HP29" s="132"/>
      <c r="HQ29" s="132"/>
      <c r="HR29" s="132"/>
      <c r="HS29" s="132"/>
      <c r="HT29" s="132"/>
      <c r="HU29" s="132"/>
      <c r="HV29" s="132"/>
      <c r="HW29" s="132"/>
      <c r="HX29" s="132"/>
      <c r="HY29" s="132"/>
      <c r="HZ29" s="132"/>
      <c r="IA29" s="132" t="str">
        <f>SUM(HO29:HZ29)</f>
        <v>0</v>
      </c>
      <c r="IB29" s="181"/>
      <c r="IC29" s="181"/>
      <c r="ID29" s="181"/>
      <c r="IE29" s="181"/>
      <c r="IF29" s="181"/>
      <c r="IG29" s="181"/>
      <c r="IH29" s="181"/>
      <c r="II29" s="181"/>
      <c r="IJ29" s="181"/>
      <c r="IK29" s="181"/>
      <c r="IL29" s="181"/>
      <c r="IM29" s="181"/>
      <c r="IN29" s="181" t="str">
        <f>SUM(IB29:IM29)</f>
        <v>0</v>
      </c>
      <c r="IO29" s="181"/>
      <c r="IP29" s="181"/>
      <c r="IQ29" s="181"/>
      <c r="IR29" s="181"/>
      <c r="IS29" s="181"/>
      <c r="IT29" s="181"/>
      <c r="IU29" s="181"/>
      <c r="IV29" s="181"/>
      <c r="IW29" s="181"/>
      <c r="IX29" s="181"/>
      <c r="IY29" s="181"/>
      <c r="IZ29" s="181"/>
      <c r="JA29" s="181" t="str">
        <f>SUM(IO29:IZ29)</f>
        <v>0</v>
      </c>
      <c r="JC29" s="135" t="str">
        <f>B29+O29+AB29+AO29+BB29+BO29+CB29+CO29+DB29+DO29+EB29+EO29+FB29+FO29+GB29+GO29+HB29+HO29+IB29+IO29</f>
        <v>0</v>
      </c>
      <c r="JD29" s="135" t="str">
        <f>C29+P29+AC29+AP29+BC29+BP29+CC29+CP29+DC29+DP29+EC29+EP29+FC29+FP29+GC29+GP29+HC29+HP29+IC29+IP29</f>
        <v>0</v>
      </c>
      <c r="JE29" s="135" t="str">
        <f>D29+Q29+AD29+AQ29+BD29+BQ29+CD29+CQ29+DD29+DQ29+ED29+EQ29+FD29+FQ29+GD29+GQ29+HD29+HQ29+ID29+IQ29</f>
        <v>0</v>
      </c>
      <c r="JF29" s="135" t="str">
        <f>E29+R29+AE29+AR29+BE29+BR29+CE29+CR29+DE29+DR29+EE29+ER29+FE29+FR29+GE29+GR29+HE29+HR29+IE29+IR29</f>
        <v>0</v>
      </c>
      <c r="JG29" s="135" t="str">
        <f>F29+S29+AF29+AS29+BF29+BS29+CF29+CS29+DF29+DS29+EF29+ES29+FF29+FS29+GF29+GS29+HF29+HS29+IF29+IS29</f>
        <v>0</v>
      </c>
      <c r="JH29" s="135" t="str">
        <f>G29+T29+AG29+AT29+BG29+BT29+CG29+CT29+DG29+DT29+EG29+ET29+FG29+FT29+GG29+GT29+HG29+HT29+IG29+IT29</f>
        <v>0</v>
      </c>
      <c r="JI29" s="135" t="str">
        <f>H29+U29+AH29+AU29+BH29+BU29+CH29+CU29+DH29+DU29+EH29+EU29+FH29+FU29+GH29+GU29+HH29+HU29+IH29+IU29</f>
        <v>0</v>
      </c>
      <c r="JJ29" s="135" t="str">
        <f>I29+V29+AI29+AV29+BI29+BV29+CI29+CV29+DI29+DV29+EI29+EV29+FI29+FV29+GI29+GV29+HI29+HV29+II29+IV29</f>
        <v>0</v>
      </c>
      <c r="JK29" s="135" t="str">
        <f>J29+W29+AJ29+AW29+BJ29+BW29+CJ29+CW29+DJ29+DW29+EJ29+EW29+FJ29+FW29+GJ29+GW29+HJ29+HW29+IJ29+IW29</f>
        <v>0</v>
      </c>
      <c r="JL29" s="135" t="str">
        <f>K29+X29+AK29+AX29+BK29+BX29+CK29+CX29+DK29+DX29+EK29+EX29+FK29+FX29+GK29+GX29+HK29+HX29+IK29+IX29</f>
        <v>0</v>
      </c>
      <c r="JM29" s="135" t="str">
        <f>L29+Y29+AL29+AY29+BL29+BY29+CL29+CY29+DL29+DY29+EL29+EY29+FL29+FY29+GL29+GY29+HL29+HY29+IL29+IY29</f>
        <v>0</v>
      </c>
      <c r="JN29" s="135" t="str">
        <f>M29+Z29+AM29+AZ29+BM29+BZ29+CM29+CZ29+DM29+DZ29+EM29+EZ29+FM29+FZ29+GM29+GZ29+HM29+HZ29+IM29+IZ29</f>
        <v>0</v>
      </c>
      <c r="JO29" s="132" t="str">
        <f>SUM(JC29:JN29)</f>
        <v>0</v>
      </c>
      <c r="JQ29" s="139" t="str">
        <f>N29+AA29+AN29+BA29+BN29+CA29+CN29+DA29+DN29+EA29+EN29+FA29+FN29+GA29+GN29+HA29+HN29+IA29+IN29+JA29</f>
        <v>0</v>
      </c>
    </row>
    <row r="30" spans="1:278">
      <c r="A30" s="130"/>
      <c r="B30" s="131"/>
      <c r="C30" s="131"/>
      <c r="D30" s="131"/>
      <c r="E30" s="131"/>
      <c r="F30" s="131"/>
      <c r="G30" s="131"/>
      <c r="H30" s="131"/>
      <c r="I30" s="131"/>
      <c r="J30" s="131"/>
      <c r="K30" s="131"/>
      <c r="L30" s="131"/>
      <c r="M30" s="131"/>
      <c r="N30" s="132" t="str">
        <f>SUM(B30:M30)</f>
        <v>0</v>
      </c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  <c r="AA30" s="132" t="str">
        <f>SUM(O30:Z30)</f>
        <v>0</v>
      </c>
      <c r="AB30" s="131"/>
      <c r="AC30" s="131"/>
      <c r="AD30" s="131"/>
      <c r="AE30" s="131"/>
      <c r="AF30" s="131"/>
      <c r="AG30" s="131"/>
      <c r="AH30" s="131"/>
      <c r="AI30" s="131"/>
      <c r="AJ30" s="131"/>
      <c r="AK30" s="131"/>
      <c r="AL30" s="131"/>
      <c r="AM30" s="131"/>
      <c r="AN30" s="132" t="str">
        <f>SUM(AB30:AM30)</f>
        <v>0</v>
      </c>
      <c r="AO30" s="133"/>
      <c r="AP30" s="133"/>
      <c r="AQ30" s="133"/>
      <c r="AR30" s="133"/>
      <c r="AS30" s="133"/>
      <c r="AT30" s="133"/>
      <c r="AU30" s="133"/>
      <c r="AV30" s="133"/>
      <c r="AW30" s="133"/>
      <c r="AX30" s="133"/>
      <c r="AY30" s="133"/>
      <c r="AZ30" s="133"/>
      <c r="BA30" s="132" t="str">
        <f>SUM(AO30:AZ30)</f>
        <v>0</v>
      </c>
      <c r="BB30" s="134"/>
      <c r="BC30" s="134"/>
      <c r="BD30" s="134"/>
      <c r="BE30" s="134"/>
      <c r="BF30" s="134"/>
      <c r="BG30" s="134"/>
      <c r="BH30" s="134"/>
      <c r="BI30" s="134"/>
      <c r="BJ30" s="134"/>
      <c r="BK30" s="134"/>
      <c r="BL30" s="134"/>
      <c r="BM30" s="134"/>
      <c r="BN30" s="132" t="str">
        <f>SUM(BB30:BM30)</f>
        <v>0</v>
      </c>
      <c r="BO30" s="135"/>
      <c r="BP30" s="135"/>
      <c r="BQ30" s="135"/>
      <c r="BR30" s="135"/>
      <c r="BS30" s="135"/>
      <c r="BT30" s="135"/>
      <c r="BU30" s="135"/>
      <c r="BV30" s="135"/>
      <c r="BW30" s="135"/>
      <c r="BX30" s="135"/>
      <c r="BY30" s="135"/>
      <c r="BZ30" s="135"/>
      <c r="CA30" s="132" t="str">
        <f>SUM(BO30:BZ30)</f>
        <v>0</v>
      </c>
      <c r="CB30" s="136"/>
      <c r="CC30" s="136"/>
      <c r="CD30" s="136"/>
      <c r="CE30" s="136"/>
      <c r="CF30" s="136"/>
      <c r="CG30" s="136"/>
      <c r="CH30" s="136"/>
      <c r="CI30" s="136"/>
      <c r="CJ30" s="136"/>
      <c r="CK30" s="136"/>
      <c r="CL30" s="136"/>
      <c r="CM30" s="136"/>
      <c r="CN30" s="132" t="str">
        <f>SUM(CB30:CM30)</f>
        <v>0</v>
      </c>
      <c r="CO30" s="137"/>
      <c r="CP30" s="137"/>
      <c r="CQ30" s="137"/>
      <c r="CR30" s="137"/>
      <c r="CS30" s="137"/>
      <c r="CT30" s="137"/>
      <c r="CU30" s="137"/>
      <c r="CV30" s="137"/>
      <c r="CW30" s="137"/>
      <c r="CX30" s="137"/>
      <c r="CY30" s="137"/>
      <c r="CZ30" s="137"/>
      <c r="DA30" s="132" t="str">
        <f>SUM(CO30:CZ30)</f>
        <v>0</v>
      </c>
      <c r="DB30" s="136"/>
      <c r="DC30" s="136"/>
      <c r="DD30" s="136"/>
      <c r="DE30" s="136"/>
      <c r="DF30" s="136"/>
      <c r="DG30" s="136"/>
      <c r="DH30" s="136"/>
      <c r="DI30" s="136"/>
      <c r="DJ30" s="136"/>
      <c r="DK30" s="136"/>
      <c r="DL30" s="136"/>
      <c r="DM30" s="136"/>
      <c r="DN30" s="132" t="str">
        <f>SUM(DB30:DM30)</f>
        <v>0</v>
      </c>
      <c r="DO30" s="137"/>
      <c r="DP30" s="137"/>
      <c r="DQ30" s="137"/>
      <c r="DR30" s="137"/>
      <c r="DS30" s="137"/>
      <c r="DT30" s="137"/>
      <c r="DU30" s="137"/>
      <c r="DV30" s="137"/>
      <c r="DW30" s="137"/>
      <c r="DX30" s="137"/>
      <c r="DY30" s="137"/>
      <c r="DZ30" s="137"/>
      <c r="EA30" s="132" t="str">
        <f>SUM(DO30:DZ30)</f>
        <v>0</v>
      </c>
      <c r="EB30" s="216"/>
      <c r="EC30" s="216"/>
      <c r="ED30" s="216"/>
      <c r="EE30" s="216"/>
      <c r="EF30" s="216"/>
      <c r="EG30" s="216"/>
      <c r="EH30" s="216"/>
      <c r="EI30" s="216"/>
      <c r="EJ30" s="216"/>
      <c r="EK30" s="216"/>
      <c r="EL30" s="216"/>
      <c r="EM30" s="216"/>
      <c r="EN30" s="132" t="str">
        <f>SUM(EB30:EM30)</f>
        <v>0</v>
      </c>
      <c r="EO30" s="132"/>
      <c r="EP30" s="132"/>
      <c r="EQ30" s="132"/>
      <c r="ER30" s="132"/>
      <c r="ES30" s="132"/>
      <c r="ET30" s="132"/>
      <c r="EU30" s="132"/>
      <c r="EV30" s="132"/>
      <c r="EW30" s="132"/>
      <c r="EX30" s="132"/>
      <c r="EY30" s="132"/>
      <c r="EZ30" s="132"/>
      <c r="FA30" s="132" t="str">
        <f>SUM(EO30:EZ30)</f>
        <v>0</v>
      </c>
      <c r="FB30" s="181"/>
      <c r="FC30" s="181"/>
      <c r="FD30" s="181"/>
      <c r="FE30" s="181"/>
      <c r="FF30" s="181"/>
      <c r="FG30" s="181"/>
      <c r="FH30" s="181"/>
      <c r="FI30" s="181"/>
      <c r="FJ30" s="181"/>
      <c r="FK30" s="181"/>
      <c r="FL30" s="181"/>
      <c r="FM30" s="181"/>
      <c r="FN30" s="132" t="str">
        <f>SUM(FB30:FM30)</f>
        <v>0</v>
      </c>
      <c r="FO30" s="132"/>
      <c r="FP30" s="132"/>
      <c r="FQ30" s="132"/>
      <c r="FR30" s="132"/>
      <c r="FS30" s="132"/>
      <c r="FT30" s="132"/>
      <c r="FU30" s="132"/>
      <c r="FV30" s="132"/>
      <c r="FW30" s="132"/>
      <c r="FX30" s="132"/>
      <c r="FY30" s="132"/>
      <c r="FZ30" s="132"/>
      <c r="GA30" s="132" t="str">
        <f>SUM(FO30:FZ30)</f>
        <v>0</v>
      </c>
      <c r="GB30" s="181"/>
      <c r="GC30" s="181"/>
      <c r="GD30" s="181"/>
      <c r="GE30" s="181"/>
      <c r="GF30" s="181"/>
      <c r="GG30" s="181"/>
      <c r="GH30" s="181"/>
      <c r="GI30" s="181"/>
      <c r="GJ30" s="181"/>
      <c r="GK30" s="181"/>
      <c r="GL30" s="181"/>
      <c r="GM30" s="181"/>
      <c r="GN30" s="181" t="str">
        <f>SUM(GB30:GM30)</f>
        <v>0</v>
      </c>
      <c r="GO30" s="137"/>
      <c r="GP30" s="137"/>
      <c r="GQ30" s="137"/>
      <c r="GR30" s="137"/>
      <c r="GS30" s="137"/>
      <c r="GT30" s="137"/>
      <c r="GU30" s="137"/>
      <c r="GV30" s="137"/>
      <c r="GW30" s="137"/>
      <c r="GX30" s="137"/>
      <c r="GY30" s="137"/>
      <c r="GZ30" s="137"/>
      <c r="HA30" s="132" t="str">
        <f>SUM(GO30:GZ30)</f>
        <v>0</v>
      </c>
      <c r="HB30" s="181"/>
      <c r="HC30" s="181"/>
      <c r="HD30" s="181"/>
      <c r="HE30" s="181"/>
      <c r="HF30" s="181"/>
      <c r="HG30" s="181"/>
      <c r="HH30" s="181"/>
      <c r="HI30" s="181"/>
      <c r="HJ30" s="181"/>
      <c r="HK30" s="181"/>
      <c r="HL30" s="181"/>
      <c r="HM30" s="181"/>
      <c r="HN30" s="181" t="str">
        <f>SUM(HB30:HM30)</f>
        <v>0</v>
      </c>
      <c r="HO30" s="132"/>
      <c r="HP30" s="132"/>
      <c r="HQ30" s="132"/>
      <c r="HR30" s="132"/>
      <c r="HS30" s="132"/>
      <c r="HT30" s="132"/>
      <c r="HU30" s="132"/>
      <c r="HV30" s="132"/>
      <c r="HW30" s="132"/>
      <c r="HX30" s="132"/>
      <c r="HY30" s="132"/>
      <c r="HZ30" s="132"/>
      <c r="IA30" s="132" t="str">
        <f>SUM(HO30:HZ30)</f>
        <v>0</v>
      </c>
      <c r="IB30" s="181"/>
      <c r="IC30" s="181"/>
      <c r="ID30" s="181"/>
      <c r="IE30" s="181"/>
      <c r="IF30" s="181"/>
      <c r="IG30" s="181"/>
      <c r="IH30" s="181"/>
      <c r="II30" s="181"/>
      <c r="IJ30" s="181"/>
      <c r="IK30" s="181"/>
      <c r="IL30" s="181"/>
      <c r="IM30" s="181"/>
      <c r="IN30" s="181" t="str">
        <f>SUM(IB30:IM30)</f>
        <v>0</v>
      </c>
      <c r="IO30" s="181"/>
      <c r="IP30" s="181"/>
      <c r="IQ30" s="181"/>
      <c r="IR30" s="181"/>
      <c r="IS30" s="181"/>
      <c r="IT30" s="181"/>
      <c r="IU30" s="181"/>
      <c r="IV30" s="181"/>
      <c r="IW30" s="181"/>
      <c r="IX30" s="181"/>
      <c r="IY30" s="181"/>
      <c r="IZ30" s="181"/>
      <c r="JA30" s="181" t="str">
        <f>SUM(IO30:IZ30)</f>
        <v>0</v>
      </c>
      <c r="JC30" s="135" t="str">
        <f>B30+O30+AB30+AO30+BB30+BO30+CB30+CO30+DB30+DO30+EB30+EO30+FB30+FO30+GB30+GO30+HB30+HO30+IB30+IO30</f>
        <v>0</v>
      </c>
      <c r="JD30" s="135" t="str">
        <f>C30+P30+AC30+AP30+BC30+BP30+CC30+CP30+DC30+DP30+EC30+EP30+FC30+FP30+GC30+GP30+HC30+HP30+IC30+IP30</f>
        <v>0</v>
      </c>
      <c r="JE30" s="135" t="str">
        <f>D30+Q30+AD30+AQ30+BD30+BQ30+CD30+CQ30+DD30+DQ30+ED30+EQ30+FD30+FQ30+GD30+GQ30+HD30+HQ30+ID30+IQ30</f>
        <v>0</v>
      </c>
      <c r="JF30" s="135" t="str">
        <f>E30+R30+AE30+AR30+BE30+BR30+CE30+CR30+DE30+DR30+EE30+ER30+FE30+FR30+GE30+GR30+HE30+HR30+IE30+IR30</f>
        <v>0</v>
      </c>
      <c r="JG30" s="135" t="str">
        <f>F30+S30+AF30+AS30+BF30+BS30+CF30+CS30+DF30+DS30+EF30+ES30+FF30+FS30+GF30+GS30+HF30+HS30+IF30+IS30</f>
        <v>0</v>
      </c>
      <c r="JH30" s="135" t="str">
        <f>G30+T30+AG30+AT30+BG30+BT30+CG30+CT30+DG30+DT30+EG30+ET30+FG30+FT30+GG30+GT30+HG30+HT30+IG30+IT30</f>
        <v>0</v>
      </c>
      <c r="JI30" s="135" t="str">
        <f>H30+U30+AH30+AU30+BH30+BU30+CH30+CU30+DH30+DU30+EH30+EU30+FH30+FU30+GH30+GU30+HH30+HU30+IH30+IU30</f>
        <v>0</v>
      </c>
      <c r="JJ30" s="135" t="str">
        <f>I30+V30+AI30+AV30+BI30+BV30+CI30+CV30+DI30+DV30+EI30+EV30+FI30+FV30+GI30+GV30+HI30+HV30+II30+IV30</f>
        <v>0</v>
      </c>
      <c r="JK30" s="135" t="str">
        <f>J30+W30+AJ30+AW30+BJ30+BW30+CJ30+CW30+DJ30+DW30+EJ30+EW30+FJ30+FW30+GJ30+GW30+HJ30+HW30+IJ30+IW30</f>
        <v>0</v>
      </c>
      <c r="JL30" s="135" t="str">
        <f>K30+X30+AK30+AX30+BK30+BX30+CK30+CX30+DK30+DX30+EK30+EX30+FK30+FX30+GK30+GX30+HK30+HX30+IK30+IX30</f>
        <v>0</v>
      </c>
      <c r="JM30" s="135" t="str">
        <f>L30+Y30+AL30+AY30+BL30+BY30+CL30+CY30+DL30+DY30+EL30+EY30+FL30+FY30+GL30+GY30+HL30+HY30+IL30+IY30</f>
        <v>0</v>
      </c>
      <c r="JN30" s="135" t="str">
        <f>M30+Z30+AM30+AZ30+BM30+BZ30+CM30+CZ30+DM30+DZ30+EM30+EZ30+FM30+FZ30+GM30+GZ30+HM30+HZ30+IM30+IZ30</f>
        <v>0</v>
      </c>
      <c r="JO30" s="132" t="str">
        <f>SUM(JC30:JN30)</f>
        <v>0</v>
      </c>
      <c r="JQ30" s="139" t="str">
        <f>N30+AA30+AN30+BA30+BN30+CA30+CN30+DA30+DN30+EA30+EN30+FA30+FN30+GA30+GN30+HA30+HN30+IA30+IN30+JA30</f>
        <v>0</v>
      </c>
    </row>
    <row r="31" spans="1:278">
      <c r="A31" s="130"/>
      <c r="B31" s="131"/>
      <c r="C31" s="131"/>
      <c r="D31" s="131"/>
      <c r="E31" s="131"/>
      <c r="F31" s="131"/>
      <c r="G31" s="131"/>
      <c r="H31" s="131"/>
      <c r="I31" s="131"/>
      <c r="J31" s="131"/>
      <c r="K31" s="131"/>
      <c r="L31" s="131"/>
      <c r="M31" s="131"/>
      <c r="N31" s="132" t="str">
        <f>SUM(B31:M31)</f>
        <v>0</v>
      </c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  <c r="AA31" s="132" t="str">
        <f>SUM(O31:Z31)</f>
        <v>0</v>
      </c>
      <c r="AB31" s="131"/>
      <c r="AC31" s="131"/>
      <c r="AD31" s="131"/>
      <c r="AE31" s="131"/>
      <c r="AF31" s="131"/>
      <c r="AG31" s="131"/>
      <c r="AH31" s="131"/>
      <c r="AI31" s="131"/>
      <c r="AJ31" s="131"/>
      <c r="AK31" s="131"/>
      <c r="AL31" s="131"/>
      <c r="AM31" s="131"/>
      <c r="AN31" s="132" t="str">
        <f>SUM(AB31:AM31)</f>
        <v>0</v>
      </c>
      <c r="AO31" s="133"/>
      <c r="AP31" s="133"/>
      <c r="AQ31" s="133"/>
      <c r="AR31" s="133"/>
      <c r="AS31" s="133"/>
      <c r="AT31" s="133"/>
      <c r="AU31" s="133"/>
      <c r="AV31" s="133"/>
      <c r="AW31" s="133"/>
      <c r="AX31" s="133"/>
      <c r="AY31" s="133"/>
      <c r="AZ31" s="133"/>
      <c r="BA31" s="132" t="str">
        <f>SUM(AO31:AZ31)</f>
        <v>0</v>
      </c>
      <c r="BB31" s="134"/>
      <c r="BC31" s="134"/>
      <c r="BD31" s="134"/>
      <c r="BE31" s="134"/>
      <c r="BF31" s="134"/>
      <c r="BG31" s="134"/>
      <c r="BH31" s="134"/>
      <c r="BI31" s="134"/>
      <c r="BJ31" s="134"/>
      <c r="BK31" s="134"/>
      <c r="BL31" s="134"/>
      <c r="BM31" s="134"/>
      <c r="BN31" s="132" t="str">
        <f>SUM(BB31:BM31)</f>
        <v>0</v>
      </c>
      <c r="BO31" s="135"/>
      <c r="BP31" s="135"/>
      <c r="BQ31" s="135"/>
      <c r="BR31" s="135"/>
      <c r="BS31" s="135"/>
      <c r="BT31" s="135"/>
      <c r="BU31" s="135"/>
      <c r="BV31" s="135"/>
      <c r="BW31" s="135"/>
      <c r="BX31" s="135"/>
      <c r="BY31" s="135"/>
      <c r="BZ31" s="135"/>
      <c r="CA31" s="132" t="str">
        <f>SUM(BO31:BZ31)</f>
        <v>0</v>
      </c>
      <c r="CB31" s="136"/>
      <c r="CC31" s="136"/>
      <c r="CD31" s="136"/>
      <c r="CE31" s="136"/>
      <c r="CF31" s="136"/>
      <c r="CG31" s="136"/>
      <c r="CH31" s="136"/>
      <c r="CI31" s="136"/>
      <c r="CJ31" s="136"/>
      <c r="CK31" s="136"/>
      <c r="CL31" s="136"/>
      <c r="CM31" s="136"/>
      <c r="CN31" s="132" t="str">
        <f>SUM(CB31:CM31)</f>
        <v>0</v>
      </c>
      <c r="CO31" s="137"/>
      <c r="CP31" s="137"/>
      <c r="CQ31" s="137"/>
      <c r="CR31" s="137"/>
      <c r="CS31" s="137"/>
      <c r="CT31" s="137"/>
      <c r="CU31" s="137"/>
      <c r="CV31" s="137"/>
      <c r="CW31" s="137"/>
      <c r="CX31" s="137"/>
      <c r="CY31" s="137"/>
      <c r="CZ31" s="137"/>
      <c r="DA31" s="132" t="str">
        <f>SUM(CO31:CZ31)</f>
        <v>0</v>
      </c>
      <c r="DB31" s="136"/>
      <c r="DC31" s="136"/>
      <c r="DD31" s="136"/>
      <c r="DE31" s="136"/>
      <c r="DF31" s="136"/>
      <c r="DG31" s="136"/>
      <c r="DH31" s="136"/>
      <c r="DI31" s="136"/>
      <c r="DJ31" s="136"/>
      <c r="DK31" s="136"/>
      <c r="DL31" s="136"/>
      <c r="DM31" s="136"/>
      <c r="DN31" s="132" t="str">
        <f>SUM(DB31:DM31)</f>
        <v>0</v>
      </c>
      <c r="DO31" s="137"/>
      <c r="DP31" s="137"/>
      <c r="DQ31" s="137"/>
      <c r="DR31" s="137"/>
      <c r="DS31" s="137"/>
      <c r="DT31" s="137"/>
      <c r="DU31" s="137"/>
      <c r="DV31" s="137"/>
      <c r="DW31" s="137"/>
      <c r="DX31" s="137"/>
      <c r="DY31" s="137"/>
      <c r="DZ31" s="137"/>
      <c r="EA31" s="132" t="str">
        <f>SUM(DO31:DZ31)</f>
        <v>0</v>
      </c>
      <c r="EB31" s="216"/>
      <c r="EC31" s="216"/>
      <c r="ED31" s="216"/>
      <c r="EE31" s="216"/>
      <c r="EF31" s="216"/>
      <c r="EG31" s="216"/>
      <c r="EH31" s="216"/>
      <c r="EI31" s="216"/>
      <c r="EJ31" s="216"/>
      <c r="EK31" s="216"/>
      <c r="EL31" s="216"/>
      <c r="EM31" s="216"/>
      <c r="EN31" s="132" t="str">
        <f>SUM(EB31:EM31)</f>
        <v>0</v>
      </c>
      <c r="EO31" s="132"/>
      <c r="EP31" s="132"/>
      <c r="EQ31" s="132"/>
      <c r="ER31" s="132"/>
      <c r="ES31" s="132"/>
      <c r="ET31" s="132"/>
      <c r="EU31" s="132"/>
      <c r="EV31" s="132"/>
      <c r="EW31" s="132"/>
      <c r="EX31" s="132"/>
      <c r="EY31" s="132"/>
      <c r="EZ31" s="132"/>
      <c r="FA31" s="132" t="str">
        <f>SUM(EO31:EZ31)</f>
        <v>0</v>
      </c>
      <c r="FB31" s="181"/>
      <c r="FC31" s="181"/>
      <c r="FD31" s="181"/>
      <c r="FE31" s="181"/>
      <c r="FF31" s="181"/>
      <c r="FG31" s="181"/>
      <c r="FH31" s="181"/>
      <c r="FI31" s="181"/>
      <c r="FJ31" s="181"/>
      <c r="FK31" s="181"/>
      <c r="FL31" s="181"/>
      <c r="FM31" s="181"/>
      <c r="FN31" s="132" t="str">
        <f>SUM(FB31:FM31)</f>
        <v>0</v>
      </c>
      <c r="FO31" s="132"/>
      <c r="FP31" s="132"/>
      <c r="FQ31" s="132"/>
      <c r="FR31" s="132"/>
      <c r="FS31" s="132"/>
      <c r="FT31" s="132"/>
      <c r="FU31" s="132"/>
      <c r="FV31" s="132"/>
      <c r="FW31" s="132"/>
      <c r="FX31" s="132"/>
      <c r="FY31" s="132"/>
      <c r="FZ31" s="132"/>
      <c r="GA31" s="132" t="str">
        <f>SUM(FO31:FZ31)</f>
        <v>0</v>
      </c>
      <c r="GB31" s="181"/>
      <c r="GC31" s="181"/>
      <c r="GD31" s="181"/>
      <c r="GE31" s="181"/>
      <c r="GF31" s="181"/>
      <c r="GG31" s="181"/>
      <c r="GH31" s="181"/>
      <c r="GI31" s="181"/>
      <c r="GJ31" s="181"/>
      <c r="GK31" s="181"/>
      <c r="GL31" s="181"/>
      <c r="GM31" s="181"/>
      <c r="GN31" s="181" t="str">
        <f>SUM(GB31:GM31)</f>
        <v>0</v>
      </c>
      <c r="GO31" s="137"/>
      <c r="GP31" s="137"/>
      <c r="GQ31" s="137"/>
      <c r="GR31" s="137"/>
      <c r="GS31" s="137"/>
      <c r="GT31" s="137"/>
      <c r="GU31" s="137"/>
      <c r="GV31" s="137"/>
      <c r="GW31" s="137"/>
      <c r="GX31" s="137"/>
      <c r="GY31" s="137"/>
      <c r="GZ31" s="137"/>
      <c r="HA31" s="132" t="str">
        <f>SUM(GO31:GZ31)</f>
        <v>0</v>
      </c>
      <c r="HB31" s="181"/>
      <c r="HC31" s="181"/>
      <c r="HD31" s="181"/>
      <c r="HE31" s="181"/>
      <c r="HF31" s="181"/>
      <c r="HG31" s="181"/>
      <c r="HH31" s="181"/>
      <c r="HI31" s="181"/>
      <c r="HJ31" s="181"/>
      <c r="HK31" s="181"/>
      <c r="HL31" s="181"/>
      <c r="HM31" s="181"/>
      <c r="HN31" s="181" t="str">
        <f>SUM(HB31:HM31)</f>
        <v>0</v>
      </c>
      <c r="HO31" s="132"/>
      <c r="HP31" s="132"/>
      <c r="HQ31" s="132"/>
      <c r="HR31" s="132"/>
      <c r="HS31" s="132"/>
      <c r="HT31" s="132"/>
      <c r="HU31" s="132"/>
      <c r="HV31" s="132"/>
      <c r="HW31" s="132"/>
      <c r="HX31" s="132"/>
      <c r="HY31" s="132"/>
      <c r="HZ31" s="132"/>
      <c r="IA31" s="132" t="str">
        <f>SUM(HO31:HZ31)</f>
        <v>0</v>
      </c>
      <c r="IB31" s="181"/>
      <c r="IC31" s="181"/>
      <c r="ID31" s="181"/>
      <c r="IE31" s="181"/>
      <c r="IF31" s="181"/>
      <c r="IG31" s="181"/>
      <c r="IH31" s="181"/>
      <c r="II31" s="181"/>
      <c r="IJ31" s="181"/>
      <c r="IK31" s="181"/>
      <c r="IL31" s="181"/>
      <c r="IM31" s="181"/>
      <c r="IN31" s="181" t="str">
        <f>SUM(IB31:IM31)</f>
        <v>0</v>
      </c>
      <c r="IO31" s="181"/>
      <c r="IP31" s="181"/>
      <c r="IQ31" s="181"/>
      <c r="IR31" s="181"/>
      <c r="IS31" s="181"/>
      <c r="IT31" s="181"/>
      <c r="IU31" s="181"/>
      <c r="IV31" s="181"/>
      <c r="IW31" s="181"/>
      <c r="IX31" s="181"/>
      <c r="IY31" s="181"/>
      <c r="IZ31" s="181"/>
      <c r="JA31" s="181" t="str">
        <f>SUM(IO31:IZ31)</f>
        <v>0</v>
      </c>
      <c r="JC31" s="135" t="str">
        <f>B31+O31+AB31+AO31+BB31+BO31+CB31+CO31+DB31+DO31+EB31+EO31+FB31+FO31+GB31+GO31+HB31+HO31+IB31+IO31</f>
        <v>0</v>
      </c>
      <c r="JD31" s="135" t="str">
        <f>C31+P31+AC31+AP31+BC31+BP31+CC31+CP31+DC31+DP31+EC31+EP31+FC31+FP31+GC31+GP31+HC31+HP31+IC31+IP31</f>
        <v>0</v>
      </c>
      <c r="JE31" s="135" t="str">
        <f>D31+Q31+AD31+AQ31+BD31+BQ31+CD31+CQ31+DD31+DQ31+ED31+EQ31+FD31+FQ31+GD31+GQ31+HD31+HQ31+ID31+IQ31</f>
        <v>0</v>
      </c>
      <c r="JF31" s="135" t="str">
        <f>E31+R31+AE31+AR31+BE31+BR31+CE31+CR31+DE31+DR31+EE31+ER31+FE31+FR31+GE31+GR31+HE31+HR31+IE31+IR31</f>
        <v>0</v>
      </c>
      <c r="JG31" s="135" t="str">
        <f>F31+S31+AF31+AS31+BF31+BS31+CF31+CS31+DF31+DS31+EF31+ES31+FF31+FS31+GF31+GS31+HF31+HS31+IF31+IS31</f>
        <v>0</v>
      </c>
      <c r="JH31" s="135" t="str">
        <f>G31+T31+AG31+AT31+BG31+BT31+CG31+CT31+DG31+DT31+EG31+ET31+FG31+FT31+GG31+GT31+HG31+HT31+IG31+IT31</f>
        <v>0</v>
      </c>
      <c r="JI31" s="135" t="str">
        <f>H31+U31+AH31+AU31+BH31+BU31+CH31+CU31+DH31+DU31+EH31+EU31+FH31+FU31+GH31+GU31+HH31+HU31+IH31+IU31</f>
        <v>0</v>
      </c>
      <c r="JJ31" s="135" t="str">
        <f>I31+V31+AI31+AV31+BI31+BV31+CI31+CV31+DI31+DV31+EI31+EV31+FI31+FV31+GI31+GV31+HI31+HV31+II31+IV31</f>
        <v>0</v>
      </c>
      <c r="JK31" s="135" t="str">
        <f>J31+W31+AJ31+AW31+BJ31+BW31+CJ31+CW31+DJ31+DW31+EJ31+EW31+FJ31+FW31+GJ31+GW31+HJ31+HW31+IJ31+IW31</f>
        <v>0</v>
      </c>
      <c r="JL31" s="135" t="str">
        <f>K31+X31+AK31+AX31+BK31+BX31+CK31+CX31+DK31+DX31+EK31+EX31+FK31+FX31+GK31+GX31+HK31+HX31+IK31+IX31</f>
        <v>0</v>
      </c>
      <c r="JM31" s="135" t="str">
        <f>L31+Y31+AL31+AY31+BL31+BY31+CL31+CY31+DL31+DY31+EL31+EY31+FL31+FY31+GL31+GY31+HL31+HY31+IL31+IY31</f>
        <v>0</v>
      </c>
      <c r="JN31" s="135" t="str">
        <f>M31+Z31+AM31+AZ31+BM31+BZ31+CM31+CZ31+DM31+DZ31+EM31+EZ31+FM31+FZ31+GM31+GZ31+HM31+HZ31+IM31+IZ31</f>
        <v>0</v>
      </c>
      <c r="JO31" s="132" t="str">
        <f>SUM(JC31:JN31)</f>
        <v>0</v>
      </c>
      <c r="JQ31" s="139" t="str">
        <f>N31+AA31+AN31+BA31+BN31+CA31+CN31+DA31+DN31+EA31+EN31+FA31+FN31+GA31+GN31+HA31+HN31+IA31+IN31+JA31</f>
        <v>0</v>
      </c>
    </row>
    <row r="32" spans="1:278">
      <c r="A32" s="130"/>
      <c r="B32" s="131"/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1"/>
      <c r="N32" s="132" t="str">
        <f>SUM(B32:M32)</f>
        <v>0</v>
      </c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  <c r="AA32" s="132" t="str">
        <f>SUM(O32:Z32)</f>
        <v>0</v>
      </c>
      <c r="AB32" s="131"/>
      <c r="AC32" s="131"/>
      <c r="AD32" s="131"/>
      <c r="AE32" s="131"/>
      <c r="AF32" s="131"/>
      <c r="AG32" s="131"/>
      <c r="AH32" s="131"/>
      <c r="AI32" s="131"/>
      <c r="AJ32" s="131"/>
      <c r="AK32" s="131"/>
      <c r="AL32" s="131"/>
      <c r="AM32" s="131"/>
      <c r="AN32" s="132" t="str">
        <f>SUM(AB32:AM32)</f>
        <v>0</v>
      </c>
      <c r="AO32" s="133"/>
      <c r="AP32" s="133"/>
      <c r="AQ32" s="133"/>
      <c r="AR32" s="133"/>
      <c r="AS32" s="133"/>
      <c r="AT32" s="133"/>
      <c r="AU32" s="133"/>
      <c r="AV32" s="133"/>
      <c r="AW32" s="133"/>
      <c r="AX32" s="133"/>
      <c r="AY32" s="133"/>
      <c r="AZ32" s="133"/>
      <c r="BA32" s="132" t="str">
        <f>SUM(AO32:AZ32)</f>
        <v>0</v>
      </c>
      <c r="BB32" s="134"/>
      <c r="BC32" s="134"/>
      <c r="BD32" s="134"/>
      <c r="BE32" s="134"/>
      <c r="BF32" s="134"/>
      <c r="BG32" s="134"/>
      <c r="BH32" s="134"/>
      <c r="BI32" s="134"/>
      <c r="BJ32" s="134"/>
      <c r="BK32" s="134"/>
      <c r="BL32" s="134"/>
      <c r="BM32" s="134"/>
      <c r="BN32" s="132" t="str">
        <f>SUM(BB32:BM32)</f>
        <v>0</v>
      </c>
      <c r="BO32" s="135"/>
      <c r="BP32" s="135"/>
      <c r="BQ32" s="135"/>
      <c r="BR32" s="135"/>
      <c r="BS32" s="135"/>
      <c r="BT32" s="135"/>
      <c r="BU32" s="135"/>
      <c r="BV32" s="135"/>
      <c r="BW32" s="135"/>
      <c r="BX32" s="135"/>
      <c r="BY32" s="135"/>
      <c r="BZ32" s="135"/>
      <c r="CA32" s="132" t="str">
        <f>SUM(BO32:BZ32)</f>
        <v>0</v>
      </c>
      <c r="CB32" s="136"/>
      <c r="CC32" s="136"/>
      <c r="CD32" s="136"/>
      <c r="CE32" s="136"/>
      <c r="CF32" s="136"/>
      <c r="CG32" s="136"/>
      <c r="CH32" s="136"/>
      <c r="CI32" s="136"/>
      <c r="CJ32" s="136"/>
      <c r="CK32" s="136"/>
      <c r="CL32" s="136"/>
      <c r="CM32" s="136"/>
      <c r="CN32" s="132" t="str">
        <f>SUM(CB32:CM32)</f>
        <v>0</v>
      </c>
      <c r="CO32" s="137"/>
      <c r="CP32" s="137"/>
      <c r="CQ32" s="137"/>
      <c r="CR32" s="137"/>
      <c r="CS32" s="137"/>
      <c r="CT32" s="137"/>
      <c r="CU32" s="137"/>
      <c r="CV32" s="137"/>
      <c r="CW32" s="137"/>
      <c r="CX32" s="137"/>
      <c r="CY32" s="137"/>
      <c r="CZ32" s="137"/>
      <c r="DA32" s="132" t="str">
        <f>SUM(CO32:CZ32)</f>
        <v>0</v>
      </c>
      <c r="DB32" s="136"/>
      <c r="DC32" s="136"/>
      <c r="DD32" s="136"/>
      <c r="DE32" s="136"/>
      <c r="DF32" s="136"/>
      <c r="DG32" s="136"/>
      <c r="DH32" s="136"/>
      <c r="DI32" s="136"/>
      <c r="DJ32" s="136"/>
      <c r="DK32" s="136"/>
      <c r="DL32" s="136"/>
      <c r="DM32" s="136"/>
      <c r="DN32" s="132" t="str">
        <f>SUM(DB32:DM32)</f>
        <v>0</v>
      </c>
      <c r="DO32" s="137"/>
      <c r="DP32" s="137"/>
      <c r="DQ32" s="137"/>
      <c r="DR32" s="137"/>
      <c r="DS32" s="137"/>
      <c r="DT32" s="137"/>
      <c r="DU32" s="137"/>
      <c r="DV32" s="137"/>
      <c r="DW32" s="137"/>
      <c r="DX32" s="137"/>
      <c r="DY32" s="137"/>
      <c r="DZ32" s="137"/>
      <c r="EA32" s="132" t="str">
        <f>SUM(DO32:DZ32)</f>
        <v>0</v>
      </c>
      <c r="EB32" s="216"/>
      <c r="EC32" s="216"/>
      <c r="ED32" s="216"/>
      <c r="EE32" s="216"/>
      <c r="EF32" s="216"/>
      <c r="EG32" s="216"/>
      <c r="EH32" s="216"/>
      <c r="EI32" s="216"/>
      <c r="EJ32" s="216"/>
      <c r="EK32" s="216"/>
      <c r="EL32" s="216"/>
      <c r="EM32" s="216"/>
      <c r="EN32" s="132" t="str">
        <f>SUM(EB32:EM32)</f>
        <v>0</v>
      </c>
      <c r="EO32" s="132"/>
      <c r="EP32" s="132"/>
      <c r="EQ32" s="132"/>
      <c r="ER32" s="132"/>
      <c r="ES32" s="132"/>
      <c r="ET32" s="132"/>
      <c r="EU32" s="132"/>
      <c r="EV32" s="132"/>
      <c r="EW32" s="132"/>
      <c r="EX32" s="132"/>
      <c r="EY32" s="132"/>
      <c r="EZ32" s="132"/>
      <c r="FA32" s="132" t="str">
        <f>SUM(EO32:EZ32)</f>
        <v>0</v>
      </c>
      <c r="FB32" s="181"/>
      <c r="FC32" s="181"/>
      <c r="FD32" s="181"/>
      <c r="FE32" s="181"/>
      <c r="FF32" s="181"/>
      <c r="FG32" s="181"/>
      <c r="FH32" s="181"/>
      <c r="FI32" s="181"/>
      <c r="FJ32" s="181"/>
      <c r="FK32" s="181"/>
      <c r="FL32" s="181"/>
      <c r="FM32" s="181"/>
      <c r="FN32" s="132" t="str">
        <f>SUM(FB32:FM32)</f>
        <v>0</v>
      </c>
      <c r="FO32" s="132"/>
      <c r="FP32" s="132"/>
      <c r="FQ32" s="132"/>
      <c r="FR32" s="132"/>
      <c r="FS32" s="132"/>
      <c r="FT32" s="132"/>
      <c r="FU32" s="132"/>
      <c r="FV32" s="132"/>
      <c r="FW32" s="132"/>
      <c r="FX32" s="132"/>
      <c r="FY32" s="132"/>
      <c r="FZ32" s="132"/>
      <c r="GA32" s="132" t="str">
        <f>SUM(FO32:FZ32)</f>
        <v>0</v>
      </c>
      <c r="GB32" s="181"/>
      <c r="GC32" s="181"/>
      <c r="GD32" s="181"/>
      <c r="GE32" s="181"/>
      <c r="GF32" s="181"/>
      <c r="GG32" s="181"/>
      <c r="GH32" s="181"/>
      <c r="GI32" s="181"/>
      <c r="GJ32" s="181"/>
      <c r="GK32" s="181"/>
      <c r="GL32" s="181"/>
      <c r="GM32" s="181"/>
      <c r="GN32" s="181" t="str">
        <f>SUM(GB32:GM32)</f>
        <v>0</v>
      </c>
      <c r="GO32" s="137"/>
      <c r="GP32" s="137"/>
      <c r="GQ32" s="137"/>
      <c r="GR32" s="137"/>
      <c r="GS32" s="137"/>
      <c r="GT32" s="137"/>
      <c r="GU32" s="137"/>
      <c r="GV32" s="137"/>
      <c r="GW32" s="137"/>
      <c r="GX32" s="137"/>
      <c r="GY32" s="137"/>
      <c r="GZ32" s="137"/>
      <c r="HA32" s="132" t="str">
        <f>SUM(GO32:GZ32)</f>
        <v>0</v>
      </c>
      <c r="HB32" s="181"/>
      <c r="HC32" s="181"/>
      <c r="HD32" s="181"/>
      <c r="HE32" s="181"/>
      <c r="HF32" s="181"/>
      <c r="HG32" s="181"/>
      <c r="HH32" s="181"/>
      <c r="HI32" s="181"/>
      <c r="HJ32" s="181"/>
      <c r="HK32" s="181"/>
      <c r="HL32" s="181"/>
      <c r="HM32" s="181"/>
      <c r="HN32" s="181" t="str">
        <f>SUM(HB32:HM32)</f>
        <v>0</v>
      </c>
      <c r="HO32" s="132"/>
      <c r="HP32" s="132"/>
      <c r="HQ32" s="132"/>
      <c r="HR32" s="132"/>
      <c r="HS32" s="132"/>
      <c r="HT32" s="132"/>
      <c r="HU32" s="132"/>
      <c r="HV32" s="132"/>
      <c r="HW32" s="132"/>
      <c r="HX32" s="132"/>
      <c r="HY32" s="132"/>
      <c r="HZ32" s="132"/>
      <c r="IA32" s="132" t="str">
        <f>SUM(HO32:HZ32)</f>
        <v>0</v>
      </c>
      <c r="IB32" s="181"/>
      <c r="IC32" s="181"/>
      <c r="ID32" s="181"/>
      <c r="IE32" s="181"/>
      <c r="IF32" s="181"/>
      <c r="IG32" s="181"/>
      <c r="IH32" s="181"/>
      <c r="II32" s="181"/>
      <c r="IJ32" s="181"/>
      <c r="IK32" s="181"/>
      <c r="IL32" s="181"/>
      <c r="IM32" s="181"/>
      <c r="IN32" s="181" t="str">
        <f>SUM(IB32:IM32)</f>
        <v>0</v>
      </c>
      <c r="IO32" s="181"/>
      <c r="IP32" s="181"/>
      <c r="IQ32" s="181"/>
      <c r="IR32" s="181"/>
      <c r="IS32" s="181"/>
      <c r="IT32" s="181"/>
      <c r="IU32" s="181"/>
      <c r="IV32" s="181"/>
      <c r="IW32" s="181"/>
      <c r="IX32" s="181"/>
      <c r="IY32" s="181"/>
      <c r="IZ32" s="181"/>
      <c r="JA32" s="181" t="str">
        <f>SUM(IO32:IZ32)</f>
        <v>0</v>
      </c>
      <c r="JC32" s="135" t="str">
        <f>B32+O32+AB32+AO32+BB32+BO32+CB32+CO32+DB32+DO32+EB32+EO32+FB32+FO32+GB32+GO32+HB32+HO32+IB32+IO32</f>
        <v>0</v>
      </c>
      <c r="JD32" s="135" t="str">
        <f>C32+P32+AC32+AP32+BC32+BP32+CC32+CP32+DC32+DP32+EC32+EP32+FC32+FP32+GC32+GP32+HC32+HP32+IC32+IP32</f>
        <v>0</v>
      </c>
      <c r="JE32" s="135" t="str">
        <f>D32+Q32+AD32+AQ32+BD32+BQ32+CD32+CQ32+DD32+DQ32+ED32+EQ32+FD32+FQ32+GD32+GQ32+HD32+HQ32+ID32+IQ32</f>
        <v>0</v>
      </c>
      <c r="JF32" s="135" t="str">
        <f>E32+R32+AE32+AR32+BE32+BR32+CE32+CR32+DE32+DR32+EE32+ER32+FE32+FR32+GE32+GR32+HE32+HR32+IE32+IR32</f>
        <v>0</v>
      </c>
      <c r="JG32" s="135" t="str">
        <f>F32+S32+AF32+AS32+BF32+BS32+CF32+CS32+DF32+DS32+EF32+ES32+FF32+FS32+GF32+GS32+HF32+HS32+IF32+IS32</f>
        <v>0</v>
      </c>
      <c r="JH32" s="135" t="str">
        <f>G32+T32+AG32+AT32+BG32+BT32+CG32+CT32+DG32+DT32+EG32+ET32+FG32+FT32+GG32+GT32+HG32+HT32+IG32+IT32</f>
        <v>0</v>
      </c>
      <c r="JI32" s="135" t="str">
        <f>H32+U32+AH32+AU32+BH32+BU32+CH32+CU32+DH32+DU32+EH32+EU32+FH32+FU32+GH32+GU32+HH32+HU32+IH32+IU32</f>
        <v>0</v>
      </c>
      <c r="JJ32" s="135" t="str">
        <f>I32+V32+AI32+AV32+BI32+BV32+CI32+CV32+DI32+DV32+EI32+EV32+FI32+FV32+GI32+GV32+HI32+HV32+II32+IV32</f>
        <v>0</v>
      </c>
      <c r="JK32" s="135" t="str">
        <f>J32+W32+AJ32+AW32+BJ32+BW32+CJ32+CW32+DJ32+DW32+EJ32+EW32+FJ32+FW32+GJ32+GW32+HJ32+HW32+IJ32+IW32</f>
        <v>0</v>
      </c>
      <c r="JL32" s="135" t="str">
        <f>K32+X32+AK32+AX32+BK32+BX32+CK32+CX32+DK32+DX32+EK32+EX32+FK32+FX32+GK32+GX32+HK32+HX32+IK32+IX32</f>
        <v>0</v>
      </c>
      <c r="JM32" s="135" t="str">
        <f>L32+Y32+AL32+AY32+BL32+BY32+CL32+CY32+DL32+DY32+EL32+EY32+FL32+FY32+GL32+GY32+HL32+HY32+IL32+IY32</f>
        <v>0</v>
      </c>
      <c r="JN32" s="135" t="str">
        <f>M32+Z32+AM32+AZ32+BM32+BZ32+CM32+CZ32+DM32+DZ32+EM32+EZ32+FM32+FZ32+GM32+GZ32+HM32+HZ32+IM32+IZ32</f>
        <v>0</v>
      </c>
      <c r="JO32" s="132" t="str">
        <f>SUM(JC32:JN32)</f>
        <v>0</v>
      </c>
      <c r="JQ32" s="139" t="str">
        <f>N32+AA32+AN32+BA32+BN32+CA32+CN32+DA32+DN32+EA32+EN32+FA32+FN32+GA32+GN32+HA32+HN32+IA32+IN32+JA32</f>
        <v>0</v>
      </c>
    </row>
    <row r="33" spans="1:278">
      <c r="A33" s="130"/>
      <c r="B33" s="131"/>
      <c r="C33" s="131"/>
      <c r="D33" s="131"/>
      <c r="E33" s="131"/>
      <c r="F33" s="131"/>
      <c r="G33" s="131"/>
      <c r="H33" s="131"/>
      <c r="I33" s="131"/>
      <c r="J33" s="131"/>
      <c r="K33" s="131"/>
      <c r="L33" s="131"/>
      <c r="M33" s="131"/>
      <c r="N33" s="132" t="str">
        <f>SUM(B33:M33)</f>
        <v>0</v>
      </c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  <c r="AA33" s="132" t="str">
        <f>SUM(O33:Z33)</f>
        <v>0</v>
      </c>
      <c r="AB33" s="131"/>
      <c r="AC33" s="131"/>
      <c r="AD33" s="131"/>
      <c r="AE33" s="131"/>
      <c r="AF33" s="131"/>
      <c r="AG33" s="131"/>
      <c r="AH33" s="131"/>
      <c r="AI33" s="131"/>
      <c r="AJ33" s="131"/>
      <c r="AK33" s="131"/>
      <c r="AL33" s="131"/>
      <c r="AM33" s="131"/>
      <c r="AN33" s="132" t="str">
        <f>SUM(AB33:AM33)</f>
        <v>0</v>
      </c>
      <c r="AO33" s="133"/>
      <c r="AP33" s="133"/>
      <c r="AQ33" s="133"/>
      <c r="AR33" s="133"/>
      <c r="AS33" s="133"/>
      <c r="AT33" s="133"/>
      <c r="AU33" s="133"/>
      <c r="AV33" s="133"/>
      <c r="AW33" s="133"/>
      <c r="AX33" s="133"/>
      <c r="AY33" s="133"/>
      <c r="AZ33" s="133"/>
      <c r="BA33" s="132" t="str">
        <f>SUM(AO33:AZ33)</f>
        <v>0</v>
      </c>
      <c r="BB33" s="134"/>
      <c r="BC33" s="134"/>
      <c r="BD33" s="134"/>
      <c r="BE33" s="134"/>
      <c r="BF33" s="134"/>
      <c r="BG33" s="134"/>
      <c r="BH33" s="134"/>
      <c r="BI33" s="134"/>
      <c r="BJ33" s="134"/>
      <c r="BK33" s="134"/>
      <c r="BL33" s="134"/>
      <c r="BM33" s="134"/>
      <c r="BN33" s="132" t="str">
        <f>SUM(BB33:BM33)</f>
        <v>0</v>
      </c>
      <c r="BO33" s="135"/>
      <c r="BP33" s="135"/>
      <c r="BQ33" s="135"/>
      <c r="BR33" s="135"/>
      <c r="BS33" s="135"/>
      <c r="BT33" s="135"/>
      <c r="BU33" s="135"/>
      <c r="BV33" s="135"/>
      <c r="BW33" s="135"/>
      <c r="BX33" s="135"/>
      <c r="BY33" s="135"/>
      <c r="BZ33" s="135"/>
      <c r="CA33" s="132" t="str">
        <f>SUM(BO33:BZ33)</f>
        <v>0</v>
      </c>
      <c r="CB33" s="136"/>
      <c r="CC33" s="136"/>
      <c r="CD33" s="136"/>
      <c r="CE33" s="136"/>
      <c r="CF33" s="136"/>
      <c r="CG33" s="136"/>
      <c r="CH33" s="136"/>
      <c r="CI33" s="136"/>
      <c r="CJ33" s="136"/>
      <c r="CK33" s="136"/>
      <c r="CL33" s="136"/>
      <c r="CM33" s="136"/>
      <c r="CN33" s="132" t="str">
        <f>SUM(CB33:CM33)</f>
        <v>0</v>
      </c>
      <c r="CO33" s="137"/>
      <c r="CP33" s="137"/>
      <c r="CQ33" s="137"/>
      <c r="CR33" s="137"/>
      <c r="CS33" s="137"/>
      <c r="CT33" s="137"/>
      <c r="CU33" s="137"/>
      <c r="CV33" s="137"/>
      <c r="CW33" s="137"/>
      <c r="CX33" s="137"/>
      <c r="CY33" s="137"/>
      <c r="CZ33" s="137"/>
      <c r="DA33" s="132" t="str">
        <f>SUM(CO33:CZ33)</f>
        <v>0</v>
      </c>
      <c r="DB33" s="136"/>
      <c r="DC33" s="136"/>
      <c r="DD33" s="136"/>
      <c r="DE33" s="136"/>
      <c r="DF33" s="136"/>
      <c r="DG33" s="136"/>
      <c r="DH33" s="136"/>
      <c r="DI33" s="136"/>
      <c r="DJ33" s="136"/>
      <c r="DK33" s="136"/>
      <c r="DL33" s="136"/>
      <c r="DM33" s="136"/>
      <c r="DN33" s="132" t="str">
        <f>SUM(DB33:DM33)</f>
        <v>0</v>
      </c>
      <c r="DO33" s="137"/>
      <c r="DP33" s="137"/>
      <c r="DQ33" s="137"/>
      <c r="DR33" s="137"/>
      <c r="DS33" s="137"/>
      <c r="DT33" s="137"/>
      <c r="DU33" s="137"/>
      <c r="DV33" s="137"/>
      <c r="DW33" s="137"/>
      <c r="DX33" s="137"/>
      <c r="DY33" s="137"/>
      <c r="DZ33" s="137"/>
      <c r="EA33" s="132" t="str">
        <f>SUM(DO33:DZ33)</f>
        <v>0</v>
      </c>
      <c r="EB33" s="216"/>
      <c r="EC33" s="216"/>
      <c r="ED33" s="216"/>
      <c r="EE33" s="216"/>
      <c r="EF33" s="216"/>
      <c r="EG33" s="216"/>
      <c r="EH33" s="216"/>
      <c r="EI33" s="216"/>
      <c r="EJ33" s="216"/>
      <c r="EK33" s="216"/>
      <c r="EL33" s="216"/>
      <c r="EM33" s="216"/>
      <c r="EN33" s="132" t="str">
        <f>SUM(EB33:EM33)</f>
        <v>0</v>
      </c>
      <c r="EO33" s="132"/>
      <c r="EP33" s="132"/>
      <c r="EQ33" s="132"/>
      <c r="ER33" s="132"/>
      <c r="ES33" s="132"/>
      <c r="ET33" s="132"/>
      <c r="EU33" s="132"/>
      <c r="EV33" s="132"/>
      <c r="EW33" s="132"/>
      <c r="EX33" s="132"/>
      <c r="EY33" s="132"/>
      <c r="EZ33" s="132"/>
      <c r="FA33" s="132" t="str">
        <f>SUM(EO33:EZ33)</f>
        <v>0</v>
      </c>
      <c r="FB33" s="181"/>
      <c r="FC33" s="181"/>
      <c r="FD33" s="181"/>
      <c r="FE33" s="181"/>
      <c r="FF33" s="181"/>
      <c r="FG33" s="181"/>
      <c r="FH33" s="181"/>
      <c r="FI33" s="181"/>
      <c r="FJ33" s="181"/>
      <c r="FK33" s="181"/>
      <c r="FL33" s="181"/>
      <c r="FM33" s="181"/>
      <c r="FN33" s="132" t="str">
        <f>SUM(FB33:FM33)</f>
        <v>0</v>
      </c>
      <c r="FO33" s="132"/>
      <c r="FP33" s="132"/>
      <c r="FQ33" s="132"/>
      <c r="FR33" s="132"/>
      <c r="FS33" s="132"/>
      <c r="FT33" s="132"/>
      <c r="FU33" s="132"/>
      <c r="FV33" s="132"/>
      <c r="FW33" s="132"/>
      <c r="FX33" s="132"/>
      <c r="FY33" s="132"/>
      <c r="FZ33" s="132"/>
      <c r="GA33" s="132" t="str">
        <f>SUM(FO33:FZ33)</f>
        <v>0</v>
      </c>
      <c r="GB33" s="181"/>
      <c r="GC33" s="181"/>
      <c r="GD33" s="181"/>
      <c r="GE33" s="181"/>
      <c r="GF33" s="181"/>
      <c r="GG33" s="181"/>
      <c r="GH33" s="181"/>
      <c r="GI33" s="181"/>
      <c r="GJ33" s="181"/>
      <c r="GK33" s="181"/>
      <c r="GL33" s="181"/>
      <c r="GM33" s="181"/>
      <c r="GN33" s="181" t="str">
        <f>SUM(GB33:GM33)</f>
        <v>0</v>
      </c>
      <c r="GO33" s="137"/>
      <c r="GP33" s="137"/>
      <c r="GQ33" s="137"/>
      <c r="GR33" s="137"/>
      <c r="GS33" s="137"/>
      <c r="GT33" s="137"/>
      <c r="GU33" s="137"/>
      <c r="GV33" s="137"/>
      <c r="GW33" s="137"/>
      <c r="GX33" s="137"/>
      <c r="GY33" s="137"/>
      <c r="GZ33" s="137"/>
      <c r="HA33" s="132" t="str">
        <f>SUM(GO33:GZ33)</f>
        <v>0</v>
      </c>
      <c r="HB33" s="181"/>
      <c r="HC33" s="181"/>
      <c r="HD33" s="181"/>
      <c r="HE33" s="181"/>
      <c r="HF33" s="181"/>
      <c r="HG33" s="181"/>
      <c r="HH33" s="181"/>
      <c r="HI33" s="181"/>
      <c r="HJ33" s="181"/>
      <c r="HK33" s="181"/>
      <c r="HL33" s="181"/>
      <c r="HM33" s="181"/>
      <c r="HN33" s="181" t="str">
        <f>SUM(HB33:HM33)</f>
        <v>0</v>
      </c>
      <c r="HO33" s="132"/>
      <c r="HP33" s="132"/>
      <c r="HQ33" s="132"/>
      <c r="HR33" s="132"/>
      <c r="HS33" s="132"/>
      <c r="HT33" s="132"/>
      <c r="HU33" s="132"/>
      <c r="HV33" s="132"/>
      <c r="HW33" s="132"/>
      <c r="HX33" s="132"/>
      <c r="HY33" s="132"/>
      <c r="HZ33" s="132"/>
      <c r="IA33" s="132" t="str">
        <f>SUM(HO33:HZ33)</f>
        <v>0</v>
      </c>
      <c r="IB33" s="181"/>
      <c r="IC33" s="181"/>
      <c r="ID33" s="181"/>
      <c r="IE33" s="181"/>
      <c r="IF33" s="181"/>
      <c r="IG33" s="181"/>
      <c r="IH33" s="181"/>
      <c r="II33" s="181"/>
      <c r="IJ33" s="181"/>
      <c r="IK33" s="181"/>
      <c r="IL33" s="181"/>
      <c r="IM33" s="181"/>
      <c r="IN33" s="181" t="str">
        <f>SUM(IB33:IM33)</f>
        <v>0</v>
      </c>
      <c r="IO33" s="181"/>
      <c r="IP33" s="181"/>
      <c r="IQ33" s="181"/>
      <c r="IR33" s="181"/>
      <c r="IS33" s="181"/>
      <c r="IT33" s="181"/>
      <c r="IU33" s="181"/>
      <c r="IV33" s="181"/>
      <c r="IW33" s="181"/>
      <c r="IX33" s="181"/>
      <c r="IY33" s="181"/>
      <c r="IZ33" s="181"/>
      <c r="JA33" s="181" t="str">
        <f>SUM(IO33:IZ33)</f>
        <v>0</v>
      </c>
      <c r="JC33" s="135" t="str">
        <f>B33+O33+AB33+AO33+BB33+BO33+CB33+CO33+DB33+DO33+EB33+EO33+FB33+FO33+GB33+GO33+HB33+HO33+IB33+IO33</f>
        <v>0</v>
      </c>
      <c r="JD33" s="135" t="str">
        <f>C33+P33+AC33+AP33+BC33+BP33+CC33+CP33+DC33+DP33+EC33+EP33+FC33+FP33+GC33+GP33+HC33+HP33+IC33+IP33</f>
        <v>0</v>
      </c>
      <c r="JE33" s="135" t="str">
        <f>D33+Q33+AD33+AQ33+BD33+BQ33+CD33+CQ33+DD33+DQ33+ED33+EQ33+FD33+FQ33+GD33+GQ33+HD33+HQ33+ID33+IQ33</f>
        <v>0</v>
      </c>
      <c r="JF33" s="135" t="str">
        <f>E33+R33+AE33+AR33+BE33+BR33+CE33+CR33+DE33+DR33+EE33+ER33+FE33+FR33+GE33+GR33+HE33+HR33+IE33+IR33</f>
        <v>0</v>
      </c>
      <c r="JG33" s="135" t="str">
        <f>F33+S33+AF33+AS33+BF33+BS33+CF33+CS33+DF33+DS33+EF33+ES33+FF33+FS33+GF33+GS33+HF33+HS33+IF33+IS33</f>
        <v>0</v>
      </c>
      <c r="JH33" s="135" t="str">
        <f>G33+T33+AG33+AT33+BG33+BT33+CG33+CT33+DG33+DT33+EG33+ET33+FG33+FT33+GG33+GT33+HG33+HT33+IG33+IT33</f>
        <v>0</v>
      </c>
      <c r="JI33" s="135" t="str">
        <f>H33+U33+AH33+AU33+BH33+BU33+CH33+CU33+DH33+DU33+EH33+EU33+FH33+FU33+GH33+GU33+HH33+HU33+IH33+IU33</f>
        <v>0</v>
      </c>
      <c r="JJ33" s="135" t="str">
        <f>I33+V33+AI33+AV33+BI33+BV33+CI33+CV33+DI33+DV33+EI33+EV33+FI33+FV33+GI33+GV33+HI33+HV33+II33+IV33</f>
        <v>0</v>
      </c>
      <c r="JK33" s="135" t="str">
        <f>J33+W33+AJ33+AW33+BJ33+BW33+CJ33+CW33+DJ33+DW33+EJ33+EW33+FJ33+FW33+GJ33+GW33+HJ33+HW33+IJ33+IW33</f>
        <v>0</v>
      </c>
      <c r="JL33" s="135" t="str">
        <f>K33+X33+AK33+AX33+BK33+BX33+CK33+CX33+DK33+DX33+EK33+EX33+FK33+FX33+GK33+GX33+HK33+HX33+IK33+IX33</f>
        <v>0</v>
      </c>
      <c r="JM33" s="135" t="str">
        <f>L33+Y33+AL33+AY33+BL33+BY33+CL33+CY33+DL33+DY33+EL33+EY33+FL33+FY33+GL33+GY33+HL33+HY33+IL33+IY33</f>
        <v>0</v>
      </c>
      <c r="JN33" s="135" t="str">
        <f>M33+Z33+AM33+AZ33+BM33+BZ33+CM33+CZ33+DM33+DZ33+EM33+EZ33+FM33+FZ33+GM33+GZ33+HM33+HZ33+IM33+IZ33</f>
        <v>0</v>
      </c>
      <c r="JO33" s="132" t="str">
        <f>SUM(JC33:JN33)</f>
        <v>0</v>
      </c>
      <c r="JQ33" s="139" t="str">
        <f>N33+AA33+AN33+BA33+BN33+CA33+CN33+DA33+DN33+EA33+EN33+FA33+FN33+GA33+GN33+HA33+HN33+IA33+IN33+JA33</f>
        <v>0</v>
      </c>
    </row>
    <row r="34" spans="1:278">
      <c r="A34" s="130"/>
      <c r="B34" s="131"/>
      <c r="C34" s="131"/>
      <c r="D34" s="131"/>
      <c r="E34" s="131"/>
      <c r="F34" s="131"/>
      <c r="G34" s="131"/>
      <c r="H34" s="131"/>
      <c r="I34" s="131"/>
      <c r="J34" s="131"/>
      <c r="K34" s="131"/>
      <c r="L34" s="131"/>
      <c r="M34" s="131"/>
      <c r="N34" s="132" t="str">
        <f>SUM(B34:M34)</f>
        <v>0</v>
      </c>
      <c r="O34" s="133"/>
      <c r="P34" s="133"/>
      <c r="Q34" s="133"/>
      <c r="R34" s="133"/>
      <c r="S34" s="133"/>
      <c r="T34" s="133"/>
      <c r="U34" s="133"/>
      <c r="V34" s="133"/>
      <c r="W34" s="133"/>
      <c r="X34" s="133"/>
      <c r="Y34" s="133"/>
      <c r="Z34" s="133"/>
      <c r="AA34" s="132" t="str">
        <f>SUM(O34:Z34)</f>
        <v>0</v>
      </c>
      <c r="AB34" s="131"/>
      <c r="AC34" s="131"/>
      <c r="AD34" s="131"/>
      <c r="AE34" s="131"/>
      <c r="AF34" s="131"/>
      <c r="AG34" s="131"/>
      <c r="AH34" s="131"/>
      <c r="AI34" s="131"/>
      <c r="AJ34" s="131"/>
      <c r="AK34" s="131"/>
      <c r="AL34" s="131"/>
      <c r="AM34" s="131"/>
      <c r="AN34" s="132" t="str">
        <f>SUM(AB34:AM34)</f>
        <v>0</v>
      </c>
      <c r="AO34" s="133"/>
      <c r="AP34" s="133"/>
      <c r="AQ34" s="133"/>
      <c r="AR34" s="133"/>
      <c r="AS34" s="133"/>
      <c r="AT34" s="133"/>
      <c r="AU34" s="133"/>
      <c r="AV34" s="133"/>
      <c r="AW34" s="133"/>
      <c r="AX34" s="133"/>
      <c r="AY34" s="133"/>
      <c r="AZ34" s="133"/>
      <c r="BA34" s="132" t="str">
        <f>SUM(AO34:AZ34)</f>
        <v>0</v>
      </c>
      <c r="BB34" s="134"/>
      <c r="BC34" s="134"/>
      <c r="BD34" s="134"/>
      <c r="BE34" s="134"/>
      <c r="BF34" s="134"/>
      <c r="BG34" s="134"/>
      <c r="BH34" s="134"/>
      <c r="BI34" s="134"/>
      <c r="BJ34" s="134"/>
      <c r="BK34" s="134"/>
      <c r="BL34" s="134"/>
      <c r="BM34" s="134"/>
      <c r="BN34" s="132" t="str">
        <f>SUM(BB34:BM34)</f>
        <v>0</v>
      </c>
      <c r="BO34" s="135"/>
      <c r="BP34" s="135"/>
      <c r="BQ34" s="135"/>
      <c r="BR34" s="135"/>
      <c r="BS34" s="135"/>
      <c r="BT34" s="135"/>
      <c r="BU34" s="135"/>
      <c r="BV34" s="135"/>
      <c r="BW34" s="135"/>
      <c r="BX34" s="135"/>
      <c r="BY34" s="135"/>
      <c r="BZ34" s="135"/>
      <c r="CA34" s="132" t="str">
        <f>SUM(BO34:BZ34)</f>
        <v>0</v>
      </c>
      <c r="CB34" s="136"/>
      <c r="CC34" s="136"/>
      <c r="CD34" s="136"/>
      <c r="CE34" s="136"/>
      <c r="CF34" s="136"/>
      <c r="CG34" s="136"/>
      <c r="CH34" s="136"/>
      <c r="CI34" s="136"/>
      <c r="CJ34" s="136"/>
      <c r="CK34" s="136"/>
      <c r="CL34" s="136"/>
      <c r="CM34" s="136"/>
      <c r="CN34" s="132" t="str">
        <f>SUM(CB34:CM34)</f>
        <v>0</v>
      </c>
      <c r="CO34" s="137"/>
      <c r="CP34" s="137"/>
      <c r="CQ34" s="137"/>
      <c r="CR34" s="137"/>
      <c r="CS34" s="137"/>
      <c r="CT34" s="137"/>
      <c r="CU34" s="137"/>
      <c r="CV34" s="137"/>
      <c r="CW34" s="137"/>
      <c r="CX34" s="137"/>
      <c r="CY34" s="137"/>
      <c r="CZ34" s="137"/>
      <c r="DA34" s="132" t="str">
        <f>SUM(CO34:CZ34)</f>
        <v>0</v>
      </c>
      <c r="DB34" s="136"/>
      <c r="DC34" s="136"/>
      <c r="DD34" s="136"/>
      <c r="DE34" s="136"/>
      <c r="DF34" s="136"/>
      <c r="DG34" s="136"/>
      <c r="DH34" s="136"/>
      <c r="DI34" s="136"/>
      <c r="DJ34" s="136"/>
      <c r="DK34" s="136"/>
      <c r="DL34" s="136"/>
      <c r="DM34" s="136"/>
      <c r="DN34" s="132" t="str">
        <f>SUM(DB34:DM34)</f>
        <v>0</v>
      </c>
      <c r="DO34" s="137"/>
      <c r="DP34" s="137"/>
      <c r="DQ34" s="137"/>
      <c r="DR34" s="137"/>
      <c r="DS34" s="137"/>
      <c r="DT34" s="137"/>
      <c r="DU34" s="137"/>
      <c r="DV34" s="137"/>
      <c r="DW34" s="137"/>
      <c r="DX34" s="137"/>
      <c r="DY34" s="137"/>
      <c r="DZ34" s="137"/>
      <c r="EA34" s="132" t="str">
        <f>SUM(DO34:DZ34)</f>
        <v>0</v>
      </c>
      <c r="EB34" s="216"/>
      <c r="EC34" s="216"/>
      <c r="ED34" s="216"/>
      <c r="EE34" s="216"/>
      <c r="EF34" s="216"/>
      <c r="EG34" s="216"/>
      <c r="EH34" s="216"/>
      <c r="EI34" s="216"/>
      <c r="EJ34" s="216"/>
      <c r="EK34" s="216"/>
      <c r="EL34" s="216"/>
      <c r="EM34" s="216"/>
      <c r="EN34" s="132" t="str">
        <f>SUM(EB34:EM34)</f>
        <v>0</v>
      </c>
      <c r="EO34" s="132"/>
      <c r="EP34" s="132"/>
      <c r="EQ34" s="132"/>
      <c r="ER34" s="132"/>
      <c r="ES34" s="132"/>
      <c r="ET34" s="132"/>
      <c r="EU34" s="132"/>
      <c r="EV34" s="132"/>
      <c r="EW34" s="132"/>
      <c r="EX34" s="132"/>
      <c r="EY34" s="132"/>
      <c r="EZ34" s="132"/>
      <c r="FA34" s="132" t="str">
        <f>SUM(EO34:EZ34)</f>
        <v>0</v>
      </c>
      <c r="FB34" s="181"/>
      <c r="FC34" s="181"/>
      <c r="FD34" s="181"/>
      <c r="FE34" s="181"/>
      <c r="FF34" s="181"/>
      <c r="FG34" s="181"/>
      <c r="FH34" s="181"/>
      <c r="FI34" s="181"/>
      <c r="FJ34" s="181"/>
      <c r="FK34" s="181"/>
      <c r="FL34" s="181"/>
      <c r="FM34" s="181"/>
      <c r="FN34" s="132" t="str">
        <f>SUM(FB34:FM34)</f>
        <v>0</v>
      </c>
      <c r="FO34" s="132"/>
      <c r="FP34" s="132"/>
      <c r="FQ34" s="132"/>
      <c r="FR34" s="132"/>
      <c r="FS34" s="132"/>
      <c r="FT34" s="132"/>
      <c r="FU34" s="132"/>
      <c r="FV34" s="132"/>
      <c r="FW34" s="132"/>
      <c r="FX34" s="132"/>
      <c r="FY34" s="132"/>
      <c r="FZ34" s="132"/>
      <c r="GA34" s="132" t="str">
        <f>SUM(FO34:FZ34)</f>
        <v>0</v>
      </c>
      <c r="GB34" s="181"/>
      <c r="GC34" s="181"/>
      <c r="GD34" s="181"/>
      <c r="GE34" s="181"/>
      <c r="GF34" s="181"/>
      <c r="GG34" s="181"/>
      <c r="GH34" s="181"/>
      <c r="GI34" s="181"/>
      <c r="GJ34" s="181"/>
      <c r="GK34" s="181"/>
      <c r="GL34" s="181"/>
      <c r="GM34" s="181"/>
      <c r="GN34" s="181" t="str">
        <f>SUM(GB34:GM34)</f>
        <v>0</v>
      </c>
      <c r="GO34" s="137"/>
      <c r="GP34" s="137"/>
      <c r="GQ34" s="137"/>
      <c r="GR34" s="137"/>
      <c r="GS34" s="137"/>
      <c r="GT34" s="137"/>
      <c r="GU34" s="137"/>
      <c r="GV34" s="137"/>
      <c r="GW34" s="137"/>
      <c r="GX34" s="137"/>
      <c r="GY34" s="137"/>
      <c r="GZ34" s="137"/>
      <c r="HA34" s="132" t="str">
        <f>SUM(GO34:GZ34)</f>
        <v>0</v>
      </c>
      <c r="HB34" s="181"/>
      <c r="HC34" s="181"/>
      <c r="HD34" s="181"/>
      <c r="HE34" s="181"/>
      <c r="HF34" s="181"/>
      <c r="HG34" s="181"/>
      <c r="HH34" s="181"/>
      <c r="HI34" s="181"/>
      <c r="HJ34" s="181"/>
      <c r="HK34" s="181"/>
      <c r="HL34" s="181"/>
      <c r="HM34" s="181"/>
      <c r="HN34" s="181" t="str">
        <f>SUM(HB34:HM34)</f>
        <v>0</v>
      </c>
      <c r="HO34" s="132"/>
      <c r="HP34" s="132"/>
      <c r="HQ34" s="132"/>
      <c r="HR34" s="132"/>
      <c r="HS34" s="132"/>
      <c r="HT34" s="132"/>
      <c r="HU34" s="132"/>
      <c r="HV34" s="132"/>
      <c r="HW34" s="132"/>
      <c r="HX34" s="132"/>
      <c r="HY34" s="132"/>
      <c r="HZ34" s="132"/>
      <c r="IA34" s="132" t="str">
        <f>SUM(HO34:HZ34)</f>
        <v>0</v>
      </c>
      <c r="IB34" s="181"/>
      <c r="IC34" s="181"/>
      <c r="ID34" s="181"/>
      <c r="IE34" s="181"/>
      <c r="IF34" s="181"/>
      <c r="IG34" s="181"/>
      <c r="IH34" s="181"/>
      <c r="II34" s="181"/>
      <c r="IJ34" s="181"/>
      <c r="IK34" s="181"/>
      <c r="IL34" s="181"/>
      <c r="IM34" s="181"/>
      <c r="IN34" s="181" t="str">
        <f>SUM(IB34:IM34)</f>
        <v>0</v>
      </c>
      <c r="IO34" s="181"/>
      <c r="IP34" s="181"/>
      <c r="IQ34" s="181"/>
      <c r="IR34" s="181"/>
      <c r="IS34" s="181"/>
      <c r="IT34" s="181"/>
      <c r="IU34" s="181"/>
      <c r="IV34" s="181"/>
      <c r="IW34" s="181"/>
      <c r="IX34" s="181"/>
      <c r="IY34" s="181"/>
      <c r="IZ34" s="181"/>
      <c r="JA34" s="181" t="str">
        <f>SUM(IO34:IZ34)</f>
        <v>0</v>
      </c>
      <c r="JC34" s="135" t="str">
        <f>B34+O34+AB34+AO34+BB34+BO34+CB34+CO34+DB34+DO34+EB34+EO34+FB34+FO34+GB34+GO34+HB34+HO34+IB34+IO34</f>
        <v>0</v>
      </c>
      <c r="JD34" s="135" t="str">
        <f>C34+P34+AC34+AP34+BC34+BP34+CC34+CP34+DC34+DP34+EC34+EP34+FC34+FP34+GC34+GP34+HC34+HP34+IC34+IP34</f>
        <v>0</v>
      </c>
      <c r="JE34" s="135" t="str">
        <f>D34+Q34+AD34+AQ34+BD34+BQ34+CD34+CQ34+DD34+DQ34+ED34+EQ34+FD34+FQ34+GD34+GQ34+HD34+HQ34+ID34+IQ34</f>
        <v>0</v>
      </c>
      <c r="JF34" s="135" t="str">
        <f>E34+R34+AE34+AR34+BE34+BR34+CE34+CR34+DE34+DR34+EE34+ER34+FE34+FR34+GE34+GR34+HE34+HR34+IE34+IR34</f>
        <v>0</v>
      </c>
      <c r="JG34" s="135" t="str">
        <f>F34+S34+AF34+AS34+BF34+BS34+CF34+CS34+DF34+DS34+EF34+ES34+FF34+FS34+GF34+GS34+HF34+HS34+IF34+IS34</f>
        <v>0</v>
      </c>
      <c r="JH34" s="135" t="str">
        <f>G34+T34+AG34+AT34+BG34+BT34+CG34+CT34+DG34+DT34+EG34+ET34+FG34+FT34+GG34+GT34+HG34+HT34+IG34+IT34</f>
        <v>0</v>
      </c>
      <c r="JI34" s="135" t="str">
        <f>H34+U34+AH34+AU34+BH34+BU34+CH34+CU34+DH34+DU34+EH34+EU34+FH34+FU34+GH34+GU34+HH34+HU34+IH34+IU34</f>
        <v>0</v>
      </c>
      <c r="JJ34" s="135" t="str">
        <f>I34+V34+AI34+AV34+BI34+BV34+CI34+CV34+DI34+DV34+EI34+EV34+FI34+FV34+GI34+GV34+HI34+HV34+II34+IV34</f>
        <v>0</v>
      </c>
      <c r="JK34" s="135" t="str">
        <f>J34+W34+AJ34+AW34+BJ34+BW34+CJ34+CW34+DJ34+DW34+EJ34+EW34+FJ34+FW34+GJ34+GW34+HJ34+HW34+IJ34+IW34</f>
        <v>0</v>
      </c>
      <c r="JL34" s="135" t="str">
        <f>K34+X34+AK34+AX34+BK34+BX34+CK34+CX34+DK34+DX34+EK34+EX34+FK34+FX34+GK34+GX34+HK34+HX34+IK34+IX34</f>
        <v>0</v>
      </c>
      <c r="JM34" s="135" t="str">
        <f>L34+Y34+AL34+AY34+BL34+BY34+CL34+CY34+DL34+DY34+EL34+EY34+FL34+FY34+GL34+GY34+HL34+HY34+IL34+IY34</f>
        <v>0</v>
      </c>
      <c r="JN34" s="135" t="str">
        <f>M34+Z34+AM34+AZ34+BM34+BZ34+CM34+CZ34+DM34+DZ34+EM34+EZ34+FM34+FZ34+GM34+GZ34+HM34+HZ34+IM34+IZ34</f>
        <v>0</v>
      </c>
      <c r="JO34" s="132" t="str">
        <f>SUM(JC34:JN34)</f>
        <v>0</v>
      </c>
      <c r="JQ34" s="139" t="str">
        <f>N34+AA34+AN34+BA34+BN34+CA34+CN34+DA34+DN34+EA34+EN34+FA34+FN34+GA34+GN34+HA34+HN34+IA34+IN34+JA34</f>
        <v>0</v>
      </c>
    </row>
    <row r="35" spans="1:278">
      <c r="A35" s="130"/>
      <c r="B35" s="131"/>
      <c r="C35" s="131"/>
      <c r="D35" s="131"/>
      <c r="E35" s="131"/>
      <c r="F35" s="131"/>
      <c r="G35" s="131"/>
      <c r="H35" s="131"/>
      <c r="I35" s="131"/>
      <c r="J35" s="131"/>
      <c r="K35" s="131"/>
      <c r="L35" s="131"/>
      <c r="M35" s="131"/>
      <c r="N35" s="132" t="str">
        <f>SUM(B35:M35)</f>
        <v>0</v>
      </c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  <c r="AA35" s="132" t="str">
        <f>SUM(O35:Z35)</f>
        <v>0</v>
      </c>
      <c r="AB35" s="131"/>
      <c r="AC35" s="131"/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2" t="str">
        <f>SUM(AB35:AM35)</f>
        <v>0</v>
      </c>
      <c r="AO35" s="133"/>
      <c r="AP35" s="133"/>
      <c r="AQ35" s="133"/>
      <c r="AR35" s="133"/>
      <c r="AS35" s="133"/>
      <c r="AT35" s="133"/>
      <c r="AU35" s="133"/>
      <c r="AV35" s="133"/>
      <c r="AW35" s="133"/>
      <c r="AX35" s="133"/>
      <c r="AY35" s="133"/>
      <c r="AZ35" s="133"/>
      <c r="BA35" s="132" t="str">
        <f>SUM(AO35:AZ35)</f>
        <v>0</v>
      </c>
      <c r="BB35" s="134"/>
      <c r="BC35" s="134"/>
      <c r="BD35" s="134"/>
      <c r="BE35" s="134"/>
      <c r="BF35" s="134"/>
      <c r="BG35" s="134"/>
      <c r="BH35" s="134"/>
      <c r="BI35" s="134"/>
      <c r="BJ35" s="134"/>
      <c r="BK35" s="134"/>
      <c r="BL35" s="134"/>
      <c r="BM35" s="134"/>
      <c r="BN35" s="132" t="str">
        <f>SUM(BB35:BM35)</f>
        <v>0</v>
      </c>
      <c r="BO35" s="135"/>
      <c r="BP35" s="135"/>
      <c r="BQ35" s="135"/>
      <c r="BR35" s="135"/>
      <c r="BS35" s="135"/>
      <c r="BT35" s="135"/>
      <c r="BU35" s="135"/>
      <c r="BV35" s="135"/>
      <c r="BW35" s="135"/>
      <c r="BX35" s="135"/>
      <c r="BY35" s="135"/>
      <c r="BZ35" s="135"/>
      <c r="CA35" s="132" t="str">
        <f>SUM(BO35:BZ35)</f>
        <v>0</v>
      </c>
      <c r="CB35" s="136"/>
      <c r="CC35" s="136"/>
      <c r="CD35" s="136"/>
      <c r="CE35" s="136"/>
      <c r="CF35" s="136"/>
      <c r="CG35" s="136"/>
      <c r="CH35" s="136"/>
      <c r="CI35" s="136"/>
      <c r="CJ35" s="136"/>
      <c r="CK35" s="136"/>
      <c r="CL35" s="136"/>
      <c r="CM35" s="136"/>
      <c r="CN35" s="132" t="str">
        <f>SUM(CB35:CM35)</f>
        <v>0</v>
      </c>
      <c r="CO35" s="137"/>
      <c r="CP35" s="137"/>
      <c r="CQ35" s="137"/>
      <c r="CR35" s="137"/>
      <c r="CS35" s="137"/>
      <c r="CT35" s="137"/>
      <c r="CU35" s="137"/>
      <c r="CV35" s="137"/>
      <c r="CW35" s="137"/>
      <c r="CX35" s="137"/>
      <c r="CY35" s="137"/>
      <c r="CZ35" s="137"/>
      <c r="DA35" s="132" t="str">
        <f>SUM(CO35:CZ35)</f>
        <v>0</v>
      </c>
      <c r="DB35" s="136"/>
      <c r="DC35" s="136"/>
      <c r="DD35" s="136"/>
      <c r="DE35" s="136"/>
      <c r="DF35" s="136"/>
      <c r="DG35" s="136"/>
      <c r="DH35" s="136"/>
      <c r="DI35" s="136"/>
      <c r="DJ35" s="136"/>
      <c r="DK35" s="136"/>
      <c r="DL35" s="136"/>
      <c r="DM35" s="136"/>
      <c r="DN35" s="132" t="str">
        <f>SUM(DB35:DM35)</f>
        <v>0</v>
      </c>
      <c r="DO35" s="137"/>
      <c r="DP35" s="137"/>
      <c r="DQ35" s="137"/>
      <c r="DR35" s="137"/>
      <c r="DS35" s="137"/>
      <c r="DT35" s="137"/>
      <c r="DU35" s="137"/>
      <c r="DV35" s="137"/>
      <c r="DW35" s="137"/>
      <c r="DX35" s="137"/>
      <c r="DY35" s="137"/>
      <c r="DZ35" s="137"/>
      <c r="EA35" s="132" t="str">
        <f>SUM(DO35:DZ35)</f>
        <v>0</v>
      </c>
      <c r="EB35" s="216"/>
      <c r="EC35" s="216"/>
      <c r="ED35" s="216"/>
      <c r="EE35" s="216"/>
      <c r="EF35" s="216"/>
      <c r="EG35" s="216"/>
      <c r="EH35" s="216"/>
      <c r="EI35" s="216"/>
      <c r="EJ35" s="216"/>
      <c r="EK35" s="216"/>
      <c r="EL35" s="216"/>
      <c r="EM35" s="216"/>
      <c r="EN35" s="132" t="str">
        <f>SUM(EB35:EM35)</f>
        <v>0</v>
      </c>
      <c r="EO35" s="132"/>
      <c r="EP35" s="132"/>
      <c r="EQ35" s="132"/>
      <c r="ER35" s="132"/>
      <c r="ES35" s="132"/>
      <c r="ET35" s="132"/>
      <c r="EU35" s="132"/>
      <c r="EV35" s="132"/>
      <c r="EW35" s="132"/>
      <c r="EX35" s="132"/>
      <c r="EY35" s="132"/>
      <c r="EZ35" s="132"/>
      <c r="FA35" s="132" t="str">
        <f>SUM(EO35:EZ35)</f>
        <v>0</v>
      </c>
      <c r="FB35" s="181"/>
      <c r="FC35" s="181"/>
      <c r="FD35" s="181"/>
      <c r="FE35" s="181"/>
      <c r="FF35" s="181"/>
      <c r="FG35" s="181"/>
      <c r="FH35" s="181"/>
      <c r="FI35" s="181"/>
      <c r="FJ35" s="181"/>
      <c r="FK35" s="181"/>
      <c r="FL35" s="181"/>
      <c r="FM35" s="181"/>
      <c r="FN35" s="132" t="str">
        <f>SUM(FB35:FM35)</f>
        <v>0</v>
      </c>
      <c r="FO35" s="132"/>
      <c r="FP35" s="132"/>
      <c r="FQ35" s="132"/>
      <c r="FR35" s="132"/>
      <c r="FS35" s="132"/>
      <c r="FT35" s="132"/>
      <c r="FU35" s="132"/>
      <c r="FV35" s="132"/>
      <c r="FW35" s="132"/>
      <c r="FX35" s="132"/>
      <c r="FY35" s="132"/>
      <c r="FZ35" s="132"/>
      <c r="GA35" s="132" t="str">
        <f>SUM(FO35:FZ35)</f>
        <v>0</v>
      </c>
      <c r="GB35" s="181"/>
      <c r="GC35" s="181"/>
      <c r="GD35" s="181"/>
      <c r="GE35" s="181"/>
      <c r="GF35" s="181"/>
      <c r="GG35" s="181"/>
      <c r="GH35" s="181"/>
      <c r="GI35" s="181"/>
      <c r="GJ35" s="181"/>
      <c r="GK35" s="181"/>
      <c r="GL35" s="181"/>
      <c r="GM35" s="181"/>
      <c r="GN35" s="181" t="str">
        <f>SUM(GB35:GM35)</f>
        <v>0</v>
      </c>
      <c r="GO35" s="137"/>
      <c r="GP35" s="137"/>
      <c r="GQ35" s="137"/>
      <c r="GR35" s="137"/>
      <c r="GS35" s="137"/>
      <c r="GT35" s="137"/>
      <c r="GU35" s="137"/>
      <c r="GV35" s="137"/>
      <c r="GW35" s="137"/>
      <c r="GX35" s="137"/>
      <c r="GY35" s="137"/>
      <c r="GZ35" s="137"/>
      <c r="HA35" s="132" t="str">
        <f>SUM(GO35:GZ35)</f>
        <v>0</v>
      </c>
      <c r="HB35" s="181"/>
      <c r="HC35" s="181"/>
      <c r="HD35" s="181"/>
      <c r="HE35" s="181"/>
      <c r="HF35" s="181"/>
      <c r="HG35" s="181"/>
      <c r="HH35" s="181"/>
      <c r="HI35" s="181"/>
      <c r="HJ35" s="181"/>
      <c r="HK35" s="181"/>
      <c r="HL35" s="181"/>
      <c r="HM35" s="181"/>
      <c r="HN35" s="181" t="str">
        <f>SUM(HB35:HM35)</f>
        <v>0</v>
      </c>
      <c r="HO35" s="132"/>
      <c r="HP35" s="132"/>
      <c r="HQ35" s="132"/>
      <c r="HR35" s="132"/>
      <c r="HS35" s="132"/>
      <c r="HT35" s="132"/>
      <c r="HU35" s="132"/>
      <c r="HV35" s="132"/>
      <c r="HW35" s="132"/>
      <c r="HX35" s="132"/>
      <c r="HY35" s="132"/>
      <c r="HZ35" s="132"/>
      <c r="IA35" s="132" t="str">
        <f>SUM(HO35:HZ35)</f>
        <v>0</v>
      </c>
      <c r="IB35" s="181"/>
      <c r="IC35" s="181"/>
      <c r="ID35" s="181"/>
      <c r="IE35" s="181"/>
      <c r="IF35" s="181"/>
      <c r="IG35" s="181"/>
      <c r="IH35" s="181"/>
      <c r="II35" s="181"/>
      <c r="IJ35" s="181"/>
      <c r="IK35" s="181"/>
      <c r="IL35" s="181"/>
      <c r="IM35" s="181"/>
      <c r="IN35" s="181" t="str">
        <f>SUM(IB35:IM35)</f>
        <v>0</v>
      </c>
      <c r="IO35" s="181"/>
      <c r="IP35" s="181"/>
      <c r="IQ35" s="181"/>
      <c r="IR35" s="181"/>
      <c r="IS35" s="181"/>
      <c r="IT35" s="181"/>
      <c r="IU35" s="181"/>
      <c r="IV35" s="181"/>
      <c r="IW35" s="181"/>
      <c r="IX35" s="181"/>
      <c r="IY35" s="181"/>
      <c r="IZ35" s="181"/>
      <c r="JA35" s="181" t="str">
        <f>SUM(IO35:IZ35)</f>
        <v>0</v>
      </c>
      <c r="JC35" s="135" t="str">
        <f>B35+O35+AB35+AO35+BB35+BO35+CB35+CO35+DB35+DO35+EB35+EO35+FB35+FO35+GB35+GO35+HB35+HO35+IB35+IO35</f>
        <v>0</v>
      </c>
      <c r="JD35" s="135" t="str">
        <f>C35+P35+AC35+AP35+BC35+BP35+CC35+CP35+DC35+DP35+EC35+EP35+FC35+FP35+GC35+GP35+HC35+HP35+IC35+IP35</f>
        <v>0</v>
      </c>
      <c r="JE35" s="135" t="str">
        <f>D35+Q35+AD35+AQ35+BD35+BQ35+CD35+CQ35+DD35+DQ35+ED35+EQ35+FD35+FQ35+GD35+GQ35+HD35+HQ35+ID35+IQ35</f>
        <v>0</v>
      </c>
      <c r="JF35" s="135" t="str">
        <f>E35+R35+AE35+AR35+BE35+BR35+CE35+CR35+DE35+DR35+EE35+ER35+FE35+FR35+GE35+GR35+HE35+HR35+IE35+IR35</f>
        <v>0</v>
      </c>
      <c r="JG35" s="135" t="str">
        <f>F35+S35+AF35+AS35+BF35+BS35+CF35+CS35+DF35+DS35+EF35+ES35+FF35+FS35+GF35+GS35+HF35+HS35+IF35+IS35</f>
        <v>0</v>
      </c>
      <c r="JH35" s="135" t="str">
        <f>G35+T35+AG35+AT35+BG35+BT35+CG35+CT35+DG35+DT35+EG35+ET35+FG35+FT35+GG35+GT35+HG35+HT35+IG35+IT35</f>
        <v>0</v>
      </c>
      <c r="JI35" s="135" t="str">
        <f>H35+U35+AH35+AU35+BH35+BU35+CH35+CU35+DH35+DU35+EH35+EU35+FH35+FU35+GH35+GU35+HH35+HU35+IH35+IU35</f>
        <v>0</v>
      </c>
      <c r="JJ35" s="135" t="str">
        <f>I35+V35+AI35+AV35+BI35+BV35+CI35+CV35+DI35+DV35+EI35+EV35+FI35+FV35+GI35+GV35+HI35+HV35+II35+IV35</f>
        <v>0</v>
      </c>
      <c r="JK35" s="135" t="str">
        <f>J35+W35+AJ35+AW35+BJ35+BW35+CJ35+CW35+DJ35+DW35+EJ35+EW35+FJ35+FW35+GJ35+GW35+HJ35+HW35+IJ35+IW35</f>
        <v>0</v>
      </c>
      <c r="JL35" s="135" t="str">
        <f>K35+X35+AK35+AX35+BK35+BX35+CK35+CX35+DK35+DX35+EK35+EX35+FK35+FX35+GK35+GX35+HK35+HX35+IK35+IX35</f>
        <v>0</v>
      </c>
      <c r="JM35" s="135" t="str">
        <f>L35+Y35+AL35+AY35+BL35+BY35+CL35+CY35+DL35+DY35+EL35+EY35+FL35+FY35+GL35+GY35+HL35+HY35+IL35+IY35</f>
        <v>0</v>
      </c>
      <c r="JN35" s="135" t="str">
        <f>M35+Z35+AM35+AZ35+BM35+BZ35+CM35+CZ35+DM35+DZ35+EM35+EZ35+FM35+FZ35+GM35+GZ35+HM35+HZ35+IM35+IZ35</f>
        <v>0</v>
      </c>
      <c r="JO35" s="132" t="str">
        <f>SUM(JC35:JN35)</f>
        <v>0</v>
      </c>
      <c r="JQ35" s="139" t="str">
        <f>N35+AA35+AN35+BA35+BN35+CA35+CN35+DA35+DN35+EA35+EN35+FA35+FN35+GA35+GN35+HA35+HN35+IA35+IN35+JA35</f>
        <v>0</v>
      </c>
    </row>
    <row r="36" spans="1:278">
      <c r="A36" s="130"/>
      <c r="B36" s="131"/>
      <c r="C36" s="131"/>
      <c r="D36" s="131"/>
      <c r="E36" s="131"/>
      <c r="F36" s="131"/>
      <c r="G36" s="131"/>
      <c r="H36" s="131"/>
      <c r="I36" s="131"/>
      <c r="J36" s="131"/>
      <c r="K36" s="131"/>
      <c r="L36" s="131"/>
      <c r="M36" s="131"/>
      <c r="N36" s="132" t="str">
        <f>SUM(B36:M36)</f>
        <v>0</v>
      </c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  <c r="AA36" s="132" t="str">
        <f>SUM(O36:Z36)</f>
        <v>0</v>
      </c>
      <c r="AB36" s="131"/>
      <c r="AC36" s="131"/>
      <c r="AD36" s="131"/>
      <c r="AE36" s="131"/>
      <c r="AF36" s="131"/>
      <c r="AG36" s="131"/>
      <c r="AH36" s="131"/>
      <c r="AI36" s="131"/>
      <c r="AJ36" s="131"/>
      <c r="AK36" s="131"/>
      <c r="AL36" s="131"/>
      <c r="AM36" s="131"/>
      <c r="AN36" s="132" t="str">
        <f>SUM(AB36:AM36)</f>
        <v>0</v>
      </c>
      <c r="AO36" s="133"/>
      <c r="AP36" s="133"/>
      <c r="AQ36" s="133"/>
      <c r="AR36" s="133"/>
      <c r="AS36" s="133"/>
      <c r="AT36" s="133"/>
      <c r="AU36" s="133"/>
      <c r="AV36" s="133"/>
      <c r="AW36" s="133"/>
      <c r="AX36" s="133"/>
      <c r="AY36" s="133"/>
      <c r="AZ36" s="133"/>
      <c r="BA36" s="132" t="str">
        <f>SUM(AO36:AZ36)</f>
        <v>0</v>
      </c>
      <c r="BB36" s="134"/>
      <c r="BC36" s="134"/>
      <c r="BD36" s="134"/>
      <c r="BE36" s="134"/>
      <c r="BF36" s="134"/>
      <c r="BG36" s="134"/>
      <c r="BH36" s="134"/>
      <c r="BI36" s="134"/>
      <c r="BJ36" s="134"/>
      <c r="BK36" s="134"/>
      <c r="BL36" s="134"/>
      <c r="BM36" s="134"/>
      <c r="BN36" s="132" t="str">
        <f>SUM(BB36:BM36)</f>
        <v>0</v>
      </c>
      <c r="BO36" s="135"/>
      <c r="BP36" s="135"/>
      <c r="BQ36" s="135"/>
      <c r="BR36" s="135"/>
      <c r="BS36" s="135"/>
      <c r="BT36" s="135"/>
      <c r="BU36" s="135"/>
      <c r="BV36" s="135"/>
      <c r="BW36" s="135"/>
      <c r="BX36" s="135"/>
      <c r="BY36" s="135"/>
      <c r="BZ36" s="135"/>
      <c r="CA36" s="132" t="str">
        <f>SUM(BO36:BZ36)</f>
        <v>0</v>
      </c>
      <c r="CB36" s="136"/>
      <c r="CC36" s="136"/>
      <c r="CD36" s="136"/>
      <c r="CE36" s="136"/>
      <c r="CF36" s="136"/>
      <c r="CG36" s="136"/>
      <c r="CH36" s="136"/>
      <c r="CI36" s="136"/>
      <c r="CJ36" s="136"/>
      <c r="CK36" s="136"/>
      <c r="CL36" s="136"/>
      <c r="CM36" s="136"/>
      <c r="CN36" s="132" t="str">
        <f>SUM(CB36:CM36)</f>
        <v>0</v>
      </c>
      <c r="CO36" s="137"/>
      <c r="CP36" s="137"/>
      <c r="CQ36" s="137"/>
      <c r="CR36" s="137"/>
      <c r="CS36" s="137"/>
      <c r="CT36" s="137"/>
      <c r="CU36" s="137"/>
      <c r="CV36" s="137"/>
      <c r="CW36" s="137"/>
      <c r="CX36" s="137"/>
      <c r="CY36" s="137"/>
      <c r="CZ36" s="137"/>
      <c r="DA36" s="132" t="str">
        <f>SUM(CO36:CZ36)</f>
        <v>0</v>
      </c>
      <c r="DB36" s="136"/>
      <c r="DC36" s="136"/>
      <c r="DD36" s="136"/>
      <c r="DE36" s="136"/>
      <c r="DF36" s="136"/>
      <c r="DG36" s="136"/>
      <c r="DH36" s="136"/>
      <c r="DI36" s="136"/>
      <c r="DJ36" s="136"/>
      <c r="DK36" s="136"/>
      <c r="DL36" s="136"/>
      <c r="DM36" s="136"/>
      <c r="DN36" s="132" t="str">
        <f>SUM(DB36:DM36)</f>
        <v>0</v>
      </c>
      <c r="DO36" s="137"/>
      <c r="DP36" s="137"/>
      <c r="DQ36" s="137"/>
      <c r="DR36" s="137"/>
      <c r="DS36" s="137"/>
      <c r="DT36" s="137"/>
      <c r="DU36" s="137"/>
      <c r="DV36" s="137"/>
      <c r="DW36" s="137"/>
      <c r="DX36" s="137"/>
      <c r="DY36" s="137"/>
      <c r="DZ36" s="137"/>
      <c r="EA36" s="132" t="str">
        <f>SUM(DO36:DZ36)</f>
        <v>0</v>
      </c>
      <c r="EB36" s="216"/>
      <c r="EC36" s="216"/>
      <c r="ED36" s="216"/>
      <c r="EE36" s="216"/>
      <c r="EF36" s="216"/>
      <c r="EG36" s="216"/>
      <c r="EH36" s="216"/>
      <c r="EI36" s="216"/>
      <c r="EJ36" s="216"/>
      <c r="EK36" s="216"/>
      <c r="EL36" s="216"/>
      <c r="EM36" s="216"/>
      <c r="EN36" s="132" t="str">
        <f>SUM(EB36:EM36)</f>
        <v>0</v>
      </c>
      <c r="EO36" s="132"/>
      <c r="EP36" s="132"/>
      <c r="EQ36" s="132"/>
      <c r="ER36" s="132"/>
      <c r="ES36" s="132"/>
      <c r="ET36" s="132"/>
      <c r="EU36" s="132"/>
      <c r="EV36" s="132"/>
      <c r="EW36" s="132"/>
      <c r="EX36" s="132"/>
      <c r="EY36" s="132"/>
      <c r="EZ36" s="132"/>
      <c r="FA36" s="132" t="str">
        <f>SUM(EO36:EZ36)</f>
        <v>0</v>
      </c>
      <c r="FB36" s="181"/>
      <c r="FC36" s="181"/>
      <c r="FD36" s="181"/>
      <c r="FE36" s="181"/>
      <c r="FF36" s="181"/>
      <c r="FG36" s="181"/>
      <c r="FH36" s="181"/>
      <c r="FI36" s="181"/>
      <c r="FJ36" s="181"/>
      <c r="FK36" s="181"/>
      <c r="FL36" s="181"/>
      <c r="FM36" s="181"/>
      <c r="FN36" s="132" t="str">
        <f>SUM(FB36:FM36)</f>
        <v>0</v>
      </c>
      <c r="FO36" s="132"/>
      <c r="FP36" s="132"/>
      <c r="FQ36" s="132"/>
      <c r="FR36" s="132"/>
      <c r="FS36" s="132"/>
      <c r="FT36" s="132"/>
      <c r="FU36" s="132"/>
      <c r="FV36" s="132"/>
      <c r="FW36" s="132"/>
      <c r="FX36" s="132"/>
      <c r="FY36" s="132"/>
      <c r="FZ36" s="132"/>
      <c r="GA36" s="132" t="str">
        <f>SUM(FO36:FZ36)</f>
        <v>0</v>
      </c>
      <c r="GB36" s="181"/>
      <c r="GC36" s="181"/>
      <c r="GD36" s="181"/>
      <c r="GE36" s="181"/>
      <c r="GF36" s="181"/>
      <c r="GG36" s="181"/>
      <c r="GH36" s="181"/>
      <c r="GI36" s="181"/>
      <c r="GJ36" s="181"/>
      <c r="GK36" s="181"/>
      <c r="GL36" s="181"/>
      <c r="GM36" s="181"/>
      <c r="GN36" s="181" t="str">
        <f>SUM(GB36:GM36)</f>
        <v>0</v>
      </c>
      <c r="GO36" s="137"/>
      <c r="GP36" s="137"/>
      <c r="GQ36" s="137"/>
      <c r="GR36" s="137"/>
      <c r="GS36" s="137"/>
      <c r="GT36" s="137"/>
      <c r="GU36" s="137"/>
      <c r="GV36" s="137"/>
      <c r="GW36" s="137"/>
      <c r="GX36" s="137"/>
      <c r="GY36" s="137"/>
      <c r="GZ36" s="137"/>
      <c r="HA36" s="132" t="str">
        <f>SUM(GO36:GZ36)</f>
        <v>0</v>
      </c>
      <c r="HB36" s="181"/>
      <c r="HC36" s="181"/>
      <c r="HD36" s="181"/>
      <c r="HE36" s="181"/>
      <c r="HF36" s="181"/>
      <c r="HG36" s="181"/>
      <c r="HH36" s="181"/>
      <c r="HI36" s="181"/>
      <c r="HJ36" s="181"/>
      <c r="HK36" s="181"/>
      <c r="HL36" s="181"/>
      <c r="HM36" s="181"/>
      <c r="HN36" s="181" t="str">
        <f>SUM(HB36:HM36)</f>
        <v>0</v>
      </c>
      <c r="HO36" s="132"/>
      <c r="HP36" s="132"/>
      <c r="HQ36" s="132"/>
      <c r="HR36" s="132"/>
      <c r="HS36" s="132"/>
      <c r="HT36" s="132"/>
      <c r="HU36" s="132"/>
      <c r="HV36" s="132"/>
      <c r="HW36" s="132"/>
      <c r="HX36" s="132"/>
      <c r="HY36" s="132"/>
      <c r="HZ36" s="132"/>
      <c r="IA36" s="132" t="str">
        <f>SUM(HO36:HZ36)</f>
        <v>0</v>
      </c>
      <c r="IB36" s="181"/>
      <c r="IC36" s="181"/>
      <c r="ID36" s="181"/>
      <c r="IE36" s="181"/>
      <c r="IF36" s="181"/>
      <c r="IG36" s="181"/>
      <c r="IH36" s="181"/>
      <c r="II36" s="181"/>
      <c r="IJ36" s="181"/>
      <c r="IK36" s="181"/>
      <c r="IL36" s="181"/>
      <c r="IM36" s="181"/>
      <c r="IN36" s="181" t="str">
        <f>SUM(IB36:IM36)</f>
        <v>0</v>
      </c>
      <c r="IO36" s="181"/>
      <c r="IP36" s="181"/>
      <c r="IQ36" s="181"/>
      <c r="IR36" s="181"/>
      <c r="IS36" s="181"/>
      <c r="IT36" s="181"/>
      <c r="IU36" s="181"/>
      <c r="IV36" s="181"/>
      <c r="IW36" s="181"/>
      <c r="IX36" s="181"/>
      <c r="IY36" s="181"/>
      <c r="IZ36" s="181"/>
      <c r="JA36" s="181" t="str">
        <f>SUM(IO36:IZ36)</f>
        <v>0</v>
      </c>
      <c r="JC36" s="135" t="str">
        <f>B36+O36+AB36+AO36+BB36+BO36+CB36+CO36+DB36+DO36+EB36+EO36+FB36+FO36+GB36+GO36+HB36+HO36+IB36+IO36</f>
        <v>0</v>
      </c>
      <c r="JD36" s="135" t="str">
        <f>C36+P36+AC36+AP36+BC36+BP36+CC36+CP36+DC36+DP36+EC36+EP36+FC36+FP36+GC36+GP36+HC36+HP36+IC36+IP36</f>
        <v>0</v>
      </c>
      <c r="JE36" s="135" t="str">
        <f>D36+Q36+AD36+AQ36+BD36+BQ36+CD36+CQ36+DD36+DQ36+ED36+EQ36+FD36+FQ36+GD36+GQ36+HD36+HQ36+ID36+IQ36</f>
        <v>0</v>
      </c>
      <c r="JF36" s="135" t="str">
        <f>E36+R36+AE36+AR36+BE36+BR36+CE36+CR36+DE36+DR36+EE36+ER36+FE36+FR36+GE36+GR36+HE36+HR36+IE36+IR36</f>
        <v>0</v>
      </c>
      <c r="JG36" s="135" t="str">
        <f>F36+S36+AF36+AS36+BF36+BS36+CF36+CS36+DF36+DS36+EF36+ES36+FF36+FS36+GF36+GS36+HF36+HS36+IF36+IS36</f>
        <v>0</v>
      </c>
      <c r="JH36" s="135" t="str">
        <f>G36+T36+AG36+AT36+BG36+BT36+CG36+CT36+DG36+DT36+EG36+ET36+FG36+FT36+GG36+GT36+HG36+HT36+IG36+IT36</f>
        <v>0</v>
      </c>
      <c r="JI36" s="135" t="str">
        <f>H36+U36+AH36+AU36+BH36+BU36+CH36+CU36+DH36+DU36+EH36+EU36+FH36+FU36+GH36+GU36+HH36+HU36+IH36+IU36</f>
        <v>0</v>
      </c>
      <c r="JJ36" s="135" t="str">
        <f>I36+V36+AI36+AV36+BI36+BV36+CI36+CV36+DI36+DV36+EI36+EV36+FI36+FV36+GI36+GV36+HI36+HV36+II36+IV36</f>
        <v>0</v>
      </c>
      <c r="JK36" s="135" t="str">
        <f>J36+W36+AJ36+AW36+BJ36+BW36+CJ36+CW36+DJ36+DW36+EJ36+EW36+FJ36+FW36+GJ36+GW36+HJ36+HW36+IJ36+IW36</f>
        <v>0</v>
      </c>
      <c r="JL36" s="135" t="str">
        <f>K36+X36+AK36+AX36+BK36+BX36+CK36+CX36+DK36+DX36+EK36+EX36+FK36+FX36+GK36+GX36+HK36+HX36+IK36+IX36</f>
        <v>0</v>
      </c>
      <c r="JM36" s="135" t="str">
        <f>L36+Y36+AL36+AY36+BL36+BY36+CL36+CY36+DL36+DY36+EL36+EY36+FL36+FY36+GL36+GY36+HL36+HY36+IL36+IY36</f>
        <v>0</v>
      </c>
      <c r="JN36" s="135" t="str">
        <f>M36+Z36+AM36+AZ36+BM36+BZ36+CM36+CZ36+DM36+DZ36+EM36+EZ36+FM36+FZ36+GM36+GZ36+HM36+HZ36+IM36+IZ36</f>
        <v>0</v>
      </c>
      <c r="JO36" s="132" t="str">
        <f>SUM(JC36:JN36)</f>
        <v>0</v>
      </c>
      <c r="JQ36" s="139" t="str">
        <f>N36+AA36+AN36+BA36+BN36+CA36+CN36+DA36+DN36+EA36+EN36+FA36+FN36+GA36+GN36+HA36+HN36+IA36+IN36+JA36</f>
        <v>0</v>
      </c>
    </row>
    <row r="37" spans="1:278">
      <c r="A37" s="130"/>
      <c r="B37" s="131"/>
      <c r="C37" s="131"/>
      <c r="D37" s="131"/>
      <c r="E37" s="131"/>
      <c r="F37" s="131"/>
      <c r="G37" s="131"/>
      <c r="H37" s="131"/>
      <c r="I37" s="131"/>
      <c r="J37" s="131"/>
      <c r="K37" s="131"/>
      <c r="L37" s="131"/>
      <c r="M37" s="131"/>
      <c r="N37" s="132" t="str">
        <f>SUM(B37:M37)</f>
        <v>0</v>
      </c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3"/>
      <c r="AA37" s="132" t="str">
        <f>SUM(O37:Z37)</f>
        <v>0</v>
      </c>
      <c r="AB37" s="131"/>
      <c r="AC37" s="131"/>
      <c r="AD37" s="131"/>
      <c r="AE37" s="131"/>
      <c r="AF37" s="131"/>
      <c r="AG37" s="131"/>
      <c r="AH37" s="131"/>
      <c r="AI37" s="131"/>
      <c r="AJ37" s="131"/>
      <c r="AK37" s="131"/>
      <c r="AL37" s="131"/>
      <c r="AM37" s="131"/>
      <c r="AN37" s="132" t="str">
        <f>SUM(AB37:AM37)</f>
        <v>0</v>
      </c>
      <c r="AO37" s="133"/>
      <c r="AP37" s="133"/>
      <c r="AQ37" s="133"/>
      <c r="AR37" s="133"/>
      <c r="AS37" s="133"/>
      <c r="AT37" s="133"/>
      <c r="AU37" s="133"/>
      <c r="AV37" s="133"/>
      <c r="AW37" s="133"/>
      <c r="AX37" s="133"/>
      <c r="AY37" s="133"/>
      <c r="AZ37" s="133"/>
      <c r="BA37" s="132" t="str">
        <f>SUM(AO37:AZ37)</f>
        <v>0</v>
      </c>
      <c r="BB37" s="134"/>
      <c r="BC37" s="134"/>
      <c r="BD37" s="134"/>
      <c r="BE37" s="134"/>
      <c r="BF37" s="134"/>
      <c r="BG37" s="134"/>
      <c r="BH37" s="134"/>
      <c r="BI37" s="134"/>
      <c r="BJ37" s="134"/>
      <c r="BK37" s="134"/>
      <c r="BL37" s="134"/>
      <c r="BM37" s="134"/>
      <c r="BN37" s="132" t="str">
        <f>SUM(BB37:BM37)</f>
        <v>0</v>
      </c>
      <c r="BO37" s="135"/>
      <c r="BP37" s="135"/>
      <c r="BQ37" s="135"/>
      <c r="BR37" s="135"/>
      <c r="BS37" s="135"/>
      <c r="BT37" s="135"/>
      <c r="BU37" s="135"/>
      <c r="BV37" s="135"/>
      <c r="BW37" s="135"/>
      <c r="BX37" s="135"/>
      <c r="BY37" s="135"/>
      <c r="BZ37" s="135"/>
      <c r="CA37" s="132" t="str">
        <f>SUM(BO37:BZ37)</f>
        <v>0</v>
      </c>
      <c r="CB37" s="136"/>
      <c r="CC37" s="136"/>
      <c r="CD37" s="136"/>
      <c r="CE37" s="136"/>
      <c r="CF37" s="136"/>
      <c r="CG37" s="136"/>
      <c r="CH37" s="136"/>
      <c r="CI37" s="136"/>
      <c r="CJ37" s="136"/>
      <c r="CK37" s="136"/>
      <c r="CL37" s="136"/>
      <c r="CM37" s="136"/>
      <c r="CN37" s="132" t="str">
        <f>SUM(CB37:CM37)</f>
        <v>0</v>
      </c>
      <c r="CO37" s="137"/>
      <c r="CP37" s="137"/>
      <c r="CQ37" s="137"/>
      <c r="CR37" s="137"/>
      <c r="CS37" s="137"/>
      <c r="CT37" s="137"/>
      <c r="CU37" s="137"/>
      <c r="CV37" s="137"/>
      <c r="CW37" s="137"/>
      <c r="CX37" s="137"/>
      <c r="CY37" s="137"/>
      <c r="CZ37" s="137"/>
      <c r="DA37" s="132" t="str">
        <f>SUM(CO37:CZ37)</f>
        <v>0</v>
      </c>
      <c r="DB37" s="136"/>
      <c r="DC37" s="136"/>
      <c r="DD37" s="136"/>
      <c r="DE37" s="136"/>
      <c r="DF37" s="136"/>
      <c r="DG37" s="136"/>
      <c r="DH37" s="136"/>
      <c r="DI37" s="136"/>
      <c r="DJ37" s="136"/>
      <c r="DK37" s="136"/>
      <c r="DL37" s="136"/>
      <c r="DM37" s="136"/>
      <c r="DN37" s="132" t="str">
        <f>SUM(DB37:DM37)</f>
        <v>0</v>
      </c>
      <c r="DO37" s="137"/>
      <c r="DP37" s="137"/>
      <c r="DQ37" s="137"/>
      <c r="DR37" s="137"/>
      <c r="DS37" s="137"/>
      <c r="DT37" s="137"/>
      <c r="DU37" s="137"/>
      <c r="DV37" s="137"/>
      <c r="DW37" s="137"/>
      <c r="DX37" s="137"/>
      <c r="DY37" s="137"/>
      <c r="DZ37" s="137"/>
      <c r="EA37" s="132" t="str">
        <f>SUM(DO37:DZ37)</f>
        <v>0</v>
      </c>
      <c r="EB37" s="216"/>
      <c r="EC37" s="216"/>
      <c r="ED37" s="216"/>
      <c r="EE37" s="216"/>
      <c r="EF37" s="216"/>
      <c r="EG37" s="216"/>
      <c r="EH37" s="216"/>
      <c r="EI37" s="216"/>
      <c r="EJ37" s="216"/>
      <c r="EK37" s="216"/>
      <c r="EL37" s="216"/>
      <c r="EM37" s="216"/>
      <c r="EN37" s="132" t="str">
        <f>SUM(EB37:EM37)</f>
        <v>0</v>
      </c>
      <c r="EO37" s="132"/>
      <c r="EP37" s="132"/>
      <c r="EQ37" s="132"/>
      <c r="ER37" s="132"/>
      <c r="ES37" s="132"/>
      <c r="ET37" s="132"/>
      <c r="EU37" s="132"/>
      <c r="EV37" s="132"/>
      <c r="EW37" s="132"/>
      <c r="EX37" s="132"/>
      <c r="EY37" s="132"/>
      <c r="EZ37" s="132"/>
      <c r="FA37" s="132" t="str">
        <f>SUM(EO37:EZ37)</f>
        <v>0</v>
      </c>
      <c r="FB37" s="181"/>
      <c r="FC37" s="181"/>
      <c r="FD37" s="181"/>
      <c r="FE37" s="181"/>
      <c r="FF37" s="181"/>
      <c r="FG37" s="181"/>
      <c r="FH37" s="181"/>
      <c r="FI37" s="181"/>
      <c r="FJ37" s="181"/>
      <c r="FK37" s="181"/>
      <c r="FL37" s="181"/>
      <c r="FM37" s="181"/>
      <c r="FN37" s="132" t="str">
        <f>SUM(FB37:FM37)</f>
        <v>0</v>
      </c>
      <c r="FO37" s="132"/>
      <c r="FP37" s="132"/>
      <c r="FQ37" s="132"/>
      <c r="FR37" s="132"/>
      <c r="FS37" s="132"/>
      <c r="FT37" s="132"/>
      <c r="FU37" s="132"/>
      <c r="FV37" s="132"/>
      <c r="FW37" s="132"/>
      <c r="FX37" s="132"/>
      <c r="FY37" s="132"/>
      <c r="FZ37" s="132"/>
      <c r="GA37" s="132" t="str">
        <f>SUM(FO37:FZ37)</f>
        <v>0</v>
      </c>
      <c r="GB37" s="181"/>
      <c r="GC37" s="181"/>
      <c r="GD37" s="181"/>
      <c r="GE37" s="181"/>
      <c r="GF37" s="181"/>
      <c r="GG37" s="181"/>
      <c r="GH37" s="181"/>
      <c r="GI37" s="181"/>
      <c r="GJ37" s="181"/>
      <c r="GK37" s="181"/>
      <c r="GL37" s="181"/>
      <c r="GM37" s="181"/>
      <c r="GN37" s="181" t="str">
        <f>SUM(GB37:GM37)</f>
        <v>0</v>
      </c>
      <c r="GO37" s="137"/>
      <c r="GP37" s="137"/>
      <c r="GQ37" s="137"/>
      <c r="GR37" s="137"/>
      <c r="GS37" s="137"/>
      <c r="GT37" s="137"/>
      <c r="GU37" s="137"/>
      <c r="GV37" s="137"/>
      <c r="GW37" s="137"/>
      <c r="GX37" s="137"/>
      <c r="GY37" s="137"/>
      <c r="GZ37" s="137"/>
      <c r="HA37" s="132" t="str">
        <f>SUM(GO37:GZ37)</f>
        <v>0</v>
      </c>
      <c r="HB37" s="181"/>
      <c r="HC37" s="181"/>
      <c r="HD37" s="181"/>
      <c r="HE37" s="181"/>
      <c r="HF37" s="181"/>
      <c r="HG37" s="181"/>
      <c r="HH37" s="181"/>
      <c r="HI37" s="181"/>
      <c r="HJ37" s="181"/>
      <c r="HK37" s="181"/>
      <c r="HL37" s="181"/>
      <c r="HM37" s="181"/>
      <c r="HN37" s="181" t="str">
        <f>SUM(HB37:HM37)</f>
        <v>0</v>
      </c>
      <c r="HO37" s="132"/>
      <c r="HP37" s="132"/>
      <c r="HQ37" s="132"/>
      <c r="HR37" s="132"/>
      <c r="HS37" s="132"/>
      <c r="HT37" s="132"/>
      <c r="HU37" s="132"/>
      <c r="HV37" s="132"/>
      <c r="HW37" s="132"/>
      <c r="HX37" s="132"/>
      <c r="HY37" s="132"/>
      <c r="HZ37" s="132"/>
      <c r="IA37" s="132" t="str">
        <f>SUM(HO37:HZ37)</f>
        <v>0</v>
      </c>
      <c r="IB37" s="181"/>
      <c r="IC37" s="181"/>
      <c r="ID37" s="181"/>
      <c r="IE37" s="181"/>
      <c r="IF37" s="181"/>
      <c r="IG37" s="181"/>
      <c r="IH37" s="181"/>
      <c r="II37" s="181"/>
      <c r="IJ37" s="181"/>
      <c r="IK37" s="181"/>
      <c r="IL37" s="181"/>
      <c r="IM37" s="181"/>
      <c r="IN37" s="181" t="str">
        <f>SUM(IB37:IM37)</f>
        <v>0</v>
      </c>
      <c r="IO37" s="181"/>
      <c r="IP37" s="181"/>
      <c r="IQ37" s="181"/>
      <c r="IR37" s="181"/>
      <c r="IS37" s="181"/>
      <c r="IT37" s="181"/>
      <c r="IU37" s="181"/>
      <c r="IV37" s="181"/>
      <c r="IW37" s="181"/>
      <c r="IX37" s="181"/>
      <c r="IY37" s="181"/>
      <c r="IZ37" s="181"/>
      <c r="JA37" s="181" t="str">
        <f>SUM(IO37:IZ37)</f>
        <v>0</v>
      </c>
      <c r="JC37" s="135" t="str">
        <f>B37+O37+AB37+AO37+BB37+BO37+CB37+CO37+DB37+DO37+EB37+EO37+FB37+FO37+GB37+GO37+HB37+HO37+IB37+IO37</f>
        <v>0</v>
      </c>
      <c r="JD37" s="135" t="str">
        <f>C37+P37+AC37+AP37+BC37+BP37+CC37+CP37+DC37+DP37+EC37+EP37+FC37+FP37+GC37+GP37+HC37+HP37+IC37+IP37</f>
        <v>0</v>
      </c>
      <c r="JE37" s="135" t="str">
        <f>D37+Q37+AD37+AQ37+BD37+BQ37+CD37+CQ37+DD37+DQ37+ED37+EQ37+FD37+FQ37+GD37+GQ37+HD37+HQ37+ID37+IQ37</f>
        <v>0</v>
      </c>
      <c r="JF37" s="135" t="str">
        <f>E37+R37+AE37+AR37+BE37+BR37+CE37+CR37+DE37+DR37+EE37+ER37+FE37+FR37+GE37+GR37+HE37+HR37+IE37+IR37</f>
        <v>0</v>
      </c>
      <c r="JG37" s="135" t="str">
        <f>F37+S37+AF37+AS37+BF37+BS37+CF37+CS37+DF37+DS37+EF37+ES37+FF37+FS37+GF37+GS37+HF37+HS37+IF37+IS37</f>
        <v>0</v>
      </c>
      <c r="JH37" s="135" t="str">
        <f>G37+T37+AG37+AT37+BG37+BT37+CG37+CT37+DG37+DT37+EG37+ET37+FG37+FT37+GG37+GT37+HG37+HT37+IG37+IT37</f>
        <v>0</v>
      </c>
      <c r="JI37" s="135" t="str">
        <f>H37+U37+AH37+AU37+BH37+BU37+CH37+CU37+DH37+DU37+EH37+EU37+FH37+FU37+GH37+GU37+HH37+HU37+IH37+IU37</f>
        <v>0</v>
      </c>
      <c r="JJ37" s="135" t="str">
        <f>I37+V37+AI37+AV37+BI37+BV37+CI37+CV37+DI37+DV37+EI37+EV37+FI37+FV37+GI37+GV37+HI37+HV37+II37+IV37</f>
        <v>0</v>
      </c>
      <c r="JK37" s="135" t="str">
        <f>J37+W37+AJ37+AW37+BJ37+BW37+CJ37+CW37+DJ37+DW37+EJ37+EW37+FJ37+FW37+GJ37+GW37+HJ37+HW37+IJ37+IW37</f>
        <v>0</v>
      </c>
      <c r="JL37" s="135" t="str">
        <f>K37+X37+AK37+AX37+BK37+BX37+CK37+CX37+DK37+DX37+EK37+EX37+FK37+FX37+GK37+GX37+HK37+HX37+IK37+IX37</f>
        <v>0</v>
      </c>
      <c r="JM37" s="135" t="str">
        <f>L37+Y37+AL37+AY37+BL37+BY37+CL37+CY37+DL37+DY37+EL37+EY37+FL37+FY37+GL37+GY37+HL37+HY37+IL37+IY37</f>
        <v>0</v>
      </c>
      <c r="JN37" s="135" t="str">
        <f>M37+Z37+AM37+AZ37+BM37+BZ37+CM37+CZ37+DM37+DZ37+EM37+EZ37+FM37+FZ37+GM37+GZ37+HM37+HZ37+IM37+IZ37</f>
        <v>0</v>
      </c>
      <c r="JO37" s="132" t="str">
        <f>SUM(JC37:JN37)</f>
        <v>0</v>
      </c>
      <c r="JQ37" s="139" t="str">
        <f>N37+AA37+AN37+BA37+BN37+CA37+CN37+DA37+DN37+EA37+EN37+FA37+FN37+GA37+GN37+HA37+HN37+IA37+IN37+JA37</f>
        <v>0</v>
      </c>
    </row>
    <row r="38" spans="1:278">
      <c r="A38" s="130"/>
      <c r="B38" s="131"/>
      <c r="C38" s="131"/>
      <c r="D38" s="131"/>
      <c r="E38" s="131"/>
      <c r="F38" s="131"/>
      <c r="G38" s="131"/>
      <c r="H38" s="131"/>
      <c r="I38" s="131"/>
      <c r="J38" s="131"/>
      <c r="K38" s="131"/>
      <c r="L38" s="131"/>
      <c r="M38" s="131"/>
      <c r="N38" s="132" t="str">
        <f>SUM(B38:M38)</f>
        <v>0</v>
      </c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  <c r="AA38" s="132" t="str">
        <f>SUM(O38:Z38)</f>
        <v>0</v>
      </c>
      <c r="AB38" s="131"/>
      <c r="AC38" s="131"/>
      <c r="AD38" s="131"/>
      <c r="AE38" s="131"/>
      <c r="AF38" s="131"/>
      <c r="AG38" s="131"/>
      <c r="AH38" s="131"/>
      <c r="AI38" s="131"/>
      <c r="AJ38" s="131"/>
      <c r="AK38" s="131"/>
      <c r="AL38" s="131"/>
      <c r="AM38" s="131"/>
      <c r="AN38" s="132" t="str">
        <f>SUM(AB38:AM38)</f>
        <v>0</v>
      </c>
      <c r="AO38" s="133"/>
      <c r="AP38" s="133"/>
      <c r="AQ38" s="133"/>
      <c r="AR38" s="133"/>
      <c r="AS38" s="133"/>
      <c r="AT38" s="133"/>
      <c r="AU38" s="133"/>
      <c r="AV38" s="133"/>
      <c r="AW38" s="133"/>
      <c r="AX38" s="133"/>
      <c r="AY38" s="133"/>
      <c r="AZ38" s="133"/>
      <c r="BA38" s="132" t="str">
        <f>SUM(AO38:AZ38)</f>
        <v>0</v>
      </c>
      <c r="BB38" s="134"/>
      <c r="BC38" s="134"/>
      <c r="BD38" s="134"/>
      <c r="BE38" s="134"/>
      <c r="BF38" s="134"/>
      <c r="BG38" s="134"/>
      <c r="BH38" s="134"/>
      <c r="BI38" s="134"/>
      <c r="BJ38" s="134"/>
      <c r="BK38" s="134"/>
      <c r="BL38" s="134"/>
      <c r="BM38" s="134"/>
      <c r="BN38" s="132" t="str">
        <f>SUM(BB38:BM38)</f>
        <v>0</v>
      </c>
      <c r="BO38" s="135"/>
      <c r="BP38" s="135"/>
      <c r="BQ38" s="135"/>
      <c r="BR38" s="135"/>
      <c r="BS38" s="135"/>
      <c r="BT38" s="135"/>
      <c r="BU38" s="135"/>
      <c r="BV38" s="135"/>
      <c r="BW38" s="135"/>
      <c r="BX38" s="135"/>
      <c r="BY38" s="135"/>
      <c r="BZ38" s="135"/>
      <c r="CA38" s="132" t="str">
        <f>SUM(BO38:BZ38)</f>
        <v>0</v>
      </c>
      <c r="CB38" s="136"/>
      <c r="CC38" s="136"/>
      <c r="CD38" s="136"/>
      <c r="CE38" s="136"/>
      <c r="CF38" s="136"/>
      <c r="CG38" s="136"/>
      <c r="CH38" s="136"/>
      <c r="CI38" s="136"/>
      <c r="CJ38" s="136"/>
      <c r="CK38" s="136"/>
      <c r="CL38" s="136"/>
      <c r="CM38" s="136"/>
      <c r="CN38" s="132" t="str">
        <f>SUM(CB38:CM38)</f>
        <v>0</v>
      </c>
      <c r="CO38" s="137"/>
      <c r="CP38" s="137"/>
      <c r="CQ38" s="137"/>
      <c r="CR38" s="137"/>
      <c r="CS38" s="137"/>
      <c r="CT38" s="137"/>
      <c r="CU38" s="137"/>
      <c r="CV38" s="137"/>
      <c r="CW38" s="137"/>
      <c r="CX38" s="137"/>
      <c r="CY38" s="137"/>
      <c r="CZ38" s="137"/>
      <c r="DA38" s="132" t="str">
        <f>SUM(CO38:CZ38)</f>
        <v>0</v>
      </c>
      <c r="DB38" s="136"/>
      <c r="DC38" s="136"/>
      <c r="DD38" s="136"/>
      <c r="DE38" s="136"/>
      <c r="DF38" s="136"/>
      <c r="DG38" s="136"/>
      <c r="DH38" s="136"/>
      <c r="DI38" s="136"/>
      <c r="DJ38" s="136"/>
      <c r="DK38" s="136"/>
      <c r="DL38" s="136"/>
      <c r="DM38" s="136"/>
      <c r="DN38" s="132" t="str">
        <f>SUM(DB38:DM38)</f>
        <v>0</v>
      </c>
      <c r="DO38" s="137"/>
      <c r="DP38" s="137"/>
      <c r="DQ38" s="137"/>
      <c r="DR38" s="137"/>
      <c r="DS38" s="137"/>
      <c r="DT38" s="137"/>
      <c r="DU38" s="137"/>
      <c r="DV38" s="137"/>
      <c r="DW38" s="137"/>
      <c r="DX38" s="137"/>
      <c r="DY38" s="137"/>
      <c r="DZ38" s="137"/>
      <c r="EA38" s="132" t="str">
        <f>SUM(DO38:DZ38)</f>
        <v>0</v>
      </c>
      <c r="EB38" s="216"/>
      <c r="EC38" s="216"/>
      <c r="ED38" s="216"/>
      <c r="EE38" s="216"/>
      <c r="EF38" s="216"/>
      <c r="EG38" s="216"/>
      <c r="EH38" s="216"/>
      <c r="EI38" s="216"/>
      <c r="EJ38" s="216"/>
      <c r="EK38" s="216"/>
      <c r="EL38" s="216"/>
      <c r="EM38" s="216"/>
      <c r="EN38" s="132" t="str">
        <f>SUM(EB38:EM38)</f>
        <v>0</v>
      </c>
      <c r="EO38" s="132"/>
      <c r="EP38" s="132"/>
      <c r="EQ38" s="132"/>
      <c r="ER38" s="132"/>
      <c r="ES38" s="132"/>
      <c r="ET38" s="132"/>
      <c r="EU38" s="132"/>
      <c r="EV38" s="132"/>
      <c r="EW38" s="132"/>
      <c r="EX38" s="132"/>
      <c r="EY38" s="132"/>
      <c r="EZ38" s="132"/>
      <c r="FA38" s="132" t="str">
        <f>SUM(EO38:EZ38)</f>
        <v>0</v>
      </c>
      <c r="FB38" s="181"/>
      <c r="FC38" s="181"/>
      <c r="FD38" s="181"/>
      <c r="FE38" s="181"/>
      <c r="FF38" s="181"/>
      <c r="FG38" s="181"/>
      <c r="FH38" s="181"/>
      <c r="FI38" s="181"/>
      <c r="FJ38" s="181"/>
      <c r="FK38" s="181"/>
      <c r="FL38" s="181"/>
      <c r="FM38" s="181"/>
      <c r="FN38" s="132" t="str">
        <f>SUM(FB38:FM38)</f>
        <v>0</v>
      </c>
      <c r="FO38" s="132"/>
      <c r="FP38" s="132"/>
      <c r="FQ38" s="132"/>
      <c r="FR38" s="132"/>
      <c r="FS38" s="132"/>
      <c r="FT38" s="132"/>
      <c r="FU38" s="132"/>
      <c r="FV38" s="132"/>
      <c r="FW38" s="132"/>
      <c r="FX38" s="132"/>
      <c r="FY38" s="132"/>
      <c r="FZ38" s="132"/>
      <c r="GA38" s="132" t="str">
        <f>SUM(FO38:FZ38)</f>
        <v>0</v>
      </c>
      <c r="GB38" s="181"/>
      <c r="GC38" s="181"/>
      <c r="GD38" s="181"/>
      <c r="GE38" s="181"/>
      <c r="GF38" s="181"/>
      <c r="GG38" s="181"/>
      <c r="GH38" s="181"/>
      <c r="GI38" s="181"/>
      <c r="GJ38" s="181"/>
      <c r="GK38" s="181"/>
      <c r="GL38" s="181"/>
      <c r="GM38" s="181"/>
      <c r="GN38" s="181" t="str">
        <f>SUM(GB38:GM38)</f>
        <v>0</v>
      </c>
      <c r="GO38" s="137"/>
      <c r="GP38" s="137"/>
      <c r="GQ38" s="137"/>
      <c r="GR38" s="137"/>
      <c r="GS38" s="137"/>
      <c r="GT38" s="137"/>
      <c r="GU38" s="137"/>
      <c r="GV38" s="137"/>
      <c r="GW38" s="137"/>
      <c r="GX38" s="137"/>
      <c r="GY38" s="137"/>
      <c r="GZ38" s="137"/>
      <c r="HA38" s="132" t="str">
        <f>SUM(GO38:GZ38)</f>
        <v>0</v>
      </c>
      <c r="HB38" s="181"/>
      <c r="HC38" s="181"/>
      <c r="HD38" s="181"/>
      <c r="HE38" s="181"/>
      <c r="HF38" s="181"/>
      <c r="HG38" s="181"/>
      <c r="HH38" s="181"/>
      <c r="HI38" s="181"/>
      <c r="HJ38" s="181"/>
      <c r="HK38" s="181"/>
      <c r="HL38" s="181"/>
      <c r="HM38" s="181"/>
      <c r="HN38" s="181" t="str">
        <f>SUM(HB38:HM38)</f>
        <v>0</v>
      </c>
      <c r="HO38" s="132"/>
      <c r="HP38" s="132"/>
      <c r="HQ38" s="132"/>
      <c r="HR38" s="132"/>
      <c r="HS38" s="132"/>
      <c r="HT38" s="132"/>
      <c r="HU38" s="132"/>
      <c r="HV38" s="132"/>
      <c r="HW38" s="132"/>
      <c r="HX38" s="132"/>
      <c r="HY38" s="132"/>
      <c r="HZ38" s="132"/>
      <c r="IA38" s="132" t="str">
        <f>SUM(HO38:HZ38)</f>
        <v>0</v>
      </c>
      <c r="IB38" s="181"/>
      <c r="IC38" s="181"/>
      <c r="ID38" s="181"/>
      <c r="IE38" s="181"/>
      <c r="IF38" s="181"/>
      <c r="IG38" s="181"/>
      <c r="IH38" s="181"/>
      <c r="II38" s="181"/>
      <c r="IJ38" s="181"/>
      <c r="IK38" s="181"/>
      <c r="IL38" s="181"/>
      <c r="IM38" s="181"/>
      <c r="IN38" s="181" t="str">
        <f>SUM(IB38:IM38)</f>
        <v>0</v>
      </c>
      <c r="IO38" s="181"/>
      <c r="IP38" s="181"/>
      <c r="IQ38" s="181"/>
      <c r="IR38" s="181"/>
      <c r="IS38" s="181"/>
      <c r="IT38" s="181"/>
      <c r="IU38" s="181"/>
      <c r="IV38" s="181"/>
      <c r="IW38" s="181"/>
      <c r="IX38" s="181"/>
      <c r="IY38" s="181"/>
      <c r="IZ38" s="181"/>
      <c r="JA38" s="181" t="str">
        <f>SUM(IO38:IZ38)</f>
        <v>0</v>
      </c>
      <c r="JC38" s="135" t="str">
        <f>B38+O38+AB38+AO38+BB38+BO38+CB38+CO38+DB38+DO38+EB38+EO38+FB38+FO38+GB38+GO38+HB38+HO38+IB38+IO38</f>
        <v>0</v>
      </c>
      <c r="JD38" s="135" t="str">
        <f>C38+P38+AC38+AP38+BC38+BP38+CC38+CP38+DC38+DP38+EC38+EP38+FC38+FP38+GC38+GP38+HC38+HP38+IC38+IP38</f>
        <v>0</v>
      </c>
      <c r="JE38" s="135" t="str">
        <f>D38+Q38+AD38+AQ38+BD38+BQ38+CD38+CQ38+DD38+DQ38+ED38+EQ38+FD38+FQ38+GD38+GQ38+HD38+HQ38+ID38+IQ38</f>
        <v>0</v>
      </c>
      <c r="JF38" s="135" t="str">
        <f>E38+R38+AE38+AR38+BE38+BR38+CE38+CR38+DE38+DR38+EE38+ER38+FE38+FR38+GE38+GR38+HE38+HR38+IE38+IR38</f>
        <v>0</v>
      </c>
      <c r="JG38" s="135" t="str">
        <f>F38+S38+AF38+AS38+BF38+BS38+CF38+CS38+DF38+DS38+EF38+ES38+FF38+FS38+GF38+GS38+HF38+HS38+IF38+IS38</f>
        <v>0</v>
      </c>
      <c r="JH38" s="135" t="str">
        <f>G38+T38+AG38+AT38+BG38+BT38+CG38+CT38+DG38+DT38+EG38+ET38+FG38+FT38+GG38+GT38+HG38+HT38+IG38+IT38</f>
        <v>0</v>
      </c>
      <c r="JI38" s="135" t="str">
        <f>H38+U38+AH38+AU38+BH38+BU38+CH38+CU38+DH38+DU38+EH38+EU38+FH38+FU38+GH38+GU38+HH38+HU38+IH38+IU38</f>
        <v>0</v>
      </c>
      <c r="JJ38" s="135" t="str">
        <f>I38+V38+AI38+AV38+BI38+BV38+CI38+CV38+DI38+DV38+EI38+EV38+FI38+FV38+GI38+GV38+HI38+HV38+II38+IV38</f>
        <v>0</v>
      </c>
      <c r="JK38" s="135" t="str">
        <f>J38+W38+AJ38+AW38+BJ38+BW38+CJ38+CW38+DJ38+DW38+EJ38+EW38+FJ38+FW38+GJ38+GW38+HJ38+HW38+IJ38+IW38</f>
        <v>0</v>
      </c>
      <c r="JL38" s="135" t="str">
        <f>K38+X38+AK38+AX38+BK38+BX38+CK38+CX38+DK38+DX38+EK38+EX38+FK38+FX38+GK38+GX38+HK38+HX38+IK38+IX38</f>
        <v>0</v>
      </c>
      <c r="JM38" s="135" t="str">
        <f>L38+Y38+AL38+AY38+BL38+BY38+CL38+CY38+DL38+DY38+EL38+EY38+FL38+FY38+GL38+GY38+HL38+HY38+IL38+IY38</f>
        <v>0</v>
      </c>
      <c r="JN38" s="135" t="str">
        <f>M38+Z38+AM38+AZ38+BM38+BZ38+CM38+CZ38+DM38+DZ38+EM38+EZ38+FM38+FZ38+GM38+GZ38+HM38+HZ38+IM38+IZ38</f>
        <v>0</v>
      </c>
      <c r="JO38" s="132" t="str">
        <f>SUM(JC38:JN38)</f>
        <v>0</v>
      </c>
      <c r="JQ38" s="139" t="str">
        <f>N38+AA38+AN38+BA38+BN38+CA38+CN38+DA38+DN38+EA38+EN38+FA38+FN38+GA38+GN38+HA38+HN38+IA38+IN38+JA38</f>
        <v>0</v>
      </c>
    </row>
    <row r="39" spans="1:278">
      <c r="A39" s="130"/>
      <c r="B39" s="131"/>
      <c r="C39" s="131"/>
      <c r="D39" s="131"/>
      <c r="E39" s="131"/>
      <c r="F39" s="131"/>
      <c r="G39" s="131"/>
      <c r="H39" s="131"/>
      <c r="I39" s="131"/>
      <c r="J39" s="131"/>
      <c r="K39" s="131"/>
      <c r="L39" s="131"/>
      <c r="M39" s="131"/>
      <c r="N39" s="132" t="str">
        <f>SUM(B39:M39)</f>
        <v>0</v>
      </c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  <c r="AA39" s="132" t="str">
        <f>SUM(O39:Z39)</f>
        <v>0</v>
      </c>
      <c r="AB39" s="131"/>
      <c r="AC39" s="131"/>
      <c r="AD39" s="131"/>
      <c r="AE39" s="131"/>
      <c r="AF39" s="131"/>
      <c r="AG39" s="131"/>
      <c r="AH39" s="131"/>
      <c r="AI39" s="131"/>
      <c r="AJ39" s="131"/>
      <c r="AK39" s="131"/>
      <c r="AL39" s="131"/>
      <c r="AM39" s="131"/>
      <c r="AN39" s="132" t="str">
        <f>SUM(AB39:AM39)</f>
        <v>0</v>
      </c>
      <c r="AO39" s="133"/>
      <c r="AP39" s="133"/>
      <c r="AQ39" s="133"/>
      <c r="AR39" s="133"/>
      <c r="AS39" s="133"/>
      <c r="AT39" s="133"/>
      <c r="AU39" s="133"/>
      <c r="AV39" s="133"/>
      <c r="AW39" s="133"/>
      <c r="AX39" s="133"/>
      <c r="AY39" s="133"/>
      <c r="AZ39" s="133"/>
      <c r="BA39" s="132" t="str">
        <f>SUM(AO39:AZ39)</f>
        <v>0</v>
      </c>
      <c r="BB39" s="134"/>
      <c r="BC39" s="134"/>
      <c r="BD39" s="134"/>
      <c r="BE39" s="134"/>
      <c r="BF39" s="134"/>
      <c r="BG39" s="134"/>
      <c r="BH39" s="134"/>
      <c r="BI39" s="134"/>
      <c r="BJ39" s="134"/>
      <c r="BK39" s="134"/>
      <c r="BL39" s="134"/>
      <c r="BM39" s="134"/>
      <c r="BN39" s="132" t="str">
        <f>SUM(BB39:BM39)</f>
        <v>0</v>
      </c>
      <c r="BO39" s="135"/>
      <c r="BP39" s="135"/>
      <c r="BQ39" s="135"/>
      <c r="BR39" s="135"/>
      <c r="BS39" s="135"/>
      <c r="BT39" s="135"/>
      <c r="BU39" s="135"/>
      <c r="BV39" s="135"/>
      <c r="BW39" s="135"/>
      <c r="BX39" s="135"/>
      <c r="BY39" s="135"/>
      <c r="BZ39" s="135"/>
      <c r="CA39" s="132" t="str">
        <f>SUM(BO39:BZ39)</f>
        <v>0</v>
      </c>
      <c r="CB39" s="136"/>
      <c r="CC39" s="136"/>
      <c r="CD39" s="136"/>
      <c r="CE39" s="136"/>
      <c r="CF39" s="136"/>
      <c r="CG39" s="136"/>
      <c r="CH39" s="136"/>
      <c r="CI39" s="136"/>
      <c r="CJ39" s="136"/>
      <c r="CK39" s="136"/>
      <c r="CL39" s="136"/>
      <c r="CM39" s="136"/>
      <c r="CN39" s="132" t="str">
        <f>SUM(CB39:CM39)</f>
        <v>0</v>
      </c>
      <c r="CO39" s="137"/>
      <c r="CP39" s="137"/>
      <c r="CQ39" s="137"/>
      <c r="CR39" s="137"/>
      <c r="CS39" s="137"/>
      <c r="CT39" s="137"/>
      <c r="CU39" s="137"/>
      <c r="CV39" s="137"/>
      <c r="CW39" s="137"/>
      <c r="CX39" s="137"/>
      <c r="CY39" s="137"/>
      <c r="CZ39" s="137"/>
      <c r="DA39" s="132" t="str">
        <f>SUM(CO39:CZ39)</f>
        <v>0</v>
      </c>
      <c r="DB39" s="136"/>
      <c r="DC39" s="136"/>
      <c r="DD39" s="136"/>
      <c r="DE39" s="136"/>
      <c r="DF39" s="136"/>
      <c r="DG39" s="136"/>
      <c r="DH39" s="136"/>
      <c r="DI39" s="136"/>
      <c r="DJ39" s="136"/>
      <c r="DK39" s="136"/>
      <c r="DL39" s="136"/>
      <c r="DM39" s="136"/>
      <c r="DN39" s="132" t="str">
        <f>SUM(DB39:DM39)</f>
        <v>0</v>
      </c>
      <c r="DO39" s="137"/>
      <c r="DP39" s="137"/>
      <c r="DQ39" s="137"/>
      <c r="DR39" s="137"/>
      <c r="DS39" s="137"/>
      <c r="DT39" s="137"/>
      <c r="DU39" s="137"/>
      <c r="DV39" s="137"/>
      <c r="DW39" s="137"/>
      <c r="DX39" s="137"/>
      <c r="DY39" s="137"/>
      <c r="DZ39" s="137"/>
      <c r="EA39" s="132" t="str">
        <f>SUM(DO39:DZ39)</f>
        <v>0</v>
      </c>
      <c r="EB39" s="216"/>
      <c r="EC39" s="216"/>
      <c r="ED39" s="216"/>
      <c r="EE39" s="216"/>
      <c r="EF39" s="216"/>
      <c r="EG39" s="216"/>
      <c r="EH39" s="216"/>
      <c r="EI39" s="216"/>
      <c r="EJ39" s="216"/>
      <c r="EK39" s="216"/>
      <c r="EL39" s="216"/>
      <c r="EM39" s="216"/>
      <c r="EN39" s="132" t="str">
        <f>SUM(EB39:EM39)</f>
        <v>0</v>
      </c>
      <c r="EO39" s="132"/>
      <c r="EP39" s="132"/>
      <c r="EQ39" s="132"/>
      <c r="ER39" s="132"/>
      <c r="ES39" s="132"/>
      <c r="ET39" s="132"/>
      <c r="EU39" s="132"/>
      <c r="EV39" s="132"/>
      <c r="EW39" s="132"/>
      <c r="EX39" s="132"/>
      <c r="EY39" s="132"/>
      <c r="EZ39" s="132"/>
      <c r="FA39" s="132" t="str">
        <f>SUM(EO39:EZ39)</f>
        <v>0</v>
      </c>
      <c r="FB39" s="181"/>
      <c r="FC39" s="181"/>
      <c r="FD39" s="181"/>
      <c r="FE39" s="181"/>
      <c r="FF39" s="181"/>
      <c r="FG39" s="181"/>
      <c r="FH39" s="181"/>
      <c r="FI39" s="181"/>
      <c r="FJ39" s="181"/>
      <c r="FK39" s="181"/>
      <c r="FL39" s="181"/>
      <c r="FM39" s="181"/>
      <c r="FN39" s="132" t="str">
        <f>SUM(FB39:FM39)</f>
        <v>0</v>
      </c>
      <c r="FO39" s="132"/>
      <c r="FP39" s="132"/>
      <c r="FQ39" s="132"/>
      <c r="FR39" s="132"/>
      <c r="FS39" s="132"/>
      <c r="FT39" s="132"/>
      <c r="FU39" s="132"/>
      <c r="FV39" s="132"/>
      <c r="FW39" s="132"/>
      <c r="FX39" s="132"/>
      <c r="FY39" s="132"/>
      <c r="FZ39" s="132"/>
      <c r="GA39" s="132" t="str">
        <f>SUM(FO39:FZ39)</f>
        <v>0</v>
      </c>
      <c r="GB39" s="181"/>
      <c r="GC39" s="181"/>
      <c r="GD39" s="181"/>
      <c r="GE39" s="181"/>
      <c r="GF39" s="181"/>
      <c r="GG39" s="181"/>
      <c r="GH39" s="181"/>
      <c r="GI39" s="181"/>
      <c r="GJ39" s="181"/>
      <c r="GK39" s="181"/>
      <c r="GL39" s="181"/>
      <c r="GM39" s="181"/>
      <c r="GN39" s="181" t="str">
        <f>SUM(GB39:GM39)</f>
        <v>0</v>
      </c>
      <c r="GO39" s="137"/>
      <c r="GP39" s="137"/>
      <c r="GQ39" s="137"/>
      <c r="GR39" s="137"/>
      <c r="GS39" s="137"/>
      <c r="GT39" s="137"/>
      <c r="GU39" s="137"/>
      <c r="GV39" s="137"/>
      <c r="GW39" s="137"/>
      <c r="GX39" s="137"/>
      <c r="GY39" s="137"/>
      <c r="GZ39" s="137"/>
      <c r="HA39" s="132" t="str">
        <f>SUM(GO39:GZ39)</f>
        <v>0</v>
      </c>
      <c r="HB39" s="181"/>
      <c r="HC39" s="181"/>
      <c r="HD39" s="181"/>
      <c r="HE39" s="181"/>
      <c r="HF39" s="181"/>
      <c r="HG39" s="181"/>
      <c r="HH39" s="181"/>
      <c r="HI39" s="181"/>
      <c r="HJ39" s="181"/>
      <c r="HK39" s="181"/>
      <c r="HL39" s="181"/>
      <c r="HM39" s="181"/>
      <c r="HN39" s="181" t="str">
        <f>SUM(HB39:HM39)</f>
        <v>0</v>
      </c>
      <c r="HO39" s="132"/>
      <c r="HP39" s="132"/>
      <c r="HQ39" s="132"/>
      <c r="HR39" s="132"/>
      <c r="HS39" s="132"/>
      <c r="HT39" s="132"/>
      <c r="HU39" s="132"/>
      <c r="HV39" s="132"/>
      <c r="HW39" s="132"/>
      <c r="HX39" s="132"/>
      <c r="HY39" s="132"/>
      <c r="HZ39" s="132"/>
      <c r="IA39" s="132" t="str">
        <f>SUM(HO39:HZ39)</f>
        <v>0</v>
      </c>
      <c r="IB39" s="181"/>
      <c r="IC39" s="181"/>
      <c r="ID39" s="181"/>
      <c r="IE39" s="181"/>
      <c r="IF39" s="181"/>
      <c r="IG39" s="181"/>
      <c r="IH39" s="181"/>
      <c r="II39" s="181"/>
      <c r="IJ39" s="181"/>
      <c r="IK39" s="181"/>
      <c r="IL39" s="181"/>
      <c r="IM39" s="181"/>
      <c r="IN39" s="181" t="str">
        <f>SUM(IB39:IM39)</f>
        <v>0</v>
      </c>
      <c r="IO39" s="181"/>
      <c r="IP39" s="181"/>
      <c r="IQ39" s="181"/>
      <c r="IR39" s="181"/>
      <c r="IS39" s="181"/>
      <c r="IT39" s="181"/>
      <c r="IU39" s="181"/>
      <c r="IV39" s="181"/>
      <c r="IW39" s="181"/>
      <c r="IX39" s="181"/>
      <c r="IY39" s="181"/>
      <c r="IZ39" s="181"/>
      <c r="JA39" s="181" t="str">
        <f>SUM(IO39:IZ39)</f>
        <v>0</v>
      </c>
      <c r="JC39" s="135" t="str">
        <f>B39+O39+AB39+AO39+BB39+BO39+CB39+CO39+DB39+DO39+EB39+EO39+FB39+FO39+GB39+GO39+HB39+HO39+IB39+IO39</f>
        <v>0</v>
      </c>
      <c r="JD39" s="135" t="str">
        <f>C39+P39+AC39+AP39+BC39+BP39+CC39+CP39+DC39+DP39+EC39+EP39+FC39+FP39+GC39+GP39+HC39+HP39+IC39+IP39</f>
        <v>0</v>
      </c>
      <c r="JE39" s="135" t="str">
        <f>D39+Q39+AD39+AQ39+BD39+BQ39+CD39+CQ39+DD39+DQ39+ED39+EQ39+FD39+FQ39+GD39+GQ39+HD39+HQ39+ID39+IQ39</f>
        <v>0</v>
      </c>
      <c r="JF39" s="135" t="str">
        <f>E39+R39+AE39+AR39+BE39+BR39+CE39+CR39+DE39+DR39+EE39+ER39+FE39+FR39+GE39+GR39+HE39+HR39+IE39+IR39</f>
        <v>0</v>
      </c>
      <c r="JG39" s="135" t="str">
        <f>F39+S39+AF39+AS39+BF39+BS39+CF39+CS39+DF39+DS39+EF39+ES39+FF39+FS39+GF39+GS39+HF39+HS39+IF39+IS39</f>
        <v>0</v>
      </c>
      <c r="JH39" s="135" t="str">
        <f>G39+T39+AG39+AT39+BG39+BT39+CG39+CT39+DG39+DT39+EG39+ET39+FG39+FT39+GG39+GT39+HG39+HT39+IG39+IT39</f>
        <v>0</v>
      </c>
      <c r="JI39" s="135" t="str">
        <f>H39+U39+AH39+AU39+BH39+BU39+CH39+CU39+DH39+DU39+EH39+EU39+FH39+FU39+GH39+GU39+HH39+HU39+IH39+IU39</f>
        <v>0</v>
      </c>
      <c r="JJ39" s="135" t="str">
        <f>I39+V39+AI39+AV39+BI39+BV39+CI39+CV39+DI39+DV39+EI39+EV39+FI39+FV39+GI39+GV39+HI39+HV39+II39+IV39</f>
        <v>0</v>
      </c>
      <c r="JK39" s="135" t="str">
        <f>J39+W39+AJ39+AW39+BJ39+BW39+CJ39+CW39+DJ39+DW39+EJ39+EW39+FJ39+FW39+GJ39+GW39+HJ39+HW39+IJ39+IW39</f>
        <v>0</v>
      </c>
      <c r="JL39" s="135" t="str">
        <f>K39+X39+AK39+AX39+BK39+BX39+CK39+CX39+DK39+DX39+EK39+EX39+FK39+FX39+GK39+GX39+HK39+HX39+IK39+IX39</f>
        <v>0</v>
      </c>
      <c r="JM39" s="135" t="str">
        <f>L39+Y39+AL39+AY39+BL39+BY39+CL39+CY39+DL39+DY39+EL39+EY39+FL39+FY39+GL39+GY39+HL39+HY39+IL39+IY39</f>
        <v>0</v>
      </c>
      <c r="JN39" s="135" t="str">
        <f>M39+Z39+AM39+AZ39+BM39+BZ39+CM39+CZ39+DM39+DZ39+EM39+EZ39+FM39+FZ39+GM39+GZ39+HM39+HZ39+IM39+IZ39</f>
        <v>0</v>
      </c>
      <c r="JO39" s="132" t="str">
        <f>SUM(JC39:JN39)</f>
        <v>0</v>
      </c>
      <c r="JQ39" s="139" t="str">
        <f>N39+AA39+AN39+BA39+BN39+CA39+CN39+DA39+DN39+EA39+EN39+FA39+FN39+GA39+GN39+HA39+HN39+IA39+IN39+JA39</f>
        <v>0</v>
      </c>
    </row>
    <row r="40" spans="1:278">
      <c r="A40" s="130"/>
      <c r="B40" s="131"/>
      <c r="C40" s="131"/>
      <c r="D40" s="131"/>
      <c r="E40" s="131"/>
      <c r="F40" s="131"/>
      <c r="G40" s="131"/>
      <c r="H40" s="131"/>
      <c r="I40" s="131"/>
      <c r="J40" s="131"/>
      <c r="K40" s="131"/>
      <c r="L40" s="131"/>
      <c r="M40" s="131"/>
      <c r="N40" s="132" t="str">
        <f>SUM(B40:M40)</f>
        <v>0</v>
      </c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133"/>
      <c r="AA40" s="132" t="str">
        <f>SUM(O40:Z40)</f>
        <v>0</v>
      </c>
      <c r="AB40" s="131"/>
      <c r="AC40" s="131"/>
      <c r="AD40" s="131"/>
      <c r="AE40" s="131"/>
      <c r="AF40" s="131"/>
      <c r="AG40" s="131"/>
      <c r="AH40" s="131"/>
      <c r="AI40" s="131"/>
      <c r="AJ40" s="131"/>
      <c r="AK40" s="131"/>
      <c r="AL40" s="131"/>
      <c r="AM40" s="131"/>
      <c r="AN40" s="132" t="str">
        <f>SUM(AB40:AM40)</f>
        <v>0</v>
      </c>
      <c r="AO40" s="133"/>
      <c r="AP40" s="133"/>
      <c r="AQ40" s="133"/>
      <c r="AR40" s="133"/>
      <c r="AS40" s="133"/>
      <c r="AT40" s="133"/>
      <c r="AU40" s="133"/>
      <c r="AV40" s="133"/>
      <c r="AW40" s="133"/>
      <c r="AX40" s="133"/>
      <c r="AY40" s="133"/>
      <c r="AZ40" s="133"/>
      <c r="BA40" s="132" t="str">
        <f>SUM(AO40:AZ40)</f>
        <v>0</v>
      </c>
      <c r="BB40" s="134"/>
      <c r="BC40" s="134"/>
      <c r="BD40" s="134"/>
      <c r="BE40" s="134"/>
      <c r="BF40" s="134"/>
      <c r="BG40" s="134"/>
      <c r="BH40" s="134"/>
      <c r="BI40" s="134"/>
      <c r="BJ40" s="134"/>
      <c r="BK40" s="134"/>
      <c r="BL40" s="134"/>
      <c r="BM40" s="134"/>
      <c r="BN40" s="132" t="str">
        <f>SUM(BB40:BM40)</f>
        <v>0</v>
      </c>
      <c r="BO40" s="135"/>
      <c r="BP40" s="135"/>
      <c r="BQ40" s="135"/>
      <c r="BR40" s="135"/>
      <c r="BS40" s="135"/>
      <c r="BT40" s="135"/>
      <c r="BU40" s="135"/>
      <c r="BV40" s="135"/>
      <c r="BW40" s="135"/>
      <c r="BX40" s="135"/>
      <c r="BY40" s="135"/>
      <c r="BZ40" s="135"/>
      <c r="CA40" s="132" t="str">
        <f>SUM(BO40:BZ40)</f>
        <v>0</v>
      </c>
      <c r="CB40" s="136"/>
      <c r="CC40" s="136"/>
      <c r="CD40" s="136"/>
      <c r="CE40" s="136"/>
      <c r="CF40" s="136"/>
      <c r="CG40" s="136"/>
      <c r="CH40" s="136"/>
      <c r="CI40" s="136"/>
      <c r="CJ40" s="136"/>
      <c r="CK40" s="136"/>
      <c r="CL40" s="136"/>
      <c r="CM40" s="136"/>
      <c r="CN40" s="132" t="str">
        <f>SUM(CB40:CM40)</f>
        <v>0</v>
      </c>
      <c r="CO40" s="137"/>
      <c r="CP40" s="137"/>
      <c r="CQ40" s="137"/>
      <c r="CR40" s="137"/>
      <c r="CS40" s="137"/>
      <c r="CT40" s="137"/>
      <c r="CU40" s="137"/>
      <c r="CV40" s="137"/>
      <c r="CW40" s="137"/>
      <c r="CX40" s="137"/>
      <c r="CY40" s="137"/>
      <c r="CZ40" s="137"/>
      <c r="DA40" s="132" t="str">
        <f>SUM(CO40:CZ40)</f>
        <v>0</v>
      </c>
      <c r="DB40" s="136"/>
      <c r="DC40" s="136"/>
      <c r="DD40" s="136"/>
      <c r="DE40" s="136"/>
      <c r="DF40" s="136"/>
      <c r="DG40" s="136"/>
      <c r="DH40" s="136"/>
      <c r="DI40" s="136"/>
      <c r="DJ40" s="136"/>
      <c r="DK40" s="136"/>
      <c r="DL40" s="136"/>
      <c r="DM40" s="136"/>
      <c r="DN40" s="132" t="str">
        <f>SUM(DB40:DM40)</f>
        <v>0</v>
      </c>
      <c r="DO40" s="137"/>
      <c r="DP40" s="137"/>
      <c r="DQ40" s="137"/>
      <c r="DR40" s="137"/>
      <c r="DS40" s="137"/>
      <c r="DT40" s="137"/>
      <c r="DU40" s="137"/>
      <c r="DV40" s="137"/>
      <c r="DW40" s="137"/>
      <c r="DX40" s="137"/>
      <c r="DY40" s="137"/>
      <c r="DZ40" s="137"/>
      <c r="EA40" s="132" t="str">
        <f>SUM(DO40:DZ40)</f>
        <v>0</v>
      </c>
      <c r="EB40" s="216"/>
      <c r="EC40" s="216"/>
      <c r="ED40" s="216"/>
      <c r="EE40" s="216"/>
      <c r="EF40" s="216"/>
      <c r="EG40" s="216"/>
      <c r="EH40" s="216"/>
      <c r="EI40" s="216"/>
      <c r="EJ40" s="216"/>
      <c r="EK40" s="216"/>
      <c r="EL40" s="216"/>
      <c r="EM40" s="216"/>
      <c r="EN40" s="132" t="str">
        <f>SUM(EB40:EM40)</f>
        <v>0</v>
      </c>
      <c r="EO40" s="132"/>
      <c r="EP40" s="132"/>
      <c r="EQ40" s="132"/>
      <c r="ER40" s="132"/>
      <c r="ES40" s="132"/>
      <c r="ET40" s="132"/>
      <c r="EU40" s="132"/>
      <c r="EV40" s="132"/>
      <c r="EW40" s="132"/>
      <c r="EX40" s="132"/>
      <c r="EY40" s="132"/>
      <c r="EZ40" s="132"/>
      <c r="FA40" s="132" t="str">
        <f>SUM(EO40:EZ40)</f>
        <v>0</v>
      </c>
      <c r="FB40" s="181"/>
      <c r="FC40" s="181"/>
      <c r="FD40" s="181"/>
      <c r="FE40" s="181"/>
      <c r="FF40" s="181"/>
      <c r="FG40" s="181"/>
      <c r="FH40" s="181"/>
      <c r="FI40" s="181"/>
      <c r="FJ40" s="181"/>
      <c r="FK40" s="181"/>
      <c r="FL40" s="181"/>
      <c r="FM40" s="181"/>
      <c r="FN40" s="132" t="str">
        <f>SUM(FB40:FM40)</f>
        <v>0</v>
      </c>
      <c r="FO40" s="132"/>
      <c r="FP40" s="132"/>
      <c r="FQ40" s="132"/>
      <c r="FR40" s="132"/>
      <c r="FS40" s="132"/>
      <c r="FT40" s="132"/>
      <c r="FU40" s="132"/>
      <c r="FV40" s="132"/>
      <c r="FW40" s="132"/>
      <c r="FX40" s="132"/>
      <c r="FY40" s="132"/>
      <c r="FZ40" s="132"/>
      <c r="GA40" s="132" t="str">
        <f>SUM(FO40:FZ40)</f>
        <v>0</v>
      </c>
      <c r="GB40" s="181"/>
      <c r="GC40" s="181"/>
      <c r="GD40" s="181"/>
      <c r="GE40" s="181"/>
      <c r="GF40" s="181"/>
      <c r="GG40" s="181"/>
      <c r="GH40" s="181"/>
      <c r="GI40" s="181"/>
      <c r="GJ40" s="181"/>
      <c r="GK40" s="181"/>
      <c r="GL40" s="181"/>
      <c r="GM40" s="181"/>
      <c r="GN40" s="181" t="str">
        <f>SUM(GB40:GM40)</f>
        <v>0</v>
      </c>
      <c r="GO40" s="137"/>
      <c r="GP40" s="137"/>
      <c r="GQ40" s="137"/>
      <c r="GR40" s="137"/>
      <c r="GS40" s="137"/>
      <c r="GT40" s="137"/>
      <c r="GU40" s="137"/>
      <c r="GV40" s="137"/>
      <c r="GW40" s="137"/>
      <c r="GX40" s="137"/>
      <c r="GY40" s="137"/>
      <c r="GZ40" s="137"/>
      <c r="HA40" s="132" t="str">
        <f>SUM(GO40:GZ40)</f>
        <v>0</v>
      </c>
      <c r="HB40" s="181"/>
      <c r="HC40" s="181"/>
      <c r="HD40" s="181"/>
      <c r="HE40" s="181"/>
      <c r="HF40" s="181"/>
      <c r="HG40" s="181"/>
      <c r="HH40" s="181"/>
      <c r="HI40" s="181"/>
      <c r="HJ40" s="181"/>
      <c r="HK40" s="181"/>
      <c r="HL40" s="181"/>
      <c r="HM40" s="181"/>
      <c r="HN40" s="181" t="str">
        <f>SUM(HB40:HM40)</f>
        <v>0</v>
      </c>
      <c r="HO40" s="132"/>
      <c r="HP40" s="132"/>
      <c r="HQ40" s="132"/>
      <c r="HR40" s="132"/>
      <c r="HS40" s="132"/>
      <c r="HT40" s="132"/>
      <c r="HU40" s="132"/>
      <c r="HV40" s="132"/>
      <c r="HW40" s="132"/>
      <c r="HX40" s="132"/>
      <c r="HY40" s="132"/>
      <c r="HZ40" s="132"/>
      <c r="IA40" s="132" t="str">
        <f>SUM(HO40:HZ40)</f>
        <v>0</v>
      </c>
      <c r="IB40" s="181"/>
      <c r="IC40" s="181"/>
      <c r="ID40" s="181"/>
      <c r="IE40" s="181"/>
      <c r="IF40" s="181"/>
      <c r="IG40" s="181"/>
      <c r="IH40" s="181"/>
      <c r="II40" s="181"/>
      <c r="IJ40" s="181"/>
      <c r="IK40" s="181"/>
      <c r="IL40" s="181"/>
      <c r="IM40" s="181"/>
      <c r="IN40" s="181" t="str">
        <f>SUM(IB40:IM40)</f>
        <v>0</v>
      </c>
      <c r="IO40" s="181"/>
      <c r="IP40" s="181"/>
      <c r="IQ40" s="181"/>
      <c r="IR40" s="181"/>
      <c r="IS40" s="181"/>
      <c r="IT40" s="181"/>
      <c r="IU40" s="181"/>
      <c r="IV40" s="181"/>
      <c r="IW40" s="181"/>
      <c r="IX40" s="181"/>
      <c r="IY40" s="181"/>
      <c r="IZ40" s="181"/>
      <c r="JA40" s="181" t="str">
        <f>SUM(IO40:IZ40)</f>
        <v>0</v>
      </c>
      <c r="JC40" s="135" t="str">
        <f>B40+O40+AB40+AO40+BB40+BO40+CB40+CO40+DB40+DO40+EB40+EO40+FB40+FO40+GB40+GO40+HB40+HO40+IB40+IO40</f>
        <v>0</v>
      </c>
      <c r="JD40" s="135" t="str">
        <f>C40+P40+AC40+AP40+BC40+BP40+CC40+CP40+DC40+DP40+EC40+EP40+FC40+FP40+GC40+GP40+HC40+HP40+IC40+IP40</f>
        <v>0</v>
      </c>
      <c r="JE40" s="135" t="str">
        <f>D40+Q40+AD40+AQ40+BD40+BQ40+CD40+CQ40+DD40+DQ40+ED40+EQ40+FD40+FQ40+GD40+GQ40+HD40+HQ40+ID40+IQ40</f>
        <v>0</v>
      </c>
      <c r="JF40" s="135" t="str">
        <f>E40+R40+AE40+AR40+BE40+BR40+CE40+CR40+DE40+DR40+EE40+ER40+FE40+FR40+GE40+GR40+HE40+HR40+IE40+IR40</f>
        <v>0</v>
      </c>
      <c r="JG40" s="135" t="str">
        <f>F40+S40+AF40+AS40+BF40+BS40+CF40+CS40+DF40+DS40+EF40+ES40+FF40+FS40+GF40+GS40+HF40+HS40+IF40+IS40</f>
        <v>0</v>
      </c>
      <c r="JH40" s="135" t="str">
        <f>G40+T40+AG40+AT40+BG40+BT40+CG40+CT40+DG40+DT40+EG40+ET40+FG40+FT40+GG40+GT40+HG40+HT40+IG40+IT40</f>
        <v>0</v>
      </c>
      <c r="JI40" s="135" t="str">
        <f>H40+U40+AH40+AU40+BH40+BU40+CH40+CU40+DH40+DU40+EH40+EU40+FH40+FU40+GH40+GU40+HH40+HU40+IH40+IU40</f>
        <v>0</v>
      </c>
      <c r="JJ40" s="135" t="str">
        <f>I40+V40+AI40+AV40+BI40+BV40+CI40+CV40+DI40+DV40+EI40+EV40+FI40+FV40+GI40+GV40+HI40+HV40+II40+IV40</f>
        <v>0</v>
      </c>
      <c r="JK40" s="135" t="str">
        <f>J40+W40+AJ40+AW40+BJ40+BW40+CJ40+CW40+DJ40+DW40+EJ40+EW40+FJ40+FW40+GJ40+GW40+HJ40+HW40+IJ40+IW40</f>
        <v>0</v>
      </c>
      <c r="JL40" s="135" t="str">
        <f>K40+X40+AK40+AX40+BK40+BX40+CK40+CX40+DK40+DX40+EK40+EX40+FK40+FX40+GK40+GX40+HK40+HX40+IK40+IX40</f>
        <v>0</v>
      </c>
      <c r="JM40" s="135" t="str">
        <f>L40+Y40+AL40+AY40+BL40+BY40+CL40+CY40+DL40+DY40+EL40+EY40+FL40+FY40+GL40+GY40+HL40+HY40+IL40+IY40</f>
        <v>0</v>
      </c>
      <c r="JN40" s="135" t="str">
        <f>M40+Z40+AM40+AZ40+BM40+BZ40+CM40+CZ40+DM40+DZ40+EM40+EZ40+FM40+FZ40+GM40+GZ40+HM40+HZ40+IM40+IZ40</f>
        <v>0</v>
      </c>
      <c r="JO40" s="132" t="str">
        <f>SUM(JC40:JN40)</f>
        <v>0</v>
      </c>
      <c r="JQ40" s="139" t="str">
        <f>N40+AA40+AN40+BA40+BN40+CA40+CN40+DA40+DN40+EA40+EN40+FA40+FN40+GA40+GN40+HA40+HN40+IA40+IN40+JA40</f>
        <v>0</v>
      </c>
    </row>
    <row r="41" spans="1:278">
      <c r="A41" s="130"/>
      <c r="B41" s="131"/>
      <c r="C41" s="131"/>
      <c r="D41" s="131"/>
      <c r="E41" s="131"/>
      <c r="F41" s="131"/>
      <c r="G41" s="131"/>
      <c r="H41" s="131"/>
      <c r="I41" s="131"/>
      <c r="J41" s="131"/>
      <c r="K41" s="131"/>
      <c r="L41" s="131"/>
      <c r="M41" s="131"/>
      <c r="N41" s="132" t="str">
        <f>SUM(B41:M41)</f>
        <v>0</v>
      </c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  <c r="Z41" s="133"/>
      <c r="AA41" s="132" t="str">
        <f>SUM(O41:Z41)</f>
        <v>0</v>
      </c>
      <c r="AB41" s="131"/>
      <c r="AC41" s="131"/>
      <c r="AD41" s="131"/>
      <c r="AE41" s="131"/>
      <c r="AF41" s="131"/>
      <c r="AG41" s="131"/>
      <c r="AH41" s="131"/>
      <c r="AI41" s="131"/>
      <c r="AJ41" s="131"/>
      <c r="AK41" s="131"/>
      <c r="AL41" s="131"/>
      <c r="AM41" s="131"/>
      <c r="AN41" s="132" t="str">
        <f>SUM(AB41:AM41)</f>
        <v>0</v>
      </c>
      <c r="AO41" s="133"/>
      <c r="AP41" s="133"/>
      <c r="AQ41" s="133"/>
      <c r="AR41" s="133"/>
      <c r="AS41" s="133"/>
      <c r="AT41" s="133"/>
      <c r="AU41" s="133"/>
      <c r="AV41" s="133"/>
      <c r="AW41" s="133"/>
      <c r="AX41" s="133"/>
      <c r="AY41" s="133"/>
      <c r="AZ41" s="133"/>
      <c r="BA41" s="132" t="str">
        <f>SUM(AO41:AZ41)</f>
        <v>0</v>
      </c>
      <c r="BB41" s="134"/>
      <c r="BC41" s="134"/>
      <c r="BD41" s="134"/>
      <c r="BE41" s="134"/>
      <c r="BF41" s="134"/>
      <c r="BG41" s="134"/>
      <c r="BH41" s="134"/>
      <c r="BI41" s="134"/>
      <c r="BJ41" s="134"/>
      <c r="BK41" s="134"/>
      <c r="BL41" s="134"/>
      <c r="BM41" s="134"/>
      <c r="BN41" s="132" t="str">
        <f>SUM(BB41:BM41)</f>
        <v>0</v>
      </c>
      <c r="BO41" s="135"/>
      <c r="BP41" s="135"/>
      <c r="BQ41" s="135"/>
      <c r="BR41" s="135"/>
      <c r="BS41" s="135"/>
      <c r="BT41" s="135"/>
      <c r="BU41" s="135"/>
      <c r="BV41" s="135"/>
      <c r="BW41" s="135"/>
      <c r="BX41" s="135"/>
      <c r="BY41" s="135"/>
      <c r="BZ41" s="135"/>
      <c r="CA41" s="132" t="str">
        <f>SUM(BO41:BZ41)</f>
        <v>0</v>
      </c>
      <c r="CB41" s="136"/>
      <c r="CC41" s="136"/>
      <c r="CD41" s="136"/>
      <c r="CE41" s="136"/>
      <c r="CF41" s="136"/>
      <c r="CG41" s="136"/>
      <c r="CH41" s="136"/>
      <c r="CI41" s="136"/>
      <c r="CJ41" s="136"/>
      <c r="CK41" s="136"/>
      <c r="CL41" s="136"/>
      <c r="CM41" s="136"/>
      <c r="CN41" s="132" t="str">
        <f>SUM(CB41:CM41)</f>
        <v>0</v>
      </c>
      <c r="CO41" s="137"/>
      <c r="CP41" s="137"/>
      <c r="CQ41" s="137"/>
      <c r="CR41" s="137"/>
      <c r="CS41" s="137"/>
      <c r="CT41" s="137"/>
      <c r="CU41" s="137"/>
      <c r="CV41" s="137"/>
      <c r="CW41" s="137"/>
      <c r="CX41" s="137"/>
      <c r="CY41" s="137"/>
      <c r="CZ41" s="137"/>
      <c r="DA41" s="132" t="str">
        <f>SUM(CO41:CZ41)</f>
        <v>0</v>
      </c>
      <c r="DB41" s="136"/>
      <c r="DC41" s="136"/>
      <c r="DD41" s="136"/>
      <c r="DE41" s="136"/>
      <c r="DF41" s="136"/>
      <c r="DG41" s="136"/>
      <c r="DH41" s="136"/>
      <c r="DI41" s="136"/>
      <c r="DJ41" s="136"/>
      <c r="DK41" s="136"/>
      <c r="DL41" s="136"/>
      <c r="DM41" s="136"/>
      <c r="DN41" s="132" t="str">
        <f>SUM(DB41:DM41)</f>
        <v>0</v>
      </c>
      <c r="DO41" s="137"/>
      <c r="DP41" s="137"/>
      <c r="DQ41" s="137"/>
      <c r="DR41" s="137"/>
      <c r="DS41" s="137"/>
      <c r="DT41" s="137"/>
      <c r="DU41" s="137"/>
      <c r="DV41" s="137"/>
      <c r="DW41" s="137"/>
      <c r="DX41" s="137"/>
      <c r="DY41" s="137"/>
      <c r="DZ41" s="137"/>
      <c r="EA41" s="132" t="str">
        <f>SUM(DO41:DZ41)</f>
        <v>0</v>
      </c>
      <c r="EB41" s="216"/>
      <c r="EC41" s="216"/>
      <c r="ED41" s="216"/>
      <c r="EE41" s="216"/>
      <c r="EF41" s="216"/>
      <c r="EG41" s="216"/>
      <c r="EH41" s="216"/>
      <c r="EI41" s="216"/>
      <c r="EJ41" s="216"/>
      <c r="EK41" s="216"/>
      <c r="EL41" s="216"/>
      <c r="EM41" s="216"/>
      <c r="EN41" s="132" t="str">
        <f>SUM(EB41:EM41)</f>
        <v>0</v>
      </c>
      <c r="EO41" s="132"/>
      <c r="EP41" s="132"/>
      <c r="EQ41" s="132"/>
      <c r="ER41" s="132"/>
      <c r="ES41" s="132"/>
      <c r="ET41" s="132"/>
      <c r="EU41" s="132"/>
      <c r="EV41" s="132"/>
      <c r="EW41" s="132"/>
      <c r="EX41" s="132"/>
      <c r="EY41" s="132"/>
      <c r="EZ41" s="132"/>
      <c r="FA41" s="132" t="str">
        <f>SUM(EO41:EZ41)</f>
        <v>0</v>
      </c>
      <c r="FB41" s="181"/>
      <c r="FC41" s="181"/>
      <c r="FD41" s="181"/>
      <c r="FE41" s="181"/>
      <c r="FF41" s="181"/>
      <c r="FG41" s="181"/>
      <c r="FH41" s="181"/>
      <c r="FI41" s="181"/>
      <c r="FJ41" s="181"/>
      <c r="FK41" s="181"/>
      <c r="FL41" s="181"/>
      <c r="FM41" s="181"/>
      <c r="FN41" s="132" t="str">
        <f>SUM(FB41:FM41)</f>
        <v>0</v>
      </c>
      <c r="FO41" s="132"/>
      <c r="FP41" s="132"/>
      <c r="FQ41" s="132"/>
      <c r="FR41" s="132"/>
      <c r="FS41" s="132"/>
      <c r="FT41" s="132"/>
      <c r="FU41" s="132"/>
      <c r="FV41" s="132"/>
      <c r="FW41" s="132"/>
      <c r="FX41" s="132"/>
      <c r="FY41" s="132"/>
      <c r="FZ41" s="132"/>
      <c r="GA41" s="132" t="str">
        <f>SUM(FO41:FZ41)</f>
        <v>0</v>
      </c>
      <c r="GB41" s="181"/>
      <c r="GC41" s="181"/>
      <c r="GD41" s="181"/>
      <c r="GE41" s="181"/>
      <c r="GF41" s="181"/>
      <c r="GG41" s="181"/>
      <c r="GH41" s="181"/>
      <c r="GI41" s="181"/>
      <c r="GJ41" s="181"/>
      <c r="GK41" s="181"/>
      <c r="GL41" s="181"/>
      <c r="GM41" s="181"/>
      <c r="GN41" s="181" t="str">
        <f>SUM(GB41:GM41)</f>
        <v>0</v>
      </c>
      <c r="GO41" s="137"/>
      <c r="GP41" s="137"/>
      <c r="GQ41" s="137"/>
      <c r="GR41" s="137"/>
      <c r="GS41" s="137"/>
      <c r="GT41" s="137"/>
      <c r="GU41" s="137"/>
      <c r="GV41" s="137"/>
      <c r="GW41" s="137"/>
      <c r="GX41" s="137"/>
      <c r="GY41" s="137"/>
      <c r="GZ41" s="137"/>
      <c r="HA41" s="132" t="str">
        <f>SUM(GO41:GZ41)</f>
        <v>0</v>
      </c>
      <c r="HB41" s="181"/>
      <c r="HC41" s="181"/>
      <c r="HD41" s="181"/>
      <c r="HE41" s="181"/>
      <c r="HF41" s="181"/>
      <c r="HG41" s="181"/>
      <c r="HH41" s="181"/>
      <c r="HI41" s="181"/>
      <c r="HJ41" s="181"/>
      <c r="HK41" s="181"/>
      <c r="HL41" s="181"/>
      <c r="HM41" s="181"/>
      <c r="HN41" s="181" t="str">
        <f>SUM(HB41:HM41)</f>
        <v>0</v>
      </c>
      <c r="HO41" s="132"/>
      <c r="HP41" s="132"/>
      <c r="HQ41" s="132"/>
      <c r="HR41" s="132"/>
      <c r="HS41" s="132"/>
      <c r="HT41" s="132"/>
      <c r="HU41" s="132"/>
      <c r="HV41" s="132"/>
      <c r="HW41" s="132"/>
      <c r="HX41" s="132"/>
      <c r="HY41" s="132"/>
      <c r="HZ41" s="132"/>
      <c r="IA41" s="132" t="str">
        <f>SUM(HO41:HZ41)</f>
        <v>0</v>
      </c>
      <c r="IB41" s="181"/>
      <c r="IC41" s="181"/>
      <c r="ID41" s="181"/>
      <c r="IE41" s="181"/>
      <c r="IF41" s="181"/>
      <c r="IG41" s="181"/>
      <c r="IH41" s="181"/>
      <c r="II41" s="181"/>
      <c r="IJ41" s="181"/>
      <c r="IK41" s="181"/>
      <c r="IL41" s="181"/>
      <c r="IM41" s="181"/>
      <c r="IN41" s="181" t="str">
        <f>SUM(IB41:IM41)</f>
        <v>0</v>
      </c>
      <c r="IO41" s="181"/>
      <c r="IP41" s="181"/>
      <c r="IQ41" s="181"/>
      <c r="IR41" s="181"/>
      <c r="IS41" s="181"/>
      <c r="IT41" s="181"/>
      <c r="IU41" s="181"/>
      <c r="IV41" s="181"/>
      <c r="IW41" s="181"/>
      <c r="IX41" s="181"/>
      <c r="IY41" s="181"/>
      <c r="IZ41" s="181"/>
      <c r="JA41" s="181" t="str">
        <f>SUM(IO41:IZ41)</f>
        <v>0</v>
      </c>
      <c r="JC41" s="135" t="str">
        <f>B41+O41+AB41+AO41+BB41+BO41+CB41+CO41+DB41+DO41+EB41+EO41+FB41+FO41+GB41+GO41+HB41+HO41+IB41+IO41</f>
        <v>0</v>
      </c>
      <c r="JD41" s="135" t="str">
        <f>C41+P41+AC41+AP41+BC41+BP41+CC41+CP41+DC41+DP41+EC41+EP41+FC41+FP41+GC41+GP41+HC41+HP41+IC41+IP41</f>
        <v>0</v>
      </c>
      <c r="JE41" s="135" t="str">
        <f>D41+Q41+AD41+AQ41+BD41+BQ41+CD41+CQ41+DD41+DQ41+ED41+EQ41+FD41+FQ41+GD41+GQ41+HD41+HQ41+ID41+IQ41</f>
        <v>0</v>
      </c>
      <c r="JF41" s="135" t="str">
        <f>E41+R41+AE41+AR41+BE41+BR41+CE41+CR41+DE41+DR41+EE41+ER41+FE41+FR41+GE41+GR41+HE41+HR41+IE41+IR41</f>
        <v>0</v>
      </c>
      <c r="JG41" s="135" t="str">
        <f>F41+S41+AF41+AS41+BF41+BS41+CF41+CS41+DF41+DS41+EF41+ES41+FF41+FS41+GF41+GS41+HF41+HS41+IF41+IS41</f>
        <v>0</v>
      </c>
      <c r="JH41" s="135" t="str">
        <f>G41+T41+AG41+AT41+BG41+BT41+CG41+CT41+DG41+DT41+EG41+ET41+FG41+FT41+GG41+GT41+HG41+HT41+IG41+IT41</f>
        <v>0</v>
      </c>
      <c r="JI41" s="135" t="str">
        <f>H41+U41+AH41+AU41+BH41+BU41+CH41+CU41+DH41+DU41+EH41+EU41+FH41+FU41+GH41+GU41+HH41+HU41+IH41+IU41</f>
        <v>0</v>
      </c>
      <c r="JJ41" s="135" t="str">
        <f>I41+V41+AI41+AV41+BI41+BV41+CI41+CV41+DI41+DV41+EI41+EV41+FI41+FV41+GI41+GV41+HI41+HV41+II41+IV41</f>
        <v>0</v>
      </c>
      <c r="JK41" s="135" t="str">
        <f>J41+W41+AJ41+AW41+BJ41+BW41+CJ41+CW41+DJ41+DW41+EJ41+EW41+FJ41+FW41+GJ41+GW41+HJ41+HW41+IJ41+IW41</f>
        <v>0</v>
      </c>
      <c r="JL41" s="135" t="str">
        <f>K41+X41+AK41+AX41+BK41+BX41+CK41+CX41+DK41+DX41+EK41+EX41+FK41+FX41+GK41+GX41+HK41+HX41+IK41+IX41</f>
        <v>0</v>
      </c>
      <c r="JM41" s="135" t="str">
        <f>L41+Y41+AL41+AY41+BL41+BY41+CL41+CY41+DL41+DY41+EL41+EY41+FL41+FY41+GL41+GY41+HL41+HY41+IL41+IY41</f>
        <v>0</v>
      </c>
      <c r="JN41" s="135" t="str">
        <f>M41+Z41+AM41+AZ41+BM41+BZ41+CM41+CZ41+DM41+DZ41+EM41+EZ41+FM41+FZ41+GM41+GZ41+HM41+HZ41+IM41+IZ41</f>
        <v>0</v>
      </c>
      <c r="JO41" s="132" t="str">
        <f>SUM(JC41:JN41)</f>
        <v>0</v>
      </c>
      <c r="JQ41" s="139" t="str">
        <f>N41+AA41+AN41+BA41+BN41+CA41+CN41+DA41+DN41+EA41+EN41+FA41+FN41+GA41+GN41+HA41+HN41+IA41+IN41+JA41</f>
        <v>0</v>
      </c>
    </row>
    <row r="42" spans="1:278">
      <c r="A42" s="130"/>
      <c r="B42" s="131"/>
      <c r="C42" s="131"/>
      <c r="D42" s="131"/>
      <c r="E42" s="131"/>
      <c r="F42" s="131"/>
      <c r="G42" s="131"/>
      <c r="H42" s="131"/>
      <c r="I42" s="131"/>
      <c r="J42" s="131"/>
      <c r="K42" s="131"/>
      <c r="L42" s="131"/>
      <c r="M42" s="131"/>
      <c r="N42" s="132" t="str">
        <f>SUM(B42:M42)</f>
        <v>0</v>
      </c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  <c r="AA42" s="132" t="str">
        <f>SUM(O42:Z42)</f>
        <v>0</v>
      </c>
      <c r="AB42" s="131"/>
      <c r="AC42" s="131"/>
      <c r="AD42" s="131"/>
      <c r="AE42" s="131"/>
      <c r="AF42" s="131"/>
      <c r="AG42" s="131"/>
      <c r="AH42" s="131"/>
      <c r="AI42" s="131"/>
      <c r="AJ42" s="131"/>
      <c r="AK42" s="131"/>
      <c r="AL42" s="131"/>
      <c r="AM42" s="131"/>
      <c r="AN42" s="132" t="str">
        <f>SUM(AB42:AM42)</f>
        <v>0</v>
      </c>
      <c r="AO42" s="133"/>
      <c r="AP42" s="133"/>
      <c r="AQ42" s="133"/>
      <c r="AR42" s="133"/>
      <c r="AS42" s="133"/>
      <c r="AT42" s="133"/>
      <c r="AU42" s="133"/>
      <c r="AV42" s="133"/>
      <c r="AW42" s="133"/>
      <c r="AX42" s="133"/>
      <c r="AY42" s="133"/>
      <c r="AZ42" s="133"/>
      <c r="BA42" s="132" t="str">
        <f>SUM(AO42:AZ42)</f>
        <v>0</v>
      </c>
      <c r="BB42" s="134"/>
      <c r="BC42" s="134"/>
      <c r="BD42" s="134"/>
      <c r="BE42" s="134"/>
      <c r="BF42" s="134"/>
      <c r="BG42" s="134"/>
      <c r="BH42" s="134"/>
      <c r="BI42" s="134"/>
      <c r="BJ42" s="134"/>
      <c r="BK42" s="134"/>
      <c r="BL42" s="134"/>
      <c r="BM42" s="134"/>
      <c r="BN42" s="132" t="str">
        <f>SUM(BB42:BM42)</f>
        <v>0</v>
      </c>
      <c r="BO42" s="135"/>
      <c r="BP42" s="135"/>
      <c r="BQ42" s="135"/>
      <c r="BR42" s="135"/>
      <c r="BS42" s="135"/>
      <c r="BT42" s="135"/>
      <c r="BU42" s="135"/>
      <c r="BV42" s="135"/>
      <c r="BW42" s="135"/>
      <c r="BX42" s="135"/>
      <c r="BY42" s="135"/>
      <c r="BZ42" s="135"/>
      <c r="CA42" s="132" t="str">
        <f>SUM(BO42:BZ42)</f>
        <v>0</v>
      </c>
      <c r="CB42" s="136"/>
      <c r="CC42" s="136"/>
      <c r="CD42" s="136"/>
      <c r="CE42" s="136"/>
      <c r="CF42" s="136"/>
      <c r="CG42" s="136"/>
      <c r="CH42" s="136"/>
      <c r="CI42" s="136"/>
      <c r="CJ42" s="136"/>
      <c r="CK42" s="136"/>
      <c r="CL42" s="136"/>
      <c r="CM42" s="136"/>
      <c r="CN42" s="132" t="str">
        <f>SUM(CB42:CM42)</f>
        <v>0</v>
      </c>
      <c r="CO42" s="137"/>
      <c r="CP42" s="137"/>
      <c r="CQ42" s="137"/>
      <c r="CR42" s="137"/>
      <c r="CS42" s="137"/>
      <c r="CT42" s="137"/>
      <c r="CU42" s="137"/>
      <c r="CV42" s="137"/>
      <c r="CW42" s="137"/>
      <c r="CX42" s="137"/>
      <c r="CY42" s="137"/>
      <c r="CZ42" s="137"/>
      <c r="DA42" s="132" t="str">
        <f>SUM(CO42:CZ42)</f>
        <v>0</v>
      </c>
      <c r="DB42" s="136"/>
      <c r="DC42" s="136"/>
      <c r="DD42" s="136"/>
      <c r="DE42" s="136"/>
      <c r="DF42" s="136"/>
      <c r="DG42" s="136"/>
      <c r="DH42" s="136"/>
      <c r="DI42" s="136"/>
      <c r="DJ42" s="136"/>
      <c r="DK42" s="136"/>
      <c r="DL42" s="136"/>
      <c r="DM42" s="136"/>
      <c r="DN42" s="132" t="str">
        <f>SUM(DB42:DM42)</f>
        <v>0</v>
      </c>
      <c r="DO42" s="137"/>
      <c r="DP42" s="137"/>
      <c r="DQ42" s="137"/>
      <c r="DR42" s="137"/>
      <c r="DS42" s="137"/>
      <c r="DT42" s="137"/>
      <c r="DU42" s="137"/>
      <c r="DV42" s="137"/>
      <c r="DW42" s="137"/>
      <c r="DX42" s="137"/>
      <c r="DY42" s="137"/>
      <c r="DZ42" s="137"/>
      <c r="EA42" s="132" t="str">
        <f>SUM(DO42:DZ42)</f>
        <v>0</v>
      </c>
      <c r="EB42" s="216"/>
      <c r="EC42" s="216"/>
      <c r="ED42" s="216"/>
      <c r="EE42" s="216"/>
      <c r="EF42" s="216"/>
      <c r="EG42" s="216"/>
      <c r="EH42" s="216"/>
      <c r="EI42" s="216"/>
      <c r="EJ42" s="216"/>
      <c r="EK42" s="216"/>
      <c r="EL42" s="216"/>
      <c r="EM42" s="216"/>
      <c r="EN42" s="132" t="str">
        <f>SUM(EB42:EM42)</f>
        <v>0</v>
      </c>
      <c r="EO42" s="132"/>
      <c r="EP42" s="132"/>
      <c r="EQ42" s="132"/>
      <c r="ER42" s="132"/>
      <c r="ES42" s="132"/>
      <c r="ET42" s="132"/>
      <c r="EU42" s="132"/>
      <c r="EV42" s="132"/>
      <c r="EW42" s="132"/>
      <c r="EX42" s="132"/>
      <c r="EY42" s="132"/>
      <c r="EZ42" s="132"/>
      <c r="FA42" s="132" t="str">
        <f>SUM(EO42:EZ42)</f>
        <v>0</v>
      </c>
      <c r="FB42" s="181"/>
      <c r="FC42" s="181"/>
      <c r="FD42" s="181"/>
      <c r="FE42" s="181"/>
      <c r="FF42" s="181"/>
      <c r="FG42" s="181"/>
      <c r="FH42" s="181"/>
      <c r="FI42" s="181"/>
      <c r="FJ42" s="181"/>
      <c r="FK42" s="181"/>
      <c r="FL42" s="181"/>
      <c r="FM42" s="181"/>
      <c r="FN42" s="132" t="str">
        <f>SUM(FB42:FM42)</f>
        <v>0</v>
      </c>
      <c r="FO42" s="132"/>
      <c r="FP42" s="132"/>
      <c r="FQ42" s="132"/>
      <c r="FR42" s="132"/>
      <c r="FS42" s="132"/>
      <c r="FT42" s="132"/>
      <c r="FU42" s="132"/>
      <c r="FV42" s="132"/>
      <c r="FW42" s="132"/>
      <c r="FX42" s="132"/>
      <c r="FY42" s="132"/>
      <c r="FZ42" s="132"/>
      <c r="GA42" s="132" t="str">
        <f>SUM(FO42:FZ42)</f>
        <v>0</v>
      </c>
      <c r="GB42" s="181"/>
      <c r="GC42" s="181"/>
      <c r="GD42" s="181"/>
      <c r="GE42" s="181"/>
      <c r="GF42" s="181"/>
      <c r="GG42" s="181"/>
      <c r="GH42" s="181"/>
      <c r="GI42" s="181"/>
      <c r="GJ42" s="181"/>
      <c r="GK42" s="181"/>
      <c r="GL42" s="181"/>
      <c r="GM42" s="181"/>
      <c r="GN42" s="181" t="str">
        <f>SUM(GB42:GM42)</f>
        <v>0</v>
      </c>
      <c r="GO42" s="137"/>
      <c r="GP42" s="137"/>
      <c r="GQ42" s="137"/>
      <c r="GR42" s="137"/>
      <c r="GS42" s="137"/>
      <c r="GT42" s="137"/>
      <c r="GU42" s="137"/>
      <c r="GV42" s="137"/>
      <c r="GW42" s="137"/>
      <c r="GX42" s="137"/>
      <c r="GY42" s="137"/>
      <c r="GZ42" s="137"/>
      <c r="HA42" s="132" t="str">
        <f>SUM(GO42:GZ42)</f>
        <v>0</v>
      </c>
      <c r="HB42" s="181"/>
      <c r="HC42" s="181"/>
      <c r="HD42" s="181"/>
      <c r="HE42" s="181"/>
      <c r="HF42" s="181"/>
      <c r="HG42" s="181"/>
      <c r="HH42" s="181"/>
      <c r="HI42" s="181"/>
      <c r="HJ42" s="181"/>
      <c r="HK42" s="181"/>
      <c r="HL42" s="181"/>
      <c r="HM42" s="181"/>
      <c r="HN42" s="181" t="str">
        <f>SUM(HB42:HM42)</f>
        <v>0</v>
      </c>
      <c r="HO42" s="132"/>
      <c r="HP42" s="132"/>
      <c r="HQ42" s="132"/>
      <c r="HR42" s="132"/>
      <c r="HS42" s="132"/>
      <c r="HT42" s="132"/>
      <c r="HU42" s="132"/>
      <c r="HV42" s="132"/>
      <c r="HW42" s="132"/>
      <c r="HX42" s="132"/>
      <c r="HY42" s="132"/>
      <c r="HZ42" s="132"/>
      <c r="IA42" s="132" t="str">
        <f>SUM(HO42:HZ42)</f>
        <v>0</v>
      </c>
      <c r="IB42" s="181"/>
      <c r="IC42" s="181"/>
      <c r="ID42" s="181"/>
      <c r="IE42" s="181"/>
      <c r="IF42" s="181"/>
      <c r="IG42" s="181"/>
      <c r="IH42" s="181"/>
      <c r="II42" s="181"/>
      <c r="IJ42" s="181"/>
      <c r="IK42" s="181"/>
      <c r="IL42" s="181"/>
      <c r="IM42" s="181"/>
      <c r="IN42" s="181" t="str">
        <f>SUM(IB42:IM42)</f>
        <v>0</v>
      </c>
      <c r="IO42" s="181"/>
      <c r="IP42" s="181"/>
      <c r="IQ42" s="181"/>
      <c r="IR42" s="181"/>
      <c r="IS42" s="181"/>
      <c r="IT42" s="181"/>
      <c r="IU42" s="181"/>
      <c r="IV42" s="181"/>
      <c r="IW42" s="181"/>
      <c r="IX42" s="181"/>
      <c r="IY42" s="181"/>
      <c r="IZ42" s="181"/>
      <c r="JA42" s="181" t="str">
        <f>SUM(IO42:IZ42)</f>
        <v>0</v>
      </c>
      <c r="JC42" s="135" t="str">
        <f>B42+O42+AB42+AO42+BB42+BO42+CB42+CO42+DB42+DO42+EB42+EO42+FB42+FO42+GB42+GO42+HB42+HO42+IB42+IO42</f>
        <v>0</v>
      </c>
      <c r="JD42" s="135" t="str">
        <f>C42+P42+AC42+AP42+BC42+BP42+CC42+CP42+DC42+DP42+EC42+EP42+FC42+FP42+GC42+GP42+HC42+HP42+IC42+IP42</f>
        <v>0</v>
      </c>
      <c r="JE42" s="135" t="str">
        <f>D42+Q42+AD42+AQ42+BD42+BQ42+CD42+CQ42+DD42+DQ42+ED42+EQ42+FD42+FQ42+GD42+GQ42+HD42+HQ42+ID42+IQ42</f>
        <v>0</v>
      </c>
      <c r="JF42" s="135" t="str">
        <f>E42+R42+AE42+AR42+BE42+BR42+CE42+CR42+DE42+DR42+EE42+ER42+FE42+FR42+GE42+GR42+HE42+HR42+IE42+IR42</f>
        <v>0</v>
      </c>
      <c r="JG42" s="135" t="str">
        <f>F42+S42+AF42+AS42+BF42+BS42+CF42+CS42+DF42+DS42+EF42+ES42+FF42+FS42+GF42+GS42+HF42+HS42+IF42+IS42</f>
        <v>0</v>
      </c>
      <c r="JH42" s="135" t="str">
        <f>G42+T42+AG42+AT42+BG42+BT42+CG42+CT42+DG42+DT42+EG42+ET42+FG42+FT42+GG42+GT42+HG42+HT42+IG42+IT42</f>
        <v>0</v>
      </c>
      <c r="JI42" s="135" t="str">
        <f>H42+U42+AH42+AU42+BH42+BU42+CH42+CU42+DH42+DU42+EH42+EU42+FH42+FU42+GH42+GU42+HH42+HU42+IH42+IU42</f>
        <v>0</v>
      </c>
      <c r="JJ42" s="135" t="str">
        <f>I42+V42+AI42+AV42+BI42+BV42+CI42+CV42+DI42+DV42+EI42+EV42+FI42+FV42+GI42+GV42+HI42+HV42+II42+IV42</f>
        <v>0</v>
      </c>
      <c r="JK42" s="135" t="str">
        <f>J42+W42+AJ42+AW42+BJ42+BW42+CJ42+CW42+DJ42+DW42+EJ42+EW42+FJ42+FW42+GJ42+GW42+HJ42+HW42+IJ42+IW42</f>
        <v>0</v>
      </c>
      <c r="JL42" s="135" t="str">
        <f>K42+X42+AK42+AX42+BK42+BX42+CK42+CX42+DK42+DX42+EK42+EX42+FK42+FX42+GK42+GX42+HK42+HX42+IK42+IX42</f>
        <v>0</v>
      </c>
      <c r="JM42" s="135" t="str">
        <f>L42+Y42+AL42+AY42+BL42+BY42+CL42+CY42+DL42+DY42+EL42+EY42+FL42+FY42+GL42+GY42+HL42+HY42+IL42+IY42</f>
        <v>0</v>
      </c>
      <c r="JN42" s="135" t="str">
        <f>M42+Z42+AM42+AZ42+BM42+BZ42+CM42+CZ42+DM42+DZ42+EM42+EZ42+FM42+FZ42+GM42+GZ42+HM42+HZ42+IM42+IZ42</f>
        <v>0</v>
      </c>
      <c r="JO42" s="132" t="str">
        <f>SUM(JC42:JN42)</f>
        <v>0</v>
      </c>
      <c r="JQ42" s="139" t="str">
        <f>N42+AA42+AN42+BA42+BN42+CA42+CN42+DA42+DN42+EA42+EN42+FA42+FN42+GA42+GN42+HA42+HN42+IA42+IN42+JA42</f>
        <v>0</v>
      </c>
    </row>
    <row r="43" spans="1:278">
      <c r="A43" s="130"/>
      <c r="B43" s="131"/>
      <c r="C43" s="131"/>
      <c r="D43" s="131"/>
      <c r="E43" s="131"/>
      <c r="F43" s="131"/>
      <c r="G43" s="131"/>
      <c r="H43" s="131"/>
      <c r="I43" s="131"/>
      <c r="J43" s="131"/>
      <c r="K43" s="131"/>
      <c r="L43" s="131"/>
      <c r="M43" s="131"/>
      <c r="N43" s="132" t="str">
        <f>SUM(B43:M43)</f>
        <v>0</v>
      </c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  <c r="AA43" s="132" t="str">
        <f>SUM(O43:Z43)</f>
        <v>0</v>
      </c>
      <c r="AB43" s="131"/>
      <c r="AC43" s="131"/>
      <c r="AD43" s="131"/>
      <c r="AE43" s="131"/>
      <c r="AF43" s="131"/>
      <c r="AG43" s="131"/>
      <c r="AH43" s="131"/>
      <c r="AI43" s="131"/>
      <c r="AJ43" s="131"/>
      <c r="AK43" s="131"/>
      <c r="AL43" s="131"/>
      <c r="AM43" s="131"/>
      <c r="AN43" s="132" t="str">
        <f>SUM(AB43:AM43)</f>
        <v>0</v>
      </c>
      <c r="AO43" s="133"/>
      <c r="AP43" s="133"/>
      <c r="AQ43" s="133"/>
      <c r="AR43" s="133"/>
      <c r="AS43" s="133"/>
      <c r="AT43" s="133"/>
      <c r="AU43" s="133"/>
      <c r="AV43" s="133"/>
      <c r="AW43" s="133"/>
      <c r="AX43" s="133"/>
      <c r="AY43" s="133"/>
      <c r="AZ43" s="133"/>
      <c r="BA43" s="132" t="str">
        <f>SUM(AO43:AZ43)</f>
        <v>0</v>
      </c>
      <c r="BB43" s="134"/>
      <c r="BC43" s="134"/>
      <c r="BD43" s="134"/>
      <c r="BE43" s="134"/>
      <c r="BF43" s="134"/>
      <c r="BG43" s="134"/>
      <c r="BH43" s="134"/>
      <c r="BI43" s="134"/>
      <c r="BJ43" s="134"/>
      <c r="BK43" s="134"/>
      <c r="BL43" s="134"/>
      <c r="BM43" s="134"/>
      <c r="BN43" s="132" t="str">
        <f>SUM(BB43:BM43)</f>
        <v>0</v>
      </c>
      <c r="BO43" s="135"/>
      <c r="BP43" s="135"/>
      <c r="BQ43" s="135"/>
      <c r="BR43" s="135"/>
      <c r="BS43" s="135"/>
      <c r="BT43" s="135"/>
      <c r="BU43" s="135"/>
      <c r="BV43" s="135"/>
      <c r="BW43" s="135"/>
      <c r="BX43" s="135"/>
      <c r="BY43" s="135"/>
      <c r="BZ43" s="135"/>
      <c r="CA43" s="132" t="str">
        <f>SUM(BO43:BZ43)</f>
        <v>0</v>
      </c>
      <c r="CB43" s="136"/>
      <c r="CC43" s="136"/>
      <c r="CD43" s="136"/>
      <c r="CE43" s="136"/>
      <c r="CF43" s="136"/>
      <c r="CG43" s="136"/>
      <c r="CH43" s="136"/>
      <c r="CI43" s="136"/>
      <c r="CJ43" s="136"/>
      <c r="CK43" s="136"/>
      <c r="CL43" s="136"/>
      <c r="CM43" s="136"/>
      <c r="CN43" s="132" t="str">
        <f>SUM(CB43:CM43)</f>
        <v>0</v>
      </c>
      <c r="CO43" s="137"/>
      <c r="CP43" s="137"/>
      <c r="CQ43" s="137"/>
      <c r="CR43" s="137"/>
      <c r="CS43" s="137"/>
      <c r="CT43" s="137"/>
      <c r="CU43" s="137"/>
      <c r="CV43" s="137"/>
      <c r="CW43" s="137"/>
      <c r="CX43" s="137"/>
      <c r="CY43" s="137"/>
      <c r="CZ43" s="137"/>
      <c r="DA43" s="132" t="str">
        <f>SUM(CO43:CZ43)</f>
        <v>0</v>
      </c>
      <c r="DB43" s="136"/>
      <c r="DC43" s="136"/>
      <c r="DD43" s="136"/>
      <c r="DE43" s="136"/>
      <c r="DF43" s="136"/>
      <c r="DG43" s="136"/>
      <c r="DH43" s="136"/>
      <c r="DI43" s="136"/>
      <c r="DJ43" s="136"/>
      <c r="DK43" s="136"/>
      <c r="DL43" s="136"/>
      <c r="DM43" s="136"/>
      <c r="DN43" s="132" t="str">
        <f>SUM(DB43:DM43)</f>
        <v>0</v>
      </c>
      <c r="DO43" s="137"/>
      <c r="DP43" s="137"/>
      <c r="DQ43" s="137"/>
      <c r="DR43" s="137"/>
      <c r="DS43" s="137"/>
      <c r="DT43" s="137"/>
      <c r="DU43" s="137"/>
      <c r="DV43" s="137"/>
      <c r="DW43" s="137"/>
      <c r="DX43" s="137"/>
      <c r="DY43" s="137"/>
      <c r="DZ43" s="137"/>
      <c r="EA43" s="132" t="str">
        <f>SUM(DO43:DZ43)</f>
        <v>0</v>
      </c>
      <c r="EB43" s="216"/>
      <c r="EC43" s="216"/>
      <c r="ED43" s="216"/>
      <c r="EE43" s="216"/>
      <c r="EF43" s="216"/>
      <c r="EG43" s="216"/>
      <c r="EH43" s="216"/>
      <c r="EI43" s="216"/>
      <c r="EJ43" s="216"/>
      <c r="EK43" s="216"/>
      <c r="EL43" s="216"/>
      <c r="EM43" s="216"/>
      <c r="EN43" s="132" t="str">
        <f>SUM(EB43:EM43)</f>
        <v>0</v>
      </c>
      <c r="EO43" s="132"/>
      <c r="EP43" s="132"/>
      <c r="EQ43" s="132"/>
      <c r="ER43" s="132"/>
      <c r="ES43" s="132"/>
      <c r="ET43" s="132"/>
      <c r="EU43" s="132"/>
      <c r="EV43" s="132"/>
      <c r="EW43" s="132"/>
      <c r="EX43" s="132"/>
      <c r="EY43" s="132"/>
      <c r="EZ43" s="132"/>
      <c r="FA43" s="132" t="str">
        <f>SUM(EO43:EZ43)</f>
        <v>0</v>
      </c>
      <c r="FB43" s="181"/>
      <c r="FC43" s="181"/>
      <c r="FD43" s="181"/>
      <c r="FE43" s="181"/>
      <c r="FF43" s="181"/>
      <c r="FG43" s="181"/>
      <c r="FH43" s="181"/>
      <c r="FI43" s="181"/>
      <c r="FJ43" s="181"/>
      <c r="FK43" s="181"/>
      <c r="FL43" s="181"/>
      <c r="FM43" s="181"/>
      <c r="FN43" s="132" t="str">
        <f>SUM(FB43:FM43)</f>
        <v>0</v>
      </c>
      <c r="FO43" s="132"/>
      <c r="FP43" s="132"/>
      <c r="FQ43" s="132"/>
      <c r="FR43" s="132"/>
      <c r="FS43" s="132"/>
      <c r="FT43" s="132"/>
      <c r="FU43" s="132"/>
      <c r="FV43" s="132"/>
      <c r="FW43" s="132"/>
      <c r="FX43" s="132"/>
      <c r="FY43" s="132"/>
      <c r="FZ43" s="132"/>
      <c r="GA43" s="132" t="str">
        <f>SUM(FO43:FZ43)</f>
        <v>0</v>
      </c>
      <c r="GB43" s="181"/>
      <c r="GC43" s="181"/>
      <c r="GD43" s="181"/>
      <c r="GE43" s="181"/>
      <c r="GF43" s="181"/>
      <c r="GG43" s="181"/>
      <c r="GH43" s="181"/>
      <c r="GI43" s="181"/>
      <c r="GJ43" s="181"/>
      <c r="GK43" s="181"/>
      <c r="GL43" s="181"/>
      <c r="GM43" s="181"/>
      <c r="GN43" s="181" t="str">
        <f>SUM(GB43:GM43)</f>
        <v>0</v>
      </c>
      <c r="GO43" s="137"/>
      <c r="GP43" s="137"/>
      <c r="GQ43" s="137"/>
      <c r="GR43" s="137"/>
      <c r="GS43" s="137"/>
      <c r="GT43" s="137"/>
      <c r="GU43" s="137"/>
      <c r="GV43" s="137"/>
      <c r="GW43" s="137"/>
      <c r="GX43" s="137"/>
      <c r="GY43" s="137"/>
      <c r="GZ43" s="137"/>
      <c r="HA43" s="132" t="str">
        <f>SUM(GO43:GZ43)</f>
        <v>0</v>
      </c>
      <c r="HB43" s="181"/>
      <c r="HC43" s="181"/>
      <c r="HD43" s="181"/>
      <c r="HE43" s="181"/>
      <c r="HF43" s="181"/>
      <c r="HG43" s="181"/>
      <c r="HH43" s="181"/>
      <c r="HI43" s="181"/>
      <c r="HJ43" s="181"/>
      <c r="HK43" s="181"/>
      <c r="HL43" s="181"/>
      <c r="HM43" s="181"/>
      <c r="HN43" s="181" t="str">
        <f>SUM(HB43:HM43)</f>
        <v>0</v>
      </c>
      <c r="HO43" s="132"/>
      <c r="HP43" s="132"/>
      <c r="HQ43" s="132"/>
      <c r="HR43" s="132"/>
      <c r="HS43" s="132"/>
      <c r="HT43" s="132"/>
      <c r="HU43" s="132"/>
      <c r="HV43" s="132"/>
      <c r="HW43" s="132"/>
      <c r="HX43" s="132"/>
      <c r="HY43" s="132"/>
      <c r="HZ43" s="132"/>
      <c r="IA43" s="132" t="str">
        <f>SUM(HO43:HZ43)</f>
        <v>0</v>
      </c>
      <c r="IB43" s="181"/>
      <c r="IC43" s="181"/>
      <c r="ID43" s="181"/>
      <c r="IE43" s="181"/>
      <c r="IF43" s="181"/>
      <c r="IG43" s="181"/>
      <c r="IH43" s="181"/>
      <c r="II43" s="181"/>
      <c r="IJ43" s="181"/>
      <c r="IK43" s="181"/>
      <c r="IL43" s="181"/>
      <c r="IM43" s="181"/>
      <c r="IN43" s="181" t="str">
        <f>SUM(IB43:IM43)</f>
        <v>0</v>
      </c>
      <c r="IO43" s="181"/>
      <c r="IP43" s="181"/>
      <c r="IQ43" s="181"/>
      <c r="IR43" s="181"/>
      <c r="IS43" s="181"/>
      <c r="IT43" s="181"/>
      <c r="IU43" s="181"/>
      <c r="IV43" s="181"/>
      <c r="IW43" s="181"/>
      <c r="IX43" s="181"/>
      <c r="IY43" s="181"/>
      <c r="IZ43" s="181"/>
      <c r="JA43" s="181" t="str">
        <f>SUM(IO43:IZ43)</f>
        <v>0</v>
      </c>
      <c r="JC43" s="135" t="str">
        <f>B43+O43+AB43+AO43+BB43+BO43+CB43+CO43+DB43+DO43+EB43+EO43+FB43+FO43+GB43+GO43+HB43+HO43+IB43+IO43</f>
        <v>0</v>
      </c>
      <c r="JD43" s="135" t="str">
        <f>C43+P43+AC43+AP43+BC43+BP43+CC43+CP43+DC43+DP43+EC43+EP43+FC43+FP43+GC43+GP43+HC43+HP43+IC43+IP43</f>
        <v>0</v>
      </c>
      <c r="JE43" s="135" t="str">
        <f>D43+Q43+AD43+AQ43+BD43+BQ43+CD43+CQ43+DD43+DQ43+ED43+EQ43+FD43+FQ43+GD43+GQ43+HD43+HQ43+ID43+IQ43</f>
        <v>0</v>
      </c>
      <c r="JF43" s="135" t="str">
        <f>E43+R43+AE43+AR43+BE43+BR43+CE43+CR43+DE43+DR43+EE43+ER43+FE43+FR43+GE43+GR43+HE43+HR43+IE43+IR43</f>
        <v>0</v>
      </c>
      <c r="JG43" s="135" t="str">
        <f>F43+S43+AF43+AS43+BF43+BS43+CF43+CS43+DF43+DS43+EF43+ES43+FF43+FS43+GF43+GS43+HF43+HS43+IF43+IS43</f>
        <v>0</v>
      </c>
      <c r="JH43" s="135" t="str">
        <f>G43+T43+AG43+AT43+BG43+BT43+CG43+CT43+DG43+DT43+EG43+ET43+FG43+FT43+GG43+GT43+HG43+HT43+IG43+IT43</f>
        <v>0</v>
      </c>
      <c r="JI43" s="135" t="str">
        <f>H43+U43+AH43+AU43+BH43+BU43+CH43+CU43+DH43+DU43+EH43+EU43+FH43+FU43+GH43+GU43+HH43+HU43+IH43+IU43</f>
        <v>0</v>
      </c>
      <c r="JJ43" s="135" t="str">
        <f>I43+V43+AI43+AV43+BI43+BV43+CI43+CV43+DI43+DV43+EI43+EV43+FI43+FV43+GI43+GV43+HI43+HV43+II43+IV43</f>
        <v>0</v>
      </c>
      <c r="JK43" s="135" t="str">
        <f>J43+W43+AJ43+AW43+BJ43+BW43+CJ43+CW43+DJ43+DW43+EJ43+EW43+FJ43+FW43+GJ43+GW43+HJ43+HW43+IJ43+IW43</f>
        <v>0</v>
      </c>
      <c r="JL43" s="135" t="str">
        <f>K43+X43+AK43+AX43+BK43+BX43+CK43+CX43+DK43+DX43+EK43+EX43+FK43+FX43+GK43+GX43+HK43+HX43+IK43+IX43</f>
        <v>0</v>
      </c>
      <c r="JM43" s="135" t="str">
        <f>L43+Y43+AL43+AY43+BL43+BY43+CL43+CY43+DL43+DY43+EL43+EY43+FL43+FY43+GL43+GY43+HL43+HY43+IL43+IY43</f>
        <v>0</v>
      </c>
      <c r="JN43" s="135" t="str">
        <f>M43+Z43+AM43+AZ43+BM43+BZ43+CM43+CZ43+DM43+DZ43+EM43+EZ43+FM43+FZ43+GM43+GZ43+HM43+HZ43+IM43+IZ43</f>
        <v>0</v>
      </c>
      <c r="JO43" s="132" t="str">
        <f>SUM(JC43:JN43)</f>
        <v>0</v>
      </c>
      <c r="JQ43" s="139" t="str">
        <f>N43+AA43+AN43+BA43+BN43+CA43+CN43+DA43+DN43+EA43+EN43+FA43+FN43+GA43+GN43+HA43+HN43+IA43+IN43+JA43</f>
        <v>0</v>
      </c>
    </row>
    <row r="44" spans="1:278">
      <c r="A44" s="130"/>
      <c r="B44" s="131"/>
      <c r="C44" s="131"/>
      <c r="D44" s="131"/>
      <c r="E44" s="131"/>
      <c r="F44" s="131"/>
      <c r="G44" s="131"/>
      <c r="H44" s="131"/>
      <c r="I44" s="131"/>
      <c r="J44" s="131"/>
      <c r="K44" s="131"/>
      <c r="L44" s="131"/>
      <c r="M44" s="131"/>
      <c r="N44" s="132" t="str">
        <f>SUM(B44:M44)</f>
        <v>0</v>
      </c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  <c r="AA44" s="132" t="str">
        <f>SUM(O44:Z44)</f>
        <v>0</v>
      </c>
      <c r="AB44" s="131"/>
      <c r="AC44" s="131"/>
      <c r="AD44" s="131"/>
      <c r="AE44" s="131"/>
      <c r="AF44" s="131"/>
      <c r="AG44" s="131"/>
      <c r="AH44" s="131"/>
      <c r="AI44" s="131"/>
      <c r="AJ44" s="131"/>
      <c r="AK44" s="131"/>
      <c r="AL44" s="131"/>
      <c r="AM44" s="131"/>
      <c r="AN44" s="132" t="str">
        <f>SUM(AB44:AM44)</f>
        <v>0</v>
      </c>
      <c r="AO44" s="133"/>
      <c r="AP44" s="133"/>
      <c r="AQ44" s="133"/>
      <c r="AR44" s="133"/>
      <c r="AS44" s="133"/>
      <c r="AT44" s="133"/>
      <c r="AU44" s="133"/>
      <c r="AV44" s="133"/>
      <c r="AW44" s="133"/>
      <c r="AX44" s="133"/>
      <c r="AY44" s="133"/>
      <c r="AZ44" s="133"/>
      <c r="BA44" s="132" t="str">
        <f>SUM(AO44:AZ44)</f>
        <v>0</v>
      </c>
      <c r="BB44" s="134"/>
      <c r="BC44" s="134"/>
      <c r="BD44" s="134"/>
      <c r="BE44" s="134"/>
      <c r="BF44" s="134"/>
      <c r="BG44" s="134"/>
      <c r="BH44" s="134"/>
      <c r="BI44" s="134"/>
      <c r="BJ44" s="134"/>
      <c r="BK44" s="134"/>
      <c r="BL44" s="134"/>
      <c r="BM44" s="134"/>
      <c r="BN44" s="132" t="str">
        <f>SUM(BB44:BM44)</f>
        <v>0</v>
      </c>
      <c r="BO44" s="135"/>
      <c r="BP44" s="135"/>
      <c r="BQ44" s="135"/>
      <c r="BR44" s="135"/>
      <c r="BS44" s="135"/>
      <c r="BT44" s="135"/>
      <c r="BU44" s="135"/>
      <c r="BV44" s="135"/>
      <c r="BW44" s="135"/>
      <c r="BX44" s="135"/>
      <c r="BY44" s="135"/>
      <c r="BZ44" s="135"/>
      <c r="CA44" s="132" t="str">
        <f>SUM(BO44:BZ44)</f>
        <v>0</v>
      </c>
      <c r="CB44" s="136"/>
      <c r="CC44" s="136"/>
      <c r="CD44" s="136"/>
      <c r="CE44" s="136"/>
      <c r="CF44" s="136"/>
      <c r="CG44" s="136"/>
      <c r="CH44" s="136"/>
      <c r="CI44" s="136"/>
      <c r="CJ44" s="136"/>
      <c r="CK44" s="136"/>
      <c r="CL44" s="136"/>
      <c r="CM44" s="136"/>
      <c r="CN44" s="132" t="str">
        <f>SUM(CB44:CM44)</f>
        <v>0</v>
      </c>
      <c r="CO44" s="137"/>
      <c r="CP44" s="137"/>
      <c r="CQ44" s="137"/>
      <c r="CR44" s="137"/>
      <c r="CS44" s="137"/>
      <c r="CT44" s="137"/>
      <c r="CU44" s="137"/>
      <c r="CV44" s="137"/>
      <c r="CW44" s="137"/>
      <c r="CX44" s="137"/>
      <c r="CY44" s="137"/>
      <c r="CZ44" s="137"/>
      <c r="DA44" s="132" t="str">
        <f>SUM(CO44:CZ44)</f>
        <v>0</v>
      </c>
      <c r="DB44" s="136"/>
      <c r="DC44" s="136"/>
      <c r="DD44" s="136"/>
      <c r="DE44" s="136"/>
      <c r="DF44" s="136"/>
      <c r="DG44" s="136"/>
      <c r="DH44" s="136"/>
      <c r="DI44" s="136"/>
      <c r="DJ44" s="136"/>
      <c r="DK44" s="136"/>
      <c r="DL44" s="136"/>
      <c r="DM44" s="136"/>
      <c r="DN44" s="132" t="str">
        <f>SUM(DB44:DM44)</f>
        <v>0</v>
      </c>
      <c r="DO44" s="137"/>
      <c r="DP44" s="137"/>
      <c r="DQ44" s="137"/>
      <c r="DR44" s="137"/>
      <c r="DS44" s="137"/>
      <c r="DT44" s="137"/>
      <c r="DU44" s="137"/>
      <c r="DV44" s="137"/>
      <c r="DW44" s="137"/>
      <c r="DX44" s="137"/>
      <c r="DY44" s="137"/>
      <c r="DZ44" s="137"/>
      <c r="EA44" s="132" t="str">
        <f>SUM(DO44:DZ44)</f>
        <v>0</v>
      </c>
      <c r="EB44" s="216"/>
      <c r="EC44" s="216"/>
      <c r="ED44" s="216"/>
      <c r="EE44" s="216"/>
      <c r="EF44" s="216"/>
      <c r="EG44" s="216"/>
      <c r="EH44" s="216"/>
      <c r="EI44" s="216"/>
      <c r="EJ44" s="216"/>
      <c r="EK44" s="216"/>
      <c r="EL44" s="216"/>
      <c r="EM44" s="216"/>
      <c r="EN44" s="132" t="str">
        <f>SUM(EB44:EM44)</f>
        <v>0</v>
      </c>
      <c r="EO44" s="132"/>
      <c r="EP44" s="132"/>
      <c r="EQ44" s="132"/>
      <c r="ER44" s="132"/>
      <c r="ES44" s="132"/>
      <c r="ET44" s="132"/>
      <c r="EU44" s="132"/>
      <c r="EV44" s="132"/>
      <c r="EW44" s="132"/>
      <c r="EX44" s="132"/>
      <c r="EY44" s="132"/>
      <c r="EZ44" s="132"/>
      <c r="FA44" s="132" t="str">
        <f>SUM(EO44:EZ44)</f>
        <v>0</v>
      </c>
      <c r="FB44" s="181"/>
      <c r="FC44" s="181"/>
      <c r="FD44" s="181"/>
      <c r="FE44" s="181"/>
      <c r="FF44" s="181"/>
      <c r="FG44" s="181"/>
      <c r="FH44" s="181"/>
      <c r="FI44" s="181"/>
      <c r="FJ44" s="181"/>
      <c r="FK44" s="181"/>
      <c r="FL44" s="181"/>
      <c r="FM44" s="181"/>
      <c r="FN44" s="132" t="str">
        <f>SUM(FB44:FM44)</f>
        <v>0</v>
      </c>
      <c r="FO44" s="132"/>
      <c r="FP44" s="132"/>
      <c r="FQ44" s="132"/>
      <c r="FR44" s="132"/>
      <c r="FS44" s="132"/>
      <c r="FT44" s="132"/>
      <c r="FU44" s="132"/>
      <c r="FV44" s="132"/>
      <c r="FW44" s="132"/>
      <c r="FX44" s="132"/>
      <c r="FY44" s="132"/>
      <c r="FZ44" s="132"/>
      <c r="GA44" s="132" t="str">
        <f>SUM(FO44:FZ44)</f>
        <v>0</v>
      </c>
      <c r="GB44" s="181"/>
      <c r="GC44" s="181"/>
      <c r="GD44" s="181"/>
      <c r="GE44" s="181"/>
      <c r="GF44" s="181"/>
      <c r="GG44" s="181"/>
      <c r="GH44" s="181"/>
      <c r="GI44" s="181"/>
      <c r="GJ44" s="181"/>
      <c r="GK44" s="181"/>
      <c r="GL44" s="181"/>
      <c r="GM44" s="181"/>
      <c r="GN44" s="181" t="str">
        <f>SUM(GB44:GM44)</f>
        <v>0</v>
      </c>
      <c r="GO44" s="137"/>
      <c r="GP44" s="137"/>
      <c r="GQ44" s="137"/>
      <c r="GR44" s="137"/>
      <c r="GS44" s="137"/>
      <c r="GT44" s="137"/>
      <c r="GU44" s="137"/>
      <c r="GV44" s="137"/>
      <c r="GW44" s="137"/>
      <c r="GX44" s="137"/>
      <c r="GY44" s="137"/>
      <c r="GZ44" s="137"/>
      <c r="HA44" s="132" t="str">
        <f>SUM(GO44:GZ44)</f>
        <v>0</v>
      </c>
      <c r="HB44" s="181"/>
      <c r="HC44" s="181"/>
      <c r="HD44" s="181"/>
      <c r="HE44" s="181"/>
      <c r="HF44" s="181"/>
      <c r="HG44" s="181"/>
      <c r="HH44" s="181"/>
      <c r="HI44" s="181"/>
      <c r="HJ44" s="181"/>
      <c r="HK44" s="181"/>
      <c r="HL44" s="181"/>
      <c r="HM44" s="181"/>
      <c r="HN44" s="181" t="str">
        <f>SUM(HB44:HM44)</f>
        <v>0</v>
      </c>
      <c r="HO44" s="132"/>
      <c r="HP44" s="132"/>
      <c r="HQ44" s="132"/>
      <c r="HR44" s="132"/>
      <c r="HS44" s="132"/>
      <c r="HT44" s="132"/>
      <c r="HU44" s="132"/>
      <c r="HV44" s="132"/>
      <c r="HW44" s="132"/>
      <c r="HX44" s="132"/>
      <c r="HY44" s="132"/>
      <c r="HZ44" s="132"/>
      <c r="IA44" s="132" t="str">
        <f>SUM(HO44:HZ44)</f>
        <v>0</v>
      </c>
      <c r="IB44" s="181"/>
      <c r="IC44" s="181"/>
      <c r="ID44" s="181"/>
      <c r="IE44" s="181"/>
      <c r="IF44" s="181"/>
      <c r="IG44" s="181"/>
      <c r="IH44" s="181"/>
      <c r="II44" s="181"/>
      <c r="IJ44" s="181"/>
      <c r="IK44" s="181"/>
      <c r="IL44" s="181"/>
      <c r="IM44" s="181"/>
      <c r="IN44" s="181" t="str">
        <f>SUM(IB44:IM44)</f>
        <v>0</v>
      </c>
      <c r="IO44" s="181"/>
      <c r="IP44" s="181"/>
      <c r="IQ44" s="181"/>
      <c r="IR44" s="181"/>
      <c r="IS44" s="181"/>
      <c r="IT44" s="181"/>
      <c r="IU44" s="181"/>
      <c r="IV44" s="181"/>
      <c r="IW44" s="181"/>
      <c r="IX44" s="181"/>
      <c r="IY44" s="181"/>
      <c r="IZ44" s="181"/>
      <c r="JA44" s="181" t="str">
        <f>SUM(IO44:IZ44)</f>
        <v>0</v>
      </c>
      <c r="JC44" s="135" t="str">
        <f>B44+O44+AB44+AO44+BB44+BO44+CB44+CO44+DB44+DO44+EB44+EO44+FB44+FO44+GB44+GO44+HB44+HO44+IB44+IO44</f>
        <v>0</v>
      </c>
      <c r="JD44" s="135" t="str">
        <f>C44+P44+AC44+AP44+BC44+BP44+CC44+CP44+DC44+DP44+EC44+EP44+FC44+FP44+GC44+GP44+HC44+HP44+IC44+IP44</f>
        <v>0</v>
      </c>
      <c r="JE44" s="135" t="str">
        <f>D44+Q44+AD44+AQ44+BD44+BQ44+CD44+CQ44+DD44+DQ44+ED44+EQ44+FD44+FQ44+GD44+GQ44+HD44+HQ44+ID44+IQ44</f>
        <v>0</v>
      </c>
      <c r="JF44" s="135" t="str">
        <f>E44+R44+AE44+AR44+BE44+BR44+CE44+CR44+DE44+DR44+EE44+ER44+FE44+FR44+GE44+GR44+HE44+HR44+IE44+IR44</f>
        <v>0</v>
      </c>
      <c r="JG44" s="135" t="str">
        <f>F44+S44+AF44+AS44+BF44+BS44+CF44+CS44+DF44+DS44+EF44+ES44+FF44+FS44+GF44+GS44+HF44+HS44+IF44+IS44</f>
        <v>0</v>
      </c>
      <c r="JH44" s="135" t="str">
        <f>G44+T44+AG44+AT44+BG44+BT44+CG44+CT44+DG44+DT44+EG44+ET44+FG44+FT44+GG44+GT44+HG44+HT44+IG44+IT44</f>
        <v>0</v>
      </c>
      <c r="JI44" s="135" t="str">
        <f>H44+U44+AH44+AU44+BH44+BU44+CH44+CU44+DH44+DU44+EH44+EU44+FH44+FU44+GH44+GU44+HH44+HU44+IH44+IU44</f>
        <v>0</v>
      </c>
      <c r="JJ44" s="135" t="str">
        <f>I44+V44+AI44+AV44+BI44+BV44+CI44+CV44+DI44+DV44+EI44+EV44+FI44+FV44+GI44+GV44+HI44+HV44+II44+IV44</f>
        <v>0</v>
      </c>
      <c r="JK44" s="135" t="str">
        <f>J44+W44+AJ44+AW44+BJ44+BW44+CJ44+CW44+DJ44+DW44+EJ44+EW44+FJ44+FW44+GJ44+GW44+HJ44+HW44+IJ44+IW44</f>
        <v>0</v>
      </c>
      <c r="JL44" s="135" t="str">
        <f>K44+X44+AK44+AX44+BK44+BX44+CK44+CX44+DK44+DX44+EK44+EX44+FK44+FX44+GK44+GX44+HK44+HX44+IK44+IX44</f>
        <v>0</v>
      </c>
      <c r="JM44" s="135" t="str">
        <f>L44+Y44+AL44+AY44+BL44+BY44+CL44+CY44+DL44+DY44+EL44+EY44+FL44+FY44+GL44+GY44+HL44+HY44+IL44+IY44</f>
        <v>0</v>
      </c>
      <c r="JN44" s="135" t="str">
        <f>M44+Z44+AM44+AZ44+BM44+BZ44+CM44+CZ44+DM44+DZ44+EM44+EZ44+FM44+FZ44+GM44+GZ44+HM44+HZ44+IM44+IZ44</f>
        <v>0</v>
      </c>
      <c r="JO44" s="132" t="str">
        <f>SUM(JC44:JN44)</f>
        <v>0</v>
      </c>
      <c r="JQ44" s="139" t="str">
        <f>N44+AA44+AN44+BA44+BN44+CA44+CN44+DA44+DN44+EA44+EN44+FA44+FN44+GA44+GN44+HA44+HN44+IA44+IN44+JA44</f>
        <v>0</v>
      </c>
    </row>
    <row r="45" spans="1:278">
      <c r="A45" s="130"/>
      <c r="B45" s="131"/>
      <c r="C45" s="131"/>
      <c r="D45" s="131"/>
      <c r="E45" s="131"/>
      <c r="F45" s="131"/>
      <c r="G45" s="131"/>
      <c r="H45" s="131"/>
      <c r="I45" s="131"/>
      <c r="J45" s="131"/>
      <c r="K45" s="131"/>
      <c r="L45" s="131"/>
      <c r="M45" s="131"/>
      <c r="N45" s="132" t="str">
        <f>SUM(B45:M45)</f>
        <v>0</v>
      </c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  <c r="AA45" s="132" t="str">
        <f>SUM(O45:Z45)</f>
        <v>0</v>
      </c>
      <c r="AB45" s="131"/>
      <c r="AC45" s="131"/>
      <c r="AD45" s="131"/>
      <c r="AE45" s="131"/>
      <c r="AF45" s="131"/>
      <c r="AG45" s="131"/>
      <c r="AH45" s="131"/>
      <c r="AI45" s="131"/>
      <c r="AJ45" s="131"/>
      <c r="AK45" s="131"/>
      <c r="AL45" s="131"/>
      <c r="AM45" s="131"/>
      <c r="AN45" s="132" t="str">
        <f>SUM(AB45:AM45)</f>
        <v>0</v>
      </c>
      <c r="AO45" s="133"/>
      <c r="AP45" s="133"/>
      <c r="AQ45" s="133"/>
      <c r="AR45" s="133"/>
      <c r="AS45" s="133"/>
      <c r="AT45" s="133"/>
      <c r="AU45" s="133"/>
      <c r="AV45" s="133"/>
      <c r="AW45" s="133"/>
      <c r="AX45" s="133"/>
      <c r="AY45" s="133"/>
      <c r="AZ45" s="133"/>
      <c r="BA45" s="132" t="str">
        <f>SUM(AO45:AZ45)</f>
        <v>0</v>
      </c>
      <c r="BB45" s="134"/>
      <c r="BC45" s="134"/>
      <c r="BD45" s="134"/>
      <c r="BE45" s="134"/>
      <c r="BF45" s="134"/>
      <c r="BG45" s="134"/>
      <c r="BH45" s="134"/>
      <c r="BI45" s="134"/>
      <c r="BJ45" s="134"/>
      <c r="BK45" s="134"/>
      <c r="BL45" s="134"/>
      <c r="BM45" s="134"/>
      <c r="BN45" s="132" t="str">
        <f>SUM(BB45:BM45)</f>
        <v>0</v>
      </c>
      <c r="BO45" s="135"/>
      <c r="BP45" s="135"/>
      <c r="BQ45" s="135"/>
      <c r="BR45" s="135"/>
      <c r="BS45" s="135"/>
      <c r="BT45" s="135"/>
      <c r="BU45" s="135"/>
      <c r="BV45" s="135"/>
      <c r="BW45" s="135"/>
      <c r="BX45" s="135"/>
      <c r="BY45" s="135"/>
      <c r="BZ45" s="135"/>
      <c r="CA45" s="132" t="str">
        <f>SUM(BO45:BZ45)</f>
        <v>0</v>
      </c>
      <c r="CB45" s="136"/>
      <c r="CC45" s="136"/>
      <c r="CD45" s="136"/>
      <c r="CE45" s="136"/>
      <c r="CF45" s="136"/>
      <c r="CG45" s="136"/>
      <c r="CH45" s="136"/>
      <c r="CI45" s="136"/>
      <c r="CJ45" s="136"/>
      <c r="CK45" s="136"/>
      <c r="CL45" s="136"/>
      <c r="CM45" s="136"/>
      <c r="CN45" s="132" t="str">
        <f>SUM(CB45:CM45)</f>
        <v>0</v>
      </c>
      <c r="CO45" s="137"/>
      <c r="CP45" s="137"/>
      <c r="CQ45" s="137"/>
      <c r="CR45" s="137"/>
      <c r="CS45" s="137"/>
      <c r="CT45" s="137"/>
      <c r="CU45" s="137"/>
      <c r="CV45" s="137"/>
      <c r="CW45" s="137"/>
      <c r="CX45" s="137"/>
      <c r="CY45" s="137"/>
      <c r="CZ45" s="137"/>
      <c r="DA45" s="132" t="str">
        <f>SUM(CO45:CZ45)</f>
        <v>0</v>
      </c>
      <c r="DB45" s="136"/>
      <c r="DC45" s="136"/>
      <c r="DD45" s="136"/>
      <c r="DE45" s="136"/>
      <c r="DF45" s="136"/>
      <c r="DG45" s="136"/>
      <c r="DH45" s="136"/>
      <c r="DI45" s="136"/>
      <c r="DJ45" s="136"/>
      <c r="DK45" s="136"/>
      <c r="DL45" s="136"/>
      <c r="DM45" s="136"/>
      <c r="DN45" s="132" t="str">
        <f>SUM(DB45:DM45)</f>
        <v>0</v>
      </c>
      <c r="DO45" s="137"/>
      <c r="DP45" s="137"/>
      <c r="DQ45" s="137"/>
      <c r="DR45" s="137"/>
      <c r="DS45" s="137"/>
      <c r="DT45" s="137"/>
      <c r="DU45" s="137"/>
      <c r="DV45" s="137"/>
      <c r="DW45" s="137"/>
      <c r="DX45" s="137"/>
      <c r="DY45" s="137"/>
      <c r="DZ45" s="137"/>
      <c r="EA45" s="132" t="str">
        <f>SUM(DO45:DZ45)</f>
        <v>0</v>
      </c>
      <c r="EB45" s="216"/>
      <c r="EC45" s="216"/>
      <c r="ED45" s="216"/>
      <c r="EE45" s="216"/>
      <c r="EF45" s="216"/>
      <c r="EG45" s="216"/>
      <c r="EH45" s="216"/>
      <c r="EI45" s="216"/>
      <c r="EJ45" s="216"/>
      <c r="EK45" s="216"/>
      <c r="EL45" s="216"/>
      <c r="EM45" s="216"/>
      <c r="EN45" s="132" t="str">
        <f>SUM(EB45:EM45)</f>
        <v>0</v>
      </c>
      <c r="EO45" s="132"/>
      <c r="EP45" s="132"/>
      <c r="EQ45" s="132"/>
      <c r="ER45" s="132"/>
      <c r="ES45" s="132"/>
      <c r="ET45" s="132"/>
      <c r="EU45" s="132"/>
      <c r="EV45" s="132"/>
      <c r="EW45" s="132"/>
      <c r="EX45" s="132"/>
      <c r="EY45" s="132"/>
      <c r="EZ45" s="132"/>
      <c r="FA45" s="132" t="str">
        <f>SUM(EO45:EZ45)</f>
        <v>0</v>
      </c>
      <c r="FB45" s="181"/>
      <c r="FC45" s="181"/>
      <c r="FD45" s="181"/>
      <c r="FE45" s="181"/>
      <c r="FF45" s="181"/>
      <c r="FG45" s="181"/>
      <c r="FH45" s="181"/>
      <c r="FI45" s="181"/>
      <c r="FJ45" s="181"/>
      <c r="FK45" s="181"/>
      <c r="FL45" s="181"/>
      <c r="FM45" s="181"/>
      <c r="FN45" s="132" t="str">
        <f>SUM(FB45:FM45)</f>
        <v>0</v>
      </c>
      <c r="FO45" s="132"/>
      <c r="FP45" s="132"/>
      <c r="FQ45" s="132"/>
      <c r="FR45" s="132"/>
      <c r="FS45" s="132"/>
      <c r="FT45" s="132"/>
      <c r="FU45" s="132"/>
      <c r="FV45" s="132"/>
      <c r="FW45" s="132"/>
      <c r="FX45" s="132"/>
      <c r="FY45" s="132"/>
      <c r="FZ45" s="132"/>
      <c r="GA45" s="132" t="str">
        <f>SUM(FO45:FZ45)</f>
        <v>0</v>
      </c>
      <c r="GB45" s="181"/>
      <c r="GC45" s="181"/>
      <c r="GD45" s="181"/>
      <c r="GE45" s="181"/>
      <c r="GF45" s="181"/>
      <c r="GG45" s="181"/>
      <c r="GH45" s="181"/>
      <c r="GI45" s="181"/>
      <c r="GJ45" s="181"/>
      <c r="GK45" s="181"/>
      <c r="GL45" s="181"/>
      <c r="GM45" s="181"/>
      <c r="GN45" s="181" t="str">
        <f>SUM(GB45:GM45)</f>
        <v>0</v>
      </c>
      <c r="GO45" s="137"/>
      <c r="GP45" s="137"/>
      <c r="GQ45" s="137"/>
      <c r="GR45" s="137"/>
      <c r="GS45" s="137"/>
      <c r="GT45" s="137"/>
      <c r="GU45" s="137"/>
      <c r="GV45" s="137"/>
      <c r="GW45" s="137"/>
      <c r="GX45" s="137"/>
      <c r="GY45" s="137"/>
      <c r="GZ45" s="137"/>
      <c r="HA45" s="132" t="str">
        <f>SUM(GO45:GZ45)</f>
        <v>0</v>
      </c>
      <c r="HB45" s="181"/>
      <c r="HC45" s="181"/>
      <c r="HD45" s="181"/>
      <c r="HE45" s="181"/>
      <c r="HF45" s="181"/>
      <c r="HG45" s="181"/>
      <c r="HH45" s="181"/>
      <c r="HI45" s="181"/>
      <c r="HJ45" s="181"/>
      <c r="HK45" s="181"/>
      <c r="HL45" s="181"/>
      <c r="HM45" s="181"/>
      <c r="HN45" s="181" t="str">
        <f>SUM(HB45:HM45)</f>
        <v>0</v>
      </c>
      <c r="HO45" s="132"/>
      <c r="HP45" s="132"/>
      <c r="HQ45" s="132"/>
      <c r="HR45" s="132"/>
      <c r="HS45" s="132"/>
      <c r="HT45" s="132"/>
      <c r="HU45" s="132"/>
      <c r="HV45" s="132"/>
      <c r="HW45" s="132"/>
      <c r="HX45" s="132"/>
      <c r="HY45" s="132"/>
      <c r="HZ45" s="132"/>
      <c r="IA45" s="132" t="str">
        <f>SUM(HO45:HZ45)</f>
        <v>0</v>
      </c>
      <c r="IB45" s="181"/>
      <c r="IC45" s="181"/>
      <c r="ID45" s="181"/>
      <c r="IE45" s="181"/>
      <c r="IF45" s="181"/>
      <c r="IG45" s="181"/>
      <c r="IH45" s="181"/>
      <c r="II45" s="181"/>
      <c r="IJ45" s="181"/>
      <c r="IK45" s="181"/>
      <c r="IL45" s="181"/>
      <c r="IM45" s="181"/>
      <c r="IN45" s="181" t="str">
        <f>SUM(IB45:IM45)</f>
        <v>0</v>
      </c>
      <c r="IO45" s="181"/>
      <c r="IP45" s="181"/>
      <c r="IQ45" s="181"/>
      <c r="IR45" s="181"/>
      <c r="IS45" s="181"/>
      <c r="IT45" s="181"/>
      <c r="IU45" s="181"/>
      <c r="IV45" s="181"/>
      <c r="IW45" s="181"/>
      <c r="IX45" s="181"/>
      <c r="IY45" s="181"/>
      <c r="IZ45" s="181"/>
      <c r="JA45" s="181" t="str">
        <f>SUM(IO45:IZ45)</f>
        <v>0</v>
      </c>
      <c r="JC45" s="135" t="str">
        <f>B45+O45+AB45+AO45+BB45+BO45+CB45+CO45+DB45+DO45+EB45+EO45+FB45+FO45+GB45+GO45+HB45+HO45+IB45+IO45</f>
        <v>0</v>
      </c>
      <c r="JD45" s="135" t="str">
        <f>C45+P45+AC45+AP45+BC45+BP45+CC45+CP45+DC45+DP45+EC45+EP45+FC45+FP45+GC45+GP45+HC45+HP45+IC45+IP45</f>
        <v>0</v>
      </c>
      <c r="JE45" s="135" t="str">
        <f>D45+Q45+AD45+AQ45+BD45+BQ45+CD45+CQ45+DD45+DQ45+ED45+EQ45+FD45+FQ45+GD45+GQ45+HD45+HQ45+ID45+IQ45</f>
        <v>0</v>
      </c>
      <c r="JF45" s="135" t="str">
        <f>E45+R45+AE45+AR45+BE45+BR45+CE45+CR45+DE45+DR45+EE45+ER45+FE45+FR45+GE45+GR45+HE45+HR45+IE45+IR45</f>
        <v>0</v>
      </c>
      <c r="JG45" s="135" t="str">
        <f>F45+S45+AF45+AS45+BF45+BS45+CF45+CS45+DF45+DS45+EF45+ES45+FF45+FS45+GF45+GS45+HF45+HS45+IF45+IS45</f>
        <v>0</v>
      </c>
      <c r="JH45" s="135" t="str">
        <f>G45+T45+AG45+AT45+BG45+BT45+CG45+CT45+DG45+DT45+EG45+ET45+FG45+FT45+GG45+GT45+HG45+HT45+IG45+IT45</f>
        <v>0</v>
      </c>
      <c r="JI45" s="135" t="str">
        <f>H45+U45+AH45+AU45+BH45+BU45+CH45+CU45+DH45+DU45+EH45+EU45+FH45+FU45+GH45+GU45+HH45+HU45+IH45+IU45</f>
        <v>0</v>
      </c>
      <c r="JJ45" s="135" t="str">
        <f>I45+V45+AI45+AV45+BI45+BV45+CI45+CV45+DI45+DV45+EI45+EV45+FI45+FV45+GI45+GV45+HI45+HV45+II45+IV45</f>
        <v>0</v>
      </c>
      <c r="JK45" s="135" t="str">
        <f>J45+W45+AJ45+AW45+BJ45+BW45+CJ45+CW45+DJ45+DW45+EJ45+EW45+FJ45+FW45+GJ45+GW45+HJ45+HW45+IJ45+IW45</f>
        <v>0</v>
      </c>
      <c r="JL45" s="135" t="str">
        <f>K45+X45+AK45+AX45+BK45+BX45+CK45+CX45+DK45+DX45+EK45+EX45+FK45+FX45+GK45+GX45+HK45+HX45+IK45+IX45</f>
        <v>0</v>
      </c>
      <c r="JM45" s="135" t="str">
        <f>L45+Y45+AL45+AY45+BL45+BY45+CL45+CY45+DL45+DY45+EL45+EY45+FL45+FY45+GL45+GY45+HL45+HY45+IL45+IY45</f>
        <v>0</v>
      </c>
      <c r="JN45" s="135" t="str">
        <f>M45+Z45+AM45+AZ45+BM45+BZ45+CM45+CZ45+DM45+DZ45+EM45+EZ45+FM45+FZ45+GM45+GZ45+HM45+HZ45+IM45+IZ45</f>
        <v>0</v>
      </c>
      <c r="JO45" s="132" t="str">
        <f>SUM(JC45:JN45)</f>
        <v>0</v>
      </c>
      <c r="JQ45" s="139" t="str">
        <f>N45+AA45+AN45+BA45+BN45+CA45+CN45+DA45+DN45+EA45+EN45+FA45+FN45+GA45+GN45+HA45+HN45+IA45+IN45+JA45</f>
        <v>0</v>
      </c>
    </row>
    <row r="46" spans="1:278">
      <c r="A46" s="130"/>
      <c r="B46" s="131"/>
      <c r="C46" s="131"/>
      <c r="D46" s="131"/>
      <c r="E46" s="131"/>
      <c r="F46" s="131"/>
      <c r="G46" s="131"/>
      <c r="H46" s="131"/>
      <c r="I46" s="131"/>
      <c r="J46" s="131"/>
      <c r="K46" s="131"/>
      <c r="L46" s="131"/>
      <c r="M46" s="131"/>
      <c r="N46" s="132" t="str">
        <f>SUM(B46:M46)</f>
        <v>0</v>
      </c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  <c r="AA46" s="132" t="str">
        <f>SUM(O46:Z46)</f>
        <v>0</v>
      </c>
      <c r="AB46" s="131"/>
      <c r="AC46" s="131"/>
      <c r="AD46" s="131"/>
      <c r="AE46" s="131"/>
      <c r="AF46" s="131"/>
      <c r="AG46" s="131"/>
      <c r="AH46" s="131"/>
      <c r="AI46" s="131"/>
      <c r="AJ46" s="131"/>
      <c r="AK46" s="131"/>
      <c r="AL46" s="131"/>
      <c r="AM46" s="131"/>
      <c r="AN46" s="132" t="str">
        <f>SUM(AB46:AM46)</f>
        <v>0</v>
      </c>
      <c r="AO46" s="133"/>
      <c r="AP46" s="133"/>
      <c r="AQ46" s="133"/>
      <c r="AR46" s="133"/>
      <c r="AS46" s="133"/>
      <c r="AT46" s="133"/>
      <c r="AU46" s="133"/>
      <c r="AV46" s="133"/>
      <c r="AW46" s="133"/>
      <c r="AX46" s="133"/>
      <c r="AY46" s="133"/>
      <c r="AZ46" s="133"/>
      <c r="BA46" s="132" t="str">
        <f>SUM(AO46:AZ46)</f>
        <v>0</v>
      </c>
      <c r="BB46" s="134"/>
      <c r="BC46" s="134"/>
      <c r="BD46" s="134"/>
      <c r="BE46" s="134"/>
      <c r="BF46" s="134"/>
      <c r="BG46" s="134"/>
      <c r="BH46" s="134"/>
      <c r="BI46" s="134"/>
      <c r="BJ46" s="134"/>
      <c r="BK46" s="134"/>
      <c r="BL46" s="134"/>
      <c r="BM46" s="134"/>
      <c r="BN46" s="132" t="str">
        <f>SUM(BB46:BM46)</f>
        <v>0</v>
      </c>
      <c r="BO46" s="135"/>
      <c r="BP46" s="135"/>
      <c r="BQ46" s="135"/>
      <c r="BR46" s="135"/>
      <c r="BS46" s="135"/>
      <c r="BT46" s="135"/>
      <c r="BU46" s="135"/>
      <c r="BV46" s="135"/>
      <c r="BW46" s="135"/>
      <c r="BX46" s="135"/>
      <c r="BY46" s="135"/>
      <c r="BZ46" s="135"/>
      <c r="CA46" s="132" t="str">
        <f>SUM(BO46:BZ46)</f>
        <v>0</v>
      </c>
      <c r="CB46" s="136"/>
      <c r="CC46" s="136"/>
      <c r="CD46" s="136"/>
      <c r="CE46" s="136"/>
      <c r="CF46" s="136"/>
      <c r="CG46" s="136"/>
      <c r="CH46" s="136"/>
      <c r="CI46" s="136"/>
      <c r="CJ46" s="136"/>
      <c r="CK46" s="136"/>
      <c r="CL46" s="136"/>
      <c r="CM46" s="136"/>
      <c r="CN46" s="132" t="str">
        <f>SUM(CB46:CM46)</f>
        <v>0</v>
      </c>
      <c r="CO46" s="137"/>
      <c r="CP46" s="137"/>
      <c r="CQ46" s="137"/>
      <c r="CR46" s="137"/>
      <c r="CS46" s="137"/>
      <c r="CT46" s="137"/>
      <c r="CU46" s="137"/>
      <c r="CV46" s="137"/>
      <c r="CW46" s="137"/>
      <c r="CX46" s="137"/>
      <c r="CY46" s="137"/>
      <c r="CZ46" s="137"/>
      <c r="DA46" s="132" t="str">
        <f>SUM(CO46:CZ46)</f>
        <v>0</v>
      </c>
      <c r="DB46" s="136"/>
      <c r="DC46" s="136"/>
      <c r="DD46" s="136"/>
      <c r="DE46" s="136"/>
      <c r="DF46" s="136"/>
      <c r="DG46" s="136"/>
      <c r="DH46" s="136"/>
      <c r="DI46" s="136"/>
      <c r="DJ46" s="136"/>
      <c r="DK46" s="136"/>
      <c r="DL46" s="136"/>
      <c r="DM46" s="136"/>
      <c r="DN46" s="132" t="str">
        <f>SUM(DB46:DM46)</f>
        <v>0</v>
      </c>
      <c r="DO46" s="137"/>
      <c r="DP46" s="137"/>
      <c r="DQ46" s="137"/>
      <c r="DR46" s="137"/>
      <c r="DS46" s="137"/>
      <c r="DT46" s="137"/>
      <c r="DU46" s="137"/>
      <c r="DV46" s="137"/>
      <c r="DW46" s="137"/>
      <c r="DX46" s="137"/>
      <c r="DY46" s="137"/>
      <c r="DZ46" s="137"/>
      <c r="EA46" s="132" t="str">
        <f>SUM(DO46:DZ46)</f>
        <v>0</v>
      </c>
      <c r="EB46" s="216"/>
      <c r="EC46" s="216"/>
      <c r="ED46" s="216"/>
      <c r="EE46" s="216"/>
      <c r="EF46" s="216"/>
      <c r="EG46" s="216"/>
      <c r="EH46" s="216"/>
      <c r="EI46" s="216"/>
      <c r="EJ46" s="216"/>
      <c r="EK46" s="216"/>
      <c r="EL46" s="216"/>
      <c r="EM46" s="216"/>
      <c r="EN46" s="132" t="str">
        <f>SUM(EB46:EM46)</f>
        <v>0</v>
      </c>
      <c r="EO46" s="132"/>
      <c r="EP46" s="132"/>
      <c r="EQ46" s="132"/>
      <c r="ER46" s="132"/>
      <c r="ES46" s="132"/>
      <c r="ET46" s="132"/>
      <c r="EU46" s="132"/>
      <c r="EV46" s="132"/>
      <c r="EW46" s="132"/>
      <c r="EX46" s="132"/>
      <c r="EY46" s="132"/>
      <c r="EZ46" s="132"/>
      <c r="FA46" s="132" t="str">
        <f>SUM(EO46:EZ46)</f>
        <v>0</v>
      </c>
      <c r="FB46" s="181"/>
      <c r="FC46" s="181"/>
      <c r="FD46" s="181"/>
      <c r="FE46" s="181"/>
      <c r="FF46" s="181"/>
      <c r="FG46" s="181"/>
      <c r="FH46" s="181"/>
      <c r="FI46" s="181"/>
      <c r="FJ46" s="181"/>
      <c r="FK46" s="181"/>
      <c r="FL46" s="181"/>
      <c r="FM46" s="181"/>
      <c r="FN46" s="132" t="str">
        <f>SUM(FB46:FM46)</f>
        <v>0</v>
      </c>
      <c r="FO46" s="132"/>
      <c r="FP46" s="132"/>
      <c r="FQ46" s="132"/>
      <c r="FR46" s="132"/>
      <c r="FS46" s="132"/>
      <c r="FT46" s="132"/>
      <c r="FU46" s="132"/>
      <c r="FV46" s="132"/>
      <c r="FW46" s="132"/>
      <c r="FX46" s="132"/>
      <c r="FY46" s="132"/>
      <c r="FZ46" s="132"/>
      <c r="GA46" s="132" t="str">
        <f>SUM(FO46:FZ46)</f>
        <v>0</v>
      </c>
      <c r="GB46" s="181"/>
      <c r="GC46" s="181"/>
      <c r="GD46" s="181"/>
      <c r="GE46" s="181"/>
      <c r="GF46" s="181"/>
      <c r="GG46" s="181"/>
      <c r="GH46" s="181"/>
      <c r="GI46" s="181"/>
      <c r="GJ46" s="181"/>
      <c r="GK46" s="181"/>
      <c r="GL46" s="181"/>
      <c r="GM46" s="181"/>
      <c r="GN46" s="181" t="str">
        <f>SUM(GB46:GM46)</f>
        <v>0</v>
      </c>
      <c r="GO46" s="137"/>
      <c r="GP46" s="137"/>
      <c r="GQ46" s="137"/>
      <c r="GR46" s="137"/>
      <c r="GS46" s="137"/>
      <c r="GT46" s="137"/>
      <c r="GU46" s="137"/>
      <c r="GV46" s="137"/>
      <c r="GW46" s="137"/>
      <c r="GX46" s="137"/>
      <c r="GY46" s="137"/>
      <c r="GZ46" s="137"/>
      <c r="HA46" s="132" t="str">
        <f>SUM(GO46:GZ46)</f>
        <v>0</v>
      </c>
      <c r="HB46" s="181"/>
      <c r="HC46" s="181"/>
      <c r="HD46" s="181"/>
      <c r="HE46" s="181"/>
      <c r="HF46" s="181"/>
      <c r="HG46" s="181"/>
      <c r="HH46" s="181"/>
      <c r="HI46" s="181"/>
      <c r="HJ46" s="181"/>
      <c r="HK46" s="181"/>
      <c r="HL46" s="181"/>
      <c r="HM46" s="181"/>
      <c r="HN46" s="181" t="str">
        <f>SUM(HB46:HM46)</f>
        <v>0</v>
      </c>
      <c r="HO46" s="132"/>
      <c r="HP46" s="132"/>
      <c r="HQ46" s="132"/>
      <c r="HR46" s="132"/>
      <c r="HS46" s="132"/>
      <c r="HT46" s="132"/>
      <c r="HU46" s="132"/>
      <c r="HV46" s="132"/>
      <c r="HW46" s="132"/>
      <c r="HX46" s="132"/>
      <c r="HY46" s="132"/>
      <c r="HZ46" s="132"/>
      <c r="IA46" s="132" t="str">
        <f>SUM(HO46:HZ46)</f>
        <v>0</v>
      </c>
      <c r="IB46" s="181"/>
      <c r="IC46" s="181"/>
      <c r="ID46" s="181"/>
      <c r="IE46" s="181"/>
      <c r="IF46" s="181"/>
      <c r="IG46" s="181"/>
      <c r="IH46" s="181"/>
      <c r="II46" s="181"/>
      <c r="IJ46" s="181"/>
      <c r="IK46" s="181"/>
      <c r="IL46" s="181"/>
      <c r="IM46" s="181"/>
      <c r="IN46" s="181" t="str">
        <f>SUM(IB46:IM46)</f>
        <v>0</v>
      </c>
      <c r="IO46" s="181"/>
      <c r="IP46" s="181"/>
      <c r="IQ46" s="181"/>
      <c r="IR46" s="181"/>
      <c r="IS46" s="181"/>
      <c r="IT46" s="181"/>
      <c r="IU46" s="181"/>
      <c r="IV46" s="181"/>
      <c r="IW46" s="181"/>
      <c r="IX46" s="181"/>
      <c r="IY46" s="181"/>
      <c r="IZ46" s="181"/>
      <c r="JA46" s="181" t="str">
        <f>SUM(IO46:IZ46)</f>
        <v>0</v>
      </c>
      <c r="JC46" s="135" t="str">
        <f>B46+O46+AB46+AO46+BB46+BO46+CB46+CO46+DB46+DO46+EB46+EO46+FB46+FO46+GB46+GO46+HB46+HO46+IB46+IO46</f>
        <v>0</v>
      </c>
      <c r="JD46" s="135" t="str">
        <f>C46+P46+AC46+AP46+BC46+BP46+CC46+CP46+DC46+DP46+EC46+EP46+FC46+FP46+GC46+GP46+HC46+HP46+IC46+IP46</f>
        <v>0</v>
      </c>
      <c r="JE46" s="135" t="str">
        <f>D46+Q46+AD46+AQ46+BD46+BQ46+CD46+CQ46+DD46+DQ46+ED46+EQ46+FD46+FQ46+GD46+GQ46+HD46+HQ46+ID46+IQ46</f>
        <v>0</v>
      </c>
      <c r="JF46" s="135" t="str">
        <f>E46+R46+AE46+AR46+BE46+BR46+CE46+CR46+DE46+DR46+EE46+ER46+FE46+FR46+GE46+GR46+HE46+HR46+IE46+IR46</f>
        <v>0</v>
      </c>
      <c r="JG46" s="135" t="str">
        <f>F46+S46+AF46+AS46+BF46+BS46+CF46+CS46+DF46+DS46+EF46+ES46+FF46+FS46+GF46+GS46+HF46+HS46+IF46+IS46</f>
        <v>0</v>
      </c>
      <c r="JH46" s="135" t="str">
        <f>G46+T46+AG46+AT46+BG46+BT46+CG46+CT46+DG46+DT46+EG46+ET46+FG46+FT46+GG46+GT46+HG46+HT46+IG46+IT46</f>
        <v>0</v>
      </c>
      <c r="JI46" s="135" t="str">
        <f>H46+U46+AH46+AU46+BH46+BU46+CH46+CU46+DH46+DU46+EH46+EU46+FH46+FU46+GH46+GU46+HH46+HU46+IH46+IU46</f>
        <v>0</v>
      </c>
      <c r="JJ46" s="135" t="str">
        <f>I46+V46+AI46+AV46+BI46+BV46+CI46+CV46+DI46+DV46+EI46+EV46+FI46+FV46+GI46+GV46+HI46+HV46+II46+IV46</f>
        <v>0</v>
      </c>
      <c r="JK46" s="135" t="str">
        <f>J46+W46+AJ46+AW46+BJ46+BW46+CJ46+CW46+DJ46+DW46+EJ46+EW46+FJ46+FW46+GJ46+GW46+HJ46+HW46+IJ46+IW46</f>
        <v>0</v>
      </c>
      <c r="JL46" s="135" t="str">
        <f>K46+X46+AK46+AX46+BK46+BX46+CK46+CX46+DK46+DX46+EK46+EX46+FK46+FX46+GK46+GX46+HK46+HX46+IK46+IX46</f>
        <v>0</v>
      </c>
      <c r="JM46" s="135" t="str">
        <f>L46+Y46+AL46+AY46+BL46+BY46+CL46+CY46+DL46+DY46+EL46+EY46+FL46+FY46+GL46+GY46+HL46+HY46+IL46+IY46</f>
        <v>0</v>
      </c>
      <c r="JN46" s="135" t="str">
        <f>M46+Z46+AM46+AZ46+BM46+BZ46+CM46+CZ46+DM46+DZ46+EM46+EZ46+FM46+FZ46+GM46+GZ46+HM46+HZ46+IM46+IZ46</f>
        <v>0</v>
      </c>
      <c r="JO46" s="132" t="str">
        <f>SUM(JC46:JN46)</f>
        <v>0</v>
      </c>
      <c r="JQ46" s="139" t="str">
        <f>N46+AA46+AN46+BA46+BN46+CA46+CN46+DA46+DN46+EA46+EN46+FA46+FN46+GA46+GN46+HA46+HN46+IA46+IN46+JA46</f>
        <v>0</v>
      </c>
    </row>
    <row r="47" spans="1:278">
      <c r="A47" s="130"/>
      <c r="B47" s="131"/>
      <c r="C47" s="131"/>
      <c r="D47" s="131"/>
      <c r="E47" s="131"/>
      <c r="F47" s="131"/>
      <c r="G47" s="131"/>
      <c r="H47" s="131"/>
      <c r="I47" s="131"/>
      <c r="J47" s="131"/>
      <c r="K47" s="131"/>
      <c r="L47" s="131"/>
      <c r="M47" s="131"/>
      <c r="N47" s="132" t="str">
        <f>SUM(B47:M47)</f>
        <v>0</v>
      </c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2" t="str">
        <f>SUM(O47:Z47)</f>
        <v>0</v>
      </c>
      <c r="AB47" s="131"/>
      <c r="AC47" s="131"/>
      <c r="AD47" s="131"/>
      <c r="AE47" s="131"/>
      <c r="AF47" s="131"/>
      <c r="AG47" s="131"/>
      <c r="AH47" s="131"/>
      <c r="AI47" s="131"/>
      <c r="AJ47" s="131"/>
      <c r="AK47" s="131"/>
      <c r="AL47" s="131"/>
      <c r="AM47" s="131"/>
      <c r="AN47" s="132" t="str">
        <f>SUM(AB47:AM47)</f>
        <v>0</v>
      </c>
      <c r="AO47" s="133"/>
      <c r="AP47" s="133"/>
      <c r="AQ47" s="133"/>
      <c r="AR47" s="133"/>
      <c r="AS47" s="133"/>
      <c r="AT47" s="133"/>
      <c r="AU47" s="133"/>
      <c r="AV47" s="133"/>
      <c r="AW47" s="133"/>
      <c r="AX47" s="133"/>
      <c r="AY47" s="133"/>
      <c r="AZ47" s="133"/>
      <c r="BA47" s="132" t="str">
        <f>SUM(AO47:AZ47)</f>
        <v>0</v>
      </c>
      <c r="BB47" s="134"/>
      <c r="BC47" s="134"/>
      <c r="BD47" s="134"/>
      <c r="BE47" s="134"/>
      <c r="BF47" s="134"/>
      <c r="BG47" s="134"/>
      <c r="BH47" s="134"/>
      <c r="BI47" s="134"/>
      <c r="BJ47" s="134"/>
      <c r="BK47" s="134"/>
      <c r="BL47" s="134"/>
      <c r="BM47" s="134"/>
      <c r="BN47" s="132" t="str">
        <f>SUM(BB47:BM47)</f>
        <v>0</v>
      </c>
      <c r="BO47" s="135"/>
      <c r="BP47" s="135"/>
      <c r="BQ47" s="135"/>
      <c r="BR47" s="135"/>
      <c r="BS47" s="135"/>
      <c r="BT47" s="135"/>
      <c r="BU47" s="135"/>
      <c r="BV47" s="135"/>
      <c r="BW47" s="135"/>
      <c r="BX47" s="135"/>
      <c r="BY47" s="135"/>
      <c r="BZ47" s="135"/>
      <c r="CA47" s="132" t="str">
        <f>SUM(BO47:BZ47)</f>
        <v>0</v>
      </c>
      <c r="CB47" s="136"/>
      <c r="CC47" s="136"/>
      <c r="CD47" s="136"/>
      <c r="CE47" s="136"/>
      <c r="CF47" s="136"/>
      <c r="CG47" s="136"/>
      <c r="CH47" s="136"/>
      <c r="CI47" s="136"/>
      <c r="CJ47" s="136"/>
      <c r="CK47" s="136"/>
      <c r="CL47" s="136"/>
      <c r="CM47" s="136"/>
      <c r="CN47" s="132" t="str">
        <f>SUM(CB47:CM47)</f>
        <v>0</v>
      </c>
      <c r="CO47" s="137"/>
      <c r="CP47" s="137"/>
      <c r="CQ47" s="137"/>
      <c r="CR47" s="137"/>
      <c r="CS47" s="137"/>
      <c r="CT47" s="137"/>
      <c r="CU47" s="137"/>
      <c r="CV47" s="137"/>
      <c r="CW47" s="137"/>
      <c r="CX47" s="137"/>
      <c r="CY47" s="137"/>
      <c r="CZ47" s="137"/>
      <c r="DA47" s="132" t="str">
        <f>SUM(CO47:CZ47)</f>
        <v>0</v>
      </c>
      <c r="DB47" s="136"/>
      <c r="DC47" s="136"/>
      <c r="DD47" s="136"/>
      <c r="DE47" s="136"/>
      <c r="DF47" s="136"/>
      <c r="DG47" s="136"/>
      <c r="DH47" s="136"/>
      <c r="DI47" s="136"/>
      <c r="DJ47" s="136"/>
      <c r="DK47" s="136"/>
      <c r="DL47" s="136"/>
      <c r="DM47" s="136"/>
      <c r="DN47" s="132" t="str">
        <f>SUM(DB47:DM47)</f>
        <v>0</v>
      </c>
      <c r="DO47" s="137"/>
      <c r="DP47" s="137"/>
      <c r="DQ47" s="137"/>
      <c r="DR47" s="137"/>
      <c r="DS47" s="137"/>
      <c r="DT47" s="137"/>
      <c r="DU47" s="137"/>
      <c r="DV47" s="137"/>
      <c r="DW47" s="137"/>
      <c r="DX47" s="137"/>
      <c r="DY47" s="137"/>
      <c r="DZ47" s="137"/>
      <c r="EA47" s="132" t="str">
        <f>SUM(DO47:DZ47)</f>
        <v>0</v>
      </c>
      <c r="EB47" s="216"/>
      <c r="EC47" s="216"/>
      <c r="ED47" s="216"/>
      <c r="EE47" s="216"/>
      <c r="EF47" s="216"/>
      <c r="EG47" s="216"/>
      <c r="EH47" s="216"/>
      <c r="EI47" s="216"/>
      <c r="EJ47" s="216"/>
      <c r="EK47" s="216"/>
      <c r="EL47" s="216"/>
      <c r="EM47" s="216"/>
      <c r="EN47" s="132" t="str">
        <f>SUM(EB47:EM47)</f>
        <v>0</v>
      </c>
      <c r="EO47" s="132"/>
      <c r="EP47" s="132"/>
      <c r="EQ47" s="132"/>
      <c r="ER47" s="132"/>
      <c r="ES47" s="132"/>
      <c r="ET47" s="132"/>
      <c r="EU47" s="132"/>
      <c r="EV47" s="132"/>
      <c r="EW47" s="132"/>
      <c r="EX47" s="132"/>
      <c r="EY47" s="132"/>
      <c r="EZ47" s="132"/>
      <c r="FA47" s="132" t="str">
        <f>SUM(EO47:EZ47)</f>
        <v>0</v>
      </c>
      <c r="FB47" s="181"/>
      <c r="FC47" s="181"/>
      <c r="FD47" s="181"/>
      <c r="FE47" s="181"/>
      <c r="FF47" s="181"/>
      <c r="FG47" s="181"/>
      <c r="FH47" s="181"/>
      <c r="FI47" s="181"/>
      <c r="FJ47" s="181"/>
      <c r="FK47" s="181"/>
      <c r="FL47" s="181"/>
      <c r="FM47" s="181"/>
      <c r="FN47" s="132" t="str">
        <f>SUM(FB47:FM47)</f>
        <v>0</v>
      </c>
      <c r="FO47" s="132"/>
      <c r="FP47" s="132"/>
      <c r="FQ47" s="132"/>
      <c r="FR47" s="132"/>
      <c r="FS47" s="132"/>
      <c r="FT47" s="132"/>
      <c r="FU47" s="132"/>
      <c r="FV47" s="132"/>
      <c r="FW47" s="132"/>
      <c r="FX47" s="132"/>
      <c r="FY47" s="132"/>
      <c r="FZ47" s="132"/>
      <c r="GA47" s="132" t="str">
        <f>SUM(FO47:FZ47)</f>
        <v>0</v>
      </c>
      <c r="GB47" s="181"/>
      <c r="GC47" s="181"/>
      <c r="GD47" s="181"/>
      <c r="GE47" s="181"/>
      <c r="GF47" s="181"/>
      <c r="GG47" s="181"/>
      <c r="GH47" s="181"/>
      <c r="GI47" s="181"/>
      <c r="GJ47" s="181"/>
      <c r="GK47" s="181"/>
      <c r="GL47" s="181"/>
      <c r="GM47" s="181"/>
      <c r="GN47" s="181" t="str">
        <f>SUM(GB47:GM47)</f>
        <v>0</v>
      </c>
      <c r="GO47" s="137"/>
      <c r="GP47" s="137"/>
      <c r="GQ47" s="137"/>
      <c r="GR47" s="137"/>
      <c r="GS47" s="137"/>
      <c r="GT47" s="137"/>
      <c r="GU47" s="137"/>
      <c r="GV47" s="137"/>
      <c r="GW47" s="137"/>
      <c r="GX47" s="137"/>
      <c r="GY47" s="137"/>
      <c r="GZ47" s="137"/>
      <c r="HA47" s="132" t="str">
        <f>SUM(GO47:GZ47)</f>
        <v>0</v>
      </c>
      <c r="HB47" s="181"/>
      <c r="HC47" s="181"/>
      <c r="HD47" s="181"/>
      <c r="HE47" s="181"/>
      <c r="HF47" s="181"/>
      <c r="HG47" s="181"/>
      <c r="HH47" s="181"/>
      <c r="HI47" s="181"/>
      <c r="HJ47" s="181"/>
      <c r="HK47" s="181"/>
      <c r="HL47" s="181"/>
      <c r="HM47" s="181"/>
      <c r="HN47" s="181" t="str">
        <f>SUM(HB47:HM47)</f>
        <v>0</v>
      </c>
      <c r="HO47" s="132"/>
      <c r="HP47" s="132"/>
      <c r="HQ47" s="132"/>
      <c r="HR47" s="132"/>
      <c r="HS47" s="132"/>
      <c r="HT47" s="132"/>
      <c r="HU47" s="132"/>
      <c r="HV47" s="132"/>
      <c r="HW47" s="132"/>
      <c r="HX47" s="132"/>
      <c r="HY47" s="132"/>
      <c r="HZ47" s="132"/>
      <c r="IA47" s="132" t="str">
        <f>SUM(HO47:HZ47)</f>
        <v>0</v>
      </c>
      <c r="IB47" s="181"/>
      <c r="IC47" s="181"/>
      <c r="ID47" s="181"/>
      <c r="IE47" s="181"/>
      <c r="IF47" s="181"/>
      <c r="IG47" s="181"/>
      <c r="IH47" s="181"/>
      <c r="II47" s="181"/>
      <c r="IJ47" s="181"/>
      <c r="IK47" s="181"/>
      <c r="IL47" s="181"/>
      <c r="IM47" s="181"/>
      <c r="IN47" s="181" t="str">
        <f>SUM(IB47:IM47)</f>
        <v>0</v>
      </c>
      <c r="IO47" s="181"/>
      <c r="IP47" s="181"/>
      <c r="IQ47" s="181"/>
      <c r="IR47" s="181"/>
      <c r="IS47" s="181"/>
      <c r="IT47" s="181"/>
      <c r="IU47" s="181"/>
      <c r="IV47" s="181"/>
      <c r="IW47" s="181"/>
      <c r="IX47" s="181"/>
      <c r="IY47" s="181"/>
      <c r="IZ47" s="181"/>
      <c r="JA47" s="181" t="str">
        <f>SUM(IO47:IZ47)</f>
        <v>0</v>
      </c>
      <c r="JC47" s="135" t="str">
        <f>B47+O47+AB47+AO47+BB47+BO47+CB47+CO47+DB47+DO47+EB47+EO47+FB47+FO47+GB47+GO47+HB47+HO47+IB47+IO47</f>
        <v>0</v>
      </c>
      <c r="JD47" s="135" t="str">
        <f>C47+P47+AC47+AP47+BC47+BP47+CC47+CP47+DC47+DP47+EC47+EP47+FC47+FP47+GC47+GP47+HC47+HP47+IC47+IP47</f>
        <v>0</v>
      </c>
      <c r="JE47" s="135" t="str">
        <f>D47+Q47+AD47+AQ47+BD47+BQ47+CD47+CQ47+DD47+DQ47+ED47+EQ47+FD47+FQ47+GD47+GQ47+HD47+HQ47+ID47+IQ47</f>
        <v>0</v>
      </c>
      <c r="JF47" s="135" t="str">
        <f>E47+R47+AE47+AR47+BE47+BR47+CE47+CR47+DE47+DR47+EE47+ER47+FE47+FR47+GE47+GR47+HE47+HR47+IE47+IR47</f>
        <v>0</v>
      </c>
      <c r="JG47" s="135" t="str">
        <f>F47+S47+AF47+AS47+BF47+BS47+CF47+CS47+DF47+DS47+EF47+ES47+FF47+FS47+GF47+GS47+HF47+HS47+IF47+IS47</f>
        <v>0</v>
      </c>
      <c r="JH47" s="135" t="str">
        <f>G47+T47+AG47+AT47+BG47+BT47+CG47+CT47+DG47+DT47+EG47+ET47+FG47+FT47+GG47+GT47+HG47+HT47+IG47+IT47</f>
        <v>0</v>
      </c>
      <c r="JI47" s="135" t="str">
        <f>H47+U47+AH47+AU47+BH47+BU47+CH47+CU47+DH47+DU47+EH47+EU47+FH47+FU47+GH47+GU47+HH47+HU47+IH47+IU47</f>
        <v>0</v>
      </c>
      <c r="JJ47" s="135" t="str">
        <f>I47+V47+AI47+AV47+BI47+BV47+CI47+CV47+DI47+DV47+EI47+EV47+FI47+FV47+GI47+GV47+HI47+HV47+II47+IV47</f>
        <v>0</v>
      </c>
      <c r="JK47" s="135" t="str">
        <f>J47+W47+AJ47+AW47+BJ47+BW47+CJ47+CW47+DJ47+DW47+EJ47+EW47+FJ47+FW47+GJ47+GW47+HJ47+HW47+IJ47+IW47</f>
        <v>0</v>
      </c>
      <c r="JL47" s="135" t="str">
        <f>K47+X47+AK47+AX47+BK47+BX47+CK47+CX47+DK47+DX47+EK47+EX47+FK47+FX47+GK47+GX47+HK47+HX47+IK47+IX47</f>
        <v>0</v>
      </c>
      <c r="JM47" s="135" t="str">
        <f>L47+Y47+AL47+AY47+BL47+BY47+CL47+CY47+DL47+DY47+EL47+EY47+FL47+FY47+GL47+GY47+HL47+HY47+IL47+IY47</f>
        <v>0</v>
      </c>
      <c r="JN47" s="135" t="str">
        <f>M47+Z47+AM47+AZ47+BM47+BZ47+CM47+CZ47+DM47+DZ47+EM47+EZ47+FM47+FZ47+GM47+GZ47+HM47+HZ47+IM47+IZ47</f>
        <v>0</v>
      </c>
      <c r="JO47" s="132" t="str">
        <f>SUM(JC47:JN47)</f>
        <v>0</v>
      </c>
      <c r="JQ47" s="139" t="str">
        <f>N47+AA47+AN47+BA47+BN47+CA47+CN47+DA47+DN47+EA47+EN47+FA47+FN47+GA47+GN47+HA47+HN47+IA47+IN47+JA47</f>
        <v>0</v>
      </c>
    </row>
    <row r="48" spans="1:278">
      <c r="A48" s="130"/>
      <c r="B48" s="131"/>
      <c r="C48" s="131"/>
      <c r="D48" s="131"/>
      <c r="E48" s="131"/>
      <c r="F48" s="131"/>
      <c r="G48" s="131"/>
      <c r="H48" s="131"/>
      <c r="I48" s="131"/>
      <c r="J48" s="131"/>
      <c r="K48" s="131"/>
      <c r="L48" s="131"/>
      <c r="M48" s="131"/>
      <c r="N48" s="132" t="str">
        <f>SUM(B48:M48)</f>
        <v>0</v>
      </c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  <c r="AA48" s="132" t="str">
        <f>SUM(O48:Z48)</f>
        <v>0</v>
      </c>
      <c r="AB48" s="131"/>
      <c r="AC48" s="131"/>
      <c r="AD48" s="131"/>
      <c r="AE48" s="131"/>
      <c r="AF48" s="131"/>
      <c r="AG48" s="131"/>
      <c r="AH48" s="131"/>
      <c r="AI48" s="131"/>
      <c r="AJ48" s="131"/>
      <c r="AK48" s="131"/>
      <c r="AL48" s="131"/>
      <c r="AM48" s="131"/>
      <c r="AN48" s="132" t="str">
        <f>SUM(AB48:AM48)</f>
        <v>0</v>
      </c>
      <c r="AO48" s="133"/>
      <c r="AP48" s="133"/>
      <c r="AQ48" s="133"/>
      <c r="AR48" s="133"/>
      <c r="AS48" s="133"/>
      <c r="AT48" s="133"/>
      <c r="AU48" s="133"/>
      <c r="AV48" s="133"/>
      <c r="AW48" s="133"/>
      <c r="AX48" s="133"/>
      <c r="AY48" s="133"/>
      <c r="AZ48" s="133"/>
      <c r="BA48" s="132" t="str">
        <f>SUM(AO48:AZ48)</f>
        <v>0</v>
      </c>
      <c r="BB48" s="134"/>
      <c r="BC48" s="134"/>
      <c r="BD48" s="134"/>
      <c r="BE48" s="134"/>
      <c r="BF48" s="134"/>
      <c r="BG48" s="134"/>
      <c r="BH48" s="134"/>
      <c r="BI48" s="134"/>
      <c r="BJ48" s="134"/>
      <c r="BK48" s="134"/>
      <c r="BL48" s="134"/>
      <c r="BM48" s="134"/>
      <c r="BN48" s="132" t="str">
        <f>SUM(BB48:BM48)</f>
        <v>0</v>
      </c>
      <c r="BO48" s="135"/>
      <c r="BP48" s="135"/>
      <c r="BQ48" s="135"/>
      <c r="BR48" s="135"/>
      <c r="BS48" s="135"/>
      <c r="BT48" s="135"/>
      <c r="BU48" s="135"/>
      <c r="BV48" s="135"/>
      <c r="BW48" s="135"/>
      <c r="BX48" s="135"/>
      <c r="BY48" s="135"/>
      <c r="BZ48" s="135"/>
      <c r="CA48" s="132" t="str">
        <f>SUM(BO48:BZ48)</f>
        <v>0</v>
      </c>
      <c r="CB48" s="136"/>
      <c r="CC48" s="136"/>
      <c r="CD48" s="136"/>
      <c r="CE48" s="136"/>
      <c r="CF48" s="136"/>
      <c r="CG48" s="136"/>
      <c r="CH48" s="136"/>
      <c r="CI48" s="136"/>
      <c r="CJ48" s="136"/>
      <c r="CK48" s="136"/>
      <c r="CL48" s="136"/>
      <c r="CM48" s="136"/>
      <c r="CN48" s="132" t="str">
        <f>SUM(CB48:CM48)</f>
        <v>0</v>
      </c>
      <c r="CO48" s="137"/>
      <c r="CP48" s="137"/>
      <c r="CQ48" s="137"/>
      <c r="CR48" s="137"/>
      <c r="CS48" s="137"/>
      <c r="CT48" s="137"/>
      <c r="CU48" s="137"/>
      <c r="CV48" s="137"/>
      <c r="CW48" s="137"/>
      <c r="CX48" s="137"/>
      <c r="CY48" s="137"/>
      <c r="CZ48" s="137"/>
      <c r="DA48" s="132" t="str">
        <f>SUM(CO48:CZ48)</f>
        <v>0</v>
      </c>
      <c r="DB48" s="136"/>
      <c r="DC48" s="136"/>
      <c r="DD48" s="136"/>
      <c r="DE48" s="136"/>
      <c r="DF48" s="136"/>
      <c r="DG48" s="136"/>
      <c r="DH48" s="136"/>
      <c r="DI48" s="136"/>
      <c r="DJ48" s="136"/>
      <c r="DK48" s="136"/>
      <c r="DL48" s="136"/>
      <c r="DM48" s="136"/>
      <c r="DN48" s="132" t="str">
        <f>SUM(DB48:DM48)</f>
        <v>0</v>
      </c>
      <c r="DO48" s="137"/>
      <c r="DP48" s="137"/>
      <c r="DQ48" s="137"/>
      <c r="DR48" s="137"/>
      <c r="DS48" s="137"/>
      <c r="DT48" s="137"/>
      <c r="DU48" s="137"/>
      <c r="DV48" s="137"/>
      <c r="DW48" s="137"/>
      <c r="DX48" s="137"/>
      <c r="DY48" s="137"/>
      <c r="DZ48" s="137"/>
      <c r="EA48" s="132" t="str">
        <f>SUM(DO48:DZ48)</f>
        <v>0</v>
      </c>
      <c r="EB48" s="216"/>
      <c r="EC48" s="216"/>
      <c r="ED48" s="216"/>
      <c r="EE48" s="216"/>
      <c r="EF48" s="216"/>
      <c r="EG48" s="216"/>
      <c r="EH48" s="216"/>
      <c r="EI48" s="216"/>
      <c r="EJ48" s="216"/>
      <c r="EK48" s="216"/>
      <c r="EL48" s="216"/>
      <c r="EM48" s="216"/>
      <c r="EN48" s="132" t="str">
        <f>SUM(EB48:EM48)</f>
        <v>0</v>
      </c>
      <c r="EO48" s="132"/>
      <c r="EP48" s="132"/>
      <c r="EQ48" s="132"/>
      <c r="ER48" s="132"/>
      <c r="ES48" s="132"/>
      <c r="ET48" s="132"/>
      <c r="EU48" s="132"/>
      <c r="EV48" s="132"/>
      <c r="EW48" s="132"/>
      <c r="EX48" s="132"/>
      <c r="EY48" s="132"/>
      <c r="EZ48" s="132"/>
      <c r="FA48" s="132" t="str">
        <f>SUM(EO48:EZ48)</f>
        <v>0</v>
      </c>
      <c r="FB48" s="181"/>
      <c r="FC48" s="181"/>
      <c r="FD48" s="181"/>
      <c r="FE48" s="181"/>
      <c r="FF48" s="181"/>
      <c r="FG48" s="181"/>
      <c r="FH48" s="181"/>
      <c r="FI48" s="181"/>
      <c r="FJ48" s="181"/>
      <c r="FK48" s="181"/>
      <c r="FL48" s="181"/>
      <c r="FM48" s="181"/>
      <c r="FN48" s="132" t="str">
        <f>SUM(FB48:FM48)</f>
        <v>0</v>
      </c>
      <c r="FO48" s="132"/>
      <c r="FP48" s="132"/>
      <c r="FQ48" s="132"/>
      <c r="FR48" s="132"/>
      <c r="FS48" s="132"/>
      <c r="FT48" s="132"/>
      <c r="FU48" s="132"/>
      <c r="FV48" s="132"/>
      <c r="FW48" s="132"/>
      <c r="FX48" s="132"/>
      <c r="FY48" s="132"/>
      <c r="FZ48" s="132"/>
      <c r="GA48" s="132" t="str">
        <f>SUM(FO48:FZ48)</f>
        <v>0</v>
      </c>
      <c r="GB48" s="181"/>
      <c r="GC48" s="181"/>
      <c r="GD48" s="181"/>
      <c r="GE48" s="181"/>
      <c r="GF48" s="181"/>
      <c r="GG48" s="181"/>
      <c r="GH48" s="181"/>
      <c r="GI48" s="181"/>
      <c r="GJ48" s="181"/>
      <c r="GK48" s="181"/>
      <c r="GL48" s="181"/>
      <c r="GM48" s="181"/>
      <c r="GN48" s="181" t="str">
        <f>SUM(GB48:GM48)</f>
        <v>0</v>
      </c>
      <c r="GO48" s="137"/>
      <c r="GP48" s="137"/>
      <c r="GQ48" s="137"/>
      <c r="GR48" s="137"/>
      <c r="GS48" s="137"/>
      <c r="GT48" s="137"/>
      <c r="GU48" s="137"/>
      <c r="GV48" s="137"/>
      <c r="GW48" s="137"/>
      <c r="GX48" s="137"/>
      <c r="GY48" s="137"/>
      <c r="GZ48" s="137"/>
      <c r="HA48" s="132" t="str">
        <f>SUM(GO48:GZ48)</f>
        <v>0</v>
      </c>
      <c r="HB48" s="181"/>
      <c r="HC48" s="181"/>
      <c r="HD48" s="181"/>
      <c r="HE48" s="181"/>
      <c r="HF48" s="181"/>
      <c r="HG48" s="181"/>
      <c r="HH48" s="181"/>
      <c r="HI48" s="181"/>
      <c r="HJ48" s="181"/>
      <c r="HK48" s="181"/>
      <c r="HL48" s="181"/>
      <c r="HM48" s="181"/>
      <c r="HN48" s="181" t="str">
        <f>SUM(HB48:HM48)</f>
        <v>0</v>
      </c>
      <c r="HO48" s="132"/>
      <c r="HP48" s="132"/>
      <c r="HQ48" s="132"/>
      <c r="HR48" s="132"/>
      <c r="HS48" s="132"/>
      <c r="HT48" s="132"/>
      <c r="HU48" s="132"/>
      <c r="HV48" s="132"/>
      <c r="HW48" s="132"/>
      <c r="HX48" s="132"/>
      <c r="HY48" s="132"/>
      <c r="HZ48" s="132"/>
      <c r="IA48" s="132" t="str">
        <f>SUM(HO48:HZ48)</f>
        <v>0</v>
      </c>
      <c r="IB48" s="181"/>
      <c r="IC48" s="181"/>
      <c r="ID48" s="181"/>
      <c r="IE48" s="181"/>
      <c r="IF48" s="181"/>
      <c r="IG48" s="181"/>
      <c r="IH48" s="181"/>
      <c r="II48" s="181"/>
      <c r="IJ48" s="181"/>
      <c r="IK48" s="181"/>
      <c r="IL48" s="181"/>
      <c r="IM48" s="181"/>
      <c r="IN48" s="181" t="str">
        <f>SUM(IB48:IM48)</f>
        <v>0</v>
      </c>
      <c r="IO48" s="181"/>
      <c r="IP48" s="181"/>
      <c r="IQ48" s="181"/>
      <c r="IR48" s="181"/>
      <c r="IS48" s="181"/>
      <c r="IT48" s="181"/>
      <c r="IU48" s="181"/>
      <c r="IV48" s="181"/>
      <c r="IW48" s="181"/>
      <c r="IX48" s="181"/>
      <c r="IY48" s="181"/>
      <c r="IZ48" s="181"/>
      <c r="JA48" s="181" t="str">
        <f>SUM(IO48:IZ48)</f>
        <v>0</v>
      </c>
      <c r="JC48" s="135" t="str">
        <f>B48+O48+AB48+AO48+BB48+BO48+CB48+CO48+DB48+DO48+EB48+EO48+FB48+FO48+GB48+GO48+HB48+HO48+IB48+IO48</f>
        <v>0</v>
      </c>
      <c r="JD48" s="135" t="str">
        <f>C48+P48+AC48+AP48+BC48+BP48+CC48+CP48+DC48+DP48+EC48+EP48+FC48+FP48+GC48+GP48+HC48+HP48+IC48+IP48</f>
        <v>0</v>
      </c>
      <c r="JE48" s="135" t="str">
        <f>D48+Q48+AD48+AQ48+BD48+BQ48+CD48+CQ48+DD48+DQ48+ED48+EQ48+FD48+FQ48+GD48+GQ48+HD48+HQ48+ID48+IQ48</f>
        <v>0</v>
      </c>
      <c r="JF48" s="135" t="str">
        <f>E48+R48+AE48+AR48+BE48+BR48+CE48+CR48+DE48+DR48+EE48+ER48+FE48+FR48+GE48+GR48+HE48+HR48+IE48+IR48</f>
        <v>0</v>
      </c>
      <c r="JG48" s="135" t="str">
        <f>F48+S48+AF48+AS48+BF48+BS48+CF48+CS48+DF48+DS48+EF48+ES48+FF48+FS48+GF48+GS48+HF48+HS48+IF48+IS48</f>
        <v>0</v>
      </c>
      <c r="JH48" s="135" t="str">
        <f>G48+T48+AG48+AT48+BG48+BT48+CG48+CT48+DG48+DT48+EG48+ET48+FG48+FT48+GG48+GT48+HG48+HT48+IG48+IT48</f>
        <v>0</v>
      </c>
      <c r="JI48" s="135" t="str">
        <f>H48+U48+AH48+AU48+BH48+BU48+CH48+CU48+DH48+DU48+EH48+EU48+FH48+FU48+GH48+GU48+HH48+HU48+IH48+IU48</f>
        <v>0</v>
      </c>
      <c r="JJ48" s="135" t="str">
        <f>I48+V48+AI48+AV48+BI48+BV48+CI48+CV48+DI48+DV48+EI48+EV48+FI48+FV48+GI48+GV48+HI48+HV48+II48+IV48</f>
        <v>0</v>
      </c>
      <c r="JK48" s="135" t="str">
        <f>J48+W48+AJ48+AW48+BJ48+BW48+CJ48+CW48+DJ48+DW48+EJ48+EW48+FJ48+FW48+GJ48+GW48+HJ48+HW48+IJ48+IW48</f>
        <v>0</v>
      </c>
      <c r="JL48" s="135" t="str">
        <f>K48+X48+AK48+AX48+BK48+BX48+CK48+CX48+DK48+DX48+EK48+EX48+FK48+FX48+GK48+GX48+HK48+HX48+IK48+IX48</f>
        <v>0</v>
      </c>
      <c r="JM48" s="135" t="str">
        <f>L48+Y48+AL48+AY48+BL48+BY48+CL48+CY48+DL48+DY48+EL48+EY48+FL48+FY48+GL48+GY48+HL48+HY48+IL48+IY48</f>
        <v>0</v>
      </c>
      <c r="JN48" s="135" t="str">
        <f>M48+Z48+AM48+AZ48+BM48+BZ48+CM48+CZ48+DM48+DZ48+EM48+EZ48+FM48+FZ48+GM48+GZ48+HM48+HZ48+IM48+IZ48</f>
        <v>0</v>
      </c>
      <c r="JO48" s="132" t="str">
        <f>SUM(JC48:JN48)</f>
        <v>0</v>
      </c>
      <c r="JQ48" s="139" t="str">
        <f>N48+AA48+AN48+BA48+BN48+CA48+CN48+DA48+DN48+EA48+EN48+FA48+FN48+GA48+GN48+HA48+HN48+IA48+IN48+JA48</f>
        <v>0</v>
      </c>
    </row>
    <row r="49" spans="1:278">
      <c r="A49" s="130"/>
      <c r="B49" s="131"/>
      <c r="C49" s="131"/>
      <c r="D49" s="131"/>
      <c r="E49" s="131"/>
      <c r="F49" s="131"/>
      <c r="G49" s="131"/>
      <c r="H49" s="131"/>
      <c r="I49" s="131"/>
      <c r="J49" s="131"/>
      <c r="K49" s="131"/>
      <c r="L49" s="131"/>
      <c r="M49" s="131"/>
      <c r="N49" s="132" t="str">
        <f>SUM(B49:M49)</f>
        <v>0</v>
      </c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  <c r="AA49" s="132" t="str">
        <f>SUM(O49:Z49)</f>
        <v>0</v>
      </c>
      <c r="AB49" s="131"/>
      <c r="AC49" s="131"/>
      <c r="AD49" s="131"/>
      <c r="AE49" s="131"/>
      <c r="AF49" s="131"/>
      <c r="AG49" s="131"/>
      <c r="AH49" s="131"/>
      <c r="AI49" s="131"/>
      <c r="AJ49" s="131"/>
      <c r="AK49" s="131"/>
      <c r="AL49" s="131"/>
      <c r="AM49" s="131"/>
      <c r="AN49" s="132" t="str">
        <f>SUM(AB49:AM49)</f>
        <v>0</v>
      </c>
      <c r="AO49" s="133"/>
      <c r="AP49" s="133"/>
      <c r="AQ49" s="133"/>
      <c r="AR49" s="133"/>
      <c r="AS49" s="133"/>
      <c r="AT49" s="133"/>
      <c r="AU49" s="133"/>
      <c r="AV49" s="133"/>
      <c r="AW49" s="133"/>
      <c r="AX49" s="133"/>
      <c r="AY49" s="133"/>
      <c r="AZ49" s="133"/>
      <c r="BA49" s="132" t="str">
        <f>SUM(AO49:AZ49)</f>
        <v>0</v>
      </c>
      <c r="BB49" s="134"/>
      <c r="BC49" s="134"/>
      <c r="BD49" s="134"/>
      <c r="BE49" s="134"/>
      <c r="BF49" s="134"/>
      <c r="BG49" s="134"/>
      <c r="BH49" s="134"/>
      <c r="BI49" s="134"/>
      <c r="BJ49" s="134"/>
      <c r="BK49" s="134"/>
      <c r="BL49" s="134"/>
      <c r="BM49" s="134"/>
      <c r="BN49" s="132" t="str">
        <f>SUM(BB49:BM49)</f>
        <v>0</v>
      </c>
      <c r="BO49" s="135"/>
      <c r="BP49" s="135"/>
      <c r="BQ49" s="135"/>
      <c r="BR49" s="135"/>
      <c r="BS49" s="135"/>
      <c r="BT49" s="135"/>
      <c r="BU49" s="135"/>
      <c r="BV49" s="135"/>
      <c r="BW49" s="135"/>
      <c r="BX49" s="135"/>
      <c r="BY49" s="135"/>
      <c r="BZ49" s="135"/>
      <c r="CA49" s="132" t="str">
        <f>SUM(BO49:BZ49)</f>
        <v>0</v>
      </c>
      <c r="CB49" s="136"/>
      <c r="CC49" s="136"/>
      <c r="CD49" s="136"/>
      <c r="CE49" s="136"/>
      <c r="CF49" s="136"/>
      <c r="CG49" s="136"/>
      <c r="CH49" s="136"/>
      <c r="CI49" s="136"/>
      <c r="CJ49" s="136"/>
      <c r="CK49" s="136"/>
      <c r="CL49" s="136"/>
      <c r="CM49" s="136"/>
      <c r="CN49" s="132" t="str">
        <f>SUM(CB49:CM49)</f>
        <v>0</v>
      </c>
      <c r="CO49" s="137"/>
      <c r="CP49" s="137"/>
      <c r="CQ49" s="137"/>
      <c r="CR49" s="137"/>
      <c r="CS49" s="137"/>
      <c r="CT49" s="137"/>
      <c r="CU49" s="137"/>
      <c r="CV49" s="137"/>
      <c r="CW49" s="137"/>
      <c r="CX49" s="137"/>
      <c r="CY49" s="137"/>
      <c r="CZ49" s="137"/>
      <c r="DA49" s="132" t="str">
        <f>SUM(CO49:CZ49)</f>
        <v>0</v>
      </c>
      <c r="DB49" s="136"/>
      <c r="DC49" s="136"/>
      <c r="DD49" s="136"/>
      <c r="DE49" s="136"/>
      <c r="DF49" s="136"/>
      <c r="DG49" s="136"/>
      <c r="DH49" s="136"/>
      <c r="DI49" s="136"/>
      <c r="DJ49" s="136"/>
      <c r="DK49" s="136"/>
      <c r="DL49" s="136"/>
      <c r="DM49" s="136"/>
      <c r="DN49" s="132" t="str">
        <f>SUM(DB49:DM49)</f>
        <v>0</v>
      </c>
      <c r="DO49" s="137"/>
      <c r="DP49" s="137"/>
      <c r="DQ49" s="137"/>
      <c r="DR49" s="137"/>
      <c r="DS49" s="137"/>
      <c r="DT49" s="137"/>
      <c r="DU49" s="137"/>
      <c r="DV49" s="137"/>
      <c r="DW49" s="137"/>
      <c r="DX49" s="137"/>
      <c r="DY49" s="137"/>
      <c r="DZ49" s="137"/>
      <c r="EA49" s="132" t="str">
        <f>SUM(DO49:DZ49)</f>
        <v>0</v>
      </c>
      <c r="EB49" s="216"/>
      <c r="EC49" s="216"/>
      <c r="ED49" s="216"/>
      <c r="EE49" s="216"/>
      <c r="EF49" s="216"/>
      <c r="EG49" s="216"/>
      <c r="EH49" s="216"/>
      <c r="EI49" s="216"/>
      <c r="EJ49" s="216"/>
      <c r="EK49" s="216"/>
      <c r="EL49" s="216"/>
      <c r="EM49" s="216"/>
      <c r="EN49" s="132" t="str">
        <f>SUM(EB49:EM49)</f>
        <v>0</v>
      </c>
      <c r="EO49" s="132"/>
      <c r="EP49" s="132"/>
      <c r="EQ49" s="132"/>
      <c r="ER49" s="132"/>
      <c r="ES49" s="132"/>
      <c r="ET49" s="132"/>
      <c r="EU49" s="132"/>
      <c r="EV49" s="132"/>
      <c r="EW49" s="132"/>
      <c r="EX49" s="132"/>
      <c r="EY49" s="132"/>
      <c r="EZ49" s="132"/>
      <c r="FA49" s="132" t="str">
        <f>SUM(EO49:EZ49)</f>
        <v>0</v>
      </c>
      <c r="FB49" s="181"/>
      <c r="FC49" s="181"/>
      <c r="FD49" s="181"/>
      <c r="FE49" s="181"/>
      <c r="FF49" s="181"/>
      <c r="FG49" s="181"/>
      <c r="FH49" s="181"/>
      <c r="FI49" s="181"/>
      <c r="FJ49" s="181"/>
      <c r="FK49" s="181"/>
      <c r="FL49" s="181"/>
      <c r="FM49" s="181"/>
      <c r="FN49" s="132" t="str">
        <f>SUM(FB49:FM49)</f>
        <v>0</v>
      </c>
      <c r="FO49" s="132"/>
      <c r="FP49" s="132"/>
      <c r="FQ49" s="132"/>
      <c r="FR49" s="132"/>
      <c r="FS49" s="132"/>
      <c r="FT49" s="132"/>
      <c r="FU49" s="132"/>
      <c r="FV49" s="132"/>
      <c r="FW49" s="132"/>
      <c r="FX49" s="132"/>
      <c r="FY49" s="132"/>
      <c r="FZ49" s="132"/>
      <c r="GA49" s="132" t="str">
        <f>SUM(FO49:FZ49)</f>
        <v>0</v>
      </c>
      <c r="GB49" s="181"/>
      <c r="GC49" s="181"/>
      <c r="GD49" s="181"/>
      <c r="GE49" s="181"/>
      <c r="GF49" s="181"/>
      <c r="GG49" s="181"/>
      <c r="GH49" s="181"/>
      <c r="GI49" s="181"/>
      <c r="GJ49" s="181"/>
      <c r="GK49" s="181"/>
      <c r="GL49" s="181"/>
      <c r="GM49" s="181"/>
      <c r="GN49" s="181" t="str">
        <f>SUM(GB49:GM49)</f>
        <v>0</v>
      </c>
      <c r="GO49" s="137"/>
      <c r="GP49" s="137"/>
      <c r="GQ49" s="137"/>
      <c r="GR49" s="137"/>
      <c r="GS49" s="137"/>
      <c r="GT49" s="137"/>
      <c r="GU49" s="137"/>
      <c r="GV49" s="137"/>
      <c r="GW49" s="137"/>
      <c r="GX49" s="137"/>
      <c r="GY49" s="137"/>
      <c r="GZ49" s="137"/>
      <c r="HA49" s="132" t="str">
        <f>SUM(GO49:GZ49)</f>
        <v>0</v>
      </c>
      <c r="HB49" s="181"/>
      <c r="HC49" s="181"/>
      <c r="HD49" s="181"/>
      <c r="HE49" s="181"/>
      <c r="HF49" s="181"/>
      <c r="HG49" s="181"/>
      <c r="HH49" s="181"/>
      <c r="HI49" s="181"/>
      <c r="HJ49" s="181"/>
      <c r="HK49" s="181"/>
      <c r="HL49" s="181"/>
      <c r="HM49" s="181"/>
      <c r="HN49" s="181" t="str">
        <f>SUM(HB49:HM49)</f>
        <v>0</v>
      </c>
      <c r="HO49" s="132"/>
      <c r="HP49" s="132"/>
      <c r="HQ49" s="132"/>
      <c r="HR49" s="132"/>
      <c r="HS49" s="132"/>
      <c r="HT49" s="132"/>
      <c r="HU49" s="132"/>
      <c r="HV49" s="132"/>
      <c r="HW49" s="132"/>
      <c r="HX49" s="132"/>
      <c r="HY49" s="132"/>
      <c r="HZ49" s="132"/>
      <c r="IA49" s="132" t="str">
        <f>SUM(HO49:HZ49)</f>
        <v>0</v>
      </c>
      <c r="IB49" s="181"/>
      <c r="IC49" s="181"/>
      <c r="ID49" s="181"/>
      <c r="IE49" s="181"/>
      <c r="IF49" s="181"/>
      <c r="IG49" s="181"/>
      <c r="IH49" s="181"/>
      <c r="II49" s="181"/>
      <c r="IJ49" s="181"/>
      <c r="IK49" s="181"/>
      <c r="IL49" s="181"/>
      <c r="IM49" s="181"/>
      <c r="IN49" s="181" t="str">
        <f>SUM(IB49:IM49)</f>
        <v>0</v>
      </c>
      <c r="IO49" s="181"/>
      <c r="IP49" s="181"/>
      <c r="IQ49" s="181"/>
      <c r="IR49" s="181"/>
      <c r="IS49" s="181"/>
      <c r="IT49" s="181"/>
      <c r="IU49" s="181"/>
      <c r="IV49" s="181"/>
      <c r="IW49" s="181"/>
      <c r="IX49" s="181"/>
      <c r="IY49" s="181"/>
      <c r="IZ49" s="181"/>
      <c r="JA49" s="181" t="str">
        <f>SUM(IO49:IZ49)</f>
        <v>0</v>
      </c>
      <c r="JC49" s="135" t="str">
        <f>B49+O49+AB49+AO49+BB49+BO49+CB49+CO49+DB49+DO49+EB49+EO49+FB49+FO49+GB49+GO49+HB49+HO49+IB49+IO49</f>
        <v>0</v>
      </c>
      <c r="JD49" s="135" t="str">
        <f>C49+P49+AC49+AP49+BC49+BP49+CC49+CP49+DC49+DP49+EC49+EP49+FC49+FP49+GC49+GP49+HC49+HP49+IC49+IP49</f>
        <v>0</v>
      </c>
      <c r="JE49" s="135" t="str">
        <f>D49+Q49+AD49+AQ49+BD49+BQ49+CD49+CQ49+DD49+DQ49+ED49+EQ49+FD49+FQ49+GD49+GQ49+HD49+HQ49+ID49+IQ49</f>
        <v>0</v>
      </c>
      <c r="JF49" s="135" t="str">
        <f>E49+R49+AE49+AR49+BE49+BR49+CE49+CR49+DE49+DR49+EE49+ER49+FE49+FR49+GE49+GR49+HE49+HR49+IE49+IR49</f>
        <v>0</v>
      </c>
      <c r="JG49" s="135" t="str">
        <f>F49+S49+AF49+AS49+BF49+BS49+CF49+CS49+DF49+DS49+EF49+ES49+FF49+FS49+GF49+GS49+HF49+HS49+IF49+IS49</f>
        <v>0</v>
      </c>
      <c r="JH49" s="135" t="str">
        <f>G49+T49+AG49+AT49+BG49+BT49+CG49+CT49+DG49+DT49+EG49+ET49+FG49+FT49+GG49+GT49+HG49+HT49+IG49+IT49</f>
        <v>0</v>
      </c>
      <c r="JI49" s="135" t="str">
        <f>H49+U49+AH49+AU49+BH49+BU49+CH49+CU49+DH49+DU49+EH49+EU49+FH49+FU49+GH49+GU49+HH49+HU49+IH49+IU49</f>
        <v>0</v>
      </c>
      <c r="JJ49" s="135" t="str">
        <f>I49+V49+AI49+AV49+BI49+BV49+CI49+CV49+DI49+DV49+EI49+EV49+FI49+FV49+GI49+GV49+HI49+HV49+II49+IV49</f>
        <v>0</v>
      </c>
      <c r="JK49" s="135" t="str">
        <f>J49+W49+AJ49+AW49+BJ49+BW49+CJ49+CW49+DJ49+DW49+EJ49+EW49+FJ49+FW49+GJ49+GW49+HJ49+HW49+IJ49+IW49</f>
        <v>0</v>
      </c>
      <c r="JL49" s="135" t="str">
        <f>K49+X49+AK49+AX49+BK49+BX49+CK49+CX49+DK49+DX49+EK49+EX49+FK49+FX49+GK49+GX49+HK49+HX49+IK49+IX49</f>
        <v>0</v>
      </c>
      <c r="JM49" s="135" t="str">
        <f>L49+Y49+AL49+AY49+BL49+BY49+CL49+CY49+DL49+DY49+EL49+EY49+FL49+FY49+GL49+GY49+HL49+HY49+IL49+IY49</f>
        <v>0</v>
      </c>
      <c r="JN49" s="135" t="str">
        <f>M49+Z49+AM49+AZ49+BM49+BZ49+CM49+CZ49+DM49+DZ49+EM49+EZ49+FM49+FZ49+GM49+GZ49+HM49+HZ49+IM49+IZ49</f>
        <v>0</v>
      </c>
      <c r="JO49" s="132" t="str">
        <f>SUM(JC49:JN49)</f>
        <v>0</v>
      </c>
      <c r="JQ49" s="139" t="str">
        <f>N49+AA49+AN49+BA49+BN49+CA49+CN49+DA49+DN49+EA49+EN49+FA49+FN49+GA49+GN49+HA49+HN49+IA49+IN49+JA49</f>
        <v>0</v>
      </c>
    </row>
    <row r="50" spans="1:278">
      <c r="A50" s="130"/>
      <c r="B50" s="131"/>
      <c r="C50" s="131"/>
      <c r="D50" s="131"/>
      <c r="E50" s="131"/>
      <c r="F50" s="131"/>
      <c r="G50" s="131"/>
      <c r="H50" s="131"/>
      <c r="I50" s="131"/>
      <c r="J50" s="131"/>
      <c r="K50" s="131"/>
      <c r="L50" s="131"/>
      <c r="M50" s="131"/>
      <c r="N50" s="132" t="str">
        <f>SUM(B50:M50)</f>
        <v>0</v>
      </c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  <c r="AA50" s="132" t="str">
        <f>SUM(O50:Z50)</f>
        <v>0</v>
      </c>
      <c r="AB50" s="131"/>
      <c r="AC50" s="131"/>
      <c r="AD50" s="131"/>
      <c r="AE50" s="131"/>
      <c r="AF50" s="131"/>
      <c r="AG50" s="131"/>
      <c r="AH50" s="131"/>
      <c r="AI50" s="131"/>
      <c r="AJ50" s="131"/>
      <c r="AK50" s="131"/>
      <c r="AL50" s="131"/>
      <c r="AM50" s="131"/>
      <c r="AN50" s="132" t="str">
        <f>SUM(AB50:AM50)</f>
        <v>0</v>
      </c>
      <c r="AO50" s="133"/>
      <c r="AP50" s="133"/>
      <c r="AQ50" s="133"/>
      <c r="AR50" s="133"/>
      <c r="AS50" s="133"/>
      <c r="AT50" s="133"/>
      <c r="AU50" s="133"/>
      <c r="AV50" s="133"/>
      <c r="AW50" s="133"/>
      <c r="AX50" s="133"/>
      <c r="AY50" s="133"/>
      <c r="AZ50" s="133"/>
      <c r="BA50" s="132" t="str">
        <f>SUM(AO50:AZ50)</f>
        <v>0</v>
      </c>
      <c r="BB50" s="134"/>
      <c r="BC50" s="134"/>
      <c r="BD50" s="134"/>
      <c r="BE50" s="134"/>
      <c r="BF50" s="134"/>
      <c r="BG50" s="134"/>
      <c r="BH50" s="134"/>
      <c r="BI50" s="134"/>
      <c r="BJ50" s="134"/>
      <c r="BK50" s="134"/>
      <c r="BL50" s="134"/>
      <c r="BM50" s="134"/>
      <c r="BN50" s="132" t="str">
        <f>SUM(BB50:BM50)</f>
        <v>0</v>
      </c>
      <c r="BO50" s="135"/>
      <c r="BP50" s="135"/>
      <c r="BQ50" s="135"/>
      <c r="BR50" s="135"/>
      <c r="BS50" s="135"/>
      <c r="BT50" s="135"/>
      <c r="BU50" s="135"/>
      <c r="BV50" s="135"/>
      <c r="BW50" s="135"/>
      <c r="BX50" s="135"/>
      <c r="BY50" s="135"/>
      <c r="BZ50" s="135"/>
      <c r="CA50" s="132" t="str">
        <f>SUM(BO50:BZ50)</f>
        <v>0</v>
      </c>
      <c r="CB50" s="136"/>
      <c r="CC50" s="136"/>
      <c r="CD50" s="136"/>
      <c r="CE50" s="136"/>
      <c r="CF50" s="136"/>
      <c r="CG50" s="136"/>
      <c r="CH50" s="136"/>
      <c r="CI50" s="136"/>
      <c r="CJ50" s="136"/>
      <c r="CK50" s="136"/>
      <c r="CL50" s="136"/>
      <c r="CM50" s="136"/>
      <c r="CN50" s="132" t="str">
        <f>SUM(CB50:CM50)</f>
        <v>0</v>
      </c>
      <c r="CO50" s="137"/>
      <c r="CP50" s="137"/>
      <c r="CQ50" s="137"/>
      <c r="CR50" s="137"/>
      <c r="CS50" s="137"/>
      <c r="CT50" s="137"/>
      <c r="CU50" s="137"/>
      <c r="CV50" s="137"/>
      <c r="CW50" s="137"/>
      <c r="CX50" s="137"/>
      <c r="CY50" s="137"/>
      <c r="CZ50" s="137"/>
      <c r="DA50" s="132" t="str">
        <f>SUM(CO50:CZ50)</f>
        <v>0</v>
      </c>
      <c r="DB50" s="136"/>
      <c r="DC50" s="136"/>
      <c r="DD50" s="136"/>
      <c r="DE50" s="136"/>
      <c r="DF50" s="136"/>
      <c r="DG50" s="136"/>
      <c r="DH50" s="136"/>
      <c r="DI50" s="136"/>
      <c r="DJ50" s="136"/>
      <c r="DK50" s="136"/>
      <c r="DL50" s="136"/>
      <c r="DM50" s="136"/>
      <c r="DN50" s="132" t="str">
        <f>SUM(DB50:DM50)</f>
        <v>0</v>
      </c>
      <c r="DO50" s="137"/>
      <c r="DP50" s="137"/>
      <c r="DQ50" s="137"/>
      <c r="DR50" s="137"/>
      <c r="DS50" s="137"/>
      <c r="DT50" s="137"/>
      <c r="DU50" s="137"/>
      <c r="DV50" s="137"/>
      <c r="DW50" s="137"/>
      <c r="DX50" s="137"/>
      <c r="DY50" s="137"/>
      <c r="DZ50" s="137"/>
      <c r="EA50" s="132" t="str">
        <f>SUM(DO50:DZ50)</f>
        <v>0</v>
      </c>
      <c r="EB50" s="216"/>
      <c r="EC50" s="216"/>
      <c r="ED50" s="216"/>
      <c r="EE50" s="216"/>
      <c r="EF50" s="216"/>
      <c r="EG50" s="216"/>
      <c r="EH50" s="216"/>
      <c r="EI50" s="216"/>
      <c r="EJ50" s="216"/>
      <c r="EK50" s="216"/>
      <c r="EL50" s="216"/>
      <c r="EM50" s="216"/>
      <c r="EN50" s="132" t="str">
        <f>SUM(EB50:EM50)</f>
        <v>0</v>
      </c>
      <c r="EO50" s="132"/>
      <c r="EP50" s="132"/>
      <c r="EQ50" s="132"/>
      <c r="ER50" s="132"/>
      <c r="ES50" s="132"/>
      <c r="ET50" s="132"/>
      <c r="EU50" s="132"/>
      <c r="EV50" s="132"/>
      <c r="EW50" s="132"/>
      <c r="EX50" s="132"/>
      <c r="EY50" s="132"/>
      <c r="EZ50" s="132"/>
      <c r="FA50" s="132" t="str">
        <f>SUM(EO50:EZ50)</f>
        <v>0</v>
      </c>
      <c r="FB50" s="181"/>
      <c r="FC50" s="181"/>
      <c r="FD50" s="181"/>
      <c r="FE50" s="181"/>
      <c r="FF50" s="181"/>
      <c r="FG50" s="181"/>
      <c r="FH50" s="181"/>
      <c r="FI50" s="181"/>
      <c r="FJ50" s="181"/>
      <c r="FK50" s="181"/>
      <c r="FL50" s="181"/>
      <c r="FM50" s="181"/>
      <c r="FN50" s="132" t="str">
        <f>SUM(FB50:FM50)</f>
        <v>0</v>
      </c>
      <c r="FO50" s="132"/>
      <c r="FP50" s="132"/>
      <c r="FQ50" s="132"/>
      <c r="FR50" s="132"/>
      <c r="FS50" s="132"/>
      <c r="FT50" s="132"/>
      <c r="FU50" s="132"/>
      <c r="FV50" s="132"/>
      <c r="FW50" s="132"/>
      <c r="FX50" s="132"/>
      <c r="FY50" s="132"/>
      <c r="FZ50" s="132"/>
      <c r="GA50" s="132" t="str">
        <f>SUM(FO50:FZ50)</f>
        <v>0</v>
      </c>
      <c r="GB50" s="181"/>
      <c r="GC50" s="181"/>
      <c r="GD50" s="181"/>
      <c r="GE50" s="181"/>
      <c r="GF50" s="181"/>
      <c r="GG50" s="181"/>
      <c r="GH50" s="181"/>
      <c r="GI50" s="181"/>
      <c r="GJ50" s="181"/>
      <c r="GK50" s="181"/>
      <c r="GL50" s="181"/>
      <c r="GM50" s="181"/>
      <c r="GN50" s="181" t="str">
        <f>SUM(GB50:GM50)</f>
        <v>0</v>
      </c>
      <c r="GO50" s="137"/>
      <c r="GP50" s="137"/>
      <c r="GQ50" s="137"/>
      <c r="GR50" s="137"/>
      <c r="GS50" s="137"/>
      <c r="GT50" s="137"/>
      <c r="GU50" s="137"/>
      <c r="GV50" s="137"/>
      <c r="GW50" s="137"/>
      <c r="GX50" s="137"/>
      <c r="GY50" s="137"/>
      <c r="GZ50" s="137"/>
      <c r="HA50" s="132" t="str">
        <f>SUM(GO50:GZ50)</f>
        <v>0</v>
      </c>
      <c r="HB50" s="181"/>
      <c r="HC50" s="181"/>
      <c r="HD50" s="181"/>
      <c r="HE50" s="181"/>
      <c r="HF50" s="181"/>
      <c r="HG50" s="181"/>
      <c r="HH50" s="181"/>
      <c r="HI50" s="181"/>
      <c r="HJ50" s="181"/>
      <c r="HK50" s="181"/>
      <c r="HL50" s="181"/>
      <c r="HM50" s="181"/>
      <c r="HN50" s="181" t="str">
        <f>SUM(HB50:HM50)</f>
        <v>0</v>
      </c>
      <c r="HO50" s="132"/>
      <c r="HP50" s="132"/>
      <c r="HQ50" s="132"/>
      <c r="HR50" s="132"/>
      <c r="HS50" s="132"/>
      <c r="HT50" s="132"/>
      <c r="HU50" s="132"/>
      <c r="HV50" s="132"/>
      <c r="HW50" s="132"/>
      <c r="HX50" s="132"/>
      <c r="HY50" s="132"/>
      <c r="HZ50" s="132"/>
      <c r="IA50" s="132" t="str">
        <f>SUM(HO50:HZ50)</f>
        <v>0</v>
      </c>
      <c r="IB50" s="181"/>
      <c r="IC50" s="181"/>
      <c r="ID50" s="181"/>
      <c r="IE50" s="181"/>
      <c r="IF50" s="181"/>
      <c r="IG50" s="181"/>
      <c r="IH50" s="181"/>
      <c r="II50" s="181"/>
      <c r="IJ50" s="181"/>
      <c r="IK50" s="181"/>
      <c r="IL50" s="181"/>
      <c r="IM50" s="181"/>
      <c r="IN50" s="181" t="str">
        <f>SUM(IB50:IM50)</f>
        <v>0</v>
      </c>
      <c r="IO50" s="181"/>
      <c r="IP50" s="181"/>
      <c r="IQ50" s="181"/>
      <c r="IR50" s="181"/>
      <c r="IS50" s="181"/>
      <c r="IT50" s="181"/>
      <c r="IU50" s="181"/>
      <c r="IV50" s="181"/>
      <c r="IW50" s="181"/>
      <c r="IX50" s="181"/>
      <c r="IY50" s="181"/>
      <c r="IZ50" s="181"/>
      <c r="JA50" s="181" t="str">
        <f>SUM(IO50:IZ50)</f>
        <v>0</v>
      </c>
      <c r="JC50" s="135" t="str">
        <f>B50+O50+AB50+AO50+BB50+BO50+CB50+CO50+DB50+DO50+EB50+EO50+FB50+FO50+GB50+GO50+HB50+HO50+IB50+IO50</f>
        <v>0</v>
      </c>
      <c r="JD50" s="135" t="str">
        <f>C50+P50+AC50+AP50+BC50+BP50+CC50+CP50+DC50+DP50+EC50+EP50+FC50+FP50+GC50+GP50+HC50+HP50+IC50+IP50</f>
        <v>0</v>
      </c>
      <c r="JE50" s="135" t="str">
        <f>D50+Q50+AD50+AQ50+BD50+BQ50+CD50+CQ50+DD50+DQ50+ED50+EQ50+FD50+FQ50+GD50+GQ50+HD50+HQ50+ID50+IQ50</f>
        <v>0</v>
      </c>
      <c r="JF50" s="135" t="str">
        <f>E50+R50+AE50+AR50+BE50+BR50+CE50+CR50+DE50+DR50+EE50+ER50+FE50+FR50+GE50+GR50+HE50+HR50+IE50+IR50</f>
        <v>0</v>
      </c>
      <c r="JG50" s="135" t="str">
        <f>F50+S50+AF50+AS50+BF50+BS50+CF50+CS50+DF50+DS50+EF50+ES50+FF50+FS50+GF50+GS50+HF50+HS50+IF50+IS50</f>
        <v>0</v>
      </c>
      <c r="JH50" s="135" t="str">
        <f>G50+T50+AG50+AT50+BG50+BT50+CG50+CT50+DG50+DT50+EG50+ET50+FG50+FT50+GG50+GT50+HG50+HT50+IG50+IT50</f>
        <v>0</v>
      </c>
      <c r="JI50" s="135" t="str">
        <f>H50+U50+AH50+AU50+BH50+BU50+CH50+CU50+DH50+DU50+EH50+EU50+FH50+FU50+GH50+GU50+HH50+HU50+IH50+IU50</f>
        <v>0</v>
      </c>
      <c r="JJ50" s="135" t="str">
        <f>I50+V50+AI50+AV50+BI50+BV50+CI50+CV50+DI50+DV50+EI50+EV50+FI50+FV50+GI50+GV50+HI50+HV50+II50+IV50</f>
        <v>0</v>
      </c>
      <c r="JK50" s="135" t="str">
        <f>J50+W50+AJ50+AW50+BJ50+BW50+CJ50+CW50+DJ50+DW50+EJ50+EW50+FJ50+FW50+GJ50+GW50+HJ50+HW50+IJ50+IW50</f>
        <v>0</v>
      </c>
      <c r="JL50" s="135" t="str">
        <f>K50+X50+AK50+AX50+BK50+BX50+CK50+CX50+DK50+DX50+EK50+EX50+FK50+FX50+GK50+GX50+HK50+HX50+IK50+IX50</f>
        <v>0</v>
      </c>
      <c r="JM50" s="135" t="str">
        <f>L50+Y50+AL50+AY50+BL50+BY50+CL50+CY50+DL50+DY50+EL50+EY50+FL50+FY50+GL50+GY50+HL50+HY50+IL50+IY50</f>
        <v>0</v>
      </c>
      <c r="JN50" s="135" t="str">
        <f>M50+Z50+AM50+AZ50+BM50+BZ50+CM50+CZ50+DM50+DZ50+EM50+EZ50+FM50+FZ50+GM50+GZ50+HM50+HZ50+IM50+IZ50</f>
        <v>0</v>
      </c>
      <c r="JO50" s="132" t="str">
        <f>SUM(JC50:JN50)</f>
        <v>0</v>
      </c>
      <c r="JQ50" s="139" t="str">
        <f>N50+AA50+AN50+BA50+BN50+CA50+CN50+DA50+DN50+EA50+EN50+FA50+FN50+GA50+GN50+HA50+HN50+IA50+IN50+JA50</f>
        <v>0</v>
      </c>
    </row>
    <row r="51" spans="1:278">
      <c r="A51" s="130"/>
      <c r="B51" s="131"/>
      <c r="C51" s="131"/>
      <c r="D51" s="131"/>
      <c r="E51" s="131"/>
      <c r="F51" s="131"/>
      <c r="G51" s="131"/>
      <c r="H51" s="131"/>
      <c r="I51" s="131"/>
      <c r="J51" s="131"/>
      <c r="K51" s="131"/>
      <c r="L51" s="131"/>
      <c r="M51" s="131"/>
      <c r="N51" s="132" t="str">
        <f>SUM(B51:M51)</f>
        <v>0</v>
      </c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Y51" s="133"/>
      <c r="Z51" s="133"/>
      <c r="AA51" s="132" t="str">
        <f>SUM(O51:Z51)</f>
        <v>0</v>
      </c>
      <c r="AB51" s="131"/>
      <c r="AC51" s="131"/>
      <c r="AD51" s="131"/>
      <c r="AE51" s="131"/>
      <c r="AF51" s="131"/>
      <c r="AG51" s="131"/>
      <c r="AH51" s="131"/>
      <c r="AI51" s="131"/>
      <c r="AJ51" s="131"/>
      <c r="AK51" s="131"/>
      <c r="AL51" s="131"/>
      <c r="AM51" s="131"/>
      <c r="AN51" s="132" t="str">
        <f>SUM(AB51:AM51)</f>
        <v>0</v>
      </c>
      <c r="AO51" s="133"/>
      <c r="AP51" s="133"/>
      <c r="AQ51" s="133"/>
      <c r="AR51" s="133"/>
      <c r="AS51" s="133"/>
      <c r="AT51" s="133"/>
      <c r="AU51" s="133"/>
      <c r="AV51" s="133"/>
      <c r="AW51" s="133"/>
      <c r="AX51" s="133"/>
      <c r="AY51" s="133"/>
      <c r="AZ51" s="133"/>
      <c r="BA51" s="132" t="str">
        <f>SUM(AO51:AZ51)</f>
        <v>0</v>
      </c>
      <c r="BB51" s="134"/>
      <c r="BC51" s="134"/>
      <c r="BD51" s="134"/>
      <c r="BE51" s="134"/>
      <c r="BF51" s="134"/>
      <c r="BG51" s="134"/>
      <c r="BH51" s="134"/>
      <c r="BI51" s="134"/>
      <c r="BJ51" s="134"/>
      <c r="BK51" s="134"/>
      <c r="BL51" s="134"/>
      <c r="BM51" s="134"/>
      <c r="BN51" s="132" t="str">
        <f>SUM(BB51:BM51)</f>
        <v>0</v>
      </c>
      <c r="BO51" s="135"/>
      <c r="BP51" s="135"/>
      <c r="BQ51" s="135"/>
      <c r="BR51" s="135"/>
      <c r="BS51" s="135"/>
      <c r="BT51" s="135"/>
      <c r="BU51" s="135"/>
      <c r="BV51" s="135"/>
      <c r="BW51" s="135"/>
      <c r="BX51" s="135"/>
      <c r="BY51" s="135"/>
      <c r="BZ51" s="135"/>
      <c r="CA51" s="132" t="str">
        <f>SUM(BO51:BZ51)</f>
        <v>0</v>
      </c>
      <c r="CB51" s="136"/>
      <c r="CC51" s="136"/>
      <c r="CD51" s="136"/>
      <c r="CE51" s="136"/>
      <c r="CF51" s="136"/>
      <c r="CG51" s="136"/>
      <c r="CH51" s="136"/>
      <c r="CI51" s="136"/>
      <c r="CJ51" s="136"/>
      <c r="CK51" s="136"/>
      <c r="CL51" s="136"/>
      <c r="CM51" s="136"/>
      <c r="CN51" s="132" t="str">
        <f>SUM(CB51:CM51)</f>
        <v>0</v>
      </c>
      <c r="CO51" s="137"/>
      <c r="CP51" s="137"/>
      <c r="CQ51" s="137"/>
      <c r="CR51" s="137"/>
      <c r="CS51" s="137"/>
      <c r="CT51" s="137"/>
      <c r="CU51" s="137"/>
      <c r="CV51" s="137"/>
      <c r="CW51" s="137"/>
      <c r="CX51" s="137"/>
      <c r="CY51" s="137"/>
      <c r="CZ51" s="137"/>
      <c r="DA51" s="132" t="str">
        <f>SUM(CO51:CZ51)</f>
        <v>0</v>
      </c>
      <c r="DB51" s="136"/>
      <c r="DC51" s="136"/>
      <c r="DD51" s="136"/>
      <c r="DE51" s="136"/>
      <c r="DF51" s="136"/>
      <c r="DG51" s="136"/>
      <c r="DH51" s="136"/>
      <c r="DI51" s="136"/>
      <c r="DJ51" s="136"/>
      <c r="DK51" s="136"/>
      <c r="DL51" s="136"/>
      <c r="DM51" s="136"/>
      <c r="DN51" s="132" t="str">
        <f>SUM(DB51:DM51)</f>
        <v>0</v>
      </c>
      <c r="DO51" s="137"/>
      <c r="DP51" s="137"/>
      <c r="DQ51" s="137"/>
      <c r="DR51" s="137"/>
      <c r="DS51" s="137"/>
      <c r="DT51" s="137"/>
      <c r="DU51" s="137"/>
      <c r="DV51" s="137"/>
      <c r="DW51" s="137"/>
      <c r="DX51" s="137"/>
      <c r="DY51" s="137"/>
      <c r="DZ51" s="137"/>
      <c r="EA51" s="132" t="str">
        <f>SUM(DO51:DZ51)</f>
        <v>0</v>
      </c>
      <c r="EB51" s="216"/>
      <c r="EC51" s="216"/>
      <c r="ED51" s="216"/>
      <c r="EE51" s="216"/>
      <c r="EF51" s="216"/>
      <c r="EG51" s="216"/>
      <c r="EH51" s="216"/>
      <c r="EI51" s="216"/>
      <c r="EJ51" s="216"/>
      <c r="EK51" s="216"/>
      <c r="EL51" s="216"/>
      <c r="EM51" s="216"/>
      <c r="EN51" s="132" t="str">
        <f>SUM(EB51:EM51)</f>
        <v>0</v>
      </c>
      <c r="EO51" s="132"/>
      <c r="EP51" s="132"/>
      <c r="EQ51" s="132"/>
      <c r="ER51" s="132"/>
      <c r="ES51" s="132"/>
      <c r="ET51" s="132"/>
      <c r="EU51" s="132"/>
      <c r="EV51" s="132"/>
      <c r="EW51" s="132"/>
      <c r="EX51" s="132"/>
      <c r="EY51" s="132"/>
      <c r="EZ51" s="132"/>
      <c r="FA51" s="132" t="str">
        <f>SUM(EO51:EZ51)</f>
        <v>0</v>
      </c>
      <c r="FB51" s="181"/>
      <c r="FC51" s="181"/>
      <c r="FD51" s="181"/>
      <c r="FE51" s="181"/>
      <c r="FF51" s="181"/>
      <c r="FG51" s="181"/>
      <c r="FH51" s="181"/>
      <c r="FI51" s="181"/>
      <c r="FJ51" s="181"/>
      <c r="FK51" s="181"/>
      <c r="FL51" s="181"/>
      <c r="FM51" s="181"/>
      <c r="FN51" s="132" t="str">
        <f>SUM(FB51:FM51)</f>
        <v>0</v>
      </c>
      <c r="FO51" s="132"/>
      <c r="FP51" s="132"/>
      <c r="FQ51" s="132"/>
      <c r="FR51" s="132"/>
      <c r="FS51" s="132"/>
      <c r="FT51" s="132"/>
      <c r="FU51" s="132"/>
      <c r="FV51" s="132"/>
      <c r="FW51" s="132"/>
      <c r="FX51" s="132"/>
      <c r="FY51" s="132"/>
      <c r="FZ51" s="132"/>
      <c r="GA51" s="132" t="str">
        <f>SUM(FO51:FZ51)</f>
        <v>0</v>
      </c>
      <c r="GB51" s="181"/>
      <c r="GC51" s="181"/>
      <c r="GD51" s="181"/>
      <c r="GE51" s="181"/>
      <c r="GF51" s="181"/>
      <c r="GG51" s="181"/>
      <c r="GH51" s="181"/>
      <c r="GI51" s="181"/>
      <c r="GJ51" s="181"/>
      <c r="GK51" s="181"/>
      <c r="GL51" s="181"/>
      <c r="GM51" s="181"/>
      <c r="GN51" s="181" t="str">
        <f>SUM(GB51:GM51)</f>
        <v>0</v>
      </c>
      <c r="GO51" s="137"/>
      <c r="GP51" s="137"/>
      <c r="GQ51" s="137"/>
      <c r="GR51" s="137"/>
      <c r="GS51" s="137"/>
      <c r="GT51" s="137"/>
      <c r="GU51" s="137"/>
      <c r="GV51" s="137"/>
      <c r="GW51" s="137"/>
      <c r="GX51" s="137"/>
      <c r="GY51" s="137"/>
      <c r="GZ51" s="137"/>
      <c r="HA51" s="132" t="str">
        <f>SUM(GO51:GZ51)</f>
        <v>0</v>
      </c>
      <c r="HB51" s="181"/>
      <c r="HC51" s="181"/>
      <c r="HD51" s="181"/>
      <c r="HE51" s="181"/>
      <c r="HF51" s="181"/>
      <c r="HG51" s="181"/>
      <c r="HH51" s="181"/>
      <c r="HI51" s="181"/>
      <c r="HJ51" s="181"/>
      <c r="HK51" s="181"/>
      <c r="HL51" s="181"/>
      <c r="HM51" s="181"/>
      <c r="HN51" s="181" t="str">
        <f>SUM(HB51:HM51)</f>
        <v>0</v>
      </c>
      <c r="HO51" s="132"/>
      <c r="HP51" s="132"/>
      <c r="HQ51" s="132"/>
      <c r="HR51" s="132"/>
      <c r="HS51" s="132"/>
      <c r="HT51" s="132"/>
      <c r="HU51" s="132"/>
      <c r="HV51" s="132"/>
      <c r="HW51" s="132"/>
      <c r="HX51" s="132"/>
      <c r="HY51" s="132"/>
      <c r="HZ51" s="132"/>
      <c r="IA51" s="132" t="str">
        <f>SUM(HO51:HZ51)</f>
        <v>0</v>
      </c>
      <c r="IB51" s="181"/>
      <c r="IC51" s="181"/>
      <c r="ID51" s="181"/>
      <c r="IE51" s="181"/>
      <c r="IF51" s="181"/>
      <c r="IG51" s="181"/>
      <c r="IH51" s="181"/>
      <c r="II51" s="181"/>
      <c r="IJ51" s="181"/>
      <c r="IK51" s="181"/>
      <c r="IL51" s="181"/>
      <c r="IM51" s="181"/>
      <c r="IN51" s="181" t="str">
        <f>SUM(IB51:IM51)</f>
        <v>0</v>
      </c>
      <c r="IO51" s="181"/>
      <c r="IP51" s="181"/>
      <c r="IQ51" s="181"/>
      <c r="IR51" s="181"/>
      <c r="IS51" s="181"/>
      <c r="IT51" s="181"/>
      <c r="IU51" s="181"/>
      <c r="IV51" s="181"/>
      <c r="IW51" s="181"/>
      <c r="IX51" s="181"/>
      <c r="IY51" s="181"/>
      <c r="IZ51" s="181"/>
      <c r="JA51" s="181" t="str">
        <f>SUM(IO51:IZ51)</f>
        <v>0</v>
      </c>
      <c r="JC51" s="135" t="str">
        <f>B51+O51+AB51+AO51+BB51+BO51+CB51+CO51+DB51+DO51+EB51+EO51+FB51+FO51+GB51+GO51+HB51+HO51+IB51+IO51</f>
        <v>0</v>
      </c>
      <c r="JD51" s="135" t="str">
        <f>C51+P51+AC51+AP51+BC51+BP51+CC51+CP51+DC51+DP51+EC51+EP51+FC51+FP51+GC51+GP51+HC51+HP51+IC51+IP51</f>
        <v>0</v>
      </c>
      <c r="JE51" s="135" t="str">
        <f>D51+Q51+AD51+AQ51+BD51+BQ51+CD51+CQ51+DD51+DQ51+ED51+EQ51+FD51+FQ51+GD51+GQ51+HD51+HQ51+ID51+IQ51</f>
        <v>0</v>
      </c>
      <c r="JF51" s="135" t="str">
        <f>E51+R51+AE51+AR51+BE51+BR51+CE51+CR51+DE51+DR51+EE51+ER51+FE51+FR51+GE51+GR51+HE51+HR51+IE51+IR51</f>
        <v>0</v>
      </c>
      <c r="JG51" s="135" t="str">
        <f>F51+S51+AF51+AS51+BF51+BS51+CF51+CS51+DF51+DS51+EF51+ES51+FF51+FS51+GF51+GS51+HF51+HS51+IF51+IS51</f>
        <v>0</v>
      </c>
      <c r="JH51" s="135" t="str">
        <f>G51+T51+AG51+AT51+BG51+BT51+CG51+CT51+DG51+DT51+EG51+ET51+FG51+FT51+GG51+GT51+HG51+HT51+IG51+IT51</f>
        <v>0</v>
      </c>
      <c r="JI51" s="135" t="str">
        <f>H51+U51+AH51+AU51+BH51+BU51+CH51+CU51+DH51+DU51+EH51+EU51+FH51+FU51+GH51+GU51+HH51+HU51+IH51+IU51</f>
        <v>0</v>
      </c>
      <c r="JJ51" s="135" t="str">
        <f>I51+V51+AI51+AV51+BI51+BV51+CI51+CV51+DI51+DV51+EI51+EV51+FI51+FV51+GI51+GV51+HI51+HV51+II51+IV51</f>
        <v>0</v>
      </c>
      <c r="JK51" s="135" t="str">
        <f>J51+W51+AJ51+AW51+BJ51+BW51+CJ51+CW51+DJ51+DW51+EJ51+EW51+FJ51+FW51+GJ51+GW51+HJ51+HW51+IJ51+IW51</f>
        <v>0</v>
      </c>
      <c r="JL51" s="135" t="str">
        <f>K51+X51+AK51+AX51+BK51+BX51+CK51+CX51+DK51+DX51+EK51+EX51+FK51+FX51+GK51+GX51+HK51+HX51+IK51+IX51</f>
        <v>0</v>
      </c>
      <c r="JM51" s="135" t="str">
        <f>L51+Y51+AL51+AY51+BL51+BY51+CL51+CY51+DL51+DY51+EL51+EY51+FL51+FY51+GL51+GY51+HL51+HY51+IL51+IY51</f>
        <v>0</v>
      </c>
      <c r="JN51" s="135" t="str">
        <f>M51+Z51+AM51+AZ51+BM51+BZ51+CM51+CZ51+DM51+DZ51+EM51+EZ51+FM51+FZ51+GM51+GZ51+HM51+HZ51+IM51+IZ51</f>
        <v>0</v>
      </c>
      <c r="JO51" s="132" t="str">
        <f>SUM(JC51:JN51)</f>
        <v>0</v>
      </c>
      <c r="JQ51" s="139" t="str">
        <f>N51+AA51+AN51+BA51+BN51+CA51+CN51+DA51+DN51+EA51+EN51+FA51+FN51+GA51+GN51+HA51+HN51+IA51+IN51+JA51</f>
        <v>0</v>
      </c>
    </row>
    <row r="52" spans="1:278">
      <c r="A52" s="130"/>
      <c r="B52" s="131"/>
      <c r="C52" s="131"/>
      <c r="D52" s="131"/>
      <c r="E52" s="131"/>
      <c r="F52" s="131"/>
      <c r="G52" s="131"/>
      <c r="H52" s="131"/>
      <c r="I52" s="131"/>
      <c r="J52" s="131"/>
      <c r="K52" s="131"/>
      <c r="L52" s="131"/>
      <c r="M52" s="131"/>
      <c r="N52" s="132" t="str">
        <f>SUM(B52:M52)</f>
        <v>0</v>
      </c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Z52" s="133"/>
      <c r="AA52" s="132" t="str">
        <f>SUM(O52:Z52)</f>
        <v>0</v>
      </c>
      <c r="AB52" s="131"/>
      <c r="AC52" s="131"/>
      <c r="AD52" s="131"/>
      <c r="AE52" s="131"/>
      <c r="AF52" s="131"/>
      <c r="AG52" s="131"/>
      <c r="AH52" s="131"/>
      <c r="AI52" s="131"/>
      <c r="AJ52" s="131"/>
      <c r="AK52" s="131"/>
      <c r="AL52" s="131"/>
      <c r="AM52" s="131"/>
      <c r="AN52" s="132" t="str">
        <f>SUM(AB52:AM52)</f>
        <v>0</v>
      </c>
      <c r="AO52" s="133"/>
      <c r="AP52" s="133"/>
      <c r="AQ52" s="133"/>
      <c r="AR52" s="133"/>
      <c r="AS52" s="133"/>
      <c r="AT52" s="133"/>
      <c r="AU52" s="133"/>
      <c r="AV52" s="133"/>
      <c r="AW52" s="133"/>
      <c r="AX52" s="133"/>
      <c r="AY52" s="133"/>
      <c r="AZ52" s="133"/>
      <c r="BA52" s="132" t="str">
        <f>SUM(AO52:AZ52)</f>
        <v>0</v>
      </c>
      <c r="BB52" s="134"/>
      <c r="BC52" s="134"/>
      <c r="BD52" s="134"/>
      <c r="BE52" s="134"/>
      <c r="BF52" s="134"/>
      <c r="BG52" s="134"/>
      <c r="BH52" s="134"/>
      <c r="BI52" s="134"/>
      <c r="BJ52" s="134"/>
      <c r="BK52" s="134"/>
      <c r="BL52" s="134"/>
      <c r="BM52" s="134"/>
      <c r="BN52" s="132" t="str">
        <f>SUM(BB52:BM52)</f>
        <v>0</v>
      </c>
      <c r="BO52" s="135"/>
      <c r="BP52" s="135"/>
      <c r="BQ52" s="135"/>
      <c r="BR52" s="135"/>
      <c r="BS52" s="135"/>
      <c r="BT52" s="135"/>
      <c r="BU52" s="135"/>
      <c r="BV52" s="135"/>
      <c r="BW52" s="135"/>
      <c r="BX52" s="135"/>
      <c r="BY52" s="135"/>
      <c r="BZ52" s="135"/>
      <c r="CA52" s="132" t="str">
        <f>SUM(BO52:BZ52)</f>
        <v>0</v>
      </c>
      <c r="CB52" s="136"/>
      <c r="CC52" s="136"/>
      <c r="CD52" s="136"/>
      <c r="CE52" s="136"/>
      <c r="CF52" s="136"/>
      <c r="CG52" s="136"/>
      <c r="CH52" s="136"/>
      <c r="CI52" s="136"/>
      <c r="CJ52" s="136"/>
      <c r="CK52" s="136"/>
      <c r="CL52" s="136"/>
      <c r="CM52" s="136"/>
      <c r="CN52" s="132" t="str">
        <f>SUM(CB52:CM52)</f>
        <v>0</v>
      </c>
      <c r="CO52" s="137"/>
      <c r="CP52" s="137"/>
      <c r="CQ52" s="137"/>
      <c r="CR52" s="137"/>
      <c r="CS52" s="137"/>
      <c r="CT52" s="137"/>
      <c r="CU52" s="137"/>
      <c r="CV52" s="137"/>
      <c r="CW52" s="137"/>
      <c r="CX52" s="137"/>
      <c r="CY52" s="137"/>
      <c r="CZ52" s="137"/>
      <c r="DA52" s="132" t="str">
        <f>SUM(CO52:CZ52)</f>
        <v>0</v>
      </c>
      <c r="DB52" s="136"/>
      <c r="DC52" s="136"/>
      <c r="DD52" s="136"/>
      <c r="DE52" s="136"/>
      <c r="DF52" s="136"/>
      <c r="DG52" s="136"/>
      <c r="DH52" s="136"/>
      <c r="DI52" s="136"/>
      <c r="DJ52" s="136"/>
      <c r="DK52" s="136"/>
      <c r="DL52" s="136"/>
      <c r="DM52" s="136"/>
      <c r="DN52" s="132" t="str">
        <f>SUM(DB52:DM52)</f>
        <v>0</v>
      </c>
      <c r="DO52" s="137"/>
      <c r="DP52" s="137"/>
      <c r="DQ52" s="137"/>
      <c r="DR52" s="137"/>
      <c r="DS52" s="137"/>
      <c r="DT52" s="137"/>
      <c r="DU52" s="137"/>
      <c r="DV52" s="137"/>
      <c r="DW52" s="137"/>
      <c r="DX52" s="137"/>
      <c r="DY52" s="137"/>
      <c r="DZ52" s="137"/>
      <c r="EA52" s="132" t="str">
        <f>SUM(DO52:DZ52)</f>
        <v>0</v>
      </c>
      <c r="EB52" s="216"/>
      <c r="EC52" s="216"/>
      <c r="ED52" s="216"/>
      <c r="EE52" s="216"/>
      <c r="EF52" s="216"/>
      <c r="EG52" s="216"/>
      <c r="EH52" s="216"/>
      <c r="EI52" s="216"/>
      <c r="EJ52" s="216"/>
      <c r="EK52" s="216"/>
      <c r="EL52" s="216"/>
      <c r="EM52" s="216"/>
      <c r="EN52" s="132" t="str">
        <f>SUM(EB52:EM52)</f>
        <v>0</v>
      </c>
      <c r="EO52" s="132"/>
      <c r="EP52" s="132"/>
      <c r="EQ52" s="132"/>
      <c r="ER52" s="132"/>
      <c r="ES52" s="132"/>
      <c r="ET52" s="132"/>
      <c r="EU52" s="132"/>
      <c r="EV52" s="132"/>
      <c r="EW52" s="132"/>
      <c r="EX52" s="132"/>
      <c r="EY52" s="132"/>
      <c r="EZ52" s="132"/>
      <c r="FA52" s="132" t="str">
        <f>SUM(EO52:EZ52)</f>
        <v>0</v>
      </c>
      <c r="FB52" s="181"/>
      <c r="FC52" s="181"/>
      <c r="FD52" s="181"/>
      <c r="FE52" s="181"/>
      <c r="FF52" s="181"/>
      <c r="FG52" s="181"/>
      <c r="FH52" s="181"/>
      <c r="FI52" s="181"/>
      <c r="FJ52" s="181"/>
      <c r="FK52" s="181"/>
      <c r="FL52" s="181"/>
      <c r="FM52" s="181"/>
      <c r="FN52" s="132" t="str">
        <f>SUM(FB52:FM52)</f>
        <v>0</v>
      </c>
      <c r="FO52" s="132"/>
      <c r="FP52" s="132"/>
      <c r="FQ52" s="132"/>
      <c r="FR52" s="132"/>
      <c r="FS52" s="132"/>
      <c r="FT52" s="132"/>
      <c r="FU52" s="132"/>
      <c r="FV52" s="132"/>
      <c r="FW52" s="132"/>
      <c r="FX52" s="132"/>
      <c r="FY52" s="132"/>
      <c r="FZ52" s="132"/>
      <c r="GA52" s="132" t="str">
        <f>SUM(FO52:FZ52)</f>
        <v>0</v>
      </c>
      <c r="GB52" s="181"/>
      <c r="GC52" s="181"/>
      <c r="GD52" s="181"/>
      <c r="GE52" s="181"/>
      <c r="GF52" s="181"/>
      <c r="GG52" s="181"/>
      <c r="GH52" s="181"/>
      <c r="GI52" s="181"/>
      <c r="GJ52" s="181"/>
      <c r="GK52" s="181"/>
      <c r="GL52" s="181"/>
      <c r="GM52" s="181"/>
      <c r="GN52" s="181" t="str">
        <f>SUM(GB52:GM52)</f>
        <v>0</v>
      </c>
      <c r="GO52" s="137"/>
      <c r="GP52" s="137"/>
      <c r="GQ52" s="137"/>
      <c r="GR52" s="137"/>
      <c r="GS52" s="137"/>
      <c r="GT52" s="137"/>
      <c r="GU52" s="137"/>
      <c r="GV52" s="137"/>
      <c r="GW52" s="137"/>
      <c r="GX52" s="137"/>
      <c r="GY52" s="137"/>
      <c r="GZ52" s="137"/>
      <c r="HA52" s="132" t="str">
        <f>SUM(GO52:GZ52)</f>
        <v>0</v>
      </c>
      <c r="HB52" s="181"/>
      <c r="HC52" s="181"/>
      <c r="HD52" s="181"/>
      <c r="HE52" s="181"/>
      <c r="HF52" s="181"/>
      <c r="HG52" s="181"/>
      <c r="HH52" s="181"/>
      <c r="HI52" s="181"/>
      <c r="HJ52" s="181"/>
      <c r="HK52" s="181"/>
      <c r="HL52" s="181"/>
      <c r="HM52" s="181"/>
      <c r="HN52" s="181" t="str">
        <f>SUM(HB52:HM52)</f>
        <v>0</v>
      </c>
      <c r="HO52" s="132"/>
      <c r="HP52" s="132"/>
      <c r="HQ52" s="132"/>
      <c r="HR52" s="132"/>
      <c r="HS52" s="132"/>
      <c r="HT52" s="132"/>
      <c r="HU52" s="132"/>
      <c r="HV52" s="132"/>
      <c r="HW52" s="132"/>
      <c r="HX52" s="132"/>
      <c r="HY52" s="132"/>
      <c r="HZ52" s="132"/>
      <c r="IA52" s="132" t="str">
        <f>SUM(HO52:HZ52)</f>
        <v>0</v>
      </c>
      <c r="IB52" s="181"/>
      <c r="IC52" s="181"/>
      <c r="ID52" s="181"/>
      <c r="IE52" s="181"/>
      <c r="IF52" s="181"/>
      <c r="IG52" s="181"/>
      <c r="IH52" s="181"/>
      <c r="II52" s="181"/>
      <c r="IJ52" s="181"/>
      <c r="IK52" s="181"/>
      <c r="IL52" s="181"/>
      <c r="IM52" s="181"/>
      <c r="IN52" s="181" t="str">
        <f>SUM(IB52:IM52)</f>
        <v>0</v>
      </c>
      <c r="IO52" s="181"/>
      <c r="IP52" s="181"/>
      <c r="IQ52" s="181"/>
      <c r="IR52" s="181"/>
      <c r="IS52" s="181"/>
      <c r="IT52" s="181"/>
      <c r="IU52" s="181"/>
      <c r="IV52" s="181"/>
      <c r="IW52" s="181"/>
      <c r="IX52" s="181"/>
      <c r="IY52" s="181"/>
      <c r="IZ52" s="181"/>
      <c r="JA52" s="181" t="str">
        <f>SUM(IO52:IZ52)</f>
        <v>0</v>
      </c>
      <c r="JC52" s="135" t="str">
        <f>B52+O52+AB52+AO52+BB52+BO52+CB52+CO52+DB52+DO52+EB52+EO52+FB52+FO52+GB52+GO52+HB52+HO52+IB52+IO52</f>
        <v>0</v>
      </c>
      <c r="JD52" s="135" t="str">
        <f>C52+P52+AC52+AP52+BC52+BP52+CC52+CP52+DC52+DP52+EC52+EP52+FC52+FP52+GC52+GP52+HC52+HP52+IC52+IP52</f>
        <v>0</v>
      </c>
      <c r="JE52" s="135" t="str">
        <f>D52+Q52+AD52+AQ52+BD52+BQ52+CD52+CQ52+DD52+DQ52+ED52+EQ52+FD52+FQ52+GD52+GQ52+HD52+HQ52+ID52+IQ52</f>
        <v>0</v>
      </c>
      <c r="JF52" s="135" t="str">
        <f>E52+R52+AE52+AR52+BE52+BR52+CE52+CR52+DE52+DR52+EE52+ER52+FE52+FR52+GE52+GR52+HE52+HR52+IE52+IR52</f>
        <v>0</v>
      </c>
      <c r="JG52" s="135" t="str">
        <f>F52+S52+AF52+AS52+BF52+BS52+CF52+CS52+DF52+DS52+EF52+ES52+FF52+FS52+GF52+GS52+HF52+HS52+IF52+IS52</f>
        <v>0</v>
      </c>
      <c r="JH52" s="135" t="str">
        <f>G52+T52+AG52+AT52+BG52+BT52+CG52+CT52+DG52+DT52+EG52+ET52+FG52+FT52+GG52+GT52+HG52+HT52+IG52+IT52</f>
        <v>0</v>
      </c>
      <c r="JI52" s="135" t="str">
        <f>H52+U52+AH52+AU52+BH52+BU52+CH52+CU52+DH52+DU52+EH52+EU52+FH52+FU52+GH52+GU52+HH52+HU52+IH52+IU52</f>
        <v>0</v>
      </c>
      <c r="JJ52" s="135" t="str">
        <f>I52+V52+AI52+AV52+BI52+BV52+CI52+CV52+DI52+DV52+EI52+EV52+FI52+FV52+GI52+GV52+HI52+HV52+II52+IV52</f>
        <v>0</v>
      </c>
      <c r="JK52" s="135" t="str">
        <f>J52+W52+AJ52+AW52+BJ52+BW52+CJ52+CW52+DJ52+DW52+EJ52+EW52+FJ52+FW52+GJ52+GW52+HJ52+HW52+IJ52+IW52</f>
        <v>0</v>
      </c>
      <c r="JL52" s="135" t="str">
        <f>K52+X52+AK52+AX52+BK52+BX52+CK52+CX52+DK52+DX52+EK52+EX52+FK52+FX52+GK52+GX52+HK52+HX52+IK52+IX52</f>
        <v>0</v>
      </c>
      <c r="JM52" s="135" t="str">
        <f>L52+Y52+AL52+AY52+BL52+BY52+CL52+CY52+DL52+DY52+EL52+EY52+FL52+FY52+GL52+GY52+HL52+HY52+IL52+IY52</f>
        <v>0</v>
      </c>
      <c r="JN52" s="135" t="str">
        <f>M52+Z52+AM52+AZ52+BM52+BZ52+CM52+CZ52+DM52+DZ52+EM52+EZ52+FM52+FZ52+GM52+GZ52+HM52+HZ52+IM52+IZ52</f>
        <v>0</v>
      </c>
      <c r="JO52" s="132" t="str">
        <f>SUM(JC52:JN52)</f>
        <v>0</v>
      </c>
      <c r="JQ52" s="139" t="str">
        <f>N52+AA52+AN52+BA52+BN52+CA52+CN52+DA52+DN52+EA52+EN52+FA52+FN52+GA52+GN52+HA52+HN52+IA52+IN52+JA52</f>
        <v>0</v>
      </c>
    </row>
    <row r="53" spans="1:278">
      <c r="A53" s="130"/>
      <c r="B53" s="131"/>
      <c r="C53" s="131"/>
      <c r="D53" s="131"/>
      <c r="E53" s="131"/>
      <c r="F53" s="131"/>
      <c r="G53" s="131"/>
      <c r="H53" s="131"/>
      <c r="I53" s="131"/>
      <c r="J53" s="131"/>
      <c r="K53" s="131"/>
      <c r="L53" s="131"/>
      <c r="M53" s="131"/>
      <c r="N53" s="132" t="str">
        <f>SUM(B53:M53)</f>
        <v>0</v>
      </c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  <c r="AA53" s="132" t="str">
        <f>SUM(O53:Z53)</f>
        <v>0</v>
      </c>
      <c r="AB53" s="131"/>
      <c r="AC53" s="131"/>
      <c r="AD53" s="131"/>
      <c r="AE53" s="131"/>
      <c r="AF53" s="131"/>
      <c r="AG53" s="131"/>
      <c r="AH53" s="131"/>
      <c r="AI53" s="131"/>
      <c r="AJ53" s="131"/>
      <c r="AK53" s="131"/>
      <c r="AL53" s="131"/>
      <c r="AM53" s="131"/>
      <c r="AN53" s="132" t="str">
        <f>SUM(AB53:AM53)</f>
        <v>0</v>
      </c>
      <c r="AO53" s="133"/>
      <c r="AP53" s="133"/>
      <c r="AQ53" s="133"/>
      <c r="AR53" s="133"/>
      <c r="AS53" s="133"/>
      <c r="AT53" s="133"/>
      <c r="AU53" s="133"/>
      <c r="AV53" s="133"/>
      <c r="AW53" s="133"/>
      <c r="AX53" s="133"/>
      <c r="AY53" s="133"/>
      <c r="AZ53" s="133"/>
      <c r="BA53" s="132" t="str">
        <f>SUM(AO53:AZ53)</f>
        <v>0</v>
      </c>
      <c r="BB53" s="134"/>
      <c r="BC53" s="134"/>
      <c r="BD53" s="134"/>
      <c r="BE53" s="134"/>
      <c r="BF53" s="134"/>
      <c r="BG53" s="134"/>
      <c r="BH53" s="134"/>
      <c r="BI53" s="134"/>
      <c r="BJ53" s="134"/>
      <c r="BK53" s="134"/>
      <c r="BL53" s="134"/>
      <c r="BM53" s="134"/>
      <c r="BN53" s="132" t="str">
        <f>SUM(BB53:BM53)</f>
        <v>0</v>
      </c>
      <c r="BO53" s="135"/>
      <c r="BP53" s="135"/>
      <c r="BQ53" s="135"/>
      <c r="BR53" s="135"/>
      <c r="BS53" s="135"/>
      <c r="BT53" s="135"/>
      <c r="BU53" s="135"/>
      <c r="BV53" s="135"/>
      <c r="BW53" s="135"/>
      <c r="BX53" s="135"/>
      <c r="BY53" s="135"/>
      <c r="BZ53" s="135"/>
      <c r="CA53" s="132" t="str">
        <f>SUM(BO53:BZ53)</f>
        <v>0</v>
      </c>
      <c r="CB53" s="136"/>
      <c r="CC53" s="136"/>
      <c r="CD53" s="136"/>
      <c r="CE53" s="136"/>
      <c r="CF53" s="136"/>
      <c r="CG53" s="136"/>
      <c r="CH53" s="136"/>
      <c r="CI53" s="136"/>
      <c r="CJ53" s="136"/>
      <c r="CK53" s="136"/>
      <c r="CL53" s="136"/>
      <c r="CM53" s="136"/>
      <c r="CN53" s="132" t="str">
        <f>SUM(CB53:CM53)</f>
        <v>0</v>
      </c>
      <c r="CO53" s="137"/>
      <c r="CP53" s="137"/>
      <c r="CQ53" s="137"/>
      <c r="CR53" s="137"/>
      <c r="CS53" s="137"/>
      <c r="CT53" s="137"/>
      <c r="CU53" s="137"/>
      <c r="CV53" s="137"/>
      <c r="CW53" s="137"/>
      <c r="CX53" s="137"/>
      <c r="CY53" s="137"/>
      <c r="CZ53" s="137"/>
      <c r="DA53" s="132" t="str">
        <f>SUM(CO53:CZ53)</f>
        <v>0</v>
      </c>
      <c r="DB53" s="136"/>
      <c r="DC53" s="136"/>
      <c r="DD53" s="136"/>
      <c r="DE53" s="136"/>
      <c r="DF53" s="136"/>
      <c r="DG53" s="136"/>
      <c r="DH53" s="136"/>
      <c r="DI53" s="136"/>
      <c r="DJ53" s="136"/>
      <c r="DK53" s="136"/>
      <c r="DL53" s="136"/>
      <c r="DM53" s="136"/>
      <c r="DN53" s="132" t="str">
        <f>SUM(DB53:DM53)</f>
        <v>0</v>
      </c>
      <c r="DO53" s="137"/>
      <c r="DP53" s="137"/>
      <c r="DQ53" s="137"/>
      <c r="DR53" s="137"/>
      <c r="DS53" s="137"/>
      <c r="DT53" s="137"/>
      <c r="DU53" s="137"/>
      <c r="DV53" s="137"/>
      <c r="DW53" s="137"/>
      <c r="DX53" s="137"/>
      <c r="DY53" s="137"/>
      <c r="DZ53" s="137"/>
      <c r="EA53" s="132" t="str">
        <f>SUM(DO53:DZ53)</f>
        <v>0</v>
      </c>
      <c r="EB53" s="216"/>
      <c r="EC53" s="216"/>
      <c r="ED53" s="216"/>
      <c r="EE53" s="216"/>
      <c r="EF53" s="216"/>
      <c r="EG53" s="216"/>
      <c r="EH53" s="216"/>
      <c r="EI53" s="216"/>
      <c r="EJ53" s="216"/>
      <c r="EK53" s="216"/>
      <c r="EL53" s="216"/>
      <c r="EM53" s="216"/>
      <c r="EN53" s="132" t="str">
        <f>SUM(EB53:EM53)</f>
        <v>0</v>
      </c>
      <c r="EO53" s="132"/>
      <c r="EP53" s="132"/>
      <c r="EQ53" s="132"/>
      <c r="ER53" s="132"/>
      <c r="ES53" s="132"/>
      <c r="ET53" s="132"/>
      <c r="EU53" s="132"/>
      <c r="EV53" s="132"/>
      <c r="EW53" s="132"/>
      <c r="EX53" s="132"/>
      <c r="EY53" s="132"/>
      <c r="EZ53" s="132"/>
      <c r="FA53" s="132" t="str">
        <f>SUM(EO53:EZ53)</f>
        <v>0</v>
      </c>
      <c r="FB53" s="181"/>
      <c r="FC53" s="181"/>
      <c r="FD53" s="181"/>
      <c r="FE53" s="181"/>
      <c r="FF53" s="181"/>
      <c r="FG53" s="181"/>
      <c r="FH53" s="181"/>
      <c r="FI53" s="181"/>
      <c r="FJ53" s="181"/>
      <c r="FK53" s="181"/>
      <c r="FL53" s="181"/>
      <c r="FM53" s="181"/>
      <c r="FN53" s="132" t="str">
        <f>SUM(FB53:FM53)</f>
        <v>0</v>
      </c>
      <c r="FO53" s="132"/>
      <c r="FP53" s="132"/>
      <c r="FQ53" s="132"/>
      <c r="FR53" s="132"/>
      <c r="FS53" s="132"/>
      <c r="FT53" s="132"/>
      <c r="FU53" s="132"/>
      <c r="FV53" s="132"/>
      <c r="FW53" s="132"/>
      <c r="FX53" s="132"/>
      <c r="FY53" s="132"/>
      <c r="FZ53" s="132"/>
      <c r="GA53" s="132" t="str">
        <f>SUM(FO53:FZ53)</f>
        <v>0</v>
      </c>
      <c r="GB53" s="181"/>
      <c r="GC53" s="181"/>
      <c r="GD53" s="181"/>
      <c r="GE53" s="181"/>
      <c r="GF53" s="181"/>
      <c r="GG53" s="181"/>
      <c r="GH53" s="181"/>
      <c r="GI53" s="181"/>
      <c r="GJ53" s="181"/>
      <c r="GK53" s="181"/>
      <c r="GL53" s="181"/>
      <c r="GM53" s="181"/>
      <c r="GN53" s="181" t="str">
        <f>SUM(GB53:GM53)</f>
        <v>0</v>
      </c>
      <c r="GO53" s="137"/>
      <c r="GP53" s="137"/>
      <c r="GQ53" s="137"/>
      <c r="GR53" s="137"/>
      <c r="GS53" s="137"/>
      <c r="GT53" s="137"/>
      <c r="GU53" s="137"/>
      <c r="GV53" s="137"/>
      <c r="GW53" s="137"/>
      <c r="GX53" s="137"/>
      <c r="GY53" s="137"/>
      <c r="GZ53" s="137"/>
      <c r="HA53" s="132" t="str">
        <f>SUM(GO53:GZ53)</f>
        <v>0</v>
      </c>
      <c r="HB53" s="181"/>
      <c r="HC53" s="181"/>
      <c r="HD53" s="181"/>
      <c r="HE53" s="181"/>
      <c r="HF53" s="181"/>
      <c r="HG53" s="181"/>
      <c r="HH53" s="181"/>
      <c r="HI53" s="181"/>
      <c r="HJ53" s="181"/>
      <c r="HK53" s="181"/>
      <c r="HL53" s="181"/>
      <c r="HM53" s="181"/>
      <c r="HN53" s="181" t="str">
        <f>SUM(HB53:HM53)</f>
        <v>0</v>
      </c>
      <c r="HO53" s="132"/>
      <c r="HP53" s="132"/>
      <c r="HQ53" s="132"/>
      <c r="HR53" s="132"/>
      <c r="HS53" s="132"/>
      <c r="HT53" s="132"/>
      <c r="HU53" s="132"/>
      <c r="HV53" s="132"/>
      <c r="HW53" s="132"/>
      <c r="HX53" s="132"/>
      <c r="HY53" s="132"/>
      <c r="HZ53" s="132"/>
      <c r="IA53" s="132" t="str">
        <f>SUM(HO53:HZ53)</f>
        <v>0</v>
      </c>
      <c r="IB53" s="181"/>
      <c r="IC53" s="181"/>
      <c r="ID53" s="181"/>
      <c r="IE53" s="181"/>
      <c r="IF53" s="181"/>
      <c r="IG53" s="181"/>
      <c r="IH53" s="181"/>
      <c r="II53" s="181"/>
      <c r="IJ53" s="181"/>
      <c r="IK53" s="181"/>
      <c r="IL53" s="181"/>
      <c r="IM53" s="181"/>
      <c r="IN53" s="181" t="str">
        <f>SUM(IB53:IM53)</f>
        <v>0</v>
      </c>
      <c r="IO53" s="181"/>
      <c r="IP53" s="181"/>
      <c r="IQ53" s="181"/>
      <c r="IR53" s="181"/>
      <c r="IS53" s="181"/>
      <c r="IT53" s="181"/>
      <c r="IU53" s="181"/>
      <c r="IV53" s="181"/>
      <c r="IW53" s="181"/>
      <c r="IX53" s="181"/>
      <c r="IY53" s="181"/>
      <c r="IZ53" s="181"/>
      <c r="JA53" s="181" t="str">
        <f>SUM(IO53:IZ53)</f>
        <v>0</v>
      </c>
      <c r="JC53" s="135" t="str">
        <f>B53+O53+AB53+AO53+BB53+BO53+CB53+CO53+DB53+DO53+EB53+EO53+FB53+FO53+GB53+GO53+HB53+HO53+IB53+IO53</f>
        <v>0</v>
      </c>
      <c r="JD53" s="135" t="str">
        <f>C53+P53+AC53+AP53+BC53+BP53+CC53+CP53+DC53+DP53+EC53+EP53+FC53+FP53+GC53+GP53+HC53+HP53+IC53+IP53</f>
        <v>0</v>
      </c>
      <c r="JE53" s="135" t="str">
        <f>D53+Q53+AD53+AQ53+BD53+BQ53+CD53+CQ53+DD53+DQ53+ED53+EQ53+FD53+FQ53+GD53+GQ53+HD53+HQ53+ID53+IQ53</f>
        <v>0</v>
      </c>
      <c r="JF53" s="135" t="str">
        <f>E53+R53+AE53+AR53+BE53+BR53+CE53+CR53+DE53+DR53+EE53+ER53+FE53+FR53+GE53+GR53+HE53+HR53+IE53+IR53</f>
        <v>0</v>
      </c>
      <c r="JG53" s="135" t="str">
        <f>F53+S53+AF53+AS53+BF53+BS53+CF53+CS53+DF53+DS53+EF53+ES53+FF53+FS53+GF53+GS53+HF53+HS53+IF53+IS53</f>
        <v>0</v>
      </c>
      <c r="JH53" s="135" t="str">
        <f>G53+T53+AG53+AT53+BG53+BT53+CG53+CT53+DG53+DT53+EG53+ET53+FG53+FT53+GG53+GT53+HG53+HT53+IG53+IT53</f>
        <v>0</v>
      </c>
      <c r="JI53" s="135" t="str">
        <f>H53+U53+AH53+AU53+BH53+BU53+CH53+CU53+DH53+DU53+EH53+EU53+FH53+FU53+GH53+GU53+HH53+HU53+IH53+IU53</f>
        <v>0</v>
      </c>
      <c r="JJ53" s="135" t="str">
        <f>I53+V53+AI53+AV53+BI53+BV53+CI53+CV53+DI53+DV53+EI53+EV53+FI53+FV53+GI53+GV53+HI53+HV53+II53+IV53</f>
        <v>0</v>
      </c>
      <c r="JK53" s="135" t="str">
        <f>J53+W53+AJ53+AW53+BJ53+BW53+CJ53+CW53+DJ53+DW53+EJ53+EW53+FJ53+FW53+GJ53+GW53+HJ53+HW53+IJ53+IW53</f>
        <v>0</v>
      </c>
      <c r="JL53" s="135" t="str">
        <f>K53+X53+AK53+AX53+BK53+BX53+CK53+CX53+DK53+DX53+EK53+EX53+FK53+FX53+GK53+GX53+HK53+HX53+IK53+IX53</f>
        <v>0</v>
      </c>
      <c r="JM53" s="135" t="str">
        <f>L53+Y53+AL53+AY53+BL53+BY53+CL53+CY53+DL53+DY53+EL53+EY53+FL53+FY53+GL53+GY53+HL53+HY53+IL53+IY53</f>
        <v>0</v>
      </c>
      <c r="JN53" s="135" t="str">
        <f>M53+Z53+AM53+AZ53+BM53+BZ53+CM53+CZ53+DM53+DZ53+EM53+EZ53+FM53+FZ53+GM53+GZ53+HM53+HZ53+IM53+IZ53</f>
        <v>0</v>
      </c>
      <c r="JO53" s="132" t="str">
        <f>SUM(JC53:JN53)</f>
        <v>0</v>
      </c>
      <c r="JQ53" s="139" t="str">
        <f>N53+AA53+AN53+BA53+BN53+CA53+CN53+DA53+DN53+EA53+EN53+FA53+FN53+GA53+GN53+HA53+HN53+IA53+IN53+JA53</f>
        <v>0</v>
      </c>
    </row>
    <row r="54" spans="1:278">
      <c r="A54" s="130"/>
      <c r="B54" s="131"/>
      <c r="C54" s="131"/>
      <c r="D54" s="131"/>
      <c r="E54" s="131"/>
      <c r="F54" s="131"/>
      <c r="G54" s="131"/>
      <c r="H54" s="131"/>
      <c r="I54" s="131"/>
      <c r="J54" s="131"/>
      <c r="K54" s="131"/>
      <c r="L54" s="131"/>
      <c r="M54" s="131"/>
      <c r="N54" s="132" t="str">
        <f>SUM(B54:M54)</f>
        <v>0</v>
      </c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  <c r="AA54" s="132" t="str">
        <f>SUM(O54:Z54)</f>
        <v>0</v>
      </c>
      <c r="AB54" s="131"/>
      <c r="AC54" s="131"/>
      <c r="AD54" s="131"/>
      <c r="AE54" s="131"/>
      <c r="AF54" s="131"/>
      <c r="AG54" s="131"/>
      <c r="AH54" s="131"/>
      <c r="AI54" s="131"/>
      <c r="AJ54" s="131"/>
      <c r="AK54" s="131"/>
      <c r="AL54" s="131"/>
      <c r="AM54" s="131"/>
      <c r="AN54" s="132" t="str">
        <f>SUM(AB54:AM54)</f>
        <v>0</v>
      </c>
      <c r="AO54" s="133"/>
      <c r="AP54" s="133"/>
      <c r="AQ54" s="133"/>
      <c r="AR54" s="133"/>
      <c r="AS54" s="133"/>
      <c r="AT54" s="133"/>
      <c r="AU54" s="133"/>
      <c r="AV54" s="133"/>
      <c r="AW54" s="133"/>
      <c r="AX54" s="133"/>
      <c r="AY54" s="133"/>
      <c r="AZ54" s="133"/>
      <c r="BA54" s="132" t="str">
        <f>SUM(AO54:AZ54)</f>
        <v>0</v>
      </c>
      <c r="BB54" s="134"/>
      <c r="BC54" s="134"/>
      <c r="BD54" s="134"/>
      <c r="BE54" s="134"/>
      <c r="BF54" s="134"/>
      <c r="BG54" s="134"/>
      <c r="BH54" s="134"/>
      <c r="BI54" s="134"/>
      <c r="BJ54" s="134"/>
      <c r="BK54" s="134"/>
      <c r="BL54" s="134"/>
      <c r="BM54" s="134"/>
      <c r="BN54" s="132" t="str">
        <f>SUM(BB54:BM54)</f>
        <v>0</v>
      </c>
      <c r="BO54" s="135"/>
      <c r="BP54" s="135"/>
      <c r="BQ54" s="135"/>
      <c r="BR54" s="135"/>
      <c r="BS54" s="135"/>
      <c r="BT54" s="135"/>
      <c r="BU54" s="135"/>
      <c r="BV54" s="135"/>
      <c r="BW54" s="135"/>
      <c r="BX54" s="135"/>
      <c r="BY54" s="135"/>
      <c r="BZ54" s="135"/>
      <c r="CA54" s="132" t="str">
        <f>SUM(BO54:BZ54)</f>
        <v>0</v>
      </c>
      <c r="CB54" s="136"/>
      <c r="CC54" s="136"/>
      <c r="CD54" s="136"/>
      <c r="CE54" s="136"/>
      <c r="CF54" s="136"/>
      <c r="CG54" s="136"/>
      <c r="CH54" s="136"/>
      <c r="CI54" s="136"/>
      <c r="CJ54" s="136"/>
      <c r="CK54" s="136"/>
      <c r="CL54" s="136"/>
      <c r="CM54" s="136"/>
      <c r="CN54" s="132" t="str">
        <f>SUM(CB54:CM54)</f>
        <v>0</v>
      </c>
      <c r="CO54" s="137"/>
      <c r="CP54" s="137"/>
      <c r="CQ54" s="137"/>
      <c r="CR54" s="137"/>
      <c r="CS54" s="137"/>
      <c r="CT54" s="137"/>
      <c r="CU54" s="137"/>
      <c r="CV54" s="137"/>
      <c r="CW54" s="137"/>
      <c r="CX54" s="137"/>
      <c r="CY54" s="137"/>
      <c r="CZ54" s="137"/>
      <c r="DA54" s="132" t="str">
        <f>SUM(CO54:CZ54)</f>
        <v>0</v>
      </c>
      <c r="DB54" s="136"/>
      <c r="DC54" s="136"/>
      <c r="DD54" s="136"/>
      <c r="DE54" s="136"/>
      <c r="DF54" s="136"/>
      <c r="DG54" s="136"/>
      <c r="DH54" s="136"/>
      <c r="DI54" s="136"/>
      <c r="DJ54" s="136"/>
      <c r="DK54" s="136"/>
      <c r="DL54" s="136"/>
      <c r="DM54" s="136"/>
      <c r="DN54" s="132" t="str">
        <f>SUM(DB54:DM54)</f>
        <v>0</v>
      </c>
      <c r="DO54" s="137"/>
      <c r="DP54" s="137"/>
      <c r="DQ54" s="137"/>
      <c r="DR54" s="137"/>
      <c r="DS54" s="137"/>
      <c r="DT54" s="137"/>
      <c r="DU54" s="137"/>
      <c r="DV54" s="137"/>
      <c r="DW54" s="137"/>
      <c r="DX54" s="137"/>
      <c r="DY54" s="137"/>
      <c r="DZ54" s="137"/>
      <c r="EA54" s="132" t="str">
        <f>SUM(DO54:DZ54)</f>
        <v>0</v>
      </c>
      <c r="EB54" s="216"/>
      <c r="EC54" s="216"/>
      <c r="ED54" s="216"/>
      <c r="EE54" s="216"/>
      <c r="EF54" s="216"/>
      <c r="EG54" s="216"/>
      <c r="EH54" s="216"/>
      <c r="EI54" s="216"/>
      <c r="EJ54" s="216"/>
      <c r="EK54" s="216"/>
      <c r="EL54" s="216"/>
      <c r="EM54" s="216"/>
      <c r="EN54" s="132" t="str">
        <f>SUM(EB54:EM54)</f>
        <v>0</v>
      </c>
      <c r="EO54" s="132"/>
      <c r="EP54" s="132"/>
      <c r="EQ54" s="132"/>
      <c r="ER54" s="132"/>
      <c r="ES54" s="132"/>
      <c r="ET54" s="132"/>
      <c r="EU54" s="132"/>
      <c r="EV54" s="132"/>
      <c r="EW54" s="132"/>
      <c r="EX54" s="132"/>
      <c r="EY54" s="132"/>
      <c r="EZ54" s="132"/>
      <c r="FA54" s="132" t="str">
        <f>SUM(EO54:EZ54)</f>
        <v>0</v>
      </c>
      <c r="FB54" s="181"/>
      <c r="FC54" s="181"/>
      <c r="FD54" s="181"/>
      <c r="FE54" s="181"/>
      <c r="FF54" s="181"/>
      <c r="FG54" s="181"/>
      <c r="FH54" s="181"/>
      <c r="FI54" s="181"/>
      <c r="FJ54" s="181"/>
      <c r="FK54" s="181"/>
      <c r="FL54" s="181"/>
      <c r="FM54" s="181"/>
      <c r="FN54" s="132" t="str">
        <f>SUM(FB54:FM54)</f>
        <v>0</v>
      </c>
      <c r="FO54" s="132"/>
      <c r="FP54" s="132"/>
      <c r="FQ54" s="132"/>
      <c r="FR54" s="132"/>
      <c r="FS54" s="132"/>
      <c r="FT54" s="132"/>
      <c r="FU54" s="132"/>
      <c r="FV54" s="132"/>
      <c r="FW54" s="132"/>
      <c r="FX54" s="132"/>
      <c r="FY54" s="132"/>
      <c r="FZ54" s="132"/>
      <c r="GA54" s="132" t="str">
        <f>SUM(FO54:FZ54)</f>
        <v>0</v>
      </c>
      <c r="GB54" s="181"/>
      <c r="GC54" s="181"/>
      <c r="GD54" s="181"/>
      <c r="GE54" s="181"/>
      <c r="GF54" s="181"/>
      <c r="GG54" s="181"/>
      <c r="GH54" s="181"/>
      <c r="GI54" s="181"/>
      <c r="GJ54" s="181"/>
      <c r="GK54" s="181"/>
      <c r="GL54" s="181"/>
      <c r="GM54" s="181"/>
      <c r="GN54" s="181" t="str">
        <f>SUM(GB54:GM54)</f>
        <v>0</v>
      </c>
      <c r="GO54" s="137"/>
      <c r="GP54" s="137"/>
      <c r="GQ54" s="137"/>
      <c r="GR54" s="137"/>
      <c r="GS54" s="137"/>
      <c r="GT54" s="137"/>
      <c r="GU54" s="137"/>
      <c r="GV54" s="137"/>
      <c r="GW54" s="137"/>
      <c r="GX54" s="137"/>
      <c r="GY54" s="137"/>
      <c r="GZ54" s="137"/>
      <c r="HA54" s="132" t="str">
        <f>SUM(GO54:GZ54)</f>
        <v>0</v>
      </c>
      <c r="HB54" s="181"/>
      <c r="HC54" s="181"/>
      <c r="HD54" s="181"/>
      <c r="HE54" s="181"/>
      <c r="HF54" s="181"/>
      <c r="HG54" s="181"/>
      <c r="HH54" s="181"/>
      <c r="HI54" s="181"/>
      <c r="HJ54" s="181"/>
      <c r="HK54" s="181"/>
      <c r="HL54" s="181"/>
      <c r="HM54" s="181"/>
      <c r="HN54" s="181" t="str">
        <f>SUM(HB54:HM54)</f>
        <v>0</v>
      </c>
      <c r="HO54" s="132"/>
      <c r="HP54" s="132"/>
      <c r="HQ54" s="132"/>
      <c r="HR54" s="132"/>
      <c r="HS54" s="132"/>
      <c r="HT54" s="132"/>
      <c r="HU54" s="132"/>
      <c r="HV54" s="132"/>
      <c r="HW54" s="132"/>
      <c r="HX54" s="132"/>
      <c r="HY54" s="132"/>
      <c r="HZ54" s="132"/>
      <c r="IA54" s="132" t="str">
        <f>SUM(HO54:HZ54)</f>
        <v>0</v>
      </c>
      <c r="IB54" s="181"/>
      <c r="IC54" s="181"/>
      <c r="ID54" s="181"/>
      <c r="IE54" s="181"/>
      <c r="IF54" s="181"/>
      <c r="IG54" s="181"/>
      <c r="IH54" s="181"/>
      <c r="II54" s="181"/>
      <c r="IJ54" s="181"/>
      <c r="IK54" s="181"/>
      <c r="IL54" s="181"/>
      <c r="IM54" s="181"/>
      <c r="IN54" s="181" t="str">
        <f>SUM(IB54:IM54)</f>
        <v>0</v>
      </c>
      <c r="IO54" s="181"/>
      <c r="IP54" s="181"/>
      <c r="IQ54" s="181"/>
      <c r="IR54" s="181"/>
      <c r="IS54" s="181"/>
      <c r="IT54" s="181"/>
      <c r="IU54" s="181"/>
      <c r="IV54" s="181"/>
      <c r="IW54" s="181"/>
      <c r="IX54" s="181"/>
      <c r="IY54" s="181"/>
      <c r="IZ54" s="181"/>
      <c r="JA54" s="181" t="str">
        <f>SUM(IO54:IZ54)</f>
        <v>0</v>
      </c>
      <c r="JC54" s="135" t="str">
        <f>B54+O54+AB54+AO54+BB54+BO54+CB54+CO54+DB54+DO54+EB54+EO54+FB54+FO54+GB54+GO54+HB54+HO54+IB54+IO54</f>
        <v>0</v>
      </c>
      <c r="JD54" s="135" t="str">
        <f>C54+P54+AC54+AP54+BC54+BP54+CC54+CP54+DC54+DP54+EC54+EP54+FC54+FP54+GC54+GP54+HC54+HP54+IC54+IP54</f>
        <v>0</v>
      </c>
      <c r="JE54" s="135" t="str">
        <f>D54+Q54+AD54+AQ54+BD54+BQ54+CD54+CQ54+DD54+DQ54+ED54+EQ54+FD54+FQ54+GD54+GQ54+HD54+HQ54+ID54+IQ54</f>
        <v>0</v>
      </c>
      <c r="JF54" s="135" t="str">
        <f>E54+R54+AE54+AR54+BE54+BR54+CE54+CR54+DE54+DR54+EE54+ER54+FE54+FR54+GE54+GR54+HE54+HR54+IE54+IR54</f>
        <v>0</v>
      </c>
      <c r="JG54" s="135" t="str">
        <f>F54+S54+AF54+AS54+BF54+BS54+CF54+CS54+DF54+DS54+EF54+ES54+FF54+FS54+GF54+GS54+HF54+HS54+IF54+IS54</f>
        <v>0</v>
      </c>
      <c r="JH54" s="135" t="str">
        <f>G54+T54+AG54+AT54+BG54+BT54+CG54+CT54+DG54+DT54+EG54+ET54+FG54+FT54+GG54+GT54+HG54+HT54+IG54+IT54</f>
        <v>0</v>
      </c>
      <c r="JI54" s="135" t="str">
        <f>H54+U54+AH54+AU54+BH54+BU54+CH54+CU54+DH54+DU54+EH54+EU54+FH54+FU54+GH54+GU54+HH54+HU54+IH54+IU54</f>
        <v>0</v>
      </c>
      <c r="JJ54" s="135" t="str">
        <f>I54+V54+AI54+AV54+BI54+BV54+CI54+CV54+DI54+DV54+EI54+EV54+FI54+FV54+GI54+GV54+HI54+HV54+II54+IV54</f>
        <v>0</v>
      </c>
      <c r="JK54" s="135" t="str">
        <f>J54+W54+AJ54+AW54+BJ54+BW54+CJ54+CW54+DJ54+DW54+EJ54+EW54+FJ54+FW54+GJ54+GW54+HJ54+HW54+IJ54+IW54</f>
        <v>0</v>
      </c>
      <c r="JL54" s="135" t="str">
        <f>K54+X54+AK54+AX54+BK54+BX54+CK54+CX54+DK54+DX54+EK54+EX54+FK54+FX54+GK54+GX54+HK54+HX54+IK54+IX54</f>
        <v>0</v>
      </c>
      <c r="JM54" s="135" t="str">
        <f>L54+Y54+AL54+AY54+BL54+BY54+CL54+CY54+DL54+DY54+EL54+EY54+FL54+FY54+GL54+GY54+HL54+HY54+IL54+IY54</f>
        <v>0</v>
      </c>
      <c r="JN54" s="135" t="str">
        <f>M54+Z54+AM54+AZ54+BM54+BZ54+CM54+CZ54+DM54+DZ54+EM54+EZ54+FM54+FZ54+GM54+GZ54+HM54+HZ54+IM54+IZ54</f>
        <v>0</v>
      </c>
      <c r="JO54" s="132" t="str">
        <f>SUM(JC54:JN54)</f>
        <v>0</v>
      </c>
      <c r="JQ54" s="139" t="str">
        <f>N54+AA54+AN54+BA54+BN54+CA54+CN54+DA54+DN54+EA54+EN54+FA54+FN54+GA54+GN54+HA54+HN54+IA54+IN54+JA54</f>
        <v>0</v>
      </c>
    </row>
    <row r="55" spans="1:278">
      <c r="A55" s="130"/>
      <c r="B55" s="131"/>
      <c r="C55" s="131"/>
      <c r="D55" s="131"/>
      <c r="E55" s="131"/>
      <c r="F55" s="131"/>
      <c r="G55" s="131"/>
      <c r="H55" s="131"/>
      <c r="I55" s="131"/>
      <c r="J55" s="131"/>
      <c r="K55" s="131"/>
      <c r="L55" s="131"/>
      <c r="M55" s="131"/>
      <c r="N55" s="132" t="str">
        <f>SUM(B55:M55)</f>
        <v>0</v>
      </c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  <c r="AA55" s="132" t="str">
        <f>SUM(O55:Z55)</f>
        <v>0</v>
      </c>
      <c r="AB55" s="131"/>
      <c r="AC55" s="131"/>
      <c r="AD55" s="131"/>
      <c r="AE55" s="131"/>
      <c r="AF55" s="131"/>
      <c r="AG55" s="131"/>
      <c r="AH55" s="131"/>
      <c r="AI55" s="131"/>
      <c r="AJ55" s="131"/>
      <c r="AK55" s="131"/>
      <c r="AL55" s="131"/>
      <c r="AM55" s="131"/>
      <c r="AN55" s="132" t="str">
        <f>SUM(AB55:AM55)</f>
        <v>0</v>
      </c>
      <c r="AO55" s="133"/>
      <c r="AP55" s="133"/>
      <c r="AQ55" s="133"/>
      <c r="AR55" s="133"/>
      <c r="AS55" s="133"/>
      <c r="AT55" s="133"/>
      <c r="AU55" s="133"/>
      <c r="AV55" s="133"/>
      <c r="AW55" s="133"/>
      <c r="AX55" s="133"/>
      <c r="AY55" s="133"/>
      <c r="AZ55" s="133"/>
      <c r="BA55" s="132" t="str">
        <f>SUM(AO55:AZ55)</f>
        <v>0</v>
      </c>
      <c r="BB55" s="134"/>
      <c r="BC55" s="134"/>
      <c r="BD55" s="134"/>
      <c r="BE55" s="134"/>
      <c r="BF55" s="134"/>
      <c r="BG55" s="134"/>
      <c r="BH55" s="134"/>
      <c r="BI55" s="134"/>
      <c r="BJ55" s="134"/>
      <c r="BK55" s="134"/>
      <c r="BL55" s="134"/>
      <c r="BM55" s="134"/>
      <c r="BN55" s="132" t="str">
        <f>SUM(BB55:BM55)</f>
        <v>0</v>
      </c>
      <c r="BO55" s="135"/>
      <c r="BP55" s="135"/>
      <c r="BQ55" s="135"/>
      <c r="BR55" s="135"/>
      <c r="BS55" s="135"/>
      <c r="BT55" s="135"/>
      <c r="BU55" s="135"/>
      <c r="BV55" s="135"/>
      <c r="BW55" s="135"/>
      <c r="BX55" s="135"/>
      <c r="BY55" s="135"/>
      <c r="BZ55" s="135"/>
      <c r="CA55" s="132" t="str">
        <f>SUM(BO55:BZ55)</f>
        <v>0</v>
      </c>
      <c r="CB55" s="136"/>
      <c r="CC55" s="136"/>
      <c r="CD55" s="136"/>
      <c r="CE55" s="136"/>
      <c r="CF55" s="136"/>
      <c r="CG55" s="136"/>
      <c r="CH55" s="136"/>
      <c r="CI55" s="136"/>
      <c r="CJ55" s="136"/>
      <c r="CK55" s="136"/>
      <c r="CL55" s="136"/>
      <c r="CM55" s="136"/>
      <c r="CN55" s="132" t="str">
        <f>SUM(CB55:CM55)</f>
        <v>0</v>
      </c>
      <c r="CO55" s="137"/>
      <c r="CP55" s="137"/>
      <c r="CQ55" s="137"/>
      <c r="CR55" s="137"/>
      <c r="CS55" s="137"/>
      <c r="CT55" s="137"/>
      <c r="CU55" s="137"/>
      <c r="CV55" s="137"/>
      <c r="CW55" s="137"/>
      <c r="CX55" s="137"/>
      <c r="CY55" s="137"/>
      <c r="CZ55" s="137"/>
      <c r="DA55" s="132" t="str">
        <f>SUM(CO55:CZ55)</f>
        <v>0</v>
      </c>
      <c r="DB55" s="136"/>
      <c r="DC55" s="136"/>
      <c r="DD55" s="136"/>
      <c r="DE55" s="136"/>
      <c r="DF55" s="136"/>
      <c r="DG55" s="136"/>
      <c r="DH55" s="136"/>
      <c r="DI55" s="136"/>
      <c r="DJ55" s="136"/>
      <c r="DK55" s="136"/>
      <c r="DL55" s="136"/>
      <c r="DM55" s="136"/>
      <c r="DN55" s="132" t="str">
        <f>SUM(DB55:DM55)</f>
        <v>0</v>
      </c>
      <c r="DO55" s="137"/>
      <c r="DP55" s="137"/>
      <c r="DQ55" s="137"/>
      <c r="DR55" s="137"/>
      <c r="DS55" s="137"/>
      <c r="DT55" s="137"/>
      <c r="DU55" s="137"/>
      <c r="DV55" s="137"/>
      <c r="DW55" s="137"/>
      <c r="DX55" s="137"/>
      <c r="DY55" s="137"/>
      <c r="DZ55" s="137"/>
      <c r="EA55" s="132" t="str">
        <f>SUM(DO55:DZ55)</f>
        <v>0</v>
      </c>
      <c r="EB55" s="216"/>
      <c r="EC55" s="216"/>
      <c r="ED55" s="216"/>
      <c r="EE55" s="216"/>
      <c r="EF55" s="216"/>
      <c r="EG55" s="216"/>
      <c r="EH55" s="216"/>
      <c r="EI55" s="216"/>
      <c r="EJ55" s="216"/>
      <c r="EK55" s="216"/>
      <c r="EL55" s="216"/>
      <c r="EM55" s="216"/>
      <c r="EN55" s="132" t="str">
        <f>SUM(EB55:EM55)</f>
        <v>0</v>
      </c>
      <c r="EO55" s="132"/>
      <c r="EP55" s="132"/>
      <c r="EQ55" s="132"/>
      <c r="ER55" s="132"/>
      <c r="ES55" s="132"/>
      <c r="ET55" s="132"/>
      <c r="EU55" s="132"/>
      <c r="EV55" s="132"/>
      <c r="EW55" s="132"/>
      <c r="EX55" s="132"/>
      <c r="EY55" s="132"/>
      <c r="EZ55" s="132"/>
      <c r="FA55" s="132" t="str">
        <f>SUM(EO55:EZ55)</f>
        <v>0</v>
      </c>
      <c r="FB55" s="181"/>
      <c r="FC55" s="181"/>
      <c r="FD55" s="181"/>
      <c r="FE55" s="181"/>
      <c r="FF55" s="181"/>
      <c r="FG55" s="181"/>
      <c r="FH55" s="181"/>
      <c r="FI55" s="181"/>
      <c r="FJ55" s="181"/>
      <c r="FK55" s="181"/>
      <c r="FL55" s="181"/>
      <c r="FM55" s="181"/>
      <c r="FN55" s="132" t="str">
        <f>SUM(FB55:FM55)</f>
        <v>0</v>
      </c>
      <c r="FO55" s="132"/>
      <c r="FP55" s="132"/>
      <c r="FQ55" s="132"/>
      <c r="FR55" s="132"/>
      <c r="FS55" s="132"/>
      <c r="FT55" s="132"/>
      <c r="FU55" s="132"/>
      <c r="FV55" s="132"/>
      <c r="FW55" s="132"/>
      <c r="FX55" s="132"/>
      <c r="FY55" s="132"/>
      <c r="FZ55" s="132"/>
      <c r="GA55" s="132" t="str">
        <f>SUM(FO55:FZ55)</f>
        <v>0</v>
      </c>
      <c r="GB55" s="181"/>
      <c r="GC55" s="181"/>
      <c r="GD55" s="181"/>
      <c r="GE55" s="181"/>
      <c r="GF55" s="181"/>
      <c r="GG55" s="181"/>
      <c r="GH55" s="181"/>
      <c r="GI55" s="181"/>
      <c r="GJ55" s="181"/>
      <c r="GK55" s="181"/>
      <c r="GL55" s="181"/>
      <c r="GM55" s="181"/>
      <c r="GN55" s="181" t="str">
        <f>SUM(GB55:GM55)</f>
        <v>0</v>
      </c>
      <c r="GO55" s="137"/>
      <c r="GP55" s="137"/>
      <c r="GQ55" s="137"/>
      <c r="GR55" s="137"/>
      <c r="GS55" s="137"/>
      <c r="GT55" s="137"/>
      <c r="GU55" s="137"/>
      <c r="GV55" s="137"/>
      <c r="GW55" s="137"/>
      <c r="GX55" s="137"/>
      <c r="GY55" s="137"/>
      <c r="GZ55" s="137"/>
      <c r="HA55" s="132" t="str">
        <f>SUM(GO55:GZ55)</f>
        <v>0</v>
      </c>
      <c r="HB55" s="181"/>
      <c r="HC55" s="181"/>
      <c r="HD55" s="181"/>
      <c r="HE55" s="181"/>
      <c r="HF55" s="181"/>
      <c r="HG55" s="181"/>
      <c r="HH55" s="181"/>
      <c r="HI55" s="181"/>
      <c r="HJ55" s="181"/>
      <c r="HK55" s="181"/>
      <c r="HL55" s="181"/>
      <c r="HM55" s="181"/>
      <c r="HN55" s="181" t="str">
        <f>SUM(HB55:HM55)</f>
        <v>0</v>
      </c>
      <c r="HO55" s="132"/>
      <c r="HP55" s="132"/>
      <c r="HQ55" s="132"/>
      <c r="HR55" s="132"/>
      <c r="HS55" s="132"/>
      <c r="HT55" s="132"/>
      <c r="HU55" s="132"/>
      <c r="HV55" s="132"/>
      <c r="HW55" s="132"/>
      <c r="HX55" s="132"/>
      <c r="HY55" s="132"/>
      <c r="HZ55" s="132"/>
      <c r="IA55" s="132" t="str">
        <f>SUM(HO55:HZ55)</f>
        <v>0</v>
      </c>
      <c r="IB55" s="181"/>
      <c r="IC55" s="181"/>
      <c r="ID55" s="181"/>
      <c r="IE55" s="181"/>
      <c r="IF55" s="181"/>
      <c r="IG55" s="181"/>
      <c r="IH55" s="181"/>
      <c r="II55" s="181"/>
      <c r="IJ55" s="181"/>
      <c r="IK55" s="181"/>
      <c r="IL55" s="181"/>
      <c r="IM55" s="181"/>
      <c r="IN55" s="181" t="str">
        <f>SUM(IB55:IM55)</f>
        <v>0</v>
      </c>
      <c r="IO55" s="181"/>
      <c r="IP55" s="181"/>
      <c r="IQ55" s="181"/>
      <c r="IR55" s="181"/>
      <c r="IS55" s="181"/>
      <c r="IT55" s="181"/>
      <c r="IU55" s="181"/>
      <c r="IV55" s="181"/>
      <c r="IW55" s="181"/>
      <c r="IX55" s="181"/>
      <c r="IY55" s="181"/>
      <c r="IZ55" s="181"/>
      <c r="JA55" s="181" t="str">
        <f>SUM(IO55:IZ55)</f>
        <v>0</v>
      </c>
      <c r="JC55" s="135" t="str">
        <f>B55+O55+AB55+AO55+BB55+BO55+CB55+CO55+DB55+DO55+EB55+EO55+FB55+FO55+GB55+GO55+HB55+HO55+IB55+IO55</f>
        <v>0</v>
      </c>
      <c r="JD55" s="135" t="str">
        <f>C55+P55+AC55+AP55+BC55+BP55+CC55+CP55+DC55+DP55+EC55+EP55+FC55+FP55+GC55+GP55+HC55+HP55+IC55+IP55</f>
        <v>0</v>
      </c>
      <c r="JE55" s="135" t="str">
        <f>D55+Q55+AD55+AQ55+BD55+BQ55+CD55+CQ55+DD55+DQ55+ED55+EQ55+FD55+FQ55+GD55+GQ55+HD55+HQ55+ID55+IQ55</f>
        <v>0</v>
      </c>
      <c r="JF55" s="135" t="str">
        <f>E55+R55+AE55+AR55+BE55+BR55+CE55+CR55+DE55+DR55+EE55+ER55+FE55+FR55+GE55+GR55+HE55+HR55+IE55+IR55</f>
        <v>0</v>
      </c>
      <c r="JG55" s="135" t="str">
        <f>F55+S55+AF55+AS55+BF55+BS55+CF55+CS55+DF55+DS55+EF55+ES55+FF55+FS55+GF55+GS55+HF55+HS55+IF55+IS55</f>
        <v>0</v>
      </c>
      <c r="JH55" s="135" t="str">
        <f>G55+T55+AG55+AT55+BG55+BT55+CG55+CT55+DG55+DT55+EG55+ET55+FG55+FT55+GG55+GT55+HG55+HT55+IG55+IT55</f>
        <v>0</v>
      </c>
      <c r="JI55" s="135" t="str">
        <f>H55+U55+AH55+AU55+BH55+BU55+CH55+CU55+DH55+DU55+EH55+EU55+FH55+FU55+GH55+GU55+HH55+HU55+IH55+IU55</f>
        <v>0</v>
      </c>
      <c r="JJ55" s="135" t="str">
        <f>I55+V55+AI55+AV55+BI55+BV55+CI55+CV55+DI55+DV55+EI55+EV55+FI55+FV55+GI55+GV55+HI55+HV55+II55+IV55</f>
        <v>0</v>
      </c>
      <c r="JK55" s="135" t="str">
        <f>J55+W55+AJ55+AW55+BJ55+BW55+CJ55+CW55+DJ55+DW55+EJ55+EW55+FJ55+FW55+GJ55+GW55+HJ55+HW55+IJ55+IW55</f>
        <v>0</v>
      </c>
      <c r="JL55" s="135" t="str">
        <f>K55+X55+AK55+AX55+BK55+BX55+CK55+CX55+DK55+DX55+EK55+EX55+FK55+FX55+GK55+GX55+HK55+HX55+IK55+IX55</f>
        <v>0</v>
      </c>
      <c r="JM55" s="135" t="str">
        <f>L55+Y55+AL55+AY55+BL55+BY55+CL55+CY55+DL55+DY55+EL55+EY55+FL55+FY55+GL55+GY55+HL55+HY55+IL55+IY55</f>
        <v>0</v>
      </c>
      <c r="JN55" s="135" t="str">
        <f>M55+Z55+AM55+AZ55+BM55+BZ55+CM55+CZ55+DM55+DZ55+EM55+EZ55+FM55+FZ55+GM55+GZ55+HM55+HZ55+IM55+IZ55</f>
        <v>0</v>
      </c>
      <c r="JO55" s="132" t="str">
        <f>SUM(JC55:JN55)</f>
        <v>0</v>
      </c>
      <c r="JQ55" s="139" t="str">
        <f>N55+AA55+AN55+BA55+BN55+CA55+CN55+DA55+DN55+EA55+EN55+FA55+FN55+GA55+GN55+HA55+HN55+IA55+IN55+JA55</f>
        <v>0</v>
      </c>
    </row>
    <row r="56" spans="1:278">
      <c r="A56" s="130"/>
      <c r="B56" s="131"/>
      <c r="C56" s="131"/>
      <c r="D56" s="131"/>
      <c r="E56" s="131"/>
      <c r="F56" s="131"/>
      <c r="G56" s="131"/>
      <c r="H56" s="131"/>
      <c r="I56" s="131"/>
      <c r="J56" s="131"/>
      <c r="K56" s="131"/>
      <c r="L56" s="131"/>
      <c r="M56" s="131"/>
      <c r="N56" s="132" t="str">
        <f>SUM(B56:M56)</f>
        <v>0</v>
      </c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  <c r="AA56" s="132" t="str">
        <f>SUM(O56:Z56)</f>
        <v>0</v>
      </c>
      <c r="AB56" s="131"/>
      <c r="AC56" s="131"/>
      <c r="AD56" s="131"/>
      <c r="AE56" s="131"/>
      <c r="AF56" s="131"/>
      <c r="AG56" s="131"/>
      <c r="AH56" s="131"/>
      <c r="AI56" s="131"/>
      <c r="AJ56" s="131"/>
      <c r="AK56" s="131"/>
      <c r="AL56" s="131"/>
      <c r="AM56" s="131"/>
      <c r="AN56" s="132" t="str">
        <f>SUM(AB56:AM56)</f>
        <v>0</v>
      </c>
      <c r="AO56" s="133"/>
      <c r="AP56" s="133"/>
      <c r="AQ56" s="133"/>
      <c r="AR56" s="133"/>
      <c r="AS56" s="133"/>
      <c r="AT56" s="133"/>
      <c r="AU56" s="133"/>
      <c r="AV56" s="133"/>
      <c r="AW56" s="133"/>
      <c r="AX56" s="133"/>
      <c r="AY56" s="133"/>
      <c r="AZ56" s="133"/>
      <c r="BA56" s="132" t="str">
        <f>SUM(AO56:AZ56)</f>
        <v>0</v>
      </c>
      <c r="BB56" s="134"/>
      <c r="BC56" s="134"/>
      <c r="BD56" s="134"/>
      <c r="BE56" s="134"/>
      <c r="BF56" s="134"/>
      <c r="BG56" s="134"/>
      <c r="BH56" s="134"/>
      <c r="BI56" s="134"/>
      <c r="BJ56" s="134"/>
      <c r="BK56" s="134"/>
      <c r="BL56" s="134"/>
      <c r="BM56" s="134"/>
      <c r="BN56" s="132" t="str">
        <f>SUM(BB56:BM56)</f>
        <v>0</v>
      </c>
      <c r="BO56" s="135"/>
      <c r="BP56" s="135"/>
      <c r="BQ56" s="135"/>
      <c r="BR56" s="135"/>
      <c r="BS56" s="135"/>
      <c r="BT56" s="135"/>
      <c r="BU56" s="135"/>
      <c r="BV56" s="135"/>
      <c r="BW56" s="135"/>
      <c r="BX56" s="135"/>
      <c r="BY56" s="135"/>
      <c r="BZ56" s="135"/>
      <c r="CA56" s="132" t="str">
        <f>SUM(BO56:BZ56)</f>
        <v>0</v>
      </c>
      <c r="CB56" s="136"/>
      <c r="CC56" s="136"/>
      <c r="CD56" s="136"/>
      <c r="CE56" s="136"/>
      <c r="CF56" s="136"/>
      <c r="CG56" s="136"/>
      <c r="CH56" s="136"/>
      <c r="CI56" s="136"/>
      <c r="CJ56" s="136"/>
      <c r="CK56" s="136"/>
      <c r="CL56" s="136"/>
      <c r="CM56" s="136"/>
      <c r="CN56" s="132" t="str">
        <f>SUM(CB56:CM56)</f>
        <v>0</v>
      </c>
      <c r="CO56" s="137"/>
      <c r="CP56" s="137"/>
      <c r="CQ56" s="137"/>
      <c r="CR56" s="137"/>
      <c r="CS56" s="137"/>
      <c r="CT56" s="137"/>
      <c r="CU56" s="137"/>
      <c r="CV56" s="137"/>
      <c r="CW56" s="137"/>
      <c r="CX56" s="137"/>
      <c r="CY56" s="137"/>
      <c r="CZ56" s="137"/>
      <c r="DA56" s="132" t="str">
        <f>SUM(CO56:CZ56)</f>
        <v>0</v>
      </c>
      <c r="DB56" s="136"/>
      <c r="DC56" s="136"/>
      <c r="DD56" s="136"/>
      <c r="DE56" s="136"/>
      <c r="DF56" s="136"/>
      <c r="DG56" s="136"/>
      <c r="DH56" s="136"/>
      <c r="DI56" s="136"/>
      <c r="DJ56" s="136"/>
      <c r="DK56" s="136"/>
      <c r="DL56" s="136"/>
      <c r="DM56" s="136"/>
      <c r="DN56" s="132" t="str">
        <f>SUM(DB56:DM56)</f>
        <v>0</v>
      </c>
      <c r="DO56" s="137"/>
      <c r="DP56" s="137"/>
      <c r="DQ56" s="137"/>
      <c r="DR56" s="137"/>
      <c r="DS56" s="137"/>
      <c r="DT56" s="137"/>
      <c r="DU56" s="137"/>
      <c r="DV56" s="137"/>
      <c r="DW56" s="137"/>
      <c r="DX56" s="137"/>
      <c r="DY56" s="137"/>
      <c r="DZ56" s="137"/>
      <c r="EA56" s="132" t="str">
        <f>SUM(DO56:DZ56)</f>
        <v>0</v>
      </c>
      <c r="EB56" s="216"/>
      <c r="EC56" s="216"/>
      <c r="ED56" s="216"/>
      <c r="EE56" s="216"/>
      <c r="EF56" s="216"/>
      <c r="EG56" s="216"/>
      <c r="EH56" s="216"/>
      <c r="EI56" s="216"/>
      <c r="EJ56" s="216"/>
      <c r="EK56" s="216"/>
      <c r="EL56" s="216"/>
      <c r="EM56" s="216"/>
      <c r="EN56" s="132" t="str">
        <f>SUM(EB56:EM56)</f>
        <v>0</v>
      </c>
      <c r="EO56" s="132"/>
      <c r="EP56" s="132"/>
      <c r="EQ56" s="132"/>
      <c r="ER56" s="132"/>
      <c r="ES56" s="132"/>
      <c r="ET56" s="132"/>
      <c r="EU56" s="132"/>
      <c r="EV56" s="132"/>
      <c r="EW56" s="132"/>
      <c r="EX56" s="132"/>
      <c r="EY56" s="132"/>
      <c r="EZ56" s="132"/>
      <c r="FA56" s="132" t="str">
        <f>SUM(EO56:EZ56)</f>
        <v>0</v>
      </c>
      <c r="FB56" s="181"/>
      <c r="FC56" s="181"/>
      <c r="FD56" s="181"/>
      <c r="FE56" s="181"/>
      <c r="FF56" s="181"/>
      <c r="FG56" s="181"/>
      <c r="FH56" s="181"/>
      <c r="FI56" s="181"/>
      <c r="FJ56" s="181"/>
      <c r="FK56" s="181"/>
      <c r="FL56" s="181"/>
      <c r="FM56" s="181"/>
      <c r="FN56" s="132" t="str">
        <f>SUM(FB56:FM56)</f>
        <v>0</v>
      </c>
      <c r="FO56" s="132"/>
      <c r="FP56" s="132"/>
      <c r="FQ56" s="132"/>
      <c r="FR56" s="132"/>
      <c r="FS56" s="132"/>
      <c r="FT56" s="132"/>
      <c r="FU56" s="132"/>
      <c r="FV56" s="132"/>
      <c r="FW56" s="132"/>
      <c r="FX56" s="132"/>
      <c r="FY56" s="132"/>
      <c r="FZ56" s="132"/>
      <c r="GA56" s="132" t="str">
        <f>SUM(FO56:FZ56)</f>
        <v>0</v>
      </c>
      <c r="GB56" s="181"/>
      <c r="GC56" s="181"/>
      <c r="GD56" s="181"/>
      <c r="GE56" s="181"/>
      <c r="GF56" s="181"/>
      <c r="GG56" s="181"/>
      <c r="GH56" s="181"/>
      <c r="GI56" s="181"/>
      <c r="GJ56" s="181"/>
      <c r="GK56" s="181"/>
      <c r="GL56" s="181"/>
      <c r="GM56" s="181"/>
      <c r="GN56" s="181" t="str">
        <f>SUM(GB56:GM56)</f>
        <v>0</v>
      </c>
      <c r="GO56" s="137"/>
      <c r="GP56" s="137"/>
      <c r="GQ56" s="137"/>
      <c r="GR56" s="137"/>
      <c r="GS56" s="137"/>
      <c r="GT56" s="137"/>
      <c r="GU56" s="137"/>
      <c r="GV56" s="137"/>
      <c r="GW56" s="137"/>
      <c r="GX56" s="137"/>
      <c r="GY56" s="137"/>
      <c r="GZ56" s="137"/>
      <c r="HA56" s="132" t="str">
        <f>SUM(GO56:GZ56)</f>
        <v>0</v>
      </c>
      <c r="HB56" s="181"/>
      <c r="HC56" s="181"/>
      <c r="HD56" s="181"/>
      <c r="HE56" s="181"/>
      <c r="HF56" s="181"/>
      <c r="HG56" s="181"/>
      <c r="HH56" s="181"/>
      <c r="HI56" s="181"/>
      <c r="HJ56" s="181"/>
      <c r="HK56" s="181"/>
      <c r="HL56" s="181"/>
      <c r="HM56" s="181"/>
      <c r="HN56" s="181" t="str">
        <f>SUM(HB56:HM56)</f>
        <v>0</v>
      </c>
      <c r="HO56" s="132"/>
      <c r="HP56" s="132"/>
      <c r="HQ56" s="132"/>
      <c r="HR56" s="132"/>
      <c r="HS56" s="132"/>
      <c r="HT56" s="132"/>
      <c r="HU56" s="132"/>
      <c r="HV56" s="132"/>
      <c r="HW56" s="132"/>
      <c r="HX56" s="132"/>
      <c r="HY56" s="132"/>
      <c r="HZ56" s="132"/>
      <c r="IA56" s="132" t="str">
        <f>SUM(HO56:HZ56)</f>
        <v>0</v>
      </c>
      <c r="IB56" s="181"/>
      <c r="IC56" s="181"/>
      <c r="ID56" s="181"/>
      <c r="IE56" s="181"/>
      <c r="IF56" s="181"/>
      <c r="IG56" s="181"/>
      <c r="IH56" s="181"/>
      <c r="II56" s="181"/>
      <c r="IJ56" s="181"/>
      <c r="IK56" s="181"/>
      <c r="IL56" s="181"/>
      <c r="IM56" s="181"/>
      <c r="IN56" s="181" t="str">
        <f>SUM(IB56:IM56)</f>
        <v>0</v>
      </c>
      <c r="IO56" s="181"/>
      <c r="IP56" s="181"/>
      <c r="IQ56" s="181"/>
      <c r="IR56" s="181"/>
      <c r="IS56" s="181"/>
      <c r="IT56" s="181"/>
      <c r="IU56" s="181"/>
      <c r="IV56" s="181"/>
      <c r="IW56" s="181"/>
      <c r="IX56" s="181"/>
      <c r="IY56" s="181"/>
      <c r="IZ56" s="181"/>
      <c r="JA56" s="181" t="str">
        <f>SUM(IO56:IZ56)</f>
        <v>0</v>
      </c>
      <c r="JC56" s="135" t="str">
        <f>B56+O56+AB56+AO56+BB56+BO56+CB56+CO56+DB56+DO56+EB56+EO56+FB56+FO56+GB56+GO56+HB56+HO56+IB56+IO56</f>
        <v>0</v>
      </c>
      <c r="JD56" s="135" t="str">
        <f>C56+P56+AC56+AP56+BC56+BP56+CC56+CP56+DC56+DP56+EC56+EP56+FC56+FP56+GC56+GP56+HC56+HP56+IC56+IP56</f>
        <v>0</v>
      </c>
      <c r="JE56" s="135" t="str">
        <f>D56+Q56+AD56+AQ56+BD56+BQ56+CD56+CQ56+DD56+DQ56+ED56+EQ56+FD56+FQ56+GD56+GQ56+HD56+HQ56+ID56+IQ56</f>
        <v>0</v>
      </c>
      <c r="JF56" s="135" t="str">
        <f>E56+R56+AE56+AR56+BE56+BR56+CE56+CR56+DE56+DR56+EE56+ER56+FE56+FR56+GE56+GR56+HE56+HR56+IE56+IR56</f>
        <v>0</v>
      </c>
      <c r="JG56" s="135" t="str">
        <f>F56+S56+AF56+AS56+BF56+BS56+CF56+CS56+DF56+DS56+EF56+ES56+FF56+FS56+GF56+GS56+HF56+HS56+IF56+IS56</f>
        <v>0</v>
      </c>
      <c r="JH56" s="135" t="str">
        <f>G56+T56+AG56+AT56+BG56+BT56+CG56+CT56+DG56+DT56+EG56+ET56+FG56+FT56+GG56+GT56+HG56+HT56+IG56+IT56</f>
        <v>0</v>
      </c>
      <c r="JI56" s="135" t="str">
        <f>H56+U56+AH56+AU56+BH56+BU56+CH56+CU56+DH56+DU56+EH56+EU56+FH56+FU56+GH56+GU56+HH56+HU56+IH56+IU56</f>
        <v>0</v>
      </c>
      <c r="JJ56" s="135" t="str">
        <f>I56+V56+AI56+AV56+BI56+BV56+CI56+CV56+DI56+DV56+EI56+EV56+FI56+FV56+GI56+GV56+HI56+HV56+II56+IV56</f>
        <v>0</v>
      </c>
      <c r="JK56" s="135" t="str">
        <f>J56+W56+AJ56+AW56+BJ56+BW56+CJ56+CW56+DJ56+DW56+EJ56+EW56+FJ56+FW56+GJ56+GW56+HJ56+HW56+IJ56+IW56</f>
        <v>0</v>
      </c>
      <c r="JL56" s="135" t="str">
        <f>K56+X56+AK56+AX56+BK56+BX56+CK56+CX56+DK56+DX56+EK56+EX56+FK56+FX56+GK56+GX56+HK56+HX56+IK56+IX56</f>
        <v>0</v>
      </c>
      <c r="JM56" s="135" t="str">
        <f>L56+Y56+AL56+AY56+BL56+BY56+CL56+CY56+DL56+DY56+EL56+EY56+FL56+FY56+GL56+GY56+HL56+HY56+IL56+IY56</f>
        <v>0</v>
      </c>
      <c r="JN56" s="135" t="str">
        <f>M56+Z56+AM56+AZ56+BM56+BZ56+CM56+CZ56+DM56+DZ56+EM56+EZ56+FM56+FZ56+GM56+GZ56+HM56+HZ56+IM56+IZ56</f>
        <v>0</v>
      </c>
      <c r="JO56" s="132" t="str">
        <f>SUM(JC56:JN56)</f>
        <v>0</v>
      </c>
      <c r="JQ56" s="139" t="str">
        <f>N56+AA56+AN56+BA56+BN56+CA56+CN56+DA56+DN56+EA56+EN56+FA56+FN56+GA56+GN56+HA56+HN56+IA56+IN56+JA56</f>
        <v>0</v>
      </c>
    </row>
    <row r="57" spans="1:278">
      <c r="A57" s="130"/>
      <c r="B57" s="131"/>
      <c r="C57" s="131"/>
      <c r="D57" s="131"/>
      <c r="E57" s="131"/>
      <c r="F57" s="131"/>
      <c r="G57" s="131"/>
      <c r="H57" s="131"/>
      <c r="I57" s="131"/>
      <c r="J57" s="131"/>
      <c r="K57" s="131"/>
      <c r="L57" s="131"/>
      <c r="M57" s="131"/>
      <c r="N57" s="132" t="str">
        <f>SUM(B57:M57)</f>
        <v>0</v>
      </c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  <c r="AA57" s="132" t="str">
        <f>SUM(O57:Z57)</f>
        <v>0</v>
      </c>
      <c r="AB57" s="131"/>
      <c r="AC57" s="131"/>
      <c r="AD57" s="131"/>
      <c r="AE57" s="131"/>
      <c r="AF57" s="131"/>
      <c r="AG57" s="131"/>
      <c r="AH57" s="131"/>
      <c r="AI57" s="131"/>
      <c r="AJ57" s="131"/>
      <c r="AK57" s="131"/>
      <c r="AL57" s="131"/>
      <c r="AM57" s="131"/>
      <c r="AN57" s="132" t="str">
        <f>SUM(AB57:AM57)</f>
        <v>0</v>
      </c>
      <c r="AO57" s="133"/>
      <c r="AP57" s="133"/>
      <c r="AQ57" s="133"/>
      <c r="AR57" s="133"/>
      <c r="AS57" s="133"/>
      <c r="AT57" s="133"/>
      <c r="AU57" s="133"/>
      <c r="AV57" s="133"/>
      <c r="AW57" s="133"/>
      <c r="AX57" s="133"/>
      <c r="AY57" s="133"/>
      <c r="AZ57" s="133"/>
      <c r="BA57" s="132" t="str">
        <f>SUM(AO57:AZ57)</f>
        <v>0</v>
      </c>
      <c r="BB57" s="134"/>
      <c r="BC57" s="134"/>
      <c r="BD57" s="134"/>
      <c r="BE57" s="134"/>
      <c r="BF57" s="134"/>
      <c r="BG57" s="134"/>
      <c r="BH57" s="134"/>
      <c r="BI57" s="134"/>
      <c r="BJ57" s="134"/>
      <c r="BK57" s="134"/>
      <c r="BL57" s="134"/>
      <c r="BM57" s="134"/>
      <c r="BN57" s="132" t="str">
        <f>SUM(BB57:BM57)</f>
        <v>0</v>
      </c>
      <c r="BO57" s="135"/>
      <c r="BP57" s="135"/>
      <c r="BQ57" s="135"/>
      <c r="BR57" s="135"/>
      <c r="BS57" s="135"/>
      <c r="BT57" s="135"/>
      <c r="BU57" s="135"/>
      <c r="BV57" s="135"/>
      <c r="BW57" s="135"/>
      <c r="BX57" s="135"/>
      <c r="BY57" s="135"/>
      <c r="BZ57" s="135"/>
      <c r="CA57" s="132" t="str">
        <f>SUM(BO57:BZ57)</f>
        <v>0</v>
      </c>
      <c r="CB57" s="136"/>
      <c r="CC57" s="136"/>
      <c r="CD57" s="136"/>
      <c r="CE57" s="136"/>
      <c r="CF57" s="136"/>
      <c r="CG57" s="136"/>
      <c r="CH57" s="136"/>
      <c r="CI57" s="136"/>
      <c r="CJ57" s="136"/>
      <c r="CK57" s="136"/>
      <c r="CL57" s="136"/>
      <c r="CM57" s="136"/>
      <c r="CN57" s="132" t="str">
        <f>SUM(CB57:CM57)</f>
        <v>0</v>
      </c>
      <c r="CO57" s="137"/>
      <c r="CP57" s="137"/>
      <c r="CQ57" s="137"/>
      <c r="CR57" s="137"/>
      <c r="CS57" s="137"/>
      <c r="CT57" s="137"/>
      <c r="CU57" s="137"/>
      <c r="CV57" s="137"/>
      <c r="CW57" s="137"/>
      <c r="CX57" s="137"/>
      <c r="CY57" s="137"/>
      <c r="CZ57" s="137"/>
      <c r="DA57" s="132" t="str">
        <f>SUM(CO57:CZ57)</f>
        <v>0</v>
      </c>
      <c r="DB57" s="136"/>
      <c r="DC57" s="136"/>
      <c r="DD57" s="136"/>
      <c r="DE57" s="136"/>
      <c r="DF57" s="136"/>
      <c r="DG57" s="136"/>
      <c r="DH57" s="136"/>
      <c r="DI57" s="136"/>
      <c r="DJ57" s="136"/>
      <c r="DK57" s="136"/>
      <c r="DL57" s="136"/>
      <c r="DM57" s="136"/>
      <c r="DN57" s="132" t="str">
        <f>SUM(DB57:DM57)</f>
        <v>0</v>
      </c>
      <c r="DO57" s="137"/>
      <c r="DP57" s="137"/>
      <c r="DQ57" s="137"/>
      <c r="DR57" s="137"/>
      <c r="DS57" s="137"/>
      <c r="DT57" s="137"/>
      <c r="DU57" s="137"/>
      <c r="DV57" s="137"/>
      <c r="DW57" s="137"/>
      <c r="DX57" s="137"/>
      <c r="DY57" s="137"/>
      <c r="DZ57" s="137"/>
      <c r="EA57" s="132" t="str">
        <f>SUM(DO57:DZ57)</f>
        <v>0</v>
      </c>
      <c r="EB57" s="216"/>
      <c r="EC57" s="216"/>
      <c r="ED57" s="216"/>
      <c r="EE57" s="216"/>
      <c r="EF57" s="216"/>
      <c r="EG57" s="216"/>
      <c r="EH57" s="216"/>
      <c r="EI57" s="216"/>
      <c r="EJ57" s="216"/>
      <c r="EK57" s="216"/>
      <c r="EL57" s="216"/>
      <c r="EM57" s="216"/>
      <c r="EN57" s="132" t="str">
        <f>SUM(EB57:EM57)</f>
        <v>0</v>
      </c>
      <c r="EO57" s="132"/>
      <c r="EP57" s="132"/>
      <c r="EQ57" s="132"/>
      <c r="ER57" s="132"/>
      <c r="ES57" s="132"/>
      <c r="ET57" s="132"/>
      <c r="EU57" s="132"/>
      <c r="EV57" s="132"/>
      <c r="EW57" s="132"/>
      <c r="EX57" s="132"/>
      <c r="EY57" s="132"/>
      <c r="EZ57" s="132"/>
      <c r="FA57" s="132" t="str">
        <f>SUM(EO57:EZ57)</f>
        <v>0</v>
      </c>
      <c r="FB57" s="181"/>
      <c r="FC57" s="181"/>
      <c r="FD57" s="181"/>
      <c r="FE57" s="181"/>
      <c r="FF57" s="181"/>
      <c r="FG57" s="181"/>
      <c r="FH57" s="181"/>
      <c r="FI57" s="181"/>
      <c r="FJ57" s="181"/>
      <c r="FK57" s="181"/>
      <c r="FL57" s="181"/>
      <c r="FM57" s="181"/>
      <c r="FN57" s="132" t="str">
        <f>SUM(FB57:FM57)</f>
        <v>0</v>
      </c>
      <c r="FO57" s="132"/>
      <c r="FP57" s="132"/>
      <c r="FQ57" s="132"/>
      <c r="FR57" s="132"/>
      <c r="FS57" s="132"/>
      <c r="FT57" s="132"/>
      <c r="FU57" s="132"/>
      <c r="FV57" s="132"/>
      <c r="FW57" s="132"/>
      <c r="FX57" s="132"/>
      <c r="FY57" s="132"/>
      <c r="FZ57" s="132"/>
      <c r="GA57" s="132" t="str">
        <f>SUM(FO57:FZ57)</f>
        <v>0</v>
      </c>
      <c r="GB57" s="181"/>
      <c r="GC57" s="181"/>
      <c r="GD57" s="181"/>
      <c r="GE57" s="181"/>
      <c r="GF57" s="181"/>
      <c r="GG57" s="181"/>
      <c r="GH57" s="181"/>
      <c r="GI57" s="181"/>
      <c r="GJ57" s="181"/>
      <c r="GK57" s="181"/>
      <c r="GL57" s="181"/>
      <c r="GM57" s="181"/>
      <c r="GN57" s="181" t="str">
        <f>SUM(GB57:GM57)</f>
        <v>0</v>
      </c>
      <c r="GO57" s="137"/>
      <c r="GP57" s="137"/>
      <c r="GQ57" s="137"/>
      <c r="GR57" s="137"/>
      <c r="GS57" s="137"/>
      <c r="GT57" s="137"/>
      <c r="GU57" s="137"/>
      <c r="GV57" s="137"/>
      <c r="GW57" s="137"/>
      <c r="GX57" s="137"/>
      <c r="GY57" s="137"/>
      <c r="GZ57" s="137"/>
      <c r="HA57" s="132" t="str">
        <f>SUM(GO57:GZ57)</f>
        <v>0</v>
      </c>
      <c r="HB57" s="181"/>
      <c r="HC57" s="181"/>
      <c r="HD57" s="181"/>
      <c r="HE57" s="181"/>
      <c r="HF57" s="181"/>
      <c r="HG57" s="181"/>
      <c r="HH57" s="181"/>
      <c r="HI57" s="181"/>
      <c r="HJ57" s="181"/>
      <c r="HK57" s="181"/>
      <c r="HL57" s="181"/>
      <c r="HM57" s="181"/>
      <c r="HN57" s="181" t="str">
        <f>SUM(HB57:HM57)</f>
        <v>0</v>
      </c>
      <c r="HO57" s="132"/>
      <c r="HP57" s="132"/>
      <c r="HQ57" s="132"/>
      <c r="HR57" s="132"/>
      <c r="HS57" s="132"/>
      <c r="HT57" s="132"/>
      <c r="HU57" s="132"/>
      <c r="HV57" s="132"/>
      <c r="HW57" s="132"/>
      <c r="HX57" s="132"/>
      <c r="HY57" s="132"/>
      <c r="HZ57" s="132"/>
      <c r="IA57" s="132" t="str">
        <f>SUM(HO57:HZ57)</f>
        <v>0</v>
      </c>
      <c r="IB57" s="181"/>
      <c r="IC57" s="181"/>
      <c r="ID57" s="181"/>
      <c r="IE57" s="181"/>
      <c r="IF57" s="181"/>
      <c r="IG57" s="181"/>
      <c r="IH57" s="181"/>
      <c r="II57" s="181"/>
      <c r="IJ57" s="181"/>
      <c r="IK57" s="181"/>
      <c r="IL57" s="181"/>
      <c r="IM57" s="181"/>
      <c r="IN57" s="181" t="str">
        <f>SUM(IB57:IM57)</f>
        <v>0</v>
      </c>
      <c r="IO57" s="181"/>
      <c r="IP57" s="181"/>
      <c r="IQ57" s="181"/>
      <c r="IR57" s="181"/>
      <c r="IS57" s="181"/>
      <c r="IT57" s="181"/>
      <c r="IU57" s="181"/>
      <c r="IV57" s="181"/>
      <c r="IW57" s="181"/>
      <c r="IX57" s="181"/>
      <c r="IY57" s="181"/>
      <c r="IZ57" s="181"/>
      <c r="JA57" s="181" t="str">
        <f>SUM(IO57:IZ57)</f>
        <v>0</v>
      </c>
      <c r="JC57" s="135" t="str">
        <f>B57+O57+AB57+AO57+BB57+BO57+CB57+CO57+DB57+DO57+EB57+EO57+FB57+FO57+GB57+GO57+HB57+HO57+IB57+IO57</f>
        <v>0</v>
      </c>
      <c r="JD57" s="135" t="str">
        <f>C57+P57+AC57+AP57+BC57+BP57+CC57+CP57+DC57+DP57+EC57+EP57+FC57+FP57+GC57+GP57+HC57+HP57+IC57+IP57</f>
        <v>0</v>
      </c>
      <c r="JE57" s="135" t="str">
        <f>D57+Q57+AD57+AQ57+BD57+BQ57+CD57+CQ57+DD57+DQ57+ED57+EQ57+FD57+FQ57+GD57+GQ57+HD57+HQ57+ID57+IQ57</f>
        <v>0</v>
      </c>
      <c r="JF57" s="135" t="str">
        <f>E57+R57+AE57+AR57+BE57+BR57+CE57+CR57+DE57+DR57+EE57+ER57+FE57+FR57+GE57+GR57+HE57+HR57+IE57+IR57</f>
        <v>0</v>
      </c>
      <c r="JG57" s="135" t="str">
        <f>F57+S57+AF57+AS57+BF57+BS57+CF57+CS57+DF57+DS57+EF57+ES57+FF57+FS57+GF57+GS57+HF57+HS57+IF57+IS57</f>
        <v>0</v>
      </c>
      <c r="JH57" s="135" t="str">
        <f>G57+T57+AG57+AT57+BG57+BT57+CG57+CT57+DG57+DT57+EG57+ET57+FG57+FT57+GG57+GT57+HG57+HT57+IG57+IT57</f>
        <v>0</v>
      </c>
      <c r="JI57" s="135" t="str">
        <f>H57+U57+AH57+AU57+BH57+BU57+CH57+CU57+DH57+DU57+EH57+EU57+FH57+FU57+GH57+GU57+HH57+HU57+IH57+IU57</f>
        <v>0</v>
      </c>
      <c r="JJ57" s="135" t="str">
        <f>I57+V57+AI57+AV57+BI57+BV57+CI57+CV57+DI57+DV57+EI57+EV57+FI57+FV57+GI57+GV57+HI57+HV57+II57+IV57</f>
        <v>0</v>
      </c>
      <c r="JK57" s="135" t="str">
        <f>J57+W57+AJ57+AW57+BJ57+BW57+CJ57+CW57+DJ57+DW57+EJ57+EW57+FJ57+FW57+GJ57+GW57+HJ57+HW57+IJ57+IW57</f>
        <v>0</v>
      </c>
      <c r="JL57" s="135" t="str">
        <f>K57+X57+AK57+AX57+BK57+BX57+CK57+CX57+DK57+DX57+EK57+EX57+FK57+FX57+GK57+GX57+HK57+HX57+IK57+IX57</f>
        <v>0</v>
      </c>
      <c r="JM57" s="135" t="str">
        <f>L57+Y57+AL57+AY57+BL57+BY57+CL57+CY57+DL57+DY57+EL57+EY57+FL57+FY57+GL57+GY57+HL57+HY57+IL57+IY57</f>
        <v>0</v>
      </c>
      <c r="JN57" s="135" t="str">
        <f>M57+Z57+AM57+AZ57+BM57+BZ57+CM57+CZ57+DM57+DZ57+EM57+EZ57+FM57+FZ57+GM57+GZ57+HM57+HZ57+IM57+IZ57</f>
        <v>0</v>
      </c>
      <c r="JO57" s="132" t="str">
        <f>SUM(JC57:JN57)</f>
        <v>0</v>
      </c>
      <c r="JQ57" s="139" t="str">
        <f>N57+AA57+AN57+BA57+BN57+CA57+CN57+DA57+DN57+EA57+EN57+FA57+FN57+GA57+GN57+HA57+HN57+IA57+IN57+JA57</f>
        <v>0</v>
      </c>
    </row>
    <row r="58" spans="1:278">
      <c r="A58" s="130"/>
      <c r="B58" s="131"/>
      <c r="C58" s="131"/>
      <c r="D58" s="131"/>
      <c r="E58" s="131"/>
      <c r="F58" s="131"/>
      <c r="G58" s="131"/>
      <c r="H58" s="131"/>
      <c r="I58" s="131"/>
      <c r="J58" s="131"/>
      <c r="K58" s="131"/>
      <c r="L58" s="131"/>
      <c r="M58" s="131"/>
      <c r="N58" s="132" t="str">
        <f>SUM(B58:M58)</f>
        <v>0</v>
      </c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  <c r="AA58" s="132" t="str">
        <f>SUM(O58:Z58)</f>
        <v>0</v>
      </c>
      <c r="AB58" s="131"/>
      <c r="AC58" s="131"/>
      <c r="AD58" s="131"/>
      <c r="AE58" s="131"/>
      <c r="AF58" s="131"/>
      <c r="AG58" s="131"/>
      <c r="AH58" s="131"/>
      <c r="AI58" s="131"/>
      <c r="AJ58" s="131"/>
      <c r="AK58" s="131"/>
      <c r="AL58" s="131"/>
      <c r="AM58" s="131"/>
      <c r="AN58" s="132" t="str">
        <f>SUM(AB58:AM58)</f>
        <v>0</v>
      </c>
      <c r="AO58" s="133"/>
      <c r="AP58" s="133"/>
      <c r="AQ58" s="133"/>
      <c r="AR58" s="133"/>
      <c r="AS58" s="133"/>
      <c r="AT58" s="133"/>
      <c r="AU58" s="133"/>
      <c r="AV58" s="133"/>
      <c r="AW58" s="133"/>
      <c r="AX58" s="133"/>
      <c r="AY58" s="133"/>
      <c r="AZ58" s="133"/>
      <c r="BA58" s="132" t="str">
        <f>SUM(AO58:AZ58)</f>
        <v>0</v>
      </c>
      <c r="BB58" s="134"/>
      <c r="BC58" s="134"/>
      <c r="BD58" s="134"/>
      <c r="BE58" s="134"/>
      <c r="BF58" s="134"/>
      <c r="BG58" s="134"/>
      <c r="BH58" s="134"/>
      <c r="BI58" s="134"/>
      <c r="BJ58" s="134"/>
      <c r="BK58" s="134"/>
      <c r="BL58" s="134"/>
      <c r="BM58" s="134"/>
      <c r="BN58" s="132" t="str">
        <f>SUM(BB58:BM58)</f>
        <v>0</v>
      </c>
      <c r="BO58" s="135"/>
      <c r="BP58" s="135"/>
      <c r="BQ58" s="135"/>
      <c r="BR58" s="135"/>
      <c r="BS58" s="135"/>
      <c r="BT58" s="135"/>
      <c r="BU58" s="135"/>
      <c r="BV58" s="135"/>
      <c r="BW58" s="135"/>
      <c r="BX58" s="135"/>
      <c r="BY58" s="135"/>
      <c r="BZ58" s="135"/>
      <c r="CA58" s="132" t="str">
        <f>SUM(BO58:BZ58)</f>
        <v>0</v>
      </c>
      <c r="CB58" s="136"/>
      <c r="CC58" s="136"/>
      <c r="CD58" s="136"/>
      <c r="CE58" s="136"/>
      <c r="CF58" s="136"/>
      <c r="CG58" s="136"/>
      <c r="CH58" s="136"/>
      <c r="CI58" s="136"/>
      <c r="CJ58" s="136"/>
      <c r="CK58" s="136"/>
      <c r="CL58" s="136"/>
      <c r="CM58" s="136"/>
      <c r="CN58" s="132" t="str">
        <f>SUM(CB58:CM58)</f>
        <v>0</v>
      </c>
      <c r="CO58" s="137"/>
      <c r="CP58" s="137"/>
      <c r="CQ58" s="137"/>
      <c r="CR58" s="137"/>
      <c r="CS58" s="137"/>
      <c r="CT58" s="137"/>
      <c r="CU58" s="137"/>
      <c r="CV58" s="137"/>
      <c r="CW58" s="137"/>
      <c r="CX58" s="137"/>
      <c r="CY58" s="137"/>
      <c r="CZ58" s="137"/>
      <c r="DA58" s="132" t="str">
        <f>SUM(CO58:CZ58)</f>
        <v>0</v>
      </c>
      <c r="DB58" s="136"/>
      <c r="DC58" s="136"/>
      <c r="DD58" s="136"/>
      <c r="DE58" s="136"/>
      <c r="DF58" s="136"/>
      <c r="DG58" s="136"/>
      <c r="DH58" s="136"/>
      <c r="DI58" s="136"/>
      <c r="DJ58" s="136"/>
      <c r="DK58" s="136"/>
      <c r="DL58" s="136"/>
      <c r="DM58" s="136"/>
      <c r="DN58" s="132" t="str">
        <f>SUM(DB58:DM58)</f>
        <v>0</v>
      </c>
      <c r="DO58" s="137"/>
      <c r="DP58" s="137"/>
      <c r="DQ58" s="137"/>
      <c r="DR58" s="137"/>
      <c r="DS58" s="137"/>
      <c r="DT58" s="137"/>
      <c r="DU58" s="137"/>
      <c r="DV58" s="137"/>
      <c r="DW58" s="137"/>
      <c r="DX58" s="137"/>
      <c r="DY58" s="137"/>
      <c r="DZ58" s="137"/>
      <c r="EA58" s="132" t="str">
        <f>SUM(DO58:DZ58)</f>
        <v>0</v>
      </c>
      <c r="EB58" s="216"/>
      <c r="EC58" s="216"/>
      <c r="ED58" s="216"/>
      <c r="EE58" s="216"/>
      <c r="EF58" s="216"/>
      <c r="EG58" s="216"/>
      <c r="EH58" s="216"/>
      <c r="EI58" s="216"/>
      <c r="EJ58" s="216"/>
      <c r="EK58" s="216"/>
      <c r="EL58" s="216"/>
      <c r="EM58" s="216"/>
      <c r="EN58" s="132" t="str">
        <f>SUM(EB58:EM58)</f>
        <v>0</v>
      </c>
      <c r="EO58" s="132"/>
      <c r="EP58" s="132"/>
      <c r="EQ58" s="132"/>
      <c r="ER58" s="132"/>
      <c r="ES58" s="132"/>
      <c r="ET58" s="132"/>
      <c r="EU58" s="132"/>
      <c r="EV58" s="132"/>
      <c r="EW58" s="132"/>
      <c r="EX58" s="132"/>
      <c r="EY58" s="132"/>
      <c r="EZ58" s="132"/>
      <c r="FA58" s="132" t="str">
        <f>SUM(EO58:EZ58)</f>
        <v>0</v>
      </c>
      <c r="FB58" s="181"/>
      <c r="FC58" s="181"/>
      <c r="FD58" s="181"/>
      <c r="FE58" s="181"/>
      <c r="FF58" s="181"/>
      <c r="FG58" s="181"/>
      <c r="FH58" s="181"/>
      <c r="FI58" s="181"/>
      <c r="FJ58" s="181"/>
      <c r="FK58" s="181"/>
      <c r="FL58" s="181"/>
      <c r="FM58" s="181"/>
      <c r="FN58" s="132" t="str">
        <f>SUM(FB58:FM58)</f>
        <v>0</v>
      </c>
      <c r="FO58" s="132"/>
      <c r="FP58" s="132"/>
      <c r="FQ58" s="132"/>
      <c r="FR58" s="132"/>
      <c r="FS58" s="132"/>
      <c r="FT58" s="132"/>
      <c r="FU58" s="132"/>
      <c r="FV58" s="132"/>
      <c r="FW58" s="132"/>
      <c r="FX58" s="132"/>
      <c r="FY58" s="132"/>
      <c r="FZ58" s="132"/>
      <c r="GA58" s="132" t="str">
        <f>SUM(FO58:FZ58)</f>
        <v>0</v>
      </c>
      <c r="GB58" s="181"/>
      <c r="GC58" s="181"/>
      <c r="GD58" s="181"/>
      <c r="GE58" s="181"/>
      <c r="GF58" s="181"/>
      <c r="GG58" s="181"/>
      <c r="GH58" s="181"/>
      <c r="GI58" s="181"/>
      <c r="GJ58" s="181"/>
      <c r="GK58" s="181"/>
      <c r="GL58" s="181"/>
      <c r="GM58" s="181"/>
      <c r="GN58" s="181" t="str">
        <f>SUM(GB58:GM58)</f>
        <v>0</v>
      </c>
      <c r="GO58" s="137"/>
      <c r="GP58" s="137"/>
      <c r="GQ58" s="137"/>
      <c r="GR58" s="137"/>
      <c r="GS58" s="137"/>
      <c r="GT58" s="137"/>
      <c r="GU58" s="137"/>
      <c r="GV58" s="137"/>
      <c r="GW58" s="137"/>
      <c r="GX58" s="137"/>
      <c r="GY58" s="137"/>
      <c r="GZ58" s="137"/>
      <c r="HA58" s="132" t="str">
        <f>SUM(GO58:GZ58)</f>
        <v>0</v>
      </c>
      <c r="HB58" s="181"/>
      <c r="HC58" s="181"/>
      <c r="HD58" s="181"/>
      <c r="HE58" s="181"/>
      <c r="HF58" s="181"/>
      <c r="HG58" s="181"/>
      <c r="HH58" s="181"/>
      <c r="HI58" s="181"/>
      <c r="HJ58" s="181"/>
      <c r="HK58" s="181"/>
      <c r="HL58" s="181"/>
      <c r="HM58" s="181"/>
      <c r="HN58" s="181" t="str">
        <f>SUM(HB58:HM58)</f>
        <v>0</v>
      </c>
      <c r="HO58" s="132"/>
      <c r="HP58" s="132"/>
      <c r="HQ58" s="132"/>
      <c r="HR58" s="132"/>
      <c r="HS58" s="132"/>
      <c r="HT58" s="132"/>
      <c r="HU58" s="132"/>
      <c r="HV58" s="132"/>
      <c r="HW58" s="132"/>
      <c r="HX58" s="132"/>
      <c r="HY58" s="132"/>
      <c r="HZ58" s="132"/>
      <c r="IA58" s="132" t="str">
        <f>SUM(HO58:HZ58)</f>
        <v>0</v>
      </c>
      <c r="IB58" s="181"/>
      <c r="IC58" s="181"/>
      <c r="ID58" s="181"/>
      <c r="IE58" s="181"/>
      <c r="IF58" s="181"/>
      <c r="IG58" s="181"/>
      <c r="IH58" s="181"/>
      <c r="II58" s="181"/>
      <c r="IJ58" s="181"/>
      <c r="IK58" s="181"/>
      <c r="IL58" s="181"/>
      <c r="IM58" s="181"/>
      <c r="IN58" s="181" t="str">
        <f>SUM(IB58:IM58)</f>
        <v>0</v>
      </c>
      <c r="IO58" s="181"/>
      <c r="IP58" s="181"/>
      <c r="IQ58" s="181"/>
      <c r="IR58" s="181"/>
      <c r="IS58" s="181"/>
      <c r="IT58" s="181"/>
      <c r="IU58" s="181"/>
      <c r="IV58" s="181"/>
      <c r="IW58" s="181"/>
      <c r="IX58" s="181"/>
      <c r="IY58" s="181"/>
      <c r="IZ58" s="181"/>
      <c r="JA58" s="181" t="str">
        <f>SUM(IO58:IZ58)</f>
        <v>0</v>
      </c>
      <c r="JC58" s="135" t="str">
        <f>B58+O58+AB58+AO58+BB58+BO58+CB58+CO58+DB58+DO58+EB58+EO58+FB58+FO58+GB58+GO58+HB58+HO58+IB58+IO58</f>
        <v>0</v>
      </c>
      <c r="JD58" s="135" t="str">
        <f>C58+P58+AC58+AP58+BC58+BP58+CC58+CP58+DC58+DP58+EC58+EP58+FC58+FP58+GC58+GP58+HC58+HP58+IC58+IP58</f>
        <v>0</v>
      </c>
      <c r="JE58" s="135" t="str">
        <f>D58+Q58+AD58+AQ58+BD58+BQ58+CD58+CQ58+DD58+DQ58+ED58+EQ58+FD58+FQ58+GD58+GQ58+HD58+HQ58+ID58+IQ58</f>
        <v>0</v>
      </c>
      <c r="JF58" s="135" t="str">
        <f>E58+R58+AE58+AR58+BE58+BR58+CE58+CR58+DE58+DR58+EE58+ER58+FE58+FR58+GE58+GR58+HE58+HR58+IE58+IR58</f>
        <v>0</v>
      </c>
      <c r="JG58" s="135" t="str">
        <f>F58+S58+AF58+AS58+BF58+BS58+CF58+CS58+DF58+DS58+EF58+ES58+FF58+FS58+GF58+GS58+HF58+HS58+IF58+IS58</f>
        <v>0</v>
      </c>
      <c r="JH58" s="135" t="str">
        <f>G58+T58+AG58+AT58+BG58+BT58+CG58+CT58+DG58+DT58+EG58+ET58+FG58+FT58+GG58+GT58+HG58+HT58+IG58+IT58</f>
        <v>0</v>
      </c>
      <c r="JI58" s="135" t="str">
        <f>H58+U58+AH58+AU58+BH58+BU58+CH58+CU58+DH58+DU58+EH58+EU58+FH58+FU58+GH58+GU58+HH58+HU58+IH58+IU58</f>
        <v>0</v>
      </c>
      <c r="JJ58" s="135" t="str">
        <f>I58+V58+AI58+AV58+BI58+BV58+CI58+CV58+DI58+DV58+EI58+EV58+FI58+FV58+GI58+GV58+HI58+HV58+II58+IV58</f>
        <v>0</v>
      </c>
      <c r="JK58" s="135" t="str">
        <f>J58+W58+AJ58+AW58+BJ58+BW58+CJ58+CW58+DJ58+DW58+EJ58+EW58+FJ58+FW58+GJ58+GW58+HJ58+HW58+IJ58+IW58</f>
        <v>0</v>
      </c>
      <c r="JL58" s="135" t="str">
        <f>K58+X58+AK58+AX58+BK58+BX58+CK58+CX58+DK58+DX58+EK58+EX58+FK58+FX58+GK58+GX58+HK58+HX58+IK58+IX58</f>
        <v>0</v>
      </c>
      <c r="JM58" s="135" t="str">
        <f>L58+Y58+AL58+AY58+BL58+BY58+CL58+CY58+DL58+DY58+EL58+EY58+FL58+FY58+GL58+GY58+HL58+HY58+IL58+IY58</f>
        <v>0</v>
      </c>
      <c r="JN58" s="135" t="str">
        <f>M58+Z58+AM58+AZ58+BM58+BZ58+CM58+CZ58+DM58+DZ58+EM58+EZ58+FM58+FZ58+GM58+GZ58+HM58+HZ58+IM58+IZ58</f>
        <v>0</v>
      </c>
      <c r="JO58" s="132" t="str">
        <f>SUM(JC58:JN58)</f>
        <v>0</v>
      </c>
      <c r="JQ58" s="139" t="str">
        <f>N58+AA58+AN58+BA58+BN58+CA58+CN58+DA58+DN58+EA58+EN58+FA58+FN58+GA58+GN58+HA58+HN58+IA58+IN58+JA58</f>
        <v>0</v>
      </c>
    </row>
    <row r="59" spans="1:278">
      <c r="A59" s="130"/>
      <c r="B59" s="131"/>
      <c r="C59" s="131"/>
      <c r="D59" s="131"/>
      <c r="E59" s="131"/>
      <c r="F59" s="131"/>
      <c r="G59" s="131"/>
      <c r="H59" s="131"/>
      <c r="I59" s="131"/>
      <c r="J59" s="131"/>
      <c r="K59" s="131"/>
      <c r="L59" s="131"/>
      <c r="M59" s="131"/>
      <c r="N59" s="132" t="str">
        <f>SUM(B59:M59)</f>
        <v>0</v>
      </c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  <c r="AA59" s="132" t="str">
        <f>SUM(O59:Z59)</f>
        <v>0</v>
      </c>
      <c r="AB59" s="131"/>
      <c r="AC59" s="131"/>
      <c r="AD59" s="131"/>
      <c r="AE59" s="131"/>
      <c r="AF59" s="131"/>
      <c r="AG59" s="131"/>
      <c r="AH59" s="131"/>
      <c r="AI59" s="131"/>
      <c r="AJ59" s="131"/>
      <c r="AK59" s="131"/>
      <c r="AL59" s="131"/>
      <c r="AM59" s="131"/>
      <c r="AN59" s="132" t="str">
        <f>SUM(AB59:AM59)</f>
        <v>0</v>
      </c>
      <c r="AO59" s="133"/>
      <c r="AP59" s="133"/>
      <c r="AQ59" s="133"/>
      <c r="AR59" s="133"/>
      <c r="AS59" s="133"/>
      <c r="AT59" s="133"/>
      <c r="AU59" s="133"/>
      <c r="AV59" s="133"/>
      <c r="AW59" s="133"/>
      <c r="AX59" s="133"/>
      <c r="AY59" s="133"/>
      <c r="AZ59" s="133"/>
      <c r="BA59" s="132" t="str">
        <f>SUM(AO59:AZ59)</f>
        <v>0</v>
      </c>
      <c r="BB59" s="134"/>
      <c r="BC59" s="134"/>
      <c r="BD59" s="134"/>
      <c r="BE59" s="134"/>
      <c r="BF59" s="134"/>
      <c r="BG59" s="134"/>
      <c r="BH59" s="134"/>
      <c r="BI59" s="134"/>
      <c r="BJ59" s="134"/>
      <c r="BK59" s="134"/>
      <c r="BL59" s="134"/>
      <c r="BM59" s="134"/>
      <c r="BN59" s="132" t="str">
        <f>SUM(BB59:BM59)</f>
        <v>0</v>
      </c>
      <c r="BO59" s="135"/>
      <c r="BP59" s="135"/>
      <c r="BQ59" s="135"/>
      <c r="BR59" s="135"/>
      <c r="BS59" s="135"/>
      <c r="BT59" s="135"/>
      <c r="BU59" s="135"/>
      <c r="BV59" s="135"/>
      <c r="BW59" s="135"/>
      <c r="BX59" s="135"/>
      <c r="BY59" s="135"/>
      <c r="BZ59" s="135"/>
      <c r="CA59" s="132" t="str">
        <f>SUM(BO59:BZ59)</f>
        <v>0</v>
      </c>
      <c r="CB59" s="136"/>
      <c r="CC59" s="136"/>
      <c r="CD59" s="136"/>
      <c r="CE59" s="136"/>
      <c r="CF59" s="136"/>
      <c r="CG59" s="136"/>
      <c r="CH59" s="136"/>
      <c r="CI59" s="136"/>
      <c r="CJ59" s="136"/>
      <c r="CK59" s="136"/>
      <c r="CL59" s="136"/>
      <c r="CM59" s="136"/>
      <c r="CN59" s="132" t="str">
        <f>SUM(CB59:CM59)</f>
        <v>0</v>
      </c>
      <c r="CO59" s="137"/>
      <c r="CP59" s="137"/>
      <c r="CQ59" s="137"/>
      <c r="CR59" s="137"/>
      <c r="CS59" s="137"/>
      <c r="CT59" s="137"/>
      <c r="CU59" s="137"/>
      <c r="CV59" s="137"/>
      <c r="CW59" s="137"/>
      <c r="CX59" s="137"/>
      <c r="CY59" s="137"/>
      <c r="CZ59" s="137"/>
      <c r="DA59" s="132" t="str">
        <f>SUM(CO59:CZ59)</f>
        <v>0</v>
      </c>
      <c r="DB59" s="136"/>
      <c r="DC59" s="136"/>
      <c r="DD59" s="136"/>
      <c r="DE59" s="136"/>
      <c r="DF59" s="136"/>
      <c r="DG59" s="136"/>
      <c r="DH59" s="136"/>
      <c r="DI59" s="136"/>
      <c r="DJ59" s="136"/>
      <c r="DK59" s="136"/>
      <c r="DL59" s="136"/>
      <c r="DM59" s="136"/>
      <c r="DN59" s="132" t="str">
        <f>SUM(DB59:DM59)</f>
        <v>0</v>
      </c>
      <c r="DO59" s="137"/>
      <c r="DP59" s="137"/>
      <c r="DQ59" s="137"/>
      <c r="DR59" s="137"/>
      <c r="DS59" s="137"/>
      <c r="DT59" s="137"/>
      <c r="DU59" s="137"/>
      <c r="DV59" s="137"/>
      <c r="DW59" s="137"/>
      <c r="DX59" s="137"/>
      <c r="DY59" s="137"/>
      <c r="DZ59" s="137"/>
      <c r="EA59" s="132" t="str">
        <f>SUM(DO59:DZ59)</f>
        <v>0</v>
      </c>
      <c r="EB59" s="216"/>
      <c r="EC59" s="216"/>
      <c r="ED59" s="216"/>
      <c r="EE59" s="216"/>
      <c r="EF59" s="216"/>
      <c r="EG59" s="216"/>
      <c r="EH59" s="216"/>
      <c r="EI59" s="216"/>
      <c r="EJ59" s="216"/>
      <c r="EK59" s="216"/>
      <c r="EL59" s="216"/>
      <c r="EM59" s="216"/>
      <c r="EN59" s="132" t="str">
        <f>SUM(EB59:EM59)</f>
        <v>0</v>
      </c>
      <c r="EO59" s="132"/>
      <c r="EP59" s="132"/>
      <c r="EQ59" s="132"/>
      <c r="ER59" s="132"/>
      <c r="ES59" s="132"/>
      <c r="ET59" s="132"/>
      <c r="EU59" s="132"/>
      <c r="EV59" s="132"/>
      <c r="EW59" s="132"/>
      <c r="EX59" s="132"/>
      <c r="EY59" s="132"/>
      <c r="EZ59" s="132"/>
      <c r="FA59" s="132" t="str">
        <f>SUM(EO59:EZ59)</f>
        <v>0</v>
      </c>
      <c r="FB59" s="181"/>
      <c r="FC59" s="181"/>
      <c r="FD59" s="181"/>
      <c r="FE59" s="181"/>
      <c r="FF59" s="181"/>
      <c r="FG59" s="181"/>
      <c r="FH59" s="181"/>
      <c r="FI59" s="181"/>
      <c r="FJ59" s="181"/>
      <c r="FK59" s="181"/>
      <c r="FL59" s="181"/>
      <c r="FM59" s="181"/>
      <c r="FN59" s="132" t="str">
        <f>SUM(FB59:FM59)</f>
        <v>0</v>
      </c>
      <c r="FO59" s="132"/>
      <c r="FP59" s="132"/>
      <c r="FQ59" s="132"/>
      <c r="FR59" s="132"/>
      <c r="FS59" s="132"/>
      <c r="FT59" s="132"/>
      <c r="FU59" s="132"/>
      <c r="FV59" s="132"/>
      <c r="FW59" s="132"/>
      <c r="FX59" s="132"/>
      <c r="FY59" s="132"/>
      <c r="FZ59" s="132"/>
      <c r="GA59" s="132" t="str">
        <f>SUM(FO59:FZ59)</f>
        <v>0</v>
      </c>
      <c r="GB59" s="181"/>
      <c r="GC59" s="181"/>
      <c r="GD59" s="181"/>
      <c r="GE59" s="181"/>
      <c r="GF59" s="181"/>
      <c r="GG59" s="181"/>
      <c r="GH59" s="181"/>
      <c r="GI59" s="181"/>
      <c r="GJ59" s="181"/>
      <c r="GK59" s="181"/>
      <c r="GL59" s="181"/>
      <c r="GM59" s="181"/>
      <c r="GN59" s="181" t="str">
        <f>SUM(GB59:GM59)</f>
        <v>0</v>
      </c>
      <c r="GO59" s="137"/>
      <c r="GP59" s="137"/>
      <c r="GQ59" s="137"/>
      <c r="GR59" s="137"/>
      <c r="GS59" s="137"/>
      <c r="GT59" s="137"/>
      <c r="GU59" s="137"/>
      <c r="GV59" s="137"/>
      <c r="GW59" s="137"/>
      <c r="GX59" s="137"/>
      <c r="GY59" s="137"/>
      <c r="GZ59" s="137"/>
      <c r="HA59" s="132" t="str">
        <f>SUM(GO59:GZ59)</f>
        <v>0</v>
      </c>
      <c r="HB59" s="181"/>
      <c r="HC59" s="181"/>
      <c r="HD59" s="181"/>
      <c r="HE59" s="181"/>
      <c r="HF59" s="181"/>
      <c r="HG59" s="181"/>
      <c r="HH59" s="181"/>
      <c r="HI59" s="181"/>
      <c r="HJ59" s="181"/>
      <c r="HK59" s="181"/>
      <c r="HL59" s="181"/>
      <c r="HM59" s="181"/>
      <c r="HN59" s="181" t="str">
        <f>SUM(HB59:HM59)</f>
        <v>0</v>
      </c>
      <c r="HO59" s="132"/>
      <c r="HP59" s="132"/>
      <c r="HQ59" s="132"/>
      <c r="HR59" s="132"/>
      <c r="HS59" s="132"/>
      <c r="HT59" s="132"/>
      <c r="HU59" s="132"/>
      <c r="HV59" s="132"/>
      <c r="HW59" s="132"/>
      <c r="HX59" s="132"/>
      <c r="HY59" s="132"/>
      <c r="HZ59" s="132"/>
      <c r="IA59" s="132" t="str">
        <f>SUM(HO59:HZ59)</f>
        <v>0</v>
      </c>
      <c r="IB59" s="181"/>
      <c r="IC59" s="181"/>
      <c r="ID59" s="181"/>
      <c r="IE59" s="181"/>
      <c r="IF59" s="181"/>
      <c r="IG59" s="181"/>
      <c r="IH59" s="181"/>
      <c r="II59" s="181"/>
      <c r="IJ59" s="181"/>
      <c r="IK59" s="181"/>
      <c r="IL59" s="181"/>
      <c r="IM59" s="181"/>
      <c r="IN59" s="181" t="str">
        <f>SUM(IB59:IM59)</f>
        <v>0</v>
      </c>
      <c r="IO59" s="181"/>
      <c r="IP59" s="181"/>
      <c r="IQ59" s="181"/>
      <c r="IR59" s="181"/>
      <c r="IS59" s="181"/>
      <c r="IT59" s="181"/>
      <c r="IU59" s="181"/>
      <c r="IV59" s="181"/>
      <c r="IW59" s="181"/>
      <c r="IX59" s="181"/>
      <c r="IY59" s="181"/>
      <c r="IZ59" s="181"/>
      <c r="JA59" s="181" t="str">
        <f>SUM(IO59:IZ59)</f>
        <v>0</v>
      </c>
      <c r="JC59" s="135" t="str">
        <f>B59+O59+AB59+AO59+BB59+BO59+CB59+CO59+DB59+DO59+EB59+EO59+FB59+FO59+GB59+GO59+HB59+HO59+IB59+IO59</f>
        <v>0</v>
      </c>
      <c r="JD59" s="135" t="str">
        <f>C59+P59+AC59+AP59+BC59+BP59+CC59+CP59+DC59+DP59+EC59+EP59+FC59+FP59+GC59+GP59+HC59+HP59+IC59+IP59</f>
        <v>0</v>
      </c>
      <c r="JE59" s="135" t="str">
        <f>D59+Q59+AD59+AQ59+BD59+BQ59+CD59+CQ59+DD59+DQ59+ED59+EQ59+FD59+FQ59+GD59+GQ59+HD59+HQ59+ID59+IQ59</f>
        <v>0</v>
      </c>
      <c r="JF59" s="135" t="str">
        <f>E59+R59+AE59+AR59+BE59+BR59+CE59+CR59+DE59+DR59+EE59+ER59+FE59+FR59+GE59+GR59+HE59+HR59+IE59+IR59</f>
        <v>0</v>
      </c>
      <c r="JG59" s="135" t="str">
        <f>F59+S59+AF59+AS59+BF59+BS59+CF59+CS59+DF59+DS59+EF59+ES59+FF59+FS59+GF59+GS59+HF59+HS59+IF59+IS59</f>
        <v>0</v>
      </c>
      <c r="JH59" s="135" t="str">
        <f>G59+T59+AG59+AT59+BG59+BT59+CG59+CT59+DG59+DT59+EG59+ET59+FG59+FT59+GG59+GT59+HG59+HT59+IG59+IT59</f>
        <v>0</v>
      </c>
      <c r="JI59" s="135" t="str">
        <f>H59+U59+AH59+AU59+BH59+BU59+CH59+CU59+DH59+DU59+EH59+EU59+FH59+FU59+GH59+GU59+HH59+HU59+IH59+IU59</f>
        <v>0</v>
      </c>
      <c r="JJ59" s="135" t="str">
        <f>I59+V59+AI59+AV59+BI59+BV59+CI59+CV59+DI59+DV59+EI59+EV59+FI59+FV59+GI59+GV59+HI59+HV59+II59+IV59</f>
        <v>0</v>
      </c>
      <c r="JK59" s="135" t="str">
        <f>J59+W59+AJ59+AW59+BJ59+BW59+CJ59+CW59+DJ59+DW59+EJ59+EW59+FJ59+FW59+GJ59+GW59+HJ59+HW59+IJ59+IW59</f>
        <v>0</v>
      </c>
      <c r="JL59" s="135" t="str">
        <f>K59+X59+AK59+AX59+BK59+BX59+CK59+CX59+DK59+DX59+EK59+EX59+FK59+FX59+GK59+GX59+HK59+HX59+IK59+IX59</f>
        <v>0</v>
      </c>
      <c r="JM59" s="135" t="str">
        <f>L59+Y59+AL59+AY59+BL59+BY59+CL59+CY59+DL59+DY59+EL59+EY59+FL59+FY59+GL59+GY59+HL59+HY59+IL59+IY59</f>
        <v>0</v>
      </c>
      <c r="JN59" s="135" t="str">
        <f>M59+Z59+AM59+AZ59+BM59+BZ59+CM59+CZ59+DM59+DZ59+EM59+EZ59+FM59+FZ59+GM59+GZ59+HM59+HZ59+IM59+IZ59</f>
        <v>0</v>
      </c>
      <c r="JO59" s="132" t="str">
        <f>SUM(JC59:JN59)</f>
        <v>0</v>
      </c>
      <c r="JQ59" s="139" t="str">
        <f>N59+AA59+AN59+BA59+BN59+CA59+CN59+DA59+DN59+EA59+EN59+FA59+FN59+GA59+GN59+HA59+HN59+IA59+IN59+JA59</f>
        <v>0</v>
      </c>
    </row>
    <row r="60" spans="1:278">
      <c r="A60" s="130"/>
      <c r="B60" s="131"/>
      <c r="C60" s="131"/>
      <c r="D60" s="131"/>
      <c r="E60" s="131"/>
      <c r="F60" s="131"/>
      <c r="G60" s="131"/>
      <c r="H60" s="131"/>
      <c r="I60" s="131"/>
      <c r="J60" s="131"/>
      <c r="K60" s="131"/>
      <c r="L60" s="131"/>
      <c r="M60" s="131"/>
      <c r="N60" s="132" t="str">
        <f>SUM(B60:M60)</f>
        <v>0</v>
      </c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  <c r="AA60" s="132" t="str">
        <f>SUM(O60:Z60)</f>
        <v>0</v>
      </c>
      <c r="AB60" s="131"/>
      <c r="AC60" s="131"/>
      <c r="AD60" s="131"/>
      <c r="AE60" s="131"/>
      <c r="AF60" s="131"/>
      <c r="AG60" s="131"/>
      <c r="AH60" s="131"/>
      <c r="AI60" s="131"/>
      <c r="AJ60" s="131"/>
      <c r="AK60" s="131"/>
      <c r="AL60" s="131"/>
      <c r="AM60" s="131"/>
      <c r="AN60" s="132" t="str">
        <f>SUM(AB60:AM60)</f>
        <v>0</v>
      </c>
      <c r="AO60" s="133"/>
      <c r="AP60" s="133"/>
      <c r="AQ60" s="133"/>
      <c r="AR60" s="133"/>
      <c r="AS60" s="133"/>
      <c r="AT60" s="133"/>
      <c r="AU60" s="133"/>
      <c r="AV60" s="133"/>
      <c r="AW60" s="133"/>
      <c r="AX60" s="133"/>
      <c r="AY60" s="133"/>
      <c r="AZ60" s="133"/>
      <c r="BA60" s="132" t="str">
        <f>SUM(AO60:AZ60)</f>
        <v>0</v>
      </c>
      <c r="BB60" s="134"/>
      <c r="BC60" s="134"/>
      <c r="BD60" s="134"/>
      <c r="BE60" s="134"/>
      <c r="BF60" s="134"/>
      <c r="BG60" s="134"/>
      <c r="BH60" s="134"/>
      <c r="BI60" s="134"/>
      <c r="BJ60" s="134"/>
      <c r="BK60" s="134"/>
      <c r="BL60" s="134"/>
      <c r="BM60" s="134"/>
      <c r="BN60" s="132" t="str">
        <f>SUM(BB60:BM60)</f>
        <v>0</v>
      </c>
      <c r="BO60" s="135"/>
      <c r="BP60" s="135"/>
      <c r="BQ60" s="135"/>
      <c r="BR60" s="135"/>
      <c r="BS60" s="135"/>
      <c r="BT60" s="135"/>
      <c r="BU60" s="135"/>
      <c r="BV60" s="135"/>
      <c r="BW60" s="135"/>
      <c r="BX60" s="135"/>
      <c r="BY60" s="135"/>
      <c r="BZ60" s="135"/>
      <c r="CA60" s="132" t="str">
        <f>SUM(BO60:BZ60)</f>
        <v>0</v>
      </c>
      <c r="CB60" s="136"/>
      <c r="CC60" s="136"/>
      <c r="CD60" s="136"/>
      <c r="CE60" s="136"/>
      <c r="CF60" s="136"/>
      <c r="CG60" s="136"/>
      <c r="CH60" s="136"/>
      <c r="CI60" s="136"/>
      <c r="CJ60" s="136"/>
      <c r="CK60" s="136"/>
      <c r="CL60" s="136"/>
      <c r="CM60" s="136"/>
      <c r="CN60" s="132" t="str">
        <f>SUM(CB60:CM60)</f>
        <v>0</v>
      </c>
      <c r="CO60" s="137"/>
      <c r="CP60" s="137"/>
      <c r="CQ60" s="137"/>
      <c r="CR60" s="137"/>
      <c r="CS60" s="137"/>
      <c r="CT60" s="137"/>
      <c r="CU60" s="137"/>
      <c r="CV60" s="137"/>
      <c r="CW60" s="137"/>
      <c r="CX60" s="137"/>
      <c r="CY60" s="137"/>
      <c r="CZ60" s="137"/>
      <c r="DA60" s="132" t="str">
        <f>SUM(CO60:CZ60)</f>
        <v>0</v>
      </c>
      <c r="DB60" s="136"/>
      <c r="DC60" s="136"/>
      <c r="DD60" s="136"/>
      <c r="DE60" s="136"/>
      <c r="DF60" s="136"/>
      <c r="DG60" s="136"/>
      <c r="DH60" s="136"/>
      <c r="DI60" s="136"/>
      <c r="DJ60" s="136"/>
      <c r="DK60" s="136"/>
      <c r="DL60" s="136"/>
      <c r="DM60" s="136"/>
      <c r="DN60" s="132" t="str">
        <f>SUM(DB60:DM60)</f>
        <v>0</v>
      </c>
      <c r="DO60" s="137"/>
      <c r="DP60" s="137"/>
      <c r="DQ60" s="137"/>
      <c r="DR60" s="137"/>
      <c r="DS60" s="137"/>
      <c r="DT60" s="137"/>
      <c r="DU60" s="137"/>
      <c r="DV60" s="137"/>
      <c r="DW60" s="137"/>
      <c r="DX60" s="137"/>
      <c r="DY60" s="137"/>
      <c r="DZ60" s="137"/>
      <c r="EA60" s="132" t="str">
        <f>SUM(DO60:DZ60)</f>
        <v>0</v>
      </c>
      <c r="EB60" s="216"/>
      <c r="EC60" s="216"/>
      <c r="ED60" s="216"/>
      <c r="EE60" s="216"/>
      <c r="EF60" s="216"/>
      <c r="EG60" s="216"/>
      <c r="EH60" s="216"/>
      <c r="EI60" s="216"/>
      <c r="EJ60" s="216"/>
      <c r="EK60" s="216"/>
      <c r="EL60" s="216"/>
      <c r="EM60" s="216"/>
      <c r="EN60" s="132" t="str">
        <f>SUM(EB60:EM60)</f>
        <v>0</v>
      </c>
      <c r="EO60" s="132"/>
      <c r="EP60" s="132"/>
      <c r="EQ60" s="132"/>
      <c r="ER60" s="132"/>
      <c r="ES60" s="132"/>
      <c r="ET60" s="132"/>
      <c r="EU60" s="132"/>
      <c r="EV60" s="132"/>
      <c r="EW60" s="132"/>
      <c r="EX60" s="132"/>
      <c r="EY60" s="132"/>
      <c r="EZ60" s="132"/>
      <c r="FA60" s="132" t="str">
        <f>SUM(EO60:EZ60)</f>
        <v>0</v>
      </c>
      <c r="FB60" s="181"/>
      <c r="FC60" s="181"/>
      <c r="FD60" s="181"/>
      <c r="FE60" s="181"/>
      <c r="FF60" s="181"/>
      <c r="FG60" s="181"/>
      <c r="FH60" s="181"/>
      <c r="FI60" s="181"/>
      <c r="FJ60" s="181"/>
      <c r="FK60" s="181"/>
      <c r="FL60" s="181"/>
      <c r="FM60" s="181"/>
      <c r="FN60" s="132" t="str">
        <f>SUM(FB60:FM60)</f>
        <v>0</v>
      </c>
      <c r="FO60" s="132"/>
      <c r="FP60" s="132"/>
      <c r="FQ60" s="132"/>
      <c r="FR60" s="132"/>
      <c r="FS60" s="132"/>
      <c r="FT60" s="132"/>
      <c r="FU60" s="132"/>
      <c r="FV60" s="132"/>
      <c r="FW60" s="132"/>
      <c r="FX60" s="132"/>
      <c r="FY60" s="132"/>
      <c r="FZ60" s="132"/>
      <c r="GA60" s="132" t="str">
        <f>SUM(FO60:FZ60)</f>
        <v>0</v>
      </c>
      <c r="GB60" s="181"/>
      <c r="GC60" s="181"/>
      <c r="GD60" s="181"/>
      <c r="GE60" s="181"/>
      <c r="GF60" s="181"/>
      <c r="GG60" s="181"/>
      <c r="GH60" s="181"/>
      <c r="GI60" s="181"/>
      <c r="GJ60" s="181"/>
      <c r="GK60" s="181"/>
      <c r="GL60" s="181"/>
      <c r="GM60" s="181"/>
      <c r="GN60" s="181" t="str">
        <f>SUM(GB60:GM60)</f>
        <v>0</v>
      </c>
      <c r="GO60" s="137"/>
      <c r="GP60" s="137"/>
      <c r="GQ60" s="137"/>
      <c r="GR60" s="137"/>
      <c r="GS60" s="137"/>
      <c r="GT60" s="137"/>
      <c r="GU60" s="137"/>
      <c r="GV60" s="137"/>
      <c r="GW60" s="137"/>
      <c r="GX60" s="137"/>
      <c r="GY60" s="137"/>
      <c r="GZ60" s="137"/>
      <c r="HA60" s="132" t="str">
        <f>SUM(GO60:GZ60)</f>
        <v>0</v>
      </c>
      <c r="HB60" s="181"/>
      <c r="HC60" s="181"/>
      <c r="HD60" s="181"/>
      <c r="HE60" s="181"/>
      <c r="HF60" s="181"/>
      <c r="HG60" s="181"/>
      <c r="HH60" s="181"/>
      <c r="HI60" s="181"/>
      <c r="HJ60" s="181"/>
      <c r="HK60" s="181"/>
      <c r="HL60" s="181"/>
      <c r="HM60" s="181"/>
      <c r="HN60" s="181" t="str">
        <f>SUM(HB60:HM60)</f>
        <v>0</v>
      </c>
      <c r="HO60" s="132"/>
      <c r="HP60" s="132"/>
      <c r="HQ60" s="132"/>
      <c r="HR60" s="132"/>
      <c r="HS60" s="132"/>
      <c r="HT60" s="132"/>
      <c r="HU60" s="132"/>
      <c r="HV60" s="132"/>
      <c r="HW60" s="132"/>
      <c r="HX60" s="132"/>
      <c r="HY60" s="132"/>
      <c r="HZ60" s="132"/>
      <c r="IA60" s="132" t="str">
        <f>SUM(HO60:HZ60)</f>
        <v>0</v>
      </c>
      <c r="IB60" s="181"/>
      <c r="IC60" s="181"/>
      <c r="ID60" s="181"/>
      <c r="IE60" s="181"/>
      <c r="IF60" s="181"/>
      <c r="IG60" s="181"/>
      <c r="IH60" s="181"/>
      <c r="II60" s="181"/>
      <c r="IJ60" s="181"/>
      <c r="IK60" s="181"/>
      <c r="IL60" s="181"/>
      <c r="IM60" s="181"/>
      <c r="IN60" s="181" t="str">
        <f>SUM(IB60:IM60)</f>
        <v>0</v>
      </c>
      <c r="IO60" s="181"/>
      <c r="IP60" s="181"/>
      <c r="IQ60" s="181"/>
      <c r="IR60" s="181"/>
      <c r="IS60" s="181"/>
      <c r="IT60" s="181"/>
      <c r="IU60" s="181"/>
      <c r="IV60" s="181"/>
      <c r="IW60" s="181"/>
      <c r="IX60" s="181"/>
      <c r="IY60" s="181"/>
      <c r="IZ60" s="181"/>
      <c r="JA60" s="181" t="str">
        <f>SUM(IO60:IZ60)</f>
        <v>0</v>
      </c>
      <c r="JC60" s="135" t="str">
        <f>B60+O60+AB60+AO60+BB60+BO60+CB60+CO60+DB60+DO60+EB60+EO60+FB60+FO60+GB60+GO60+HB60+HO60+IB60+IO60</f>
        <v>0</v>
      </c>
      <c r="JD60" s="135" t="str">
        <f>C60+P60+AC60+AP60+BC60+BP60+CC60+CP60+DC60+DP60+EC60+EP60+FC60+FP60+GC60+GP60+HC60+HP60+IC60+IP60</f>
        <v>0</v>
      </c>
      <c r="JE60" s="135" t="str">
        <f>D60+Q60+AD60+AQ60+BD60+BQ60+CD60+CQ60+DD60+DQ60+ED60+EQ60+FD60+FQ60+GD60+GQ60+HD60+HQ60+ID60+IQ60</f>
        <v>0</v>
      </c>
      <c r="JF60" s="135" t="str">
        <f>E60+R60+AE60+AR60+BE60+BR60+CE60+CR60+DE60+DR60+EE60+ER60+FE60+FR60+GE60+GR60+HE60+HR60+IE60+IR60</f>
        <v>0</v>
      </c>
      <c r="JG60" s="135" t="str">
        <f>F60+S60+AF60+AS60+BF60+BS60+CF60+CS60+DF60+DS60+EF60+ES60+FF60+FS60+GF60+GS60+HF60+HS60+IF60+IS60</f>
        <v>0</v>
      </c>
      <c r="JH60" s="135" t="str">
        <f>G60+T60+AG60+AT60+BG60+BT60+CG60+CT60+DG60+DT60+EG60+ET60+FG60+FT60+GG60+GT60+HG60+HT60+IG60+IT60</f>
        <v>0</v>
      </c>
      <c r="JI60" s="135" t="str">
        <f>H60+U60+AH60+AU60+BH60+BU60+CH60+CU60+DH60+DU60+EH60+EU60+FH60+FU60+GH60+GU60+HH60+HU60+IH60+IU60</f>
        <v>0</v>
      </c>
      <c r="JJ60" s="135" t="str">
        <f>I60+V60+AI60+AV60+BI60+BV60+CI60+CV60+DI60+DV60+EI60+EV60+FI60+FV60+GI60+GV60+HI60+HV60+II60+IV60</f>
        <v>0</v>
      </c>
      <c r="JK60" s="135" t="str">
        <f>J60+W60+AJ60+AW60+BJ60+BW60+CJ60+CW60+DJ60+DW60+EJ60+EW60+FJ60+FW60+GJ60+GW60+HJ60+HW60+IJ60+IW60</f>
        <v>0</v>
      </c>
      <c r="JL60" s="135" t="str">
        <f>K60+X60+AK60+AX60+BK60+BX60+CK60+CX60+DK60+DX60+EK60+EX60+FK60+FX60+GK60+GX60+HK60+HX60+IK60+IX60</f>
        <v>0</v>
      </c>
      <c r="JM60" s="135" t="str">
        <f>L60+Y60+AL60+AY60+BL60+BY60+CL60+CY60+DL60+DY60+EL60+EY60+FL60+FY60+GL60+GY60+HL60+HY60+IL60+IY60</f>
        <v>0</v>
      </c>
      <c r="JN60" s="135" t="str">
        <f>M60+Z60+AM60+AZ60+BM60+BZ60+CM60+CZ60+DM60+DZ60+EM60+EZ60+FM60+FZ60+GM60+GZ60+HM60+HZ60+IM60+IZ60</f>
        <v>0</v>
      </c>
      <c r="JO60" s="132" t="str">
        <f>SUM(JC60:JN60)</f>
        <v>0</v>
      </c>
      <c r="JQ60" s="139" t="str">
        <f>N60+AA60+AN60+BA60+BN60+CA60+CN60+DA60+DN60+EA60+EN60+FA60+FN60+GA60+GN60+HA60+HN60+IA60+IN60+JA60</f>
        <v>0</v>
      </c>
    </row>
    <row r="61" spans="1:278">
      <c r="A61" s="130"/>
      <c r="B61" s="131"/>
      <c r="C61" s="131"/>
      <c r="D61" s="131"/>
      <c r="E61" s="131"/>
      <c r="F61" s="131"/>
      <c r="G61" s="131"/>
      <c r="H61" s="131"/>
      <c r="I61" s="131"/>
      <c r="J61" s="131"/>
      <c r="K61" s="131"/>
      <c r="L61" s="131"/>
      <c r="M61" s="131"/>
      <c r="N61" s="132" t="str">
        <f>SUM(B61:M61)</f>
        <v>0</v>
      </c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  <c r="AA61" s="132" t="str">
        <f>SUM(O61:Z61)</f>
        <v>0</v>
      </c>
      <c r="AB61" s="131"/>
      <c r="AC61" s="131"/>
      <c r="AD61" s="131"/>
      <c r="AE61" s="131"/>
      <c r="AF61" s="131"/>
      <c r="AG61" s="131"/>
      <c r="AH61" s="131"/>
      <c r="AI61" s="131"/>
      <c r="AJ61" s="131"/>
      <c r="AK61" s="131"/>
      <c r="AL61" s="131"/>
      <c r="AM61" s="131"/>
      <c r="AN61" s="132" t="str">
        <f>SUM(AB61:AM61)</f>
        <v>0</v>
      </c>
      <c r="AO61" s="133"/>
      <c r="AP61" s="133"/>
      <c r="AQ61" s="133"/>
      <c r="AR61" s="133"/>
      <c r="AS61" s="133"/>
      <c r="AT61" s="133"/>
      <c r="AU61" s="133"/>
      <c r="AV61" s="133"/>
      <c r="AW61" s="133"/>
      <c r="AX61" s="133"/>
      <c r="AY61" s="133"/>
      <c r="AZ61" s="133"/>
      <c r="BA61" s="132" t="str">
        <f>SUM(AO61:AZ61)</f>
        <v>0</v>
      </c>
      <c r="BB61" s="134"/>
      <c r="BC61" s="134"/>
      <c r="BD61" s="134"/>
      <c r="BE61" s="134"/>
      <c r="BF61" s="134"/>
      <c r="BG61" s="134"/>
      <c r="BH61" s="134"/>
      <c r="BI61" s="134"/>
      <c r="BJ61" s="134"/>
      <c r="BK61" s="134"/>
      <c r="BL61" s="134"/>
      <c r="BM61" s="134"/>
      <c r="BN61" s="132" t="str">
        <f>SUM(BB61:BM61)</f>
        <v>0</v>
      </c>
      <c r="BO61" s="135"/>
      <c r="BP61" s="135"/>
      <c r="BQ61" s="135"/>
      <c r="BR61" s="135"/>
      <c r="BS61" s="135"/>
      <c r="BT61" s="135"/>
      <c r="BU61" s="135"/>
      <c r="BV61" s="135"/>
      <c r="BW61" s="135"/>
      <c r="BX61" s="135"/>
      <c r="BY61" s="135"/>
      <c r="BZ61" s="135"/>
      <c r="CA61" s="132" t="str">
        <f>SUM(BO61:BZ61)</f>
        <v>0</v>
      </c>
      <c r="CB61" s="136"/>
      <c r="CC61" s="136"/>
      <c r="CD61" s="136"/>
      <c r="CE61" s="136"/>
      <c r="CF61" s="136"/>
      <c r="CG61" s="136"/>
      <c r="CH61" s="136"/>
      <c r="CI61" s="136"/>
      <c r="CJ61" s="136"/>
      <c r="CK61" s="136"/>
      <c r="CL61" s="136"/>
      <c r="CM61" s="136"/>
      <c r="CN61" s="132" t="str">
        <f>SUM(CB61:CM61)</f>
        <v>0</v>
      </c>
      <c r="CO61" s="137"/>
      <c r="CP61" s="137"/>
      <c r="CQ61" s="137"/>
      <c r="CR61" s="137"/>
      <c r="CS61" s="137"/>
      <c r="CT61" s="137"/>
      <c r="CU61" s="137"/>
      <c r="CV61" s="137"/>
      <c r="CW61" s="137"/>
      <c r="CX61" s="137"/>
      <c r="CY61" s="137"/>
      <c r="CZ61" s="137"/>
      <c r="DA61" s="132" t="str">
        <f>SUM(CO61:CZ61)</f>
        <v>0</v>
      </c>
      <c r="DB61" s="136"/>
      <c r="DC61" s="136"/>
      <c r="DD61" s="136"/>
      <c r="DE61" s="136"/>
      <c r="DF61" s="136"/>
      <c r="DG61" s="136"/>
      <c r="DH61" s="136"/>
      <c r="DI61" s="136"/>
      <c r="DJ61" s="136"/>
      <c r="DK61" s="136"/>
      <c r="DL61" s="136"/>
      <c r="DM61" s="136"/>
      <c r="DN61" s="132" t="str">
        <f>SUM(DB61:DM61)</f>
        <v>0</v>
      </c>
      <c r="DO61" s="137"/>
      <c r="DP61" s="137"/>
      <c r="DQ61" s="137"/>
      <c r="DR61" s="137"/>
      <c r="DS61" s="137"/>
      <c r="DT61" s="137"/>
      <c r="DU61" s="137"/>
      <c r="DV61" s="137"/>
      <c r="DW61" s="137"/>
      <c r="DX61" s="137"/>
      <c r="DY61" s="137"/>
      <c r="DZ61" s="137"/>
      <c r="EA61" s="132" t="str">
        <f>SUM(DO61:DZ61)</f>
        <v>0</v>
      </c>
      <c r="EB61" s="216"/>
      <c r="EC61" s="216"/>
      <c r="ED61" s="216"/>
      <c r="EE61" s="216"/>
      <c r="EF61" s="216"/>
      <c r="EG61" s="216"/>
      <c r="EH61" s="216"/>
      <c r="EI61" s="216"/>
      <c r="EJ61" s="216"/>
      <c r="EK61" s="216"/>
      <c r="EL61" s="216"/>
      <c r="EM61" s="216"/>
      <c r="EN61" s="132" t="str">
        <f>SUM(EB61:EM61)</f>
        <v>0</v>
      </c>
      <c r="EO61" s="132"/>
      <c r="EP61" s="132"/>
      <c r="EQ61" s="132"/>
      <c r="ER61" s="132"/>
      <c r="ES61" s="132"/>
      <c r="ET61" s="132"/>
      <c r="EU61" s="132"/>
      <c r="EV61" s="132"/>
      <c r="EW61" s="132"/>
      <c r="EX61" s="132"/>
      <c r="EY61" s="132"/>
      <c r="EZ61" s="132"/>
      <c r="FA61" s="132" t="str">
        <f>SUM(EO61:EZ61)</f>
        <v>0</v>
      </c>
      <c r="FB61" s="181"/>
      <c r="FC61" s="181"/>
      <c r="FD61" s="181"/>
      <c r="FE61" s="181"/>
      <c r="FF61" s="181"/>
      <c r="FG61" s="181"/>
      <c r="FH61" s="181"/>
      <c r="FI61" s="181"/>
      <c r="FJ61" s="181"/>
      <c r="FK61" s="181"/>
      <c r="FL61" s="181"/>
      <c r="FM61" s="181"/>
      <c r="FN61" s="132" t="str">
        <f>SUM(FB61:FM61)</f>
        <v>0</v>
      </c>
      <c r="FO61" s="132"/>
      <c r="FP61" s="132"/>
      <c r="FQ61" s="132"/>
      <c r="FR61" s="132"/>
      <c r="FS61" s="132"/>
      <c r="FT61" s="132"/>
      <c r="FU61" s="132"/>
      <c r="FV61" s="132"/>
      <c r="FW61" s="132"/>
      <c r="FX61" s="132"/>
      <c r="FY61" s="132"/>
      <c r="FZ61" s="132"/>
      <c r="GA61" s="132" t="str">
        <f>SUM(FO61:FZ61)</f>
        <v>0</v>
      </c>
      <c r="GB61" s="181"/>
      <c r="GC61" s="181"/>
      <c r="GD61" s="181"/>
      <c r="GE61" s="181"/>
      <c r="GF61" s="181"/>
      <c r="GG61" s="181"/>
      <c r="GH61" s="181"/>
      <c r="GI61" s="181"/>
      <c r="GJ61" s="181"/>
      <c r="GK61" s="181"/>
      <c r="GL61" s="181"/>
      <c r="GM61" s="181"/>
      <c r="GN61" s="181" t="str">
        <f>SUM(GB61:GM61)</f>
        <v>0</v>
      </c>
      <c r="GO61" s="137"/>
      <c r="GP61" s="137"/>
      <c r="GQ61" s="137"/>
      <c r="GR61" s="137"/>
      <c r="GS61" s="137"/>
      <c r="GT61" s="137"/>
      <c r="GU61" s="137"/>
      <c r="GV61" s="137"/>
      <c r="GW61" s="137"/>
      <c r="GX61" s="137"/>
      <c r="GY61" s="137"/>
      <c r="GZ61" s="137"/>
      <c r="HA61" s="132" t="str">
        <f>SUM(GO61:GZ61)</f>
        <v>0</v>
      </c>
      <c r="HB61" s="181"/>
      <c r="HC61" s="181"/>
      <c r="HD61" s="181"/>
      <c r="HE61" s="181"/>
      <c r="HF61" s="181"/>
      <c r="HG61" s="181"/>
      <c r="HH61" s="181"/>
      <c r="HI61" s="181"/>
      <c r="HJ61" s="181"/>
      <c r="HK61" s="181"/>
      <c r="HL61" s="181"/>
      <c r="HM61" s="181"/>
      <c r="HN61" s="181" t="str">
        <f>SUM(HB61:HM61)</f>
        <v>0</v>
      </c>
      <c r="HO61" s="132"/>
      <c r="HP61" s="132"/>
      <c r="HQ61" s="132"/>
      <c r="HR61" s="132"/>
      <c r="HS61" s="132"/>
      <c r="HT61" s="132"/>
      <c r="HU61" s="132"/>
      <c r="HV61" s="132"/>
      <c r="HW61" s="132"/>
      <c r="HX61" s="132"/>
      <c r="HY61" s="132"/>
      <c r="HZ61" s="132"/>
      <c r="IA61" s="132" t="str">
        <f>SUM(HO61:HZ61)</f>
        <v>0</v>
      </c>
      <c r="IB61" s="181"/>
      <c r="IC61" s="181"/>
      <c r="ID61" s="181"/>
      <c r="IE61" s="181"/>
      <c r="IF61" s="181"/>
      <c r="IG61" s="181"/>
      <c r="IH61" s="181"/>
      <c r="II61" s="181"/>
      <c r="IJ61" s="181"/>
      <c r="IK61" s="181"/>
      <c r="IL61" s="181"/>
      <c r="IM61" s="181"/>
      <c r="IN61" s="181" t="str">
        <f>SUM(IB61:IM61)</f>
        <v>0</v>
      </c>
      <c r="IO61" s="181"/>
      <c r="IP61" s="181"/>
      <c r="IQ61" s="181"/>
      <c r="IR61" s="181"/>
      <c r="IS61" s="181"/>
      <c r="IT61" s="181"/>
      <c r="IU61" s="181"/>
      <c r="IV61" s="181"/>
      <c r="IW61" s="181"/>
      <c r="IX61" s="181"/>
      <c r="IY61" s="181"/>
      <c r="IZ61" s="181"/>
      <c r="JA61" s="181" t="str">
        <f>SUM(IO61:IZ61)</f>
        <v>0</v>
      </c>
      <c r="JC61" s="135" t="str">
        <f>B61+O61+AB61+AO61+BB61+BO61+CB61+CO61+DB61+DO61+EB61+EO61+FB61+FO61+GB61+GO61+HB61+HO61+IB61+IO61</f>
        <v>0</v>
      </c>
      <c r="JD61" s="135" t="str">
        <f>C61+P61+AC61+AP61+BC61+BP61+CC61+CP61+DC61+DP61+EC61+EP61+FC61+FP61+GC61+GP61+HC61+HP61+IC61+IP61</f>
        <v>0</v>
      </c>
      <c r="JE61" s="135" t="str">
        <f>D61+Q61+AD61+AQ61+BD61+BQ61+CD61+CQ61+DD61+DQ61+ED61+EQ61+FD61+FQ61+GD61+GQ61+HD61+HQ61+ID61+IQ61</f>
        <v>0</v>
      </c>
      <c r="JF61" s="135" t="str">
        <f>E61+R61+AE61+AR61+BE61+BR61+CE61+CR61+DE61+DR61+EE61+ER61+FE61+FR61+GE61+GR61+HE61+HR61+IE61+IR61</f>
        <v>0</v>
      </c>
      <c r="JG61" s="135" t="str">
        <f>F61+S61+AF61+AS61+BF61+BS61+CF61+CS61+DF61+DS61+EF61+ES61+FF61+FS61+GF61+GS61+HF61+HS61+IF61+IS61</f>
        <v>0</v>
      </c>
      <c r="JH61" s="135" t="str">
        <f>G61+T61+AG61+AT61+BG61+BT61+CG61+CT61+DG61+DT61+EG61+ET61+FG61+FT61+GG61+GT61+HG61+HT61+IG61+IT61</f>
        <v>0</v>
      </c>
      <c r="JI61" s="135" t="str">
        <f>H61+U61+AH61+AU61+BH61+BU61+CH61+CU61+DH61+DU61+EH61+EU61+FH61+FU61+GH61+GU61+HH61+HU61+IH61+IU61</f>
        <v>0</v>
      </c>
      <c r="JJ61" s="135" t="str">
        <f>I61+V61+AI61+AV61+BI61+BV61+CI61+CV61+DI61+DV61+EI61+EV61+FI61+FV61+GI61+GV61+HI61+HV61+II61+IV61</f>
        <v>0</v>
      </c>
      <c r="JK61" s="135" t="str">
        <f>J61+W61+AJ61+AW61+BJ61+BW61+CJ61+CW61+DJ61+DW61+EJ61+EW61+FJ61+FW61+GJ61+GW61+HJ61+HW61+IJ61+IW61</f>
        <v>0</v>
      </c>
      <c r="JL61" s="135" t="str">
        <f>K61+X61+AK61+AX61+BK61+BX61+CK61+CX61+DK61+DX61+EK61+EX61+FK61+FX61+GK61+GX61+HK61+HX61+IK61+IX61</f>
        <v>0</v>
      </c>
      <c r="JM61" s="135" t="str">
        <f>L61+Y61+AL61+AY61+BL61+BY61+CL61+CY61+DL61+DY61+EL61+EY61+FL61+FY61+GL61+GY61+HL61+HY61+IL61+IY61</f>
        <v>0</v>
      </c>
      <c r="JN61" s="135" t="str">
        <f>M61+Z61+AM61+AZ61+BM61+BZ61+CM61+CZ61+DM61+DZ61+EM61+EZ61+FM61+FZ61+GM61+GZ61+HM61+HZ61+IM61+IZ61</f>
        <v>0</v>
      </c>
      <c r="JO61" s="132" t="str">
        <f>SUM(JC61:JN61)</f>
        <v>0</v>
      </c>
      <c r="JQ61" s="139" t="str">
        <f>N61+AA61+AN61+BA61+BN61+CA61+CN61+DA61+DN61+EA61+EN61+FA61+FN61+GA61+GN61+HA61+HN61+IA61+IN61+JA61</f>
        <v>0</v>
      </c>
    </row>
    <row r="62" spans="1:278">
      <c r="A62" s="130"/>
      <c r="B62" s="131"/>
      <c r="C62" s="131"/>
      <c r="D62" s="131"/>
      <c r="E62" s="131"/>
      <c r="F62" s="131"/>
      <c r="G62" s="131"/>
      <c r="H62" s="131"/>
      <c r="I62" s="131"/>
      <c r="J62" s="131"/>
      <c r="K62" s="131"/>
      <c r="L62" s="131"/>
      <c r="M62" s="131"/>
      <c r="N62" s="132" t="str">
        <f>SUM(B62:M62)</f>
        <v>0</v>
      </c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3"/>
      <c r="Z62" s="133"/>
      <c r="AA62" s="132" t="str">
        <f>SUM(O62:Z62)</f>
        <v>0</v>
      </c>
      <c r="AB62" s="131"/>
      <c r="AC62" s="131"/>
      <c r="AD62" s="131"/>
      <c r="AE62" s="131"/>
      <c r="AF62" s="131"/>
      <c r="AG62" s="131"/>
      <c r="AH62" s="131"/>
      <c r="AI62" s="131"/>
      <c r="AJ62" s="131"/>
      <c r="AK62" s="131"/>
      <c r="AL62" s="131"/>
      <c r="AM62" s="131"/>
      <c r="AN62" s="132" t="str">
        <f>SUM(AB62:AM62)</f>
        <v>0</v>
      </c>
      <c r="AO62" s="133"/>
      <c r="AP62" s="133"/>
      <c r="AQ62" s="133"/>
      <c r="AR62" s="133"/>
      <c r="AS62" s="133"/>
      <c r="AT62" s="133"/>
      <c r="AU62" s="133"/>
      <c r="AV62" s="133"/>
      <c r="AW62" s="133"/>
      <c r="AX62" s="133"/>
      <c r="AY62" s="133"/>
      <c r="AZ62" s="133"/>
      <c r="BA62" s="132" t="str">
        <f>SUM(AO62:AZ62)</f>
        <v>0</v>
      </c>
      <c r="BB62" s="134"/>
      <c r="BC62" s="134"/>
      <c r="BD62" s="134"/>
      <c r="BE62" s="134"/>
      <c r="BF62" s="134"/>
      <c r="BG62" s="134"/>
      <c r="BH62" s="134"/>
      <c r="BI62" s="134"/>
      <c r="BJ62" s="134"/>
      <c r="BK62" s="134"/>
      <c r="BL62" s="134"/>
      <c r="BM62" s="134"/>
      <c r="BN62" s="132" t="str">
        <f>SUM(BB62:BM62)</f>
        <v>0</v>
      </c>
      <c r="BO62" s="135"/>
      <c r="BP62" s="135"/>
      <c r="BQ62" s="135"/>
      <c r="BR62" s="135"/>
      <c r="BS62" s="135"/>
      <c r="BT62" s="135"/>
      <c r="BU62" s="135"/>
      <c r="BV62" s="135"/>
      <c r="BW62" s="135"/>
      <c r="BX62" s="135"/>
      <c r="BY62" s="135"/>
      <c r="BZ62" s="135"/>
      <c r="CA62" s="132" t="str">
        <f>SUM(BO62:BZ62)</f>
        <v>0</v>
      </c>
      <c r="CB62" s="136"/>
      <c r="CC62" s="136"/>
      <c r="CD62" s="136"/>
      <c r="CE62" s="136"/>
      <c r="CF62" s="136"/>
      <c r="CG62" s="136"/>
      <c r="CH62" s="136"/>
      <c r="CI62" s="136"/>
      <c r="CJ62" s="136"/>
      <c r="CK62" s="136"/>
      <c r="CL62" s="136"/>
      <c r="CM62" s="136"/>
      <c r="CN62" s="132" t="str">
        <f>SUM(CB62:CM62)</f>
        <v>0</v>
      </c>
      <c r="CO62" s="137"/>
      <c r="CP62" s="137"/>
      <c r="CQ62" s="137"/>
      <c r="CR62" s="137"/>
      <c r="CS62" s="137"/>
      <c r="CT62" s="137"/>
      <c r="CU62" s="137"/>
      <c r="CV62" s="137"/>
      <c r="CW62" s="137"/>
      <c r="CX62" s="137"/>
      <c r="CY62" s="137"/>
      <c r="CZ62" s="137"/>
      <c r="DA62" s="132" t="str">
        <f>SUM(CO62:CZ62)</f>
        <v>0</v>
      </c>
      <c r="DB62" s="136"/>
      <c r="DC62" s="136"/>
      <c r="DD62" s="136"/>
      <c r="DE62" s="136"/>
      <c r="DF62" s="136"/>
      <c r="DG62" s="136"/>
      <c r="DH62" s="136"/>
      <c r="DI62" s="136"/>
      <c r="DJ62" s="136"/>
      <c r="DK62" s="136"/>
      <c r="DL62" s="136"/>
      <c r="DM62" s="136"/>
      <c r="DN62" s="132" t="str">
        <f>SUM(DB62:DM62)</f>
        <v>0</v>
      </c>
      <c r="DO62" s="137"/>
      <c r="DP62" s="137"/>
      <c r="DQ62" s="137"/>
      <c r="DR62" s="137"/>
      <c r="DS62" s="137"/>
      <c r="DT62" s="137"/>
      <c r="DU62" s="137"/>
      <c r="DV62" s="137"/>
      <c r="DW62" s="137"/>
      <c r="DX62" s="137"/>
      <c r="DY62" s="137"/>
      <c r="DZ62" s="137"/>
      <c r="EA62" s="132" t="str">
        <f>SUM(DO62:DZ62)</f>
        <v>0</v>
      </c>
      <c r="EB62" s="216"/>
      <c r="EC62" s="216"/>
      <c r="ED62" s="216"/>
      <c r="EE62" s="216"/>
      <c r="EF62" s="216"/>
      <c r="EG62" s="216"/>
      <c r="EH62" s="216"/>
      <c r="EI62" s="216"/>
      <c r="EJ62" s="216"/>
      <c r="EK62" s="216"/>
      <c r="EL62" s="216"/>
      <c r="EM62" s="216"/>
      <c r="EN62" s="132" t="str">
        <f>SUM(EB62:EM62)</f>
        <v>0</v>
      </c>
      <c r="EO62" s="132"/>
      <c r="EP62" s="132"/>
      <c r="EQ62" s="132"/>
      <c r="ER62" s="132"/>
      <c r="ES62" s="132"/>
      <c r="ET62" s="132"/>
      <c r="EU62" s="132"/>
      <c r="EV62" s="132"/>
      <c r="EW62" s="132"/>
      <c r="EX62" s="132"/>
      <c r="EY62" s="132"/>
      <c r="EZ62" s="132"/>
      <c r="FA62" s="132" t="str">
        <f>SUM(EO62:EZ62)</f>
        <v>0</v>
      </c>
      <c r="FB62" s="181"/>
      <c r="FC62" s="181"/>
      <c r="FD62" s="181"/>
      <c r="FE62" s="181"/>
      <c r="FF62" s="181"/>
      <c r="FG62" s="181"/>
      <c r="FH62" s="181"/>
      <c r="FI62" s="181"/>
      <c r="FJ62" s="181"/>
      <c r="FK62" s="181"/>
      <c r="FL62" s="181"/>
      <c r="FM62" s="181"/>
      <c r="FN62" s="132" t="str">
        <f>SUM(FB62:FM62)</f>
        <v>0</v>
      </c>
      <c r="FO62" s="132"/>
      <c r="FP62" s="132"/>
      <c r="FQ62" s="132"/>
      <c r="FR62" s="132"/>
      <c r="FS62" s="132"/>
      <c r="FT62" s="132"/>
      <c r="FU62" s="132"/>
      <c r="FV62" s="132"/>
      <c r="FW62" s="132"/>
      <c r="FX62" s="132"/>
      <c r="FY62" s="132"/>
      <c r="FZ62" s="132"/>
      <c r="GA62" s="132" t="str">
        <f>SUM(FO62:FZ62)</f>
        <v>0</v>
      </c>
      <c r="GB62" s="181"/>
      <c r="GC62" s="181"/>
      <c r="GD62" s="181"/>
      <c r="GE62" s="181"/>
      <c r="GF62" s="181"/>
      <c r="GG62" s="181"/>
      <c r="GH62" s="181"/>
      <c r="GI62" s="181"/>
      <c r="GJ62" s="181"/>
      <c r="GK62" s="181"/>
      <c r="GL62" s="181"/>
      <c r="GM62" s="181"/>
      <c r="GN62" s="181" t="str">
        <f>SUM(GB62:GM62)</f>
        <v>0</v>
      </c>
      <c r="GO62" s="137"/>
      <c r="GP62" s="137"/>
      <c r="GQ62" s="137"/>
      <c r="GR62" s="137"/>
      <c r="GS62" s="137"/>
      <c r="GT62" s="137"/>
      <c r="GU62" s="137"/>
      <c r="GV62" s="137"/>
      <c r="GW62" s="137"/>
      <c r="GX62" s="137"/>
      <c r="GY62" s="137"/>
      <c r="GZ62" s="137"/>
      <c r="HA62" s="132" t="str">
        <f>SUM(GO62:GZ62)</f>
        <v>0</v>
      </c>
      <c r="HB62" s="181"/>
      <c r="HC62" s="181"/>
      <c r="HD62" s="181"/>
      <c r="HE62" s="181"/>
      <c r="HF62" s="181"/>
      <c r="HG62" s="181"/>
      <c r="HH62" s="181"/>
      <c r="HI62" s="181"/>
      <c r="HJ62" s="181"/>
      <c r="HK62" s="181"/>
      <c r="HL62" s="181"/>
      <c r="HM62" s="181"/>
      <c r="HN62" s="181" t="str">
        <f>SUM(HB62:HM62)</f>
        <v>0</v>
      </c>
      <c r="HO62" s="132"/>
      <c r="HP62" s="132"/>
      <c r="HQ62" s="132"/>
      <c r="HR62" s="132"/>
      <c r="HS62" s="132"/>
      <c r="HT62" s="132"/>
      <c r="HU62" s="132"/>
      <c r="HV62" s="132"/>
      <c r="HW62" s="132"/>
      <c r="HX62" s="132"/>
      <c r="HY62" s="132"/>
      <c r="HZ62" s="132"/>
      <c r="IA62" s="132" t="str">
        <f>SUM(HO62:HZ62)</f>
        <v>0</v>
      </c>
      <c r="IB62" s="181"/>
      <c r="IC62" s="181"/>
      <c r="ID62" s="181"/>
      <c r="IE62" s="181"/>
      <c r="IF62" s="181"/>
      <c r="IG62" s="181"/>
      <c r="IH62" s="181"/>
      <c r="II62" s="181"/>
      <c r="IJ62" s="181"/>
      <c r="IK62" s="181"/>
      <c r="IL62" s="181"/>
      <c r="IM62" s="181"/>
      <c r="IN62" s="181" t="str">
        <f>SUM(IB62:IM62)</f>
        <v>0</v>
      </c>
      <c r="IO62" s="181"/>
      <c r="IP62" s="181"/>
      <c r="IQ62" s="181"/>
      <c r="IR62" s="181"/>
      <c r="IS62" s="181"/>
      <c r="IT62" s="181"/>
      <c r="IU62" s="181"/>
      <c r="IV62" s="181"/>
      <c r="IW62" s="181"/>
      <c r="IX62" s="181"/>
      <c r="IY62" s="181"/>
      <c r="IZ62" s="181"/>
      <c r="JA62" s="181" t="str">
        <f>SUM(IO62:IZ62)</f>
        <v>0</v>
      </c>
      <c r="JC62" s="135" t="str">
        <f>B62+O62+AB62+AO62+BB62+BO62+CB62+CO62+DB62+DO62+EB62+EO62+FB62+FO62+GB62+GO62+HB62+HO62+IB62+IO62</f>
        <v>0</v>
      </c>
      <c r="JD62" s="135" t="str">
        <f>C62+P62+AC62+AP62+BC62+BP62+CC62+CP62+DC62+DP62+EC62+EP62+FC62+FP62+GC62+GP62+HC62+HP62+IC62+IP62</f>
        <v>0</v>
      </c>
      <c r="JE62" s="135" t="str">
        <f>D62+Q62+AD62+AQ62+BD62+BQ62+CD62+CQ62+DD62+DQ62+ED62+EQ62+FD62+FQ62+GD62+GQ62+HD62+HQ62+ID62+IQ62</f>
        <v>0</v>
      </c>
      <c r="JF62" s="135" t="str">
        <f>E62+R62+AE62+AR62+BE62+BR62+CE62+CR62+DE62+DR62+EE62+ER62+FE62+FR62+GE62+GR62+HE62+HR62+IE62+IR62</f>
        <v>0</v>
      </c>
      <c r="JG62" s="135" t="str">
        <f>F62+S62+AF62+AS62+BF62+BS62+CF62+CS62+DF62+DS62+EF62+ES62+FF62+FS62+GF62+GS62+HF62+HS62+IF62+IS62</f>
        <v>0</v>
      </c>
      <c r="JH62" s="135" t="str">
        <f>G62+T62+AG62+AT62+BG62+BT62+CG62+CT62+DG62+DT62+EG62+ET62+FG62+FT62+GG62+GT62+HG62+HT62+IG62+IT62</f>
        <v>0</v>
      </c>
      <c r="JI62" s="135" t="str">
        <f>H62+U62+AH62+AU62+BH62+BU62+CH62+CU62+DH62+DU62+EH62+EU62+FH62+FU62+GH62+GU62+HH62+HU62+IH62+IU62</f>
        <v>0</v>
      </c>
      <c r="JJ62" s="135" t="str">
        <f>I62+V62+AI62+AV62+BI62+BV62+CI62+CV62+DI62+DV62+EI62+EV62+FI62+FV62+GI62+GV62+HI62+HV62+II62+IV62</f>
        <v>0</v>
      </c>
      <c r="JK62" s="135" t="str">
        <f>J62+W62+AJ62+AW62+BJ62+BW62+CJ62+CW62+DJ62+DW62+EJ62+EW62+FJ62+FW62+GJ62+GW62+HJ62+HW62+IJ62+IW62</f>
        <v>0</v>
      </c>
      <c r="JL62" s="135" t="str">
        <f>K62+X62+AK62+AX62+BK62+BX62+CK62+CX62+DK62+DX62+EK62+EX62+FK62+FX62+GK62+GX62+HK62+HX62+IK62+IX62</f>
        <v>0</v>
      </c>
      <c r="JM62" s="135" t="str">
        <f>L62+Y62+AL62+AY62+BL62+BY62+CL62+CY62+DL62+DY62+EL62+EY62+FL62+FY62+GL62+GY62+HL62+HY62+IL62+IY62</f>
        <v>0</v>
      </c>
      <c r="JN62" s="135" t="str">
        <f>M62+Z62+AM62+AZ62+BM62+BZ62+CM62+CZ62+DM62+DZ62+EM62+EZ62+FM62+FZ62+GM62+GZ62+HM62+HZ62+IM62+IZ62</f>
        <v>0</v>
      </c>
      <c r="JO62" s="132" t="str">
        <f>SUM(JC62:JN62)</f>
        <v>0</v>
      </c>
      <c r="JQ62" s="139" t="str">
        <f>N62+AA62+AN62+BA62+BN62+CA62+CN62+DA62+DN62+EA62+EN62+FA62+FN62+GA62+GN62+HA62+HN62+IA62+IN62+JA62</f>
        <v>0</v>
      </c>
    </row>
    <row r="63" spans="1:278">
      <c r="A63" s="130"/>
      <c r="B63" s="131"/>
      <c r="C63" s="131"/>
      <c r="D63" s="131"/>
      <c r="E63" s="131"/>
      <c r="F63" s="131"/>
      <c r="G63" s="131"/>
      <c r="H63" s="131"/>
      <c r="I63" s="131"/>
      <c r="J63" s="131"/>
      <c r="K63" s="131"/>
      <c r="L63" s="131"/>
      <c r="M63" s="131"/>
      <c r="N63" s="132" t="str">
        <f>SUM(B63:M63)</f>
        <v>0</v>
      </c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  <c r="AA63" s="132" t="str">
        <f>SUM(O63:Z63)</f>
        <v>0</v>
      </c>
      <c r="AB63" s="131"/>
      <c r="AC63" s="131"/>
      <c r="AD63" s="131"/>
      <c r="AE63" s="131"/>
      <c r="AF63" s="131"/>
      <c r="AG63" s="131"/>
      <c r="AH63" s="131"/>
      <c r="AI63" s="131"/>
      <c r="AJ63" s="131"/>
      <c r="AK63" s="131"/>
      <c r="AL63" s="131"/>
      <c r="AM63" s="131"/>
      <c r="AN63" s="132" t="str">
        <f>SUM(AB63:AM63)</f>
        <v>0</v>
      </c>
      <c r="AO63" s="133"/>
      <c r="AP63" s="133"/>
      <c r="AQ63" s="133"/>
      <c r="AR63" s="133"/>
      <c r="AS63" s="133"/>
      <c r="AT63" s="133"/>
      <c r="AU63" s="133"/>
      <c r="AV63" s="133"/>
      <c r="AW63" s="133"/>
      <c r="AX63" s="133"/>
      <c r="AY63" s="133"/>
      <c r="AZ63" s="133"/>
      <c r="BA63" s="132" t="str">
        <f>SUM(AO63:AZ63)</f>
        <v>0</v>
      </c>
      <c r="BB63" s="134"/>
      <c r="BC63" s="134"/>
      <c r="BD63" s="134"/>
      <c r="BE63" s="134"/>
      <c r="BF63" s="134"/>
      <c r="BG63" s="134"/>
      <c r="BH63" s="134"/>
      <c r="BI63" s="134"/>
      <c r="BJ63" s="134"/>
      <c r="BK63" s="134"/>
      <c r="BL63" s="134"/>
      <c r="BM63" s="134"/>
      <c r="BN63" s="132" t="str">
        <f>SUM(BB63:BM63)</f>
        <v>0</v>
      </c>
      <c r="BO63" s="135"/>
      <c r="BP63" s="135"/>
      <c r="BQ63" s="135"/>
      <c r="BR63" s="135"/>
      <c r="BS63" s="135"/>
      <c r="BT63" s="135"/>
      <c r="BU63" s="135"/>
      <c r="BV63" s="135"/>
      <c r="BW63" s="135"/>
      <c r="BX63" s="135"/>
      <c r="BY63" s="135"/>
      <c r="BZ63" s="135"/>
      <c r="CA63" s="132" t="str">
        <f>SUM(BO63:BZ63)</f>
        <v>0</v>
      </c>
      <c r="CB63" s="136"/>
      <c r="CC63" s="136"/>
      <c r="CD63" s="136"/>
      <c r="CE63" s="136"/>
      <c r="CF63" s="136"/>
      <c r="CG63" s="136"/>
      <c r="CH63" s="136"/>
      <c r="CI63" s="136"/>
      <c r="CJ63" s="136"/>
      <c r="CK63" s="136"/>
      <c r="CL63" s="136"/>
      <c r="CM63" s="136"/>
      <c r="CN63" s="132" t="str">
        <f>SUM(CB63:CM63)</f>
        <v>0</v>
      </c>
      <c r="CO63" s="137"/>
      <c r="CP63" s="137"/>
      <c r="CQ63" s="137"/>
      <c r="CR63" s="137"/>
      <c r="CS63" s="137"/>
      <c r="CT63" s="137"/>
      <c r="CU63" s="137"/>
      <c r="CV63" s="137"/>
      <c r="CW63" s="137"/>
      <c r="CX63" s="137"/>
      <c r="CY63" s="137"/>
      <c r="CZ63" s="137"/>
      <c r="DA63" s="132" t="str">
        <f>SUM(CO63:CZ63)</f>
        <v>0</v>
      </c>
      <c r="DB63" s="136"/>
      <c r="DC63" s="136"/>
      <c r="DD63" s="136"/>
      <c r="DE63" s="136"/>
      <c r="DF63" s="136"/>
      <c r="DG63" s="136"/>
      <c r="DH63" s="136"/>
      <c r="DI63" s="136"/>
      <c r="DJ63" s="136"/>
      <c r="DK63" s="136"/>
      <c r="DL63" s="136"/>
      <c r="DM63" s="136"/>
      <c r="DN63" s="132" t="str">
        <f>SUM(DB63:DM63)</f>
        <v>0</v>
      </c>
      <c r="DO63" s="137"/>
      <c r="DP63" s="137"/>
      <c r="DQ63" s="137"/>
      <c r="DR63" s="137"/>
      <c r="DS63" s="137"/>
      <c r="DT63" s="137"/>
      <c r="DU63" s="137"/>
      <c r="DV63" s="137"/>
      <c r="DW63" s="137"/>
      <c r="DX63" s="137"/>
      <c r="DY63" s="137"/>
      <c r="DZ63" s="137"/>
      <c r="EA63" s="132" t="str">
        <f>SUM(DO63:DZ63)</f>
        <v>0</v>
      </c>
      <c r="EB63" s="216"/>
      <c r="EC63" s="216"/>
      <c r="ED63" s="216"/>
      <c r="EE63" s="216"/>
      <c r="EF63" s="216"/>
      <c r="EG63" s="216"/>
      <c r="EH63" s="216"/>
      <c r="EI63" s="216"/>
      <c r="EJ63" s="216"/>
      <c r="EK63" s="216"/>
      <c r="EL63" s="216"/>
      <c r="EM63" s="216"/>
      <c r="EN63" s="132" t="str">
        <f>SUM(EB63:EM63)</f>
        <v>0</v>
      </c>
      <c r="EO63" s="132"/>
      <c r="EP63" s="132"/>
      <c r="EQ63" s="132"/>
      <c r="ER63" s="132"/>
      <c r="ES63" s="132"/>
      <c r="ET63" s="132"/>
      <c r="EU63" s="132"/>
      <c r="EV63" s="132"/>
      <c r="EW63" s="132"/>
      <c r="EX63" s="132"/>
      <c r="EY63" s="132"/>
      <c r="EZ63" s="132"/>
      <c r="FA63" s="132" t="str">
        <f>SUM(EO63:EZ63)</f>
        <v>0</v>
      </c>
      <c r="FB63" s="181"/>
      <c r="FC63" s="181"/>
      <c r="FD63" s="181"/>
      <c r="FE63" s="181"/>
      <c r="FF63" s="181"/>
      <c r="FG63" s="181"/>
      <c r="FH63" s="181"/>
      <c r="FI63" s="181"/>
      <c r="FJ63" s="181"/>
      <c r="FK63" s="181"/>
      <c r="FL63" s="181"/>
      <c r="FM63" s="181"/>
      <c r="FN63" s="132" t="str">
        <f>SUM(FB63:FM63)</f>
        <v>0</v>
      </c>
      <c r="FO63" s="132"/>
      <c r="FP63" s="132"/>
      <c r="FQ63" s="132"/>
      <c r="FR63" s="132"/>
      <c r="FS63" s="132"/>
      <c r="FT63" s="132"/>
      <c r="FU63" s="132"/>
      <c r="FV63" s="132"/>
      <c r="FW63" s="132"/>
      <c r="FX63" s="132"/>
      <c r="FY63" s="132"/>
      <c r="FZ63" s="132"/>
      <c r="GA63" s="132" t="str">
        <f>SUM(FO63:FZ63)</f>
        <v>0</v>
      </c>
      <c r="GB63" s="181"/>
      <c r="GC63" s="181"/>
      <c r="GD63" s="181"/>
      <c r="GE63" s="181"/>
      <c r="GF63" s="181"/>
      <c r="GG63" s="181"/>
      <c r="GH63" s="181"/>
      <c r="GI63" s="181"/>
      <c r="GJ63" s="181"/>
      <c r="GK63" s="181"/>
      <c r="GL63" s="181"/>
      <c r="GM63" s="181"/>
      <c r="GN63" s="181" t="str">
        <f>SUM(GB63:GM63)</f>
        <v>0</v>
      </c>
      <c r="GO63" s="137"/>
      <c r="GP63" s="137"/>
      <c r="GQ63" s="137"/>
      <c r="GR63" s="137"/>
      <c r="GS63" s="137"/>
      <c r="GT63" s="137"/>
      <c r="GU63" s="137"/>
      <c r="GV63" s="137"/>
      <c r="GW63" s="137"/>
      <c r="GX63" s="137"/>
      <c r="GY63" s="137"/>
      <c r="GZ63" s="137"/>
      <c r="HA63" s="132" t="str">
        <f>SUM(GO63:GZ63)</f>
        <v>0</v>
      </c>
      <c r="HB63" s="181"/>
      <c r="HC63" s="181"/>
      <c r="HD63" s="181"/>
      <c r="HE63" s="181"/>
      <c r="HF63" s="181"/>
      <c r="HG63" s="181"/>
      <c r="HH63" s="181"/>
      <c r="HI63" s="181"/>
      <c r="HJ63" s="181"/>
      <c r="HK63" s="181"/>
      <c r="HL63" s="181"/>
      <c r="HM63" s="181"/>
      <c r="HN63" s="181" t="str">
        <f>SUM(HB63:HM63)</f>
        <v>0</v>
      </c>
      <c r="HO63" s="132"/>
      <c r="HP63" s="132"/>
      <c r="HQ63" s="132"/>
      <c r="HR63" s="132"/>
      <c r="HS63" s="132"/>
      <c r="HT63" s="132"/>
      <c r="HU63" s="132"/>
      <c r="HV63" s="132"/>
      <c r="HW63" s="132"/>
      <c r="HX63" s="132"/>
      <c r="HY63" s="132"/>
      <c r="HZ63" s="132"/>
      <c r="IA63" s="132" t="str">
        <f>SUM(HO63:HZ63)</f>
        <v>0</v>
      </c>
      <c r="IB63" s="181"/>
      <c r="IC63" s="181"/>
      <c r="ID63" s="181"/>
      <c r="IE63" s="181"/>
      <c r="IF63" s="181"/>
      <c r="IG63" s="181"/>
      <c r="IH63" s="181"/>
      <c r="II63" s="181"/>
      <c r="IJ63" s="181"/>
      <c r="IK63" s="181"/>
      <c r="IL63" s="181"/>
      <c r="IM63" s="181"/>
      <c r="IN63" s="181" t="str">
        <f>SUM(IB63:IM63)</f>
        <v>0</v>
      </c>
      <c r="IO63" s="181"/>
      <c r="IP63" s="181"/>
      <c r="IQ63" s="181"/>
      <c r="IR63" s="181"/>
      <c r="IS63" s="181"/>
      <c r="IT63" s="181"/>
      <c r="IU63" s="181"/>
      <c r="IV63" s="181"/>
      <c r="IW63" s="181"/>
      <c r="IX63" s="181"/>
      <c r="IY63" s="181"/>
      <c r="IZ63" s="181"/>
      <c r="JA63" s="181" t="str">
        <f>SUM(IO63:IZ63)</f>
        <v>0</v>
      </c>
      <c r="JC63" s="135" t="str">
        <f>B63+O63+AB63+AO63+BB63+BO63+CB63+CO63+DB63+DO63+EB63+EO63+FB63+FO63+GB63+GO63+HB63+HO63+IB63+IO63</f>
        <v>0</v>
      </c>
      <c r="JD63" s="135" t="str">
        <f>C63+P63+AC63+AP63+BC63+BP63+CC63+CP63+DC63+DP63+EC63+EP63+FC63+FP63+GC63+GP63+HC63+HP63+IC63+IP63</f>
        <v>0</v>
      </c>
      <c r="JE63" s="135" t="str">
        <f>D63+Q63+AD63+AQ63+BD63+BQ63+CD63+CQ63+DD63+DQ63+ED63+EQ63+FD63+FQ63+GD63+GQ63+HD63+HQ63+ID63+IQ63</f>
        <v>0</v>
      </c>
      <c r="JF63" s="135" t="str">
        <f>E63+R63+AE63+AR63+BE63+BR63+CE63+CR63+DE63+DR63+EE63+ER63+FE63+FR63+GE63+GR63+HE63+HR63+IE63+IR63</f>
        <v>0</v>
      </c>
      <c r="JG63" s="135" t="str">
        <f>F63+S63+AF63+AS63+BF63+BS63+CF63+CS63+DF63+DS63+EF63+ES63+FF63+FS63+GF63+GS63+HF63+HS63+IF63+IS63</f>
        <v>0</v>
      </c>
      <c r="JH63" s="135" t="str">
        <f>G63+T63+AG63+AT63+BG63+BT63+CG63+CT63+DG63+DT63+EG63+ET63+FG63+FT63+GG63+GT63+HG63+HT63+IG63+IT63</f>
        <v>0</v>
      </c>
      <c r="JI63" s="135" t="str">
        <f>H63+U63+AH63+AU63+BH63+BU63+CH63+CU63+DH63+DU63+EH63+EU63+FH63+FU63+GH63+GU63+HH63+HU63+IH63+IU63</f>
        <v>0</v>
      </c>
      <c r="JJ63" s="135" t="str">
        <f>I63+V63+AI63+AV63+BI63+BV63+CI63+CV63+DI63+DV63+EI63+EV63+FI63+FV63+GI63+GV63+HI63+HV63+II63+IV63</f>
        <v>0</v>
      </c>
      <c r="JK63" s="135" t="str">
        <f>J63+W63+AJ63+AW63+BJ63+BW63+CJ63+CW63+DJ63+DW63+EJ63+EW63+FJ63+FW63+GJ63+GW63+HJ63+HW63+IJ63+IW63</f>
        <v>0</v>
      </c>
      <c r="JL63" s="135" t="str">
        <f>K63+X63+AK63+AX63+BK63+BX63+CK63+CX63+DK63+DX63+EK63+EX63+FK63+FX63+GK63+GX63+HK63+HX63+IK63+IX63</f>
        <v>0</v>
      </c>
      <c r="JM63" s="135" t="str">
        <f>L63+Y63+AL63+AY63+BL63+BY63+CL63+CY63+DL63+DY63+EL63+EY63+FL63+FY63+GL63+GY63+HL63+HY63+IL63+IY63</f>
        <v>0</v>
      </c>
      <c r="JN63" s="135" t="str">
        <f>M63+Z63+AM63+AZ63+BM63+BZ63+CM63+CZ63+DM63+DZ63+EM63+EZ63+FM63+FZ63+GM63+GZ63+HM63+HZ63+IM63+IZ63</f>
        <v>0</v>
      </c>
      <c r="JO63" s="132" t="str">
        <f>SUM(JC63:JN63)</f>
        <v>0</v>
      </c>
      <c r="JQ63" s="139" t="str">
        <f>N63+AA63+AN63+BA63+BN63+CA63+CN63+DA63+DN63+EA63+EN63+FA63+FN63+GA63+GN63+HA63+HN63+IA63+IN63+JA63</f>
        <v>0</v>
      </c>
    </row>
    <row r="64" spans="1:278">
      <c r="A64" s="130"/>
      <c r="B64" s="131"/>
      <c r="C64" s="131"/>
      <c r="D64" s="131"/>
      <c r="E64" s="131"/>
      <c r="F64" s="131"/>
      <c r="G64" s="131"/>
      <c r="H64" s="131"/>
      <c r="I64" s="131"/>
      <c r="J64" s="131"/>
      <c r="K64" s="131"/>
      <c r="L64" s="131"/>
      <c r="M64" s="131"/>
      <c r="N64" s="132" t="str">
        <f>SUM(B64:M64)</f>
        <v>0</v>
      </c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133"/>
      <c r="Z64" s="133"/>
      <c r="AA64" s="132" t="str">
        <f>SUM(O64:Z64)</f>
        <v>0</v>
      </c>
      <c r="AB64" s="131"/>
      <c r="AC64" s="131"/>
      <c r="AD64" s="131"/>
      <c r="AE64" s="131"/>
      <c r="AF64" s="131"/>
      <c r="AG64" s="131"/>
      <c r="AH64" s="131"/>
      <c r="AI64" s="131"/>
      <c r="AJ64" s="131"/>
      <c r="AK64" s="131"/>
      <c r="AL64" s="131"/>
      <c r="AM64" s="131"/>
      <c r="AN64" s="132" t="str">
        <f>SUM(AB64:AM64)</f>
        <v>0</v>
      </c>
      <c r="AO64" s="133"/>
      <c r="AP64" s="133"/>
      <c r="AQ64" s="133"/>
      <c r="AR64" s="133"/>
      <c r="AS64" s="133"/>
      <c r="AT64" s="133"/>
      <c r="AU64" s="133"/>
      <c r="AV64" s="133"/>
      <c r="AW64" s="133"/>
      <c r="AX64" s="133"/>
      <c r="AY64" s="133"/>
      <c r="AZ64" s="133"/>
      <c r="BA64" s="132" t="str">
        <f>SUM(AO64:AZ64)</f>
        <v>0</v>
      </c>
      <c r="BB64" s="134"/>
      <c r="BC64" s="134"/>
      <c r="BD64" s="134"/>
      <c r="BE64" s="134"/>
      <c r="BF64" s="134"/>
      <c r="BG64" s="134"/>
      <c r="BH64" s="134"/>
      <c r="BI64" s="134"/>
      <c r="BJ64" s="134"/>
      <c r="BK64" s="134"/>
      <c r="BL64" s="134"/>
      <c r="BM64" s="134"/>
      <c r="BN64" s="132" t="str">
        <f>SUM(BB64:BM64)</f>
        <v>0</v>
      </c>
      <c r="BO64" s="135"/>
      <c r="BP64" s="135"/>
      <c r="BQ64" s="135"/>
      <c r="BR64" s="135"/>
      <c r="BS64" s="135"/>
      <c r="BT64" s="135"/>
      <c r="BU64" s="135"/>
      <c r="BV64" s="135"/>
      <c r="BW64" s="135"/>
      <c r="BX64" s="135"/>
      <c r="BY64" s="135"/>
      <c r="BZ64" s="135"/>
      <c r="CA64" s="132" t="str">
        <f>SUM(BO64:BZ64)</f>
        <v>0</v>
      </c>
      <c r="CB64" s="136"/>
      <c r="CC64" s="136"/>
      <c r="CD64" s="136"/>
      <c r="CE64" s="136"/>
      <c r="CF64" s="136"/>
      <c r="CG64" s="136"/>
      <c r="CH64" s="136"/>
      <c r="CI64" s="136"/>
      <c r="CJ64" s="136"/>
      <c r="CK64" s="136"/>
      <c r="CL64" s="136"/>
      <c r="CM64" s="136"/>
      <c r="CN64" s="132" t="str">
        <f>SUM(CB64:CM64)</f>
        <v>0</v>
      </c>
      <c r="CO64" s="137"/>
      <c r="CP64" s="137"/>
      <c r="CQ64" s="137"/>
      <c r="CR64" s="137"/>
      <c r="CS64" s="137"/>
      <c r="CT64" s="137"/>
      <c r="CU64" s="137"/>
      <c r="CV64" s="137"/>
      <c r="CW64" s="137"/>
      <c r="CX64" s="137"/>
      <c r="CY64" s="137"/>
      <c r="CZ64" s="137"/>
      <c r="DA64" s="132" t="str">
        <f>SUM(CO64:CZ64)</f>
        <v>0</v>
      </c>
      <c r="DB64" s="136"/>
      <c r="DC64" s="136"/>
      <c r="DD64" s="136"/>
      <c r="DE64" s="136"/>
      <c r="DF64" s="136"/>
      <c r="DG64" s="136"/>
      <c r="DH64" s="136"/>
      <c r="DI64" s="136"/>
      <c r="DJ64" s="136"/>
      <c r="DK64" s="136"/>
      <c r="DL64" s="136"/>
      <c r="DM64" s="136"/>
      <c r="DN64" s="132" t="str">
        <f>SUM(DB64:DM64)</f>
        <v>0</v>
      </c>
      <c r="DO64" s="137"/>
      <c r="DP64" s="137"/>
      <c r="DQ64" s="137"/>
      <c r="DR64" s="137"/>
      <c r="DS64" s="137"/>
      <c r="DT64" s="137"/>
      <c r="DU64" s="137"/>
      <c r="DV64" s="137"/>
      <c r="DW64" s="137"/>
      <c r="DX64" s="137"/>
      <c r="DY64" s="137"/>
      <c r="DZ64" s="137"/>
      <c r="EA64" s="132" t="str">
        <f>SUM(DO64:DZ64)</f>
        <v>0</v>
      </c>
      <c r="EB64" s="216"/>
      <c r="EC64" s="216"/>
      <c r="ED64" s="216"/>
      <c r="EE64" s="216"/>
      <c r="EF64" s="216"/>
      <c r="EG64" s="216"/>
      <c r="EH64" s="216"/>
      <c r="EI64" s="216"/>
      <c r="EJ64" s="216"/>
      <c r="EK64" s="216"/>
      <c r="EL64" s="216"/>
      <c r="EM64" s="216"/>
      <c r="EN64" s="132" t="str">
        <f>SUM(EB64:EM64)</f>
        <v>0</v>
      </c>
      <c r="EO64" s="132"/>
      <c r="EP64" s="132"/>
      <c r="EQ64" s="132"/>
      <c r="ER64" s="132"/>
      <c r="ES64" s="132"/>
      <c r="ET64" s="132"/>
      <c r="EU64" s="132"/>
      <c r="EV64" s="132"/>
      <c r="EW64" s="132"/>
      <c r="EX64" s="132"/>
      <c r="EY64" s="132"/>
      <c r="EZ64" s="132"/>
      <c r="FA64" s="132" t="str">
        <f>SUM(EO64:EZ64)</f>
        <v>0</v>
      </c>
      <c r="FB64" s="181"/>
      <c r="FC64" s="181"/>
      <c r="FD64" s="181"/>
      <c r="FE64" s="181"/>
      <c r="FF64" s="181"/>
      <c r="FG64" s="181"/>
      <c r="FH64" s="181"/>
      <c r="FI64" s="181"/>
      <c r="FJ64" s="181"/>
      <c r="FK64" s="181"/>
      <c r="FL64" s="181"/>
      <c r="FM64" s="181"/>
      <c r="FN64" s="132" t="str">
        <f>SUM(FB64:FM64)</f>
        <v>0</v>
      </c>
      <c r="FO64" s="132"/>
      <c r="FP64" s="132"/>
      <c r="FQ64" s="132"/>
      <c r="FR64" s="132"/>
      <c r="FS64" s="132"/>
      <c r="FT64" s="132"/>
      <c r="FU64" s="132"/>
      <c r="FV64" s="132"/>
      <c r="FW64" s="132"/>
      <c r="FX64" s="132"/>
      <c r="FY64" s="132"/>
      <c r="FZ64" s="132"/>
      <c r="GA64" s="132" t="str">
        <f>SUM(FO64:FZ64)</f>
        <v>0</v>
      </c>
      <c r="GB64" s="181"/>
      <c r="GC64" s="181"/>
      <c r="GD64" s="181"/>
      <c r="GE64" s="181"/>
      <c r="GF64" s="181"/>
      <c r="GG64" s="181"/>
      <c r="GH64" s="181"/>
      <c r="GI64" s="181"/>
      <c r="GJ64" s="181"/>
      <c r="GK64" s="181"/>
      <c r="GL64" s="181"/>
      <c r="GM64" s="181"/>
      <c r="GN64" s="181" t="str">
        <f>SUM(GB64:GM64)</f>
        <v>0</v>
      </c>
      <c r="GO64" s="137"/>
      <c r="GP64" s="137"/>
      <c r="GQ64" s="137"/>
      <c r="GR64" s="137"/>
      <c r="GS64" s="137"/>
      <c r="GT64" s="137"/>
      <c r="GU64" s="137"/>
      <c r="GV64" s="137"/>
      <c r="GW64" s="137"/>
      <c r="GX64" s="137"/>
      <c r="GY64" s="137"/>
      <c r="GZ64" s="137"/>
      <c r="HA64" s="132" t="str">
        <f>SUM(GO64:GZ64)</f>
        <v>0</v>
      </c>
      <c r="HB64" s="181"/>
      <c r="HC64" s="181"/>
      <c r="HD64" s="181"/>
      <c r="HE64" s="181"/>
      <c r="HF64" s="181"/>
      <c r="HG64" s="181"/>
      <c r="HH64" s="181"/>
      <c r="HI64" s="181"/>
      <c r="HJ64" s="181"/>
      <c r="HK64" s="181"/>
      <c r="HL64" s="181"/>
      <c r="HM64" s="181"/>
      <c r="HN64" s="181" t="str">
        <f>SUM(HB64:HM64)</f>
        <v>0</v>
      </c>
      <c r="HO64" s="132"/>
      <c r="HP64" s="132"/>
      <c r="HQ64" s="132"/>
      <c r="HR64" s="132"/>
      <c r="HS64" s="132"/>
      <c r="HT64" s="132"/>
      <c r="HU64" s="132"/>
      <c r="HV64" s="132"/>
      <c r="HW64" s="132"/>
      <c r="HX64" s="132"/>
      <c r="HY64" s="132"/>
      <c r="HZ64" s="132"/>
      <c r="IA64" s="132" t="str">
        <f>SUM(HO64:HZ64)</f>
        <v>0</v>
      </c>
      <c r="IB64" s="181"/>
      <c r="IC64" s="181"/>
      <c r="ID64" s="181"/>
      <c r="IE64" s="181"/>
      <c r="IF64" s="181"/>
      <c r="IG64" s="181"/>
      <c r="IH64" s="181"/>
      <c r="II64" s="181"/>
      <c r="IJ64" s="181"/>
      <c r="IK64" s="181"/>
      <c r="IL64" s="181"/>
      <c r="IM64" s="181"/>
      <c r="IN64" s="181" t="str">
        <f>SUM(IB64:IM64)</f>
        <v>0</v>
      </c>
      <c r="IO64" s="181"/>
      <c r="IP64" s="181"/>
      <c r="IQ64" s="181"/>
      <c r="IR64" s="181"/>
      <c r="IS64" s="181"/>
      <c r="IT64" s="181"/>
      <c r="IU64" s="181"/>
      <c r="IV64" s="181"/>
      <c r="IW64" s="181"/>
      <c r="IX64" s="181"/>
      <c r="IY64" s="181"/>
      <c r="IZ64" s="181"/>
      <c r="JA64" s="181" t="str">
        <f>SUM(IO64:IZ64)</f>
        <v>0</v>
      </c>
      <c r="JC64" s="135" t="str">
        <f>B64+O64+AB64+AO64+BB64+BO64+CB64+CO64+DB64+DO64+EB64+EO64+FB64+FO64+GB64+GO64+HB64+HO64+IB64+IO64</f>
        <v>0</v>
      </c>
      <c r="JD64" s="135" t="str">
        <f>C64+P64+AC64+AP64+BC64+BP64+CC64+CP64+DC64+DP64+EC64+EP64+FC64+FP64+GC64+GP64+HC64+HP64+IC64+IP64</f>
        <v>0</v>
      </c>
      <c r="JE64" s="135" t="str">
        <f>D64+Q64+AD64+AQ64+BD64+BQ64+CD64+CQ64+DD64+DQ64+ED64+EQ64+FD64+FQ64+GD64+GQ64+HD64+HQ64+ID64+IQ64</f>
        <v>0</v>
      </c>
      <c r="JF64" s="135" t="str">
        <f>E64+R64+AE64+AR64+BE64+BR64+CE64+CR64+DE64+DR64+EE64+ER64+FE64+FR64+GE64+GR64+HE64+HR64+IE64+IR64</f>
        <v>0</v>
      </c>
      <c r="JG64" s="135" t="str">
        <f>F64+S64+AF64+AS64+BF64+BS64+CF64+CS64+DF64+DS64+EF64+ES64+FF64+FS64+GF64+GS64+HF64+HS64+IF64+IS64</f>
        <v>0</v>
      </c>
      <c r="JH64" s="135" t="str">
        <f>G64+T64+AG64+AT64+BG64+BT64+CG64+CT64+DG64+DT64+EG64+ET64+FG64+FT64+GG64+GT64+HG64+HT64+IG64+IT64</f>
        <v>0</v>
      </c>
      <c r="JI64" s="135" t="str">
        <f>H64+U64+AH64+AU64+BH64+BU64+CH64+CU64+DH64+DU64+EH64+EU64+FH64+FU64+GH64+GU64+HH64+HU64+IH64+IU64</f>
        <v>0</v>
      </c>
      <c r="JJ64" s="135" t="str">
        <f>I64+V64+AI64+AV64+BI64+BV64+CI64+CV64+DI64+DV64+EI64+EV64+FI64+FV64+GI64+GV64+HI64+HV64+II64+IV64</f>
        <v>0</v>
      </c>
      <c r="JK64" s="135" t="str">
        <f>J64+W64+AJ64+AW64+BJ64+BW64+CJ64+CW64+DJ64+DW64+EJ64+EW64+FJ64+FW64+GJ64+GW64+HJ64+HW64+IJ64+IW64</f>
        <v>0</v>
      </c>
      <c r="JL64" s="135" t="str">
        <f>K64+X64+AK64+AX64+BK64+BX64+CK64+CX64+DK64+DX64+EK64+EX64+FK64+FX64+GK64+GX64+HK64+HX64+IK64+IX64</f>
        <v>0</v>
      </c>
      <c r="JM64" s="135" t="str">
        <f>L64+Y64+AL64+AY64+BL64+BY64+CL64+CY64+DL64+DY64+EL64+EY64+FL64+FY64+GL64+GY64+HL64+HY64+IL64+IY64</f>
        <v>0</v>
      </c>
      <c r="JN64" s="135" t="str">
        <f>M64+Z64+AM64+AZ64+BM64+BZ64+CM64+CZ64+DM64+DZ64+EM64+EZ64+FM64+FZ64+GM64+GZ64+HM64+HZ64+IM64+IZ64</f>
        <v>0</v>
      </c>
      <c r="JO64" s="132" t="str">
        <f>SUM(JC64:JN64)</f>
        <v>0</v>
      </c>
      <c r="JQ64" s="139" t="str">
        <f>N64+AA64+AN64+BA64+BN64+CA64+CN64+DA64+DN64+EA64+EN64+FA64+FN64+GA64+GN64+HA64+HN64+IA64+IN64+JA64</f>
        <v>0</v>
      </c>
    </row>
    <row r="65" spans="1:278">
      <c r="A65" s="130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2" t="str">
        <f>SUM(B65:M65)</f>
        <v>0</v>
      </c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  <c r="AA65" s="132" t="str">
        <f>SUM(O65:Z65)</f>
        <v>0</v>
      </c>
      <c r="AB65" s="131"/>
      <c r="AC65" s="131"/>
      <c r="AD65" s="131"/>
      <c r="AE65" s="131"/>
      <c r="AF65" s="131"/>
      <c r="AG65" s="131"/>
      <c r="AH65" s="131"/>
      <c r="AI65" s="131"/>
      <c r="AJ65" s="131"/>
      <c r="AK65" s="131"/>
      <c r="AL65" s="131"/>
      <c r="AM65" s="131"/>
      <c r="AN65" s="132" t="str">
        <f>SUM(AB65:AM65)</f>
        <v>0</v>
      </c>
      <c r="AO65" s="133"/>
      <c r="AP65" s="133"/>
      <c r="AQ65" s="133"/>
      <c r="AR65" s="133"/>
      <c r="AS65" s="133"/>
      <c r="AT65" s="133"/>
      <c r="AU65" s="133"/>
      <c r="AV65" s="133"/>
      <c r="AW65" s="133"/>
      <c r="AX65" s="133"/>
      <c r="AY65" s="133"/>
      <c r="AZ65" s="133"/>
      <c r="BA65" s="132" t="str">
        <f>SUM(AO65:AZ65)</f>
        <v>0</v>
      </c>
      <c r="BB65" s="134"/>
      <c r="BC65" s="134"/>
      <c r="BD65" s="134"/>
      <c r="BE65" s="134"/>
      <c r="BF65" s="134"/>
      <c r="BG65" s="134"/>
      <c r="BH65" s="134"/>
      <c r="BI65" s="134"/>
      <c r="BJ65" s="134"/>
      <c r="BK65" s="134"/>
      <c r="BL65" s="134"/>
      <c r="BM65" s="134"/>
      <c r="BN65" s="132" t="str">
        <f>SUM(BB65:BM65)</f>
        <v>0</v>
      </c>
      <c r="BO65" s="135"/>
      <c r="BP65" s="135"/>
      <c r="BQ65" s="135"/>
      <c r="BR65" s="135"/>
      <c r="BS65" s="135"/>
      <c r="BT65" s="135"/>
      <c r="BU65" s="135"/>
      <c r="BV65" s="135"/>
      <c r="BW65" s="135"/>
      <c r="BX65" s="135"/>
      <c r="BY65" s="135"/>
      <c r="BZ65" s="135"/>
      <c r="CA65" s="132" t="str">
        <f>SUM(BO65:BZ65)</f>
        <v>0</v>
      </c>
      <c r="CB65" s="136"/>
      <c r="CC65" s="136"/>
      <c r="CD65" s="136"/>
      <c r="CE65" s="136"/>
      <c r="CF65" s="136"/>
      <c r="CG65" s="136"/>
      <c r="CH65" s="136"/>
      <c r="CI65" s="136"/>
      <c r="CJ65" s="136"/>
      <c r="CK65" s="136"/>
      <c r="CL65" s="136"/>
      <c r="CM65" s="136"/>
      <c r="CN65" s="132" t="str">
        <f>SUM(CB65:CM65)</f>
        <v>0</v>
      </c>
      <c r="CO65" s="137"/>
      <c r="CP65" s="137"/>
      <c r="CQ65" s="137"/>
      <c r="CR65" s="137"/>
      <c r="CS65" s="137"/>
      <c r="CT65" s="137"/>
      <c r="CU65" s="137"/>
      <c r="CV65" s="137"/>
      <c r="CW65" s="137"/>
      <c r="CX65" s="137"/>
      <c r="CY65" s="137"/>
      <c r="CZ65" s="137"/>
      <c r="DA65" s="132" t="str">
        <f>SUM(CO65:CZ65)</f>
        <v>0</v>
      </c>
      <c r="DB65" s="136"/>
      <c r="DC65" s="136"/>
      <c r="DD65" s="136"/>
      <c r="DE65" s="136"/>
      <c r="DF65" s="136"/>
      <c r="DG65" s="136"/>
      <c r="DH65" s="136"/>
      <c r="DI65" s="136"/>
      <c r="DJ65" s="136"/>
      <c r="DK65" s="136"/>
      <c r="DL65" s="136"/>
      <c r="DM65" s="136"/>
      <c r="DN65" s="132" t="str">
        <f>SUM(DB65:DM65)</f>
        <v>0</v>
      </c>
      <c r="DO65" s="137"/>
      <c r="DP65" s="137"/>
      <c r="DQ65" s="137"/>
      <c r="DR65" s="137"/>
      <c r="DS65" s="137"/>
      <c r="DT65" s="137"/>
      <c r="DU65" s="137"/>
      <c r="DV65" s="137"/>
      <c r="DW65" s="137"/>
      <c r="DX65" s="137"/>
      <c r="DY65" s="137"/>
      <c r="DZ65" s="137"/>
      <c r="EA65" s="132" t="str">
        <f>SUM(DO65:DZ65)</f>
        <v>0</v>
      </c>
      <c r="EB65" s="216"/>
      <c r="EC65" s="216"/>
      <c r="ED65" s="216"/>
      <c r="EE65" s="216"/>
      <c r="EF65" s="216"/>
      <c r="EG65" s="216"/>
      <c r="EH65" s="216"/>
      <c r="EI65" s="216"/>
      <c r="EJ65" s="216"/>
      <c r="EK65" s="216"/>
      <c r="EL65" s="216"/>
      <c r="EM65" s="216"/>
      <c r="EN65" s="132" t="str">
        <f>SUM(EB65:EM65)</f>
        <v>0</v>
      </c>
      <c r="EO65" s="132"/>
      <c r="EP65" s="132"/>
      <c r="EQ65" s="132"/>
      <c r="ER65" s="132"/>
      <c r="ES65" s="132"/>
      <c r="ET65" s="132"/>
      <c r="EU65" s="132"/>
      <c r="EV65" s="132"/>
      <c r="EW65" s="132"/>
      <c r="EX65" s="132"/>
      <c r="EY65" s="132"/>
      <c r="EZ65" s="132"/>
      <c r="FA65" s="132" t="str">
        <f>SUM(EO65:EZ65)</f>
        <v>0</v>
      </c>
      <c r="FB65" s="181"/>
      <c r="FC65" s="181"/>
      <c r="FD65" s="181"/>
      <c r="FE65" s="181"/>
      <c r="FF65" s="181"/>
      <c r="FG65" s="181"/>
      <c r="FH65" s="181"/>
      <c r="FI65" s="181"/>
      <c r="FJ65" s="181"/>
      <c r="FK65" s="181"/>
      <c r="FL65" s="181"/>
      <c r="FM65" s="181"/>
      <c r="FN65" s="132" t="str">
        <f>SUM(FB65:FM65)</f>
        <v>0</v>
      </c>
      <c r="FO65" s="132"/>
      <c r="FP65" s="132"/>
      <c r="FQ65" s="132"/>
      <c r="FR65" s="132"/>
      <c r="FS65" s="132"/>
      <c r="FT65" s="132"/>
      <c r="FU65" s="132"/>
      <c r="FV65" s="132"/>
      <c r="FW65" s="132"/>
      <c r="FX65" s="132"/>
      <c r="FY65" s="132"/>
      <c r="FZ65" s="132"/>
      <c r="GA65" s="132" t="str">
        <f>SUM(FO65:FZ65)</f>
        <v>0</v>
      </c>
      <c r="GB65" s="181"/>
      <c r="GC65" s="181"/>
      <c r="GD65" s="181"/>
      <c r="GE65" s="181"/>
      <c r="GF65" s="181"/>
      <c r="GG65" s="181"/>
      <c r="GH65" s="181"/>
      <c r="GI65" s="181"/>
      <c r="GJ65" s="181"/>
      <c r="GK65" s="181"/>
      <c r="GL65" s="181"/>
      <c r="GM65" s="181"/>
      <c r="GN65" s="181" t="str">
        <f>SUM(GB65:GM65)</f>
        <v>0</v>
      </c>
      <c r="GO65" s="137"/>
      <c r="GP65" s="137"/>
      <c r="GQ65" s="137"/>
      <c r="GR65" s="137"/>
      <c r="GS65" s="137"/>
      <c r="GT65" s="137"/>
      <c r="GU65" s="137"/>
      <c r="GV65" s="137"/>
      <c r="GW65" s="137"/>
      <c r="GX65" s="137"/>
      <c r="GY65" s="137"/>
      <c r="GZ65" s="137"/>
      <c r="HA65" s="132" t="str">
        <f>SUM(GO65:GZ65)</f>
        <v>0</v>
      </c>
      <c r="HB65" s="181"/>
      <c r="HC65" s="181"/>
      <c r="HD65" s="181"/>
      <c r="HE65" s="181"/>
      <c r="HF65" s="181"/>
      <c r="HG65" s="181"/>
      <c r="HH65" s="181"/>
      <c r="HI65" s="181"/>
      <c r="HJ65" s="181"/>
      <c r="HK65" s="181"/>
      <c r="HL65" s="181"/>
      <c r="HM65" s="181"/>
      <c r="HN65" s="181" t="str">
        <f>SUM(HB65:HM65)</f>
        <v>0</v>
      </c>
      <c r="HO65" s="132"/>
      <c r="HP65" s="132"/>
      <c r="HQ65" s="132"/>
      <c r="HR65" s="132"/>
      <c r="HS65" s="132"/>
      <c r="HT65" s="132"/>
      <c r="HU65" s="132"/>
      <c r="HV65" s="132"/>
      <c r="HW65" s="132"/>
      <c r="HX65" s="132"/>
      <c r="HY65" s="132"/>
      <c r="HZ65" s="132"/>
      <c r="IA65" s="132" t="str">
        <f>SUM(HO65:HZ65)</f>
        <v>0</v>
      </c>
      <c r="IB65" s="181"/>
      <c r="IC65" s="181"/>
      <c r="ID65" s="181"/>
      <c r="IE65" s="181"/>
      <c r="IF65" s="181"/>
      <c r="IG65" s="181"/>
      <c r="IH65" s="181"/>
      <c r="II65" s="181"/>
      <c r="IJ65" s="181"/>
      <c r="IK65" s="181"/>
      <c r="IL65" s="181"/>
      <c r="IM65" s="181"/>
      <c r="IN65" s="181" t="str">
        <f>SUM(IB65:IM65)</f>
        <v>0</v>
      </c>
      <c r="IO65" s="181"/>
      <c r="IP65" s="181"/>
      <c r="IQ65" s="181"/>
      <c r="IR65" s="181"/>
      <c r="IS65" s="181"/>
      <c r="IT65" s="181"/>
      <c r="IU65" s="181"/>
      <c r="IV65" s="181"/>
      <c r="IW65" s="181"/>
      <c r="IX65" s="181"/>
      <c r="IY65" s="181"/>
      <c r="IZ65" s="181"/>
      <c r="JA65" s="181" t="str">
        <f>SUM(IO65:IZ65)</f>
        <v>0</v>
      </c>
      <c r="JC65" s="135" t="str">
        <f>B65+O65+AB65+AO65+BB65+BO65+CB65+CO65+DB65+DO65+EB65+EO65+FB65+FO65+GB65+GO65+HB65+HO65+IB65+IO65</f>
        <v>0</v>
      </c>
      <c r="JD65" s="135" t="str">
        <f>C65+P65+AC65+AP65+BC65+BP65+CC65+CP65+DC65+DP65+EC65+EP65+FC65+FP65+GC65+GP65+HC65+HP65+IC65+IP65</f>
        <v>0</v>
      </c>
      <c r="JE65" s="135" t="str">
        <f>D65+Q65+AD65+AQ65+BD65+BQ65+CD65+CQ65+DD65+DQ65+ED65+EQ65+FD65+FQ65+GD65+GQ65+HD65+HQ65+ID65+IQ65</f>
        <v>0</v>
      </c>
      <c r="JF65" s="135" t="str">
        <f>E65+R65+AE65+AR65+BE65+BR65+CE65+CR65+DE65+DR65+EE65+ER65+FE65+FR65+GE65+GR65+HE65+HR65+IE65+IR65</f>
        <v>0</v>
      </c>
      <c r="JG65" s="135" t="str">
        <f>F65+S65+AF65+AS65+BF65+BS65+CF65+CS65+DF65+DS65+EF65+ES65+FF65+FS65+GF65+GS65+HF65+HS65+IF65+IS65</f>
        <v>0</v>
      </c>
      <c r="JH65" s="135" t="str">
        <f>G65+T65+AG65+AT65+BG65+BT65+CG65+CT65+DG65+DT65+EG65+ET65+FG65+FT65+GG65+GT65+HG65+HT65+IG65+IT65</f>
        <v>0</v>
      </c>
      <c r="JI65" s="135" t="str">
        <f>H65+U65+AH65+AU65+BH65+BU65+CH65+CU65+DH65+DU65+EH65+EU65+FH65+FU65+GH65+GU65+HH65+HU65+IH65+IU65</f>
        <v>0</v>
      </c>
      <c r="JJ65" s="135" t="str">
        <f>I65+V65+AI65+AV65+BI65+BV65+CI65+CV65+DI65+DV65+EI65+EV65+FI65+FV65+GI65+GV65+HI65+HV65+II65+IV65</f>
        <v>0</v>
      </c>
      <c r="JK65" s="135" t="str">
        <f>J65+W65+AJ65+AW65+BJ65+BW65+CJ65+CW65+DJ65+DW65+EJ65+EW65+FJ65+FW65+GJ65+GW65+HJ65+HW65+IJ65+IW65</f>
        <v>0</v>
      </c>
      <c r="JL65" s="135" t="str">
        <f>K65+X65+AK65+AX65+BK65+BX65+CK65+CX65+DK65+DX65+EK65+EX65+FK65+FX65+GK65+GX65+HK65+HX65+IK65+IX65</f>
        <v>0</v>
      </c>
      <c r="JM65" s="135" t="str">
        <f>L65+Y65+AL65+AY65+BL65+BY65+CL65+CY65+DL65+DY65+EL65+EY65+FL65+FY65+GL65+GY65+HL65+HY65+IL65+IY65</f>
        <v>0</v>
      </c>
      <c r="JN65" s="135" t="str">
        <f>M65+Z65+AM65+AZ65+BM65+BZ65+CM65+CZ65+DM65+DZ65+EM65+EZ65+FM65+FZ65+GM65+GZ65+HM65+HZ65+IM65+IZ65</f>
        <v>0</v>
      </c>
      <c r="JO65" s="132" t="str">
        <f>SUM(JC65:JN65)</f>
        <v>0</v>
      </c>
      <c r="JQ65" s="139" t="str">
        <f>N65+AA65+AN65+BA65+BN65+CA65+CN65+DA65+DN65+EA65+EN65+FA65+FN65+GA65+GN65+HA65+HN65+IA65+IN65+JA65</f>
        <v>0</v>
      </c>
    </row>
    <row r="66" spans="1:278">
      <c r="A66" s="130"/>
      <c r="B66" s="131"/>
      <c r="C66" s="131"/>
      <c r="D66" s="131"/>
      <c r="E66" s="131"/>
      <c r="F66" s="131"/>
      <c r="G66" s="131"/>
      <c r="H66" s="131"/>
      <c r="I66" s="131"/>
      <c r="J66" s="131"/>
      <c r="K66" s="131"/>
      <c r="L66" s="131"/>
      <c r="M66" s="131"/>
      <c r="N66" s="132" t="str">
        <f>SUM(B66:M66)</f>
        <v>0</v>
      </c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3"/>
      <c r="AA66" s="132" t="str">
        <f>SUM(O66:Z66)</f>
        <v>0</v>
      </c>
      <c r="AB66" s="131"/>
      <c r="AC66" s="131"/>
      <c r="AD66" s="131"/>
      <c r="AE66" s="131"/>
      <c r="AF66" s="131"/>
      <c r="AG66" s="131"/>
      <c r="AH66" s="131"/>
      <c r="AI66" s="131"/>
      <c r="AJ66" s="131"/>
      <c r="AK66" s="131"/>
      <c r="AL66" s="131"/>
      <c r="AM66" s="131"/>
      <c r="AN66" s="132" t="str">
        <f>SUM(AB66:AM66)</f>
        <v>0</v>
      </c>
      <c r="AO66" s="133"/>
      <c r="AP66" s="133"/>
      <c r="AQ66" s="133"/>
      <c r="AR66" s="133"/>
      <c r="AS66" s="133"/>
      <c r="AT66" s="133"/>
      <c r="AU66" s="133"/>
      <c r="AV66" s="133"/>
      <c r="AW66" s="133"/>
      <c r="AX66" s="133"/>
      <c r="AY66" s="133"/>
      <c r="AZ66" s="133"/>
      <c r="BA66" s="132" t="str">
        <f>SUM(AO66:AZ66)</f>
        <v>0</v>
      </c>
      <c r="BB66" s="134"/>
      <c r="BC66" s="134"/>
      <c r="BD66" s="134"/>
      <c r="BE66" s="134"/>
      <c r="BF66" s="134"/>
      <c r="BG66" s="134"/>
      <c r="BH66" s="134"/>
      <c r="BI66" s="134"/>
      <c r="BJ66" s="134"/>
      <c r="BK66" s="134"/>
      <c r="BL66" s="134"/>
      <c r="BM66" s="134"/>
      <c r="BN66" s="132" t="str">
        <f>SUM(BB66:BM66)</f>
        <v>0</v>
      </c>
      <c r="BO66" s="135"/>
      <c r="BP66" s="135"/>
      <c r="BQ66" s="135"/>
      <c r="BR66" s="135"/>
      <c r="BS66" s="135"/>
      <c r="BT66" s="135"/>
      <c r="BU66" s="135"/>
      <c r="BV66" s="135"/>
      <c r="BW66" s="135"/>
      <c r="BX66" s="135"/>
      <c r="BY66" s="135"/>
      <c r="BZ66" s="135"/>
      <c r="CA66" s="132" t="str">
        <f>SUM(BO66:BZ66)</f>
        <v>0</v>
      </c>
      <c r="CB66" s="136"/>
      <c r="CC66" s="136"/>
      <c r="CD66" s="136"/>
      <c r="CE66" s="136"/>
      <c r="CF66" s="136"/>
      <c r="CG66" s="136"/>
      <c r="CH66" s="136"/>
      <c r="CI66" s="136"/>
      <c r="CJ66" s="136"/>
      <c r="CK66" s="136"/>
      <c r="CL66" s="136"/>
      <c r="CM66" s="136"/>
      <c r="CN66" s="132" t="str">
        <f>SUM(CB66:CM66)</f>
        <v>0</v>
      </c>
      <c r="CO66" s="137"/>
      <c r="CP66" s="137"/>
      <c r="CQ66" s="137"/>
      <c r="CR66" s="137"/>
      <c r="CS66" s="137"/>
      <c r="CT66" s="137"/>
      <c r="CU66" s="137"/>
      <c r="CV66" s="137"/>
      <c r="CW66" s="137"/>
      <c r="CX66" s="137"/>
      <c r="CY66" s="137"/>
      <c r="CZ66" s="137"/>
      <c r="DA66" s="132" t="str">
        <f>SUM(CO66:CZ66)</f>
        <v>0</v>
      </c>
      <c r="DB66" s="136"/>
      <c r="DC66" s="136"/>
      <c r="DD66" s="136"/>
      <c r="DE66" s="136"/>
      <c r="DF66" s="136"/>
      <c r="DG66" s="136"/>
      <c r="DH66" s="136"/>
      <c r="DI66" s="136"/>
      <c r="DJ66" s="136"/>
      <c r="DK66" s="136"/>
      <c r="DL66" s="136"/>
      <c r="DM66" s="136"/>
      <c r="DN66" s="132" t="str">
        <f>SUM(DB66:DM66)</f>
        <v>0</v>
      </c>
      <c r="DO66" s="137"/>
      <c r="DP66" s="137"/>
      <c r="DQ66" s="137"/>
      <c r="DR66" s="137"/>
      <c r="DS66" s="137"/>
      <c r="DT66" s="137"/>
      <c r="DU66" s="137"/>
      <c r="DV66" s="137"/>
      <c r="DW66" s="137"/>
      <c r="DX66" s="137"/>
      <c r="DY66" s="137"/>
      <c r="DZ66" s="137"/>
      <c r="EA66" s="132" t="str">
        <f>SUM(DO66:DZ66)</f>
        <v>0</v>
      </c>
      <c r="EB66" s="216"/>
      <c r="EC66" s="216"/>
      <c r="ED66" s="216"/>
      <c r="EE66" s="216"/>
      <c r="EF66" s="216"/>
      <c r="EG66" s="216"/>
      <c r="EH66" s="216"/>
      <c r="EI66" s="216"/>
      <c r="EJ66" s="216"/>
      <c r="EK66" s="216"/>
      <c r="EL66" s="216"/>
      <c r="EM66" s="216"/>
      <c r="EN66" s="132" t="str">
        <f>SUM(EB66:EM66)</f>
        <v>0</v>
      </c>
      <c r="EO66" s="132"/>
      <c r="EP66" s="132"/>
      <c r="EQ66" s="132"/>
      <c r="ER66" s="132"/>
      <c r="ES66" s="132"/>
      <c r="ET66" s="132"/>
      <c r="EU66" s="132"/>
      <c r="EV66" s="132"/>
      <c r="EW66" s="132"/>
      <c r="EX66" s="132"/>
      <c r="EY66" s="132"/>
      <c r="EZ66" s="132"/>
      <c r="FA66" s="132" t="str">
        <f>SUM(EO66:EZ66)</f>
        <v>0</v>
      </c>
      <c r="FB66" s="181"/>
      <c r="FC66" s="181"/>
      <c r="FD66" s="181"/>
      <c r="FE66" s="181"/>
      <c r="FF66" s="181"/>
      <c r="FG66" s="181"/>
      <c r="FH66" s="181"/>
      <c r="FI66" s="181"/>
      <c r="FJ66" s="181"/>
      <c r="FK66" s="181"/>
      <c r="FL66" s="181"/>
      <c r="FM66" s="181"/>
      <c r="FN66" s="132" t="str">
        <f>SUM(FB66:FM66)</f>
        <v>0</v>
      </c>
      <c r="FO66" s="132"/>
      <c r="FP66" s="132"/>
      <c r="FQ66" s="132"/>
      <c r="FR66" s="132"/>
      <c r="FS66" s="132"/>
      <c r="FT66" s="132"/>
      <c r="FU66" s="132"/>
      <c r="FV66" s="132"/>
      <c r="FW66" s="132"/>
      <c r="FX66" s="132"/>
      <c r="FY66" s="132"/>
      <c r="FZ66" s="132"/>
      <c r="GA66" s="132" t="str">
        <f>SUM(FO66:FZ66)</f>
        <v>0</v>
      </c>
      <c r="GB66" s="181"/>
      <c r="GC66" s="181"/>
      <c r="GD66" s="181"/>
      <c r="GE66" s="181"/>
      <c r="GF66" s="181"/>
      <c r="GG66" s="181"/>
      <c r="GH66" s="181"/>
      <c r="GI66" s="181"/>
      <c r="GJ66" s="181"/>
      <c r="GK66" s="181"/>
      <c r="GL66" s="181"/>
      <c r="GM66" s="181"/>
      <c r="GN66" s="181" t="str">
        <f>SUM(GB66:GM66)</f>
        <v>0</v>
      </c>
      <c r="GO66" s="137"/>
      <c r="GP66" s="137"/>
      <c r="GQ66" s="137"/>
      <c r="GR66" s="137"/>
      <c r="GS66" s="137"/>
      <c r="GT66" s="137"/>
      <c r="GU66" s="137"/>
      <c r="GV66" s="137"/>
      <c r="GW66" s="137"/>
      <c r="GX66" s="137"/>
      <c r="GY66" s="137"/>
      <c r="GZ66" s="137"/>
      <c r="HA66" s="132" t="str">
        <f>SUM(GO66:GZ66)</f>
        <v>0</v>
      </c>
      <c r="HB66" s="181"/>
      <c r="HC66" s="181"/>
      <c r="HD66" s="181"/>
      <c r="HE66" s="181"/>
      <c r="HF66" s="181"/>
      <c r="HG66" s="181"/>
      <c r="HH66" s="181"/>
      <c r="HI66" s="181"/>
      <c r="HJ66" s="181"/>
      <c r="HK66" s="181"/>
      <c r="HL66" s="181"/>
      <c r="HM66" s="181"/>
      <c r="HN66" s="181" t="str">
        <f>SUM(HB66:HM66)</f>
        <v>0</v>
      </c>
      <c r="HO66" s="132"/>
      <c r="HP66" s="132"/>
      <c r="HQ66" s="132"/>
      <c r="HR66" s="132"/>
      <c r="HS66" s="132"/>
      <c r="HT66" s="132"/>
      <c r="HU66" s="132"/>
      <c r="HV66" s="132"/>
      <c r="HW66" s="132"/>
      <c r="HX66" s="132"/>
      <c r="HY66" s="132"/>
      <c r="HZ66" s="132"/>
      <c r="IA66" s="132" t="str">
        <f>SUM(HO66:HZ66)</f>
        <v>0</v>
      </c>
      <c r="IB66" s="181"/>
      <c r="IC66" s="181"/>
      <c r="ID66" s="181"/>
      <c r="IE66" s="181"/>
      <c r="IF66" s="181"/>
      <c r="IG66" s="181"/>
      <c r="IH66" s="181"/>
      <c r="II66" s="181"/>
      <c r="IJ66" s="181"/>
      <c r="IK66" s="181"/>
      <c r="IL66" s="181"/>
      <c r="IM66" s="181"/>
      <c r="IN66" s="181" t="str">
        <f>SUM(IB66:IM66)</f>
        <v>0</v>
      </c>
      <c r="IO66" s="181"/>
      <c r="IP66" s="181"/>
      <c r="IQ66" s="181"/>
      <c r="IR66" s="181"/>
      <c r="IS66" s="181"/>
      <c r="IT66" s="181"/>
      <c r="IU66" s="181"/>
      <c r="IV66" s="181"/>
      <c r="IW66" s="181"/>
      <c r="IX66" s="181"/>
      <c r="IY66" s="181"/>
      <c r="IZ66" s="181"/>
      <c r="JA66" s="181" t="str">
        <f>SUM(IO66:IZ66)</f>
        <v>0</v>
      </c>
      <c r="JC66" s="135" t="str">
        <f>B66+O66+AB66+AO66+BB66+BO66+CB66+CO66+DB66+DO66+EB66+EO66+FB66+FO66+GB66+GO66+HB66+HO66+IB66+IO66</f>
        <v>0</v>
      </c>
      <c r="JD66" s="135" t="str">
        <f>C66+P66+AC66+AP66+BC66+BP66+CC66+CP66+DC66+DP66+EC66+EP66+FC66+FP66+GC66+GP66+HC66+HP66+IC66+IP66</f>
        <v>0</v>
      </c>
      <c r="JE66" s="135" t="str">
        <f>D66+Q66+AD66+AQ66+BD66+BQ66+CD66+CQ66+DD66+DQ66+ED66+EQ66+FD66+FQ66+GD66+GQ66+HD66+HQ66+ID66+IQ66</f>
        <v>0</v>
      </c>
      <c r="JF66" s="135" t="str">
        <f>E66+R66+AE66+AR66+BE66+BR66+CE66+CR66+DE66+DR66+EE66+ER66+FE66+FR66+GE66+GR66+HE66+HR66+IE66+IR66</f>
        <v>0</v>
      </c>
      <c r="JG66" s="135" t="str">
        <f>F66+S66+AF66+AS66+BF66+BS66+CF66+CS66+DF66+DS66+EF66+ES66+FF66+FS66+GF66+GS66+HF66+HS66+IF66+IS66</f>
        <v>0</v>
      </c>
      <c r="JH66" s="135" t="str">
        <f>G66+T66+AG66+AT66+BG66+BT66+CG66+CT66+DG66+DT66+EG66+ET66+FG66+FT66+GG66+GT66+HG66+HT66+IG66+IT66</f>
        <v>0</v>
      </c>
      <c r="JI66" s="135" t="str">
        <f>H66+U66+AH66+AU66+BH66+BU66+CH66+CU66+DH66+DU66+EH66+EU66+FH66+FU66+GH66+GU66+HH66+HU66+IH66+IU66</f>
        <v>0</v>
      </c>
      <c r="JJ66" s="135" t="str">
        <f>I66+V66+AI66+AV66+BI66+BV66+CI66+CV66+DI66+DV66+EI66+EV66+FI66+FV66+GI66+GV66+HI66+HV66+II66+IV66</f>
        <v>0</v>
      </c>
      <c r="JK66" s="135" t="str">
        <f>J66+W66+AJ66+AW66+BJ66+BW66+CJ66+CW66+DJ66+DW66+EJ66+EW66+FJ66+FW66+GJ66+GW66+HJ66+HW66+IJ66+IW66</f>
        <v>0</v>
      </c>
      <c r="JL66" s="135" t="str">
        <f>K66+X66+AK66+AX66+BK66+BX66+CK66+CX66+DK66+DX66+EK66+EX66+FK66+FX66+GK66+GX66+HK66+HX66+IK66+IX66</f>
        <v>0</v>
      </c>
      <c r="JM66" s="135" t="str">
        <f>L66+Y66+AL66+AY66+BL66+BY66+CL66+CY66+DL66+DY66+EL66+EY66+FL66+FY66+GL66+GY66+HL66+HY66+IL66+IY66</f>
        <v>0</v>
      </c>
      <c r="JN66" s="135" t="str">
        <f>M66+Z66+AM66+AZ66+BM66+BZ66+CM66+CZ66+DM66+DZ66+EM66+EZ66+FM66+FZ66+GM66+GZ66+HM66+HZ66+IM66+IZ66</f>
        <v>0</v>
      </c>
      <c r="JO66" s="132" t="str">
        <f>SUM(JC66:JN66)</f>
        <v>0</v>
      </c>
      <c r="JQ66" s="139" t="str">
        <f>N66+AA66+AN66+BA66+BN66+CA66+CN66+DA66+DN66+EA66+EN66+FA66+FN66+GA66+GN66+HA66+HN66+IA66+IN66+JA66</f>
        <v>0</v>
      </c>
    </row>
    <row r="67" spans="1:278">
      <c r="A67" s="130"/>
      <c r="B67" s="131"/>
      <c r="C67" s="131"/>
      <c r="D67" s="131"/>
      <c r="E67" s="131"/>
      <c r="F67" s="131"/>
      <c r="G67" s="131"/>
      <c r="H67" s="131"/>
      <c r="I67" s="131"/>
      <c r="J67" s="131"/>
      <c r="K67" s="131"/>
      <c r="L67" s="131"/>
      <c r="M67" s="131"/>
      <c r="N67" s="132" t="str">
        <f>SUM(B67:M67)</f>
        <v>0</v>
      </c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  <c r="Z67" s="133"/>
      <c r="AA67" s="132" t="str">
        <f>SUM(O67:Z67)</f>
        <v>0</v>
      </c>
      <c r="AB67" s="131"/>
      <c r="AC67" s="131"/>
      <c r="AD67" s="131"/>
      <c r="AE67" s="131"/>
      <c r="AF67" s="131"/>
      <c r="AG67" s="131"/>
      <c r="AH67" s="131"/>
      <c r="AI67" s="131"/>
      <c r="AJ67" s="131"/>
      <c r="AK67" s="131"/>
      <c r="AL67" s="131"/>
      <c r="AM67" s="131"/>
      <c r="AN67" s="132" t="str">
        <f>SUM(AB67:AM67)</f>
        <v>0</v>
      </c>
      <c r="AO67" s="133"/>
      <c r="AP67" s="133"/>
      <c r="AQ67" s="133"/>
      <c r="AR67" s="133"/>
      <c r="AS67" s="133"/>
      <c r="AT67" s="133"/>
      <c r="AU67" s="133"/>
      <c r="AV67" s="133"/>
      <c r="AW67" s="133"/>
      <c r="AX67" s="133"/>
      <c r="AY67" s="133"/>
      <c r="AZ67" s="133"/>
      <c r="BA67" s="132" t="str">
        <f>SUM(AO67:AZ67)</f>
        <v>0</v>
      </c>
      <c r="BB67" s="134"/>
      <c r="BC67" s="134"/>
      <c r="BD67" s="134"/>
      <c r="BE67" s="134"/>
      <c r="BF67" s="134"/>
      <c r="BG67" s="134"/>
      <c r="BH67" s="134"/>
      <c r="BI67" s="134"/>
      <c r="BJ67" s="134"/>
      <c r="BK67" s="134"/>
      <c r="BL67" s="134"/>
      <c r="BM67" s="134"/>
      <c r="BN67" s="132" t="str">
        <f>SUM(BB67:BM67)</f>
        <v>0</v>
      </c>
      <c r="BO67" s="135"/>
      <c r="BP67" s="135"/>
      <c r="BQ67" s="135"/>
      <c r="BR67" s="135"/>
      <c r="BS67" s="135"/>
      <c r="BT67" s="135"/>
      <c r="BU67" s="135"/>
      <c r="BV67" s="135"/>
      <c r="BW67" s="135"/>
      <c r="BX67" s="135"/>
      <c r="BY67" s="135"/>
      <c r="BZ67" s="135"/>
      <c r="CA67" s="132" t="str">
        <f>SUM(BO67:BZ67)</f>
        <v>0</v>
      </c>
      <c r="CB67" s="136"/>
      <c r="CC67" s="136"/>
      <c r="CD67" s="136"/>
      <c r="CE67" s="136"/>
      <c r="CF67" s="136"/>
      <c r="CG67" s="136"/>
      <c r="CH67" s="136"/>
      <c r="CI67" s="136"/>
      <c r="CJ67" s="136"/>
      <c r="CK67" s="136"/>
      <c r="CL67" s="136"/>
      <c r="CM67" s="136"/>
      <c r="CN67" s="132" t="str">
        <f>SUM(CB67:CM67)</f>
        <v>0</v>
      </c>
      <c r="CO67" s="137"/>
      <c r="CP67" s="137"/>
      <c r="CQ67" s="137"/>
      <c r="CR67" s="137"/>
      <c r="CS67" s="137"/>
      <c r="CT67" s="137"/>
      <c r="CU67" s="137"/>
      <c r="CV67" s="137"/>
      <c r="CW67" s="137"/>
      <c r="CX67" s="137"/>
      <c r="CY67" s="137"/>
      <c r="CZ67" s="137"/>
      <c r="DA67" s="132" t="str">
        <f>SUM(CO67:CZ67)</f>
        <v>0</v>
      </c>
      <c r="DB67" s="136"/>
      <c r="DC67" s="136"/>
      <c r="DD67" s="136"/>
      <c r="DE67" s="136"/>
      <c r="DF67" s="136"/>
      <c r="DG67" s="136"/>
      <c r="DH67" s="136"/>
      <c r="DI67" s="136"/>
      <c r="DJ67" s="136"/>
      <c r="DK67" s="136"/>
      <c r="DL67" s="136"/>
      <c r="DM67" s="136"/>
      <c r="DN67" s="132" t="str">
        <f>SUM(DB67:DM67)</f>
        <v>0</v>
      </c>
      <c r="DO67" s="137"/>
      <c r="DP67" s="137"/>
      <c r="DQ67" s="137"/>
      <c r="DR67" s="137"/>
      <c r="DS67" s="137"/>
      <c r="DT67" s="137"/>
      <c r="DU67" s="137"/>
      <c r="DV67" s="137"/>
      <c r="DW67" s="137"/>
      <c r="DX67" s="137"/>
      <c r="DY67" s="137"/>
      <c r="DZ67" s="137"/>
      <c r="EA67" s="132" t="str">
        <f>SUM(DO67:DZ67)</f>
        <v>0</v>
      </c>
      <c r="EB67" s="216"/>
      <c r="EC67" s="216"/>
      <c r="ED67" s="216"/>
      <c r="EE67" s="216"/>
      <c r="EF67" s="216"/>
      <c r="EG67" s="216"/>
      <c r="EH67" s="216"/>
      <c r="EI67" s="216"/>
      <c r="EJ67" s="216"/>
      <c r="EK67" s="216"/>
      <c r="EL67" s="216"/>
      <c r="EM67" s="216"/>
      <c r="EN67" s="132" t="str">
        <f>SUM(EB67:EM67)</f>
        <v>0</v>
      </c>
      <c r="EO67" s="132"/>
      <c r="EP67" s="132"/>
      <c r="EQ67" s="132"/>
      <c r="ER67" s="132"/>
      <c r="ES67" s="132"/>
      <c r="ET67" s="132"/>
      <c r="EU67" s="132"/>
      <c r="EV67" s="132"/>
      <c r="EW67" s="132"/>
      <c r="EX67" s="132"/>
      <c r="EY67" s="132"/>
      <c r="EZ67" s="132"/>
      <c r="FA67" s="132" t="str">
        <f>SUM(EO67:EZ67)</f>
        <v>0</v>
      </c>
      <c r="FB67" s="181"/>
      <c r="FC67" s="181"/>
      <c r="FD67" s="181"/>
      <c r="FE67" s="181"/>
      <c r="FF67" s="181"/>
      <c r="FG67" s="181"/>
      <c r="FH67" s="181"/>
      <c r="FI67" s="181"/>
      <c r="FJ67" s="181"/>
      <c r="FK67" s="181"/>
      <c r="FL67" s="181"/>
      <c r="FM67" s="181"/>
      <c r="FN67" s="132" t="str">
        <f>SUM(FB67:FM67)</f>
        <v>0</v>
      </c>
      <c r="FO67" s="132"/>
      <c r="FP67" s="132"/>
      <c r="FQ67" s="132"/>
      <c r="FR67" s="132"/>
      <c r="FS67" s="132"/>
      <c r="FT67" s="132"/>
      <c r="FU67" s="132"/>
      <c r="FV67" s="132"/>
      <c r="FW67" s="132"/>
      <c r="FX67" s="132"/>
      <c r="FY67" s="132"/>
      <c r="FZ67" s="132"/>
      <c r="GA67" s="132" t="str">
        <f>SUM(FO67:FZ67)</f>
        <v>0</v>
      </c>
      <c r="GB67" s="181"/>
      <c r="GC67" s="181"/>
      <c r="GD67" s="181"/>
      <c r="GE67" s="181"/>
      <c r="GF67" s="181"/>
      <c r="GG67" s="181"/>
      <c r="GH67" s="181"/>
      <c r="GI67" s="181"/>
      <c r="GJ67" s="181"/>
      <c r="GK67" s="181"/>
      <c r="GL67" s="181"/>
      <c r="GM67" s="181"/>
      <c r="GN67" s="181" t="str">
        <f>SUM(GB67:GM67)</f>
        <v>0</v>
      </c>
      <c r="GO67" s="137"/>
      <c r="GP67" s="137"/>
      <c r="GQ67" s="137"/>
      <c r="GR67" s="137"/>
      <c r="GS67" s="137"/>
      <c r="GT67" s="137"/>
      <c r="GU67" s="137"/>
      <c r="GV67" s="137"/>
      <c r="GW67" s="137"/>
      <c r="GX67" s="137"/>
      <c r="GY67" s="137"/>
      <c r="GZ67" s="137"/>
      <c r="HA67" s="132" t="str">
        <f>SUM(GO67:GZ67)</f>
        <v>0</v>
      </c>
      <c r="HB67" s="181"/>
      <c r="HC67" s="181"/>
      <c r="HD67" s="181"/>
      <c r="HE67" s="181"/>
      <c r="HF67" s="181"/>
      <c r="HG67" s="181"/>
      <c r="HH67" s="181"/>
      <c r="HI67" s="181"/>
      <c r="HJ67" s="181"/>
      <c r="HK67" s="181"/>
      <c r="HL67" s="181"/>
      <c r="HM67" s="181"/>
      <c r="HN67" s="181" t="str">
        <f>SUM(HB67:HM67)</f>
        <v>0</v>
      </c>
      <c r="HO67" s="132"/>
      <c r="HP67" s="132"/>
      <c r="HQ67" s="132"/>
      <c r="HR67" s="132"/>
      <c r="HS67" s="132"/>
      <c r="HT67" s="132"/>
      <c r="HU67" s="132"/>
      <c r="HV67" s="132"/>
      <c r="HW67" s="132"/>
      <c r="HX67" s="132"/>
      <c r="HY67" s="132"/>
      <c r="HZ67" s="132"/>
      <c r="IA67" s="132" t="str">
        <f>SUM(HO67:HZ67)</f>
        <v>0</v>
      </c>
      <c r="IB67" s="181"/>
      <c r="IC67" s="181"/>
      <c r="ID67" s="181"/>
      <c r="IE67" s="181"/>
      <c r="IF67" s="181"/>
      <c r="IG67" s="181"/>
      <c r="IH67" s="181"/>
      <c r="II67" s="181"/>
      <c r="IJ67" s="181"/>
      <c r="IK67" s="181"/>
      <c r="IL67" s="181"/>
      <c r="IM67" s="181"/>
      <c r="IN67" s="181" t="str">
        <f>SUM(IB67:IM67)</f>
        <v>0</v>
      </c>
      <c r="IO67" s="181"/>
      <c r="IP67" s="181"/>
      <c r="IQ67" s="181"/>
      <c r="IR67" s="181"/>
      <c r="IS67" s="181"/>
      <c r="IT67" s="181"/>
      <c r="IU67" s="181"/>
      <c r="IV67" s="181"/>
      <c r="IW67" s="181"/>
      <c r="IX67" s="181"/>
      <c r="IY67" s="181"/>
      <c r="IZ67" s="181"/>
      <c r="JA67" s="181" t="str">
        <f>SUM(IO67:IZ67)</f>
        <v>0</v>
      </c>
      <c r="JC67" s="135" t="str">
        <f>B67+O67+AB67+AO67+BB67+BO67+CB67+CO67+DB67+DO67+EB67+EO67+FB67+FO67+GB67+GO67+HB67+HO67+IB67+IO67</f>
        <v>0</v>
      </c>
      <c r="JD67" s="135" t="str">
        <f>C67+P67+AC67+AP67+BC67+BP67+CC67+CP67+DC67+DP67+EC67+EP67+FC67+FP67+GC67+GP67+HC67+HP67+IC67+IP67</f>
        <v>0</v>
      </c>
      <c r="JE67" s="135" t="str">
        <f>D67+Q67+AD67+AQ67+BD67+BQ67+CD67+CQ67+DD67+DQ67+ED67+EQ67+FD67+FQ67+GD67+GQ67+HD67+HQ67+ID67+IQ67</f>
        <v>0</v>
      </c>
      <c r="JF67" s="135" t="str">
        <f>E67+R67+AE67+AR67+BE67+BR67+CE67+CR67+DE67+DR67+EE67+ER67+FE67+FR67+GE67+GR67+HE67+HR67+IE67+IR67</f>
        <v>0</v>
      </c>
      <c r="JG67" s="135" t="str">
        <f>F67+S67+AF67+AS67+BF67+BS67+CF67+CS67+DF67+DS67+EF67+ES67+FF67+FS67+GF67+GS67+HF67+HS67+IF67+IS67</f>
        <v>0</v>
      </c>
      <c r="JH67" s="135" t="str">
        <f>G67+T67+AG67+AT67+BG67+BT67+CG67+CT67+DG67+DT67+EG67+ET67+FG67+FT67+GG67+GT67+HG67+HT67+IG67+IT67</f>
        <v>0</v>
      </c>
      <c r="JI67" s="135" t="str">
        <f>H67+U67+AH67+AU67+BH67+BU67+CH67+CU67+DH67+DU67+EH67+EU67+FH67+FU67+GH67+GU67+HH67+HU67+IH67+IU67</f>
        <v>0</v>
      </c>
      <c r="JJ67" s="135" t="str">
        <f>I67+V67+AI67+AV67+BI67+BV67+CI67+CV67+DI67+DV67+EI67+EV67+FI67+FV67+GI67+GV67+HI67+HV67+II67+IV67</f>
        <v>0</v>
      </c>
      <c r="JK67" s="135" t="str">
        <f>J67+W67+AJ67+AW67+BJ67+BW67+CJ67+CW67+DJ67+DW67+EJ67+EW67+FJ67+FW67+GJ67+GW67+HJ67+HW67+IJ67+IW67</f>
        <v>0</v>
      </c>
      <c r="JL67" s="135" t="str">
        <f>K67+X67+AK67+AX67+BK67+BX67+CK67+CX67+DK67+DX67+EK67+EX67+FK67+FX67+GK67+GX67+HK67+HX67+IK67+IX67</f>
        <v>0</v>
      </c>
      <c r="JM67" s="135" t="str">
        <f>L67+Y67+AL67+AY67+BL67+BY67+CL67+CY67+DL67+DY67+EL67+EY67+FL67+FY67+GL67+GY67+HL67+HY67+IL67+IY67</f>
        <v>0</v>
      </c>
      <c r="JN67" s="135" t="str">
        <f>M67+Z67+AM67+AZ67+BM67+BZ67+CM67+CZ67+DM67+DZ67+EM67+EZ67+FM67+FZ67+GM67+GZ67+HM67+HZ67+IM67+IZ67</f>
        <v>0</v>
      </c>
      <c r="JO67" s="132" t="str">
        <f>SUM(JC67:JN67)</f>
        <v>0</v>
      </c>
      <c r="JQ67" s="139" t="str">
        <f>N67+AA67+AN67+BA67+BN67+CA67+CN67+DA67+DN67+EA67+EN67+FA67+FN67+GA67+GN67+HA67+HN67+IA67+IN67+JA67</f>
        <v>0</v>
      </c>
    </row>
    <row r="68" spans="1:278">
      <c r="A68" s="130"/>
      <c r="B68" s="131"/>
      <c r="C68" s="131"/>
      <c r="D68" s="131"/>
      <c r="E68" s="131"/>
      <c r="F68" s="131"/>
      <c r="G68" s="131"/>
      <c r="H68" s="131"/>
      <c r="I68" s="131"/>
      <c r="J68" s="131"/>
      <c r="K68" s="131"/>
      <c r="L68" s="131"/>
      <c r="M68" s="131"/>
      <c r="N68" s="132" t="str">
        <f>SUM(B68:M68)</f>
        <v>0</v>
      </c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  <c r="Z68" s="133"/>
      <c r="AA68" s="132" t="str">
        <f>SUM(O68:Z68)</f>
        <v>0</v>
      </c>
      <c r="AB68" s="131"/>
      <c r="AC68" s="131"/>
      <c r="AD68" s="131"/>
      <c r="AE68" s="131"/>
      <c r="AF68" s="131"/>
      <c r="AG68" s="131"/>
      <c r="AH68" s="131"/>
      <c r="AI68" s="131"/>
      <c r="AJ68" s="131"/>
      <c r="AK68" s="131"/>
      <c r="AL68" s="131"/>
      <c r="AM68" s="131"/>
      <c r="AN68" s="132" t="str">
        <f>SUM(AB68:AM68)</f>
        <v>0</v>
      </c>
      <c r="AO68" s="133"/>
      <c r="AP68" s="133"/>
      <c r="AQ68" s="133"/>
      <c r="AR68" s="133"/>
      <c r="AS68" s="133"/>
      <c r="AT68" s="133"/>
      <c r="AU68" s="133"/>
      <c r="AV68" s="133"/>
      <c r="AW68" s="133"/>
      <c r="AX68" s="133"/>
      <c r="AY68" s="133"/>
      <c r="AZ68" s="133"/>
      <c r="BA68" s="132" t="str">
        <f>SUM(AO68:AZ68)</f>
        <v>0</v>
      </c>
      <c r="BB68" s="134"/>
      <c r="BC68" s="134"/>
      <c r="BD68" s="134"/>
      <c r="BE68" s="134"/>
      <c r="BF68" s="134"/>
      <c r="BG68" s="134"/>
      <c r="BH68" s="134"/>
      <c r="BI68" s="134"/>
      <c r="BJ68" s="134"/>
      <c r="BK68" s="134"/>
      <c r="BL68" s="134"/>
      <c r="BM68" s="134"/>
      <c r="BN68" s="132" t="str">
        <f>SUM(BB68:BM68)</f>
        <v>0</v>
      </c>
      <c r="BO68" s="135"/>
      <c r="BP68" s="135"/>
      <c r="BQ68" s="135"/>
      <c r="BR68" s="135"/>
      <c r="BS68" s="135"/>
      <c r="BT68" s="135"/>
      <c r="BU68" s="135"/>
      <c r="BV68" s="135"/>
      <c r="BW68" s="135"/>
      <c r="BX68" s="135"/>
      <c r="BY68" s="135"/>
      <c r="BZ68" s="135"/>
      <c r="CA68" s="132" t="str">
        <f>SUM(BO68:BZ68)</f>
        <v>0</v>
      </c>
      <c r="CB68" s="136"/>
      <c r="CC68" s="136"/>
      <c r="CD68" s="136"/>
      <c r="CE68" s="136"/>
      <c r="CF68" s="136"/>
      <c r="CG68" s="136"/>
      <c r="CH68" s="136"/>
      <c r="CI68" s="136"/>
      <c r="CJ68" s="136"/>
      <c r="CK68" s="136"/>
      <c r="CL68" s="136"/>
      <c r="CM68" s="136"/>
      <c r="CN68" s="132" t="str">
        <f>SUM(CB68:CM68)</f>
        <v>0</v>
      </c>
      <c r="CO68" s="137"/>
      <c r="CP68" s="137"/>
      <c r="CQ68" s="137"/>
      <c r="CR68" s="137"/>
      <c r="CS68" s="137"/>
      <c r="CT68" s="137"/>
      <c r="CU68" s="137"/>
      <c r="CV68" s="137"/>
      <c r="CW68" s="137"/>
      <c r="CX68" s="137"/>
      <c r="CY68" s="137"/>
      <c r="CZ68" s="137"/>
      <c r="DA68" s="132" t="str">
        <f>SUM(CO68:CZ68)</f>
        <v>0</v>
      </c>
      <c r="DB68" s="136"/>
      <c r="DC68" s="136"/>
      <c r="DD68" s="136"/>
      <c r="DE68" s="136"/>
      <c r="DF68" s="136"/>
      <c r="DG68" s="136"/>
      <c r="DH68" s="136"/>
      <c r="DI68" s="136"/>
      <c r="DJ68" s="136"/>
      <c r="DK68" s="136"/>
      <c r="DL68" s="136"/>
      <c r="DM68" s="136"/>
      <c r="DN68" s="132" t="str">
        <f>SUM(DB68:DM68)</f>
        <v>0</v>
      </c>
      <c r="DO68" s="137"/>
      <c r="DP68" s="137"/>
      <c r="DQ68" s="137"/>
      <c r="DR68" s="137"/>
      <c r="DS68" s="137"/>
      <c r="DT68" s="137"/>
      <c r="DU68" s="137"/>
      <c r="DV68" s="137"/>
      <c r="DW68" s="137"/>
      <c r="DX68" s="137"/>
      <c r="DY68" s="137"/>
      <c r="DZ68" s="137"/>
      <c r="EA68" s="132" t="str">
        <f>SUM(DO68:DZ68)</f>
        <v>0</v>
      </c>
      <c r="EB68" s="216"/>
      <c r="EC68" s="216"/>
      <c r="ED68" s="216"/>
      <c r="EE68" s="216"/>
      <c r="EF68" s="216"/>
      <c r="EG68" s="216"/>
      <c r="EH68" s="216"/>
      <c r="EI68" s="216"/>
      <c r="EJ68" s="216"/>
      <c r="EK68" s="216"/>
      <c r="EL68" s="216"/>
      <c r="EM68" s="216"/>
      <c r="EN68" s="132" t="str">
        <f>SUM(EB68:EM68)</f>
        <v>0</v>
      </c>
      <c r="EO68" s="132"/>
      <c r="EP68" s="132"/>
      <c r="EQ68" s="132"/>
      <c r="ER68" s="132"/>
      <c r="ES68" s="132"/>
      <c r="ET68" s="132"/>
      <c r="EU68" s="132"/>
      <c r="EV68" s="132"/>
      <c r="EW68" s="132"/>
      <c r="EX68" s="132"/>
      <c r="EY68" s="132"/>
      <c r="EZ68" s="132"/>
      <c r="FA68" s="132" t="str">
        <f>SUM(EO68:EZ68)</f>
        <v>0</v>
      </c>
      <c r="FB68" s="181"/>
      <c r="FC68" s="181"/>
      <c r="FD68" s="181"/>
      <c r="FE68" s="181"/>
      <c r="FF68" s="181"/>
      <c r="FG68" s="181"/>
      <c r="FH68" s="181"/>
      <c r="FI68" s="181"/>
      <c r="FJ68" s="181"/>
      <c r="FK68" s="181"/>
      <c r="FL68" s="181"/>
      <c r="FM68" s="181"/>
      <c r="FN68" s="132" t="str">
        <f>SUM(FB68:FM68)</f>
        <v>0</v>
      </c>
      <c r="FO68" s="132"/>
      <c r="FP68" s="132"/>
      <c r="FQ68" s="132"/>
      <c r="FR68" s="132"/>
      <c r="FS68" s="132"/>
      <c r="FT68" s="132"/>
      <c r="FU68" s="132"/>
      <c r="FV68" s="132"/>
      <c r="FW68" s="132"/>
      <c r="FX68" s="132"/>
      <c r="FY68" s="132"/>
      <c r="FZ68" s="132"/>
      <c r="GA68" s="132" t="str">
        <f>SUM(FO68:FZ68)</f>
        <v>0</v>
      </c>
      <c r="GB68" s="181"/>
      <c r="GC68" s="181"/>
      <c r="GD68" s="181"/>
      <c r="GE68" s="181"/>
      <c r="GF68" s="181"/>
      <c r="GG68" s="181"/>
      <c r="GH68" s="181"/>
      <c r="GI68" s="181"/>
      <c r="GJ68" s="181"/>
      <c r="GK68" s="181"/>
      <c r="GL68" s="181"/>
      <c r="GM68" s="181"/>
      <c r="GN68" s="181" t="str">
        <f>SUM(GB68:GM68)</f>
        <v>0</v>
      </c>
      <c r="GO68" s="137"/>
      <c r="GP68" s="137"/>
      <c r="GQ68" s="137"/>
      <c r="GR68" s="137"/>
      <c r="GS68" s="137"/>
      <c r="GT68" s="137"/>
      <c r="GU68" s="137"/>
      <c r="GV68" s="137"/>
      <c r="GW68" s="137"/>
      <c r="GX68" s="137"/>
      <c r="GY68" s="137"/>
      <c r="GZ68" s="137"/>
      <c r="HA68" s="132" t="str">
        <f>SUM(GO68:GZ68)</f>
        <v>0</v>
      </c>
      <c r="HB68" s="181"/>
      <c r="HC68" s="181"/>
      <c r="HD68" s="181"/>
      <c r="HE68" s="181"/>
      <c r="HF68" s="181"/>
      <c r="HG68" s="181"/>
      <c r="HH68" s="181"/>
      <c r="HI68" s="181"/>
      <c r="HJ68" s="181"/>
      <c r="HK68" s="181"/>
      <c r="HL68" s="181"/>
      <c r="HM68" s="181"/>
      <c r="HN68" s="181" t="str">
        <f>SUM(HB68:HM68)</f>
        <v>0</v>
      </c>
      <c r="HO68" s="132"/>
      <c r="HP68" s="132"/>
      <c r="HQ68" s="132"/>
      <c r="HR68" s="132"/>
      <c r="HS68" s="132"/>
      <c r="HT68" s="132"/>
      <c r="HU68" s="132"/>
      <c r="HV68" s="132"/>
      <c r="HW68" s="132"/>
      <c r="HX68" s="132"/>
      <c r="HY68" s="132"/>
      <c r="HZ68" s="132"/>
      <c r="IA68" s="132" t="str">
        <f>SUM(HO68:HZ68)</f>
        <v>0</v>
      </c>
      <c r="IB68" s="181"/>
      <c r="IC68" s="181"/>
      <c r="ID68" s="181"/>
      <c r="IE68" s="181"/>
      <c r="IF68" s="181"/>
      <c r="IG68" s="181"/>
      <c r="IH68" s="181"/>
      <c r="II68" s="181"/>
      <c r="IJ68" s="181"/>
      <c r="IK68" s="181"/>
      <c r="IL68" s="181"/>
      <c r="IM68" s="181"/>
      <c r="IN68" s="181" t="str">
        <f>SUM(IB68:IM68)</f>
        <v>0</v>
      </c>
      <c r="IO68" s="181"/>
      <c r="IP68" s="181"/>
      <c r="IQ68" s="181"/>
      <c r="IR68" s="181"/>
      <c r="IS68" s="181"/>
      <c r="IT68" s="181"/>
      <c r="IU68" s="181"/>
      <c r="IV68" s="181"/>
      <c r="IW68" s="181"/>
      <c r="IX68" s="181"/>
      <c r="IY68" s="181"/>
      <c r="IZ68" s="181"/>
      <c r="JA68" s="181" t="str">
        <f>SUM(IO68:IZ68)</f>
        <v>0</v>
      </c>
      <c r="JC68" s="135" t="str">
        <f>B68+O68+AB68+AO68+BB68+BO68+CB68+CO68+DB68+DO68+EB68+EO68+FB68+FO68+GB68+GO68+HB68+HO68+IB68+IO68</f>
        <v>0</v>
      </c>
      <c r="JD68" s="135" t="str">
        <f>C68+P68+AC68+AP68+BC68+BP68+CC68+CP68+DC68+DP68+EC68+EP68+FC68+FP68+GC68+GP68+HC68+HP68+IC68+IP68</f>
        <v>0</v>
      </c>
      <c r="JE68" s="135" t="str">
        <f>D68+Q68+AD68+AQ68+BD68+BQ68+CD68+CQ68+DD68+DQ68+ED68+EQ68+FD68+FQ68+GD68+GQ68+HD68+HQ68+ID68+IQ68</f>
        <v>0</v>
      </c>
      <c r="JF68" s="135" t="str">
        <f>E68+R68+AE68+AR68+BE68+BR68+CE68+CR68+DE68+DR68+EE68+ER68+FE68+FR68+GE68+GR68+HE68+HR68+IE68+IR68</f>
        <v>0</v>
      </c>
      <c r="JG68" s="135" t="str">
        <f>F68+S68+AF68+AS68+BF68+BS68+CF68+CS68+DF68+DS68+EF68+ES68+FF68+FS68+GF68+GS68+HF68+HS68+IF68+IS68</f>
        <v>0</v>
      </c>
      <c r="JH68" s="135" t="str">
        <f>G68+T68+AG68+AT68+BG68+BT68+CG68+CT68+DG68+DT68+EG68+ET68+FG68+FT68+GG68+GT68+HG68+HT68+IG68+IT68</f>
        <v>0</v>
      </c>
      <c r="JI68" s="135" t="str">
        <f>H68+U68+AH68+AU68+BH68+BU68+CH68+CU68+DH68+DU68+EH68+EU68+FH68+FU68+GH68+GU68+HH68+HU68+IH68+IU68</f>
        <v>0</v>
      </c>
      <c r="JJ68" s="135" t="str">
        <f>I68+V68+AI68+AV68+BI68+BV68+CI68+CV68+DI68+DV68+EI68+EV68+FI68+FV68+GI68+GV68+HI68+HV68+II68+IV68</f>
        <v>0</v>
      </c>
      <c r="JK68" s="135" t="str">
        <f>J68+W68+AJ68+AW68+BJ68+BW68+CJ68+CW68+DJ68+DW68+EJ68+EW68+FJ68+FW68+GJ68+GW68+HJ68+HW68+IJ68+IW68</f>
        <v>0</v>
      </c>
      <c r="JL68" s="135" t="str">
        <f>K68+X68+AK68+AX68+BK68+BX68+CK68+CX68+DK68+DX68+EK68+EX68+FK68+FX68+GK68+GX68+HK68+HX68+IK68+IX68</f>
        <v>0</v>
      </c>
      <c r="JM68" s="135" t="str">
        <f>L68+Y68+AL68+AY68+BL68+BY68+CL68+CY68+DL68+DY68+EL68+EY68+FL68+FY68+GL68+GY68+HL68+HY68+IL68+IY68</f>
        <v>0</v>
      </c>
      <c r="JN68" s="135" t="str">
        <f>M68+Z68+AM68+AZ68+BM68+BZ68+CM68+CZ68+DM68+DZ68+EM68+EZ68+FM68+FZ68+GM68+GZ68+HM68+HZ68+IM68+IZ68</f>
        <v>0</v>
      </c>
      <c r="JO68" s="132" t="str">
        <f>SUM(JC68:JN68)</f>
        <v>0</v>
      </c>
      <c r="JQ68" s="139" t="str">
        <f>N68+AA68+AN68+BA68+BN68+CA68+CN68+DA68+DN68+EA68+EN68+FA68+FN68+GA68+GN68+HA68+HN68+IA68+IN68+JA68</f>
        <v>0</v>
      </c>
    </row>
    <row r="69" spans="1:278">
      <c r="A69" s="130"/>
      <c r="B69" s="131"/>
      <c r="C69" s="131"/>
      <c r="D69" s="131"/>
      <c r="E69" s="131"/>
      <c r="F69" s="131"/>
      <c r="G69" s="131"/>
      <c r="H69" s="131"/>
      <c r="I69" s="131"/>
      <c r="J69" s="131"/>
      <c r="K69" s="131"/>
      <c r="L69" s="131"/>
      <c r="M69" s="131"/>
      <c r="N69" s="132" t="str">
        <f>SUM(B69:M69)</f>
        <v>0</v>
      </c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  <c r="AA69" s="132" t="str">
        <f>SUM(O69:Z69)</f>
        <v>0</v>
      </c>
      <c r="AB69" s="131"/>
      <c r="AC69" s="131"/>
      <c r="AD69" s="131"/>
      <c r="AE69" s="131"/>
      <c r="AF69" s="131"/>
      <c r="AG69" s="131"/>
      <c r="AH69" s="131"/>
      <c r="AI69" s="131"/>
      <c r="AJ69" s="131"/>
      <c r="AK69" s="131"/>
      <c r="AL69" s="131"/>
      <c r="AM69" s="131"/>
      <c r="AN69" s="132" t="str">
        <f>SUM(AB69:AM69)</f>
        <v>0</v>
      </c>
      <c r="AO69" s="133"/>
      <c r="AP69" s="133"/>
      <c r="AQ69" s="133"/>
      <c r="AR69" s="133"/>
      <c r="AS69" s="133"/>
      <c r="AT69" s="133"/>
      <c r="AU69" s="133"/>
      <c r="AV69" s="133"/>
      <c r="AW69" s="133"/>
      <c r="AX69" s="133"/>
      <c r="AY69" s="133"/>
      <c r="AZ69" s="133"/>
      <c r="BA69" s="132" t="str">
        <f>SUM(AO69:AZ69)</f>
        <v>0</v>
      </c>
      <c r="BB69" s="134"/>
      <c r="BC69" s="134"/>
      <c r="BD69" s="134"/>
      <c r="BE69" s="134"/>
      <c r="BF69" s="134"/>
      <c r="BG69" s="134"/>
      <c r="BH69" s="134"/>
      <c r="BI69" s="134"/>
      <c r="BJ69" s="134"/>
      <c r="BK69" s="134"/>
      <c r="BL69" s="134"/>
      <c r="BM69" s="134"/>
      <c r="BN69" s="132" t="str">
        <f>SUM(BB69:BM69)</f>
        <v>0</v>
      </c>
      <c r="BO69" s="135"/>
      <c r="BP69" s="135"/>
      <c r="BQ69" s="135"/>
      <c r="BR69" s="135"/>
      <c r="BS69" s="135"/>
      <c r="BT69" s="135"/>
      <c r="BU69" s="135"/>
      <c r="BV69" s="135"/>
      <c r="BW69" s="135"/>
      <c r="BX69" s="135"/>
      <c r="BY69" s="135"/>
      <c r="BZ69" s="135"/>
      <c r="CA69" s="132" t="str">
        <f>SUM(BO69:BZ69)</f>
        <v>0</v>
      </c>
      <c r="CB69" s="136"/>
      <c r="CC69" s="136"/>
      <c r="CD69" s="136"/>
      <c r="CE69" s="136"/>
      <c r="CF69" s="136"/>
      <c r="CG69" s="136"/>
      <c r="CH69" s="136"/>
      <c r="CI69" s="136"/>
      <c r="CJ69" s="136"/>
      <c r="CK69" s="136"/>
      <c r="CL69" s="136"/>
      <c r="CM69" s="136"/>
      <c r="CN69" s="132" t="str">
        <f>SUM(CB69:CM69)</f>
        <v>0</v>
      </c>
      <c r="CO69" s="137"/>
      <c r="CP69" s="137"/>
      <c r="CQ69" s="137"/>
      <c r="CR69" s="137"/>
      <c r="CS69" s="137"/>
      <c r="CT69" s="137"/>
      <c r="CU69" s="137"/>
      <c r="CV69" s="137"/>
      <c r="CW69" s="137"/>
      <c r="CX69" s="137"/>
      <c r="CY69" s="137"/>
      <c r="CZ69" s="137"/>
      <c r="DA69" s="132" t="str">
        <f>SUM(CO69:CZ69)</f>
        <v>0</v>
      </c>
      <c r="DB69" s="136"/>
      <c r="DC69" s="136"/>
      <c r="DD69" s="136"/>
      <c r="DE69" s="136"/>
      <c r="DF69" s="136"/>
      <c r="DG69" s="136"/>
      <c r="DH69" s="136"/>
      <c r="DI69" s="136"/>
      <c r="DJ69" s="136"/>
      <c r="DK69" s="136"/>
      <c r="DL69" s="136"/>
      <c r="DM69" s="136"/>
      <c r="DN69" s="132" t="str">
        <f>SUM(DB69:DM69)</f>
        <v>0</v>
      </c>
      <c r="DO69" s="137"/>
      <c r="DP69" s="137"/>
      <c r="DQ69" s="137"/>
      <c r="DR69" s="137"/>
      <c r="DS69" s="137"/>
      <c r="DT69" s="137"/>
      <c r="DU69" s="137"/>
      <c r="DV69" s="137"/>
      <c r="DW69" s="137"/>
      <c r="DX69" s="137"/>
      <c r="DY69" s="137"/>
      <c r="DZ69" s="137"/>
      <c r="EA69" s="132" t="str">
        <f>SUM(DO69:DZ69)</f>
        <v>0</v>
      </c>
      <c r="EB69" s="216"/>
      <c r="EC69" s="216"/>
      <c r="ED69" s="216"/>
      <c r="EE69" s="216"/>
      <c r="EF69" s="216"/>
      <c r="EG69" s="216"/>
      <c r="EH69" s="216"/>
      <c r="EI69" s="216"/>
      <c r="EJ69" s="216"/>
      <c r="EK69" s="216"/>
      <c r="EL69" s="216"/>
      <c r="EM69" s="216"/>
      <c r="EN69" s="132" t="str">
        <f>SUM(EB69:EM69)</f>
        <v>0</v>
      </c>
      <c r="EO69" s="132"/>
      <c r="EP69" s="132"/>
      <c r="EQ69" s="132"/>
      <c r="ER69" s="132"/>
      <c r="ES69" s="132"/>
      <c r="ET69" s="132"/>
      <c r="EU69" s="132"/>
      <c r="EV69" s="132"/>
      <c r="EW69" s="132"/>
      <c r="EX69" s="132"/>
      <c r="EY69" s="132"/>
      <c r="EZ69" s="132"/>
      <c r="FA69" s="132" t="str">
        <f>SUM(EO69:EZ69)</f>
        <v>0</v>
      </c>
      <c r="FB69" s="181"/>
      <c r="FC69" s="181"/>
      <c r="FD69" s="181"/>
      <c r="FE69" s="181"/>
      <c r="FF69" s="181"/>
      <c r="FG69" s="181"/>
      <c r="FH69" s="181"/>
      <c r="FI69" s="181"/>
      <c r="FJ69" s="181"/>
      <c r="FK69" s="181"/>
      <c r="FL69" s="181"/>
      <c r="FM69" s="181"/>
      <c r="FN69" s="132" t="str">
        <f>SUM(FB69:FM69)</f>
        <v>0</v>
      </c>
      <c r="FO69" s="132"/>
      <c r="FP69" s="132"/>
      <c r="FQ69" s="132"/>
      <c r="FR69" s="132"/>
      <c r="FS69" s="132"/>
      <c r="FT69" s="132"/>
      <c r="FU69" s="132"/>
      <c r="FV69" s="132"/>
      <c r="FW69" s="132"/>
      <c r="FX69" s="132"/>
      <c r="FY69" s="132"/>
      <c r="FZ69" s="132"/>
      <c r="GA69" s="132" t="str">
        <f>SUM(FO69:FZ69)</f>
        <v>0</v>
      </c>
      <c r="GB69" s="181"/>
      <c r="GC69" s="181"/>
      <c r="GD69" s="181"/>
      <c r="GE69" s="181"/>
      <c r="GF69" s="181"/>
      <c r="GG69" s="181"/>
      <c r="GH69" s="181"/>
      <c r="GI69" s="181"/>
      <c r="GJ69" s="181"/>
      <c r="GK69" s="181"/>
      <c r="GL69" s="181"/>
      <c r="GM69" s="181"/>
      <c r="GN69" s="181" t="str">
        <f>SUM(GB69:GM69)</f>
        <v>0</v>
      </c>
      <c r="GO69" s="137"/>
      <c r="GP69" s="137"/>
      <c r="GQ69" s="137"/>
      <c r="GR69" s="137"/>
      <c r="GS69" s="137"/>
      <c r="GT69" s="137"/>
      <c r="GU69" s="137"/>
      <c r="GV69" s="137"/>
      <c r="GW69" s="137"/>
      <c r="GX69" s="137"/>
      <c r="GY69" s="137"/>
      <c r="GZ69" s="137"/>
      <c r="HA69" s="132" t="str">
        <f>SUM(GO69:GZ69)</f>
        <v>0</v>
      </c>
      <c r="HB69" s="181"/>
      <c r="HC69" s="181"/>
      <c r="HD69" s="181"/>
      <c r="HE69" s="181"/>
      <c r="HF69" s="181"/>
      <c r="HG69" s="181"/>
      <c r="HH69" s="181"/>
      <c r="HI69" s="181"/>
      <c r="HJ69" s="181"/>
      <c r="HK69" s="181"/>
      <c r="HL69" s="181"/>
      <c r="HM69" s="181"/>
      <c r="HN69" s="181" t="str">
        <f>SUM(HB69:HM69)</f>
        <v>0</v>
      </c>
      <c r="HO69" s="132"/>
      <c r="HP69" s="132"/>
      <c r="HQ69" s="132"/>
      <c r="HR69" s="132"/>
      <c r="HS69" s="132"/>
      <c r="HT69" s="132"/>
      <c r="HU69" s="132"/>
      <c r="HV69" s="132"/>
      <c r="HW69" s="132"/>
      <c r="HX69" s="132"/>
      <c r="HY69" s="132"/>
      <c r="HZ69" s="132"/>
      <c r="IA69" s="132" t="str">
        <f>SUM(HO69:HZ69)</f>
        <v>0</v>
      </c>
      <c r="IB69" s="181"/>
      <c r="IC69" s="181"/>
      <c r="ID69" s="181"/>
      <c r="IE69" s="181"/>
      <c r="IF69" s="181"/>
      <c r="IG69" s="181"/>
      <c r="IH69" s="181"/>
      <c r="II69" s="181"/>
      <c r="IJ69" s="181"/>
      <c r="IK69" s="181"/>
      <c r="IL69" s="181"/>
      <c r="IM69" s="181"/>
      <c r="IN69" s="181" t="str">
        <f>SUM(IB69:IM69)</f>
        <v>0</v>
      </c>
      <c r="IO69" s="181"/>
      <c r="IP69" s="181"/>
      <c r="IQ69" s="181"/>
      <c r="IR69" s="181"/>
      <c r="IS69" s="181"/>
      <c r="IT69" s="181"/>
      <c r="IU69" s="181"/>
      <c r="IV69" s="181"/>
      <c r="IW69" s="181"/>
      <c r="IX69" s="181"/>
      <c r="IY69" s="181"/>
      <c r="IZ69" s="181"/>
      <c r="JA69" s="181" t="str">
        <f>SUM(IO69:IZ69)</f>
        <v>0</v>
      </c>
      <c r="JC69" s="135" t="str">
        <f>B69+O69+AB69+AO69+BB69+BO69+CB69+CO69+DB69+DO69+EB69+EO69+FB69+FO69+GB69+GO69+HB69+HO69+IB69+IO69</f>
        <v>0</v>
      </c>
      <c r="JD69" s="135" t="str">
        <f>C69+P69+AC69+AP69+BC69+BP69+CC69+CP69+DC69+DP69+EC69+EP69+FC69+FP69+GC69+GP69+HC69+HP69+IC69+IP69</f>
        <v>0</v>
      </c>
      <c r="JE69" s="135" t="str">
        <f>D69+Q69+AD69+AQ69+BD69+BQ69+CD69+CQ69+DD69+DQ69+ED69+EQ69+FD69+FQ69+GD69+GQ69+HD69+HQ69+ID69+IQ69</f>
        <v>0</v>
      </c>
      <c r="JF69" s="135" t="str">
        <f>E69+R69+AE69+AR69+BE69+BR69+CE69+CR69+DE69+DR69+EE69+ER69+FE69+FR69+GE69+GR69+HE69+HR69+IE69+IR69</f>
        <v>0</v>
      </c>
      <c r="JG69" s="135" t="str">
        <f>F69+S69+AF69+AS69+BF69+BS69+CF69+CS69+DF69+DS69+EF69+ES69+FF69+FS69+GF69+GS69+HF69+HS69+IF69+IS69</f>
        <v>0</v>
      </c>
      <c r="JH69" s="135" t="str">
        <f>G69+T69+AG69+AT69+BG69+BT69+CG69+CT69+DG69+DT69+EG69+ET69+FG69+FT69+GG69+GT69+HG69+HT69+IG69+IT69</f>
        <v>0</v>
      </c>
      <c r="JI69" s="135" t="str">
        <f>H69+U69+AH69+AU69+BH69+BU69+CH69+CU69+DH69+DU69+EH69+EU69+FH69+FU69+GH69+GU69+HH69+HU69+IH69+IU69</f>
        <v>0</v>
      </c>
      <c r="JJ69" s="135" t="str">
        <f>I69+V69+AI69+AV69+BI69+BV69+CI69+CV69+DI69+DV69+EI69+EV69+FI69+FV69+GI69+GV69+HI69+HV69+II69+IV69</f>
        <v>0</v>
      </c>
      <c r="JK69" s="135" t="str">
        <f>J69+W69+AJ69+AW69+BJ69+BW69+CJ69+CW69+DJ69+DW69+EJ69+EW69+FJ69+FW69+GJ69+GW69+HJ69+HW69+IJ69+IW69</f>
        <v>0</v>
      </c>
      <c r="JL69" s="135" t="str">
        <f>K69+X69+AK69+AX69+BK69+BX69+CK69+CX69+DK69+DX69+EK69+EX69+FK69+FX69+GK69+GX69+HK69+HX69+IK69+IX69</f>
        <v>0</v>
      </c>
      <c r="JM69" s="135" t="str">
        <f>L69+Y69+AL69+AY69+BL69+BY69+CL69+CY69+DL69+DY69+EL69+EY69+FL69+FY69+GL69+GY69+HL69+HY69+IL69+IY69</f>
        <v>0</v>
      </c>
      <c r="JN69" s="135" t="str">
        <f>M69+Z69+AM69+AZ69+BM69+BZ69+CM69+CZ69+DM69+DZ69+EM69+EZ69+FM69+FZ69+GM69+GZ69+HM69+HZ69+IM69+IZ69</f>
        <v>0</v>
      </c>
      <c r="JO69" s="132" t="str">
        <f>SUM(JC69:JN69)</f>
        <v>0</v>
      </c>
      <c r="JQ69" s="139" t="str">
        <f>N69+AA69+AN69+BA69+BN69+CA69+CN69+DA69+DN69+EA69+EN69+FA69+FN69+GA69+GN69+HA69+HN69+IA69+IN69+JA69</f>
        <v>0</v>
      </c>
    </row>
    <row r="70" spans="1:278">
      <c r="A70" s="130"/>
      <c r="B70" s="131"/>
      <c r="C70" s="131"/>
      <c r="D70" s="131"/>
      <c r="E70" s="131"/>
      <c r="F70" s="131"/>
      <c r="G70" s="131"/>
      <c r="H70" s="131"/>
      <c r="I70" s="131"/>
      <c r="J70" s="131"/>
      <c r="K70" s="131"/>
      <c r="L70" s="131"/>
      <c r="M70" s="131"/>
      <c r="N70" s="132" t="str">
        <f>SUM(B70:M70)</f>
        <v>0</v>
      </c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  <c r="Z70" s="133"/>
      <c r="AA70" s="132" t="str">
        <f>SUM(O70:Z70)</f>
        <v>0</v>
      </c>
      <c r="AB70" s="131"/>
      <c r="AC70" s="131"/>
      <c r="AD70" s="131"/>
      <c r="AE70" s="131"/>
      <c r="AF70" s="131"/>
      <c r="AG70" s="131"/>
      <c r="AH70" s="131"/>
      <c r="AI70" s="131"/>
      <c r="AJ70" s="131"/>
      <c r="AK70" s="131"/>
      <c r="AL70" s="131"/>
      <c r="AM70" s="131"/>
      <c r="AN70" s="132" t="str">
        <f>SUM(AB70:AM70)</f>
        <v>0</v>
      </c>
      <c r="AO70" s="133"/>
      <c r="AP70" s="133"/>
      <c r="AQ70" s="133"/>
      <c r="AR70" s="133"/>
      <c r="AS70" s="133"/>
      <c r="AT70" s="133"/>
      <c r="AU70" s="133"/>
      <c r="AV70" s="133"/>
      <c r="AW70" s="133"/>
      <c r="AX70" s="133"/>
      <c r="AY70" s="133"/>
      <c r="AZ70" s="133"/>
      <c r="BA70" s="132" t="str">
        <f>SUM(AO70:AZ70)</f>
        <v>0</v>
      </c>
      <c r="BB70" s="134"/>
      <c r="BC70" s="134"/>
      <c r="BD70" s="134"/>
      <c r="BE70" s="134"/>
      <c r="BF70" s="134"/>
      <c r="BG70" s="134"/>
      <c r="BH70" s="134"/>
      <c r="BI70" s="134"/>
      <c r="BJ70" s="134"/>
      <c r="BK70" s="134"/>
      <c r="BL70" s="134"/>
      <c r="BM70" s="134"/>
      <c r="BN70" s="132" t="str">
        <f>SUM(BB70:BM70)</f>
        <v>0</v>
      </c>
      <c r="BO70" s="135"/>
      <c r="BP70" s="135"/>
      <c r="BQ70" s="135"/>
      <c r="BR70" s="135"/>
      <c r="BS70" s="135"/>
      <c r="BT70" s="135"/>
      <c r="BU70" s="135"/>
      <c r="BV70" s="135"/>
      <c r="BW70" s="135"/>
      <c r="BX70" s="135"/>
      <c r="BY70" s="135"/>
      <c r="BZ70" s="135"/>
      <c r="CA70" s="132" t="str">
        <f>SUM(BO70:BZ70)</f>
        <v>0</v>
      </c>
      <c r="CB70" s="136"/>
      <c r="CC70" s="136"/>
      <c r="CD70" s="136"/>
      <c r="CE70" s="136"/>
      <c r="CF70" s="136"/>
      <c r="CG70" s="136"/>
      <c r="CH70" s="136"/>
      <c r="CI70" s="136"/>
      <c r="CJ70" s="136"/>
      <c r="CK70" s="136"/>
      <c r="CL70" s="136"/>
      <c r="CM70" s="136"/>
      <c r="CN70" s="132" t="str">
        <f>SUM(CB70:CM70)</f>
        <v>0</v>
      </c>
      <c r="CO70" s="137"/>
      <c r="CP70" s="137"/>
      <c r="CQ70" s="137"/>
      <c r="CR70" s="137"/>
      <c r="CS70" s="137"/>
      <c r="CT70" s="137"/>
      <c r="CU70" s="137"/>
      <c r="CV70" s="137"/>
      <c r="CW70" s="137"/>
      <c r="CX70" s="137"/>
      <c r="CY70" s="137"/>
      <c r="CZ70" s="137"/>
      <c r="DA70" s="132" t="str">
        <f>SUM(CO70:CZ70)</f>
        <v>0</v>
      </c>
      <c r="DB70" s="136"/>
      <c r="DC70" s="136"/>
      <c r="DD70" s="136"/>
      <c r="DE70" s="136"/>
      <c r="DF70" s="136"/>
      <c r="DG70" s="136"/>
      <c r="DH70" s="136"/>
      <c r="DI70" s="136"/>
      <c r="DJ70" s="136"/>
      <c r="DK70" s="136"/>
      <c r="DL70" s="136"/>
      <c r="DM70" s="136"/>
      <c r="DN70" s="132" t="str">
        <f>SUM(DB70:DM70)</f>
        <v>0</v>
      </c>
      <c r="DO70" s="137"/>
      <c r="DP70" s="137"/>
      <c r="DQ70" s="137"/>
      <c r="DR70" s="137"/>
      <c r="DS70" s="137"/>
      <c r="DT70" s="137"/>
      <c r="DU70" s="137"/>
      <c r="DV70" s="137"/>
      <c r="DW70" s="137"/>
      <c r="DX70" s="137"/>
      <c r="DY70" s="137"/>
      <c r="DZ70" s="137"/>
      <c r="EA70" s="132" t="str">
        <f>SUM(DO70:DZ70)</f>
        <v>0</v>
      </c>
      <c r="EB70" s="216"/>
      <c r="EC70" s="216"/>
      <c r="ED70" s="216"/>
      <c r="EE70" s="216"/>
      <c r="EF70" s="216"/>
      <c r="EG70" s="216"/>
      <c r="EH70" s="216"/>
      <c r="EI70" s="216"/>
      <c r="EJ70" s="216"/>
      <c r="EK70" s="216"/>
      <c r="EL70" s="216"/>
      <c r="EM70" s="216"/>
      <c r="EN70" s="132" t="str">
        <f>SUM(EB70:EM70)</f>
        <v>0</v>
      </c>
      <c r="EO70" s="132"/>
      <c r="EP70" s="132"/>
      <c r="EQ70" s="132"/>
      <c r="ER70" s="132"/>
      <c r="ES70" s="132"/>
      <c r="ET70" s="132"/>
      <c r="EU70" s="132"/>
      <c r="EV70" s="132"/>
      <c r="EW70" s="132"/>
      <c r="EX70" s="132"/>
      <c r="EY70" s="132"/>
      <c r="EZ70" s="132"/>
      <c r="FA70" s="132" t="str">
        <f>SUM(EO70:EZ70)</f>
        <v>0</v>
      </c>
      <c r="FB70" s="181"/>
      <c r="FC70" s="181"/>
      <c r="FD70" s="181"/>
      <c r="FE70" s="181"/>
      <c r="FF70" s="181"/>
      <c r="FG70" s="181"/>
      <c r="FH70" s="181"/>
      <c r="FI70" s="181"/>
      <c r="FJ70" s="181"/>
      <c r="FK70" s="181"/>
      <c r="FL70" s="181"/>
      <c r="FM70" s="181"/>
      <c r="FN70" s="132" t="str">
        <f>SUM(FB70:FM70)</f>
        <v>0</v>
      </c>
      <c r="FO70" s="132"/>
      <c r="FP70" s="132"/>
      <c r="FQ70" s="132"/>
      <c r="FR70" s="132"/>
      <c r="FS70" s="132"/>
      <c r="FT70" s="132"/>
      <c r="FU70" s="132"/>
      <c r="FV70" s="132"/>
      <c r="FW70" s="132"/>
      <c r="FX70" s="132"/>
      <c r="FY70" s="132"/>
      <c r="FZ70" s="132"/>
      <c r="GA70" s="132" t="str">
        <f>SUM(FO70:FZ70)</f>
        <v>0</v>
      </c>
      <c r="GB70" s="181"/>
      <c r="GC70" s="181"/>
      <c r="GD70" s="181"/>
      <c r="GE70" s="181"/>
      <c r="GF70" s="181"/>
      <c r="GG70" s="181"/>
      <c r="GH70" s="181"/>
      <c r="GI70" s="181"/>
      <c r="GJ70" s="181"/>
      <c r="GK70" s="181"/>
      <c r="GL70" s="181"/>
      <c r="GM70" s="181"/>
      <c r="GN70" s="181" t="str">
        <f>SUM(GB70:GM70)</f>
        <v>0</v>
      </c>
      <c r="GO70" s="137"/>
      <c r="GP70" s="137"/>
      <c r="GQ70" s="137"/>
      <c r="GR70" s="137"/>
      <c r="GS70" s="137"/>
      <c r="GT70" s="137"/>
      <c r="GU70" s="137"/>
      <c r="GV70" s="137"/>
      <c r="GW70" s="137"/>
      <c r="GX70" s="137"/>
      <c r="GY70" s="137"/>
      <c r="GZ70" s="137"/>
      <c r="HA70" s="132" t="str">
        <f>SUM(GO70:GZ70)</f>
        <v>0</v>
      </c>
      <c r="HB70" s="181"/>
      <c r="HC70" s="181"/>
      <c r="HD70" s="181"/>
      <c r="HE70" s="181"/>
      <c r="HF70" s="181"/>
      <c r="HG70" s="181"/>
      <c r="HH70" s="181"/>
      <c r="HI70" s="181"/>
      <c r="HJ70" s="181"/>
      <c r="HK70" s="181"/>
      <c r="HL70" s="181"/>
      <c r="HM70" s="181"/>
      <c r="HN70" s="181" t="str">
        <f>SUM(HB70:HM70)</f>
        <v>0</v>
      </c>
      <c r="HO70" s="132"/>
      <c r="HP70" s="132"/>
      <c r="HQ70" s="132"/>
      <c r="HR70" s="132"/>
      <c r="HS70" s="132"/>
      <c r="HT70" s="132"/>
      <c r="HU70" s="132"/>
      <c r="HV70" s="132"/>
      <c r="HW70" s="132"/>
      <c r="HX70" s="132"/>
      <c r="HY70" s="132"/>
      <c r="HZ70" s="132"/>
      <c r="IA70" s="132" t="str">
        <f>SUM(HO70:HZ70)</f>
        <v>0</v>
      </c>
      <c r="IB70" s="181"/>
      <c r="IC70" s="181"/>
      <c r="ID70" s="181"/>
      <c r="IE70" s="181"/>
      <c r="IF70" s="181"/>
      <c r="IG70" s="181"/>
      <c r="IH70" s="181"/>
      <c r="II70" s="181"/>
      <c r="IJ70" s="181"/>
      <c r="IK70" s="181"/>
      <c r="IL70" s="181"/>
      <c r="IM70" s="181"/>
      <c r="IN70" s="181" t="str">
        <f>SUM(IB70:IM70)</f>
        <v>0</v>
      </c>
      <c r="IO70" s="181"/>
      <c r="IP70" s="181"/>
      <c r="IQ70" s="181"/>
      <c r="IR70" s="181"/>
      <c r="IS70" s="181"/>
      <c r="IT70" s="181"/>
      <c r="IU70" s="181"/>
      <c r="IV70" s="181"/>
      <c r="IW70" s="181"/>
      <c r="IX70" s="181"/>
      <c r="IY70" s="181"/>
      <c r="IZ70" s="181"/>
      <c r="JA70" s="181" t="str">
        <f>SUM(IO70:IZ70)</f>
        <v>0</v>
      </c>
      <c r="JC70" s="135" t="str">
        <f>B70+O70+AB70+AO70+BB70+BO70+CB70+CO70+DB70+DO70+EB70+EO70+FB70+FO70+GB70+GO70+HB70+HO70+IB70+IO70</f>
        <v>0</v>
      </c>
      <c r="JD70" s="135" t="str">
        <f>C70+P70+AC70+AP70+BC70+BP70+CC70+CP70+DC70+DP70+EC70+EP70+FC70+FP70+GC70+GP70+HC70+HP70+IC70+IP70</f>
        <v>0</v>
      </c>
      <c r="JE70" s="135" t="str">
        <f>D70+Q70+AD70+AQ70+BD70+BQ70+CD70+CQ70+DD70+DQ70+ED70+EQ70+FD70+FQ70+GD70+GQ70+HD70+HQ70+ID70+IQ70</f>
        <v>0</v>
      </c>
      <c r="JF70" s="135" t="str">
        <f>E70+R70+AE70+AR70+BE70+BR70+CE70+CR70+DE70+DR70+EE70+ER70+FE70+FR70+GE70+GR70+HE70+HR70+IE70+IR70</f>
        <v>0</v>
      </c>
      <c r="JG70" s="135" t="str">
        <f>F70+S70+AF70+AS70+BF70+BS70+CF70+CS70+DF70+DS70+EF70+ES70+FF70+FS70+GF70+GS70+HF70+HS70+IF70+IS70</f>
        <v>0</v>
      </c>
      <c r="JH70" s="135" t="str">
        <f>G70+T70+AG70+AT70+BG70+BT70+CG70+CT70+DG70+DT70+EG70+ET70+FG70+FT70+GG70+GT70+HG70+HT70+IG70+IT70</f>
        <v>0</v>
      </c>
      <c r="JI70" s="135" t="str">
        <f>H70+U70+AH70+AU70+BH70+BU70+CH70+CU70+DH70+DU70+EH70+EU70+FH70+FU70+GH70+GU70+HH70+HU70+IH70+IU70</f>
        <v>0</v>
      </c>
      <c r="JJ70" s="135" t="str">
        <f>I70+V70+AI70+AV70+BI70+BV70+CI70+CV70+DI70+DV70+EI70+EV70+FI70+FV70+GI70+GV70+HI70+HV70+II70+IV70</f>
        <v>0</v>
      </c>
      <c r="JK70" s="135" t="str">
        <f>J70+W70+AJ70+AW70+BJ70+BW70+CJ70+CW70+DJ70+DW70+EJ70+EW70+FJ70+FW70+GJ70+GW70+HJ70+HW70+IJ70+IW70</f>
        <v>0</v>
      </c>
      <c r="JL70" s="135" t="str">
        <f>K70+X70+AK70+AX70+BK70+BX70+CK70+CX70+DK70+DX70+EK70+EX70+FK70+FX70+GK70+GX70+HK70+HX70+IK70+IX70</f>
        <v>0</v>
      </c>
      <c r="JM70" s="135" t="str">
        <f>L70+Y70+AL70+AY70+BL70+BY70+CL70+CY70+DL70+DY70+EL70+EY70+FL70+FY70+GL70+GY70+HL70+HY70+IL70+IY70</f>
        <v>0</v>
      </c>
      <c r="JN70" s="135" t="str">
        <f>M70+Z70+AM70+AZ70+BM70+BZ70+CM70+CZ70+DM70+DZ70+EM70+EZ70+FM70+FZ70+GM70+GZ70+HM70+HZ70+IM70+IZ70</f>
        <v>0</v>
      </c>
      <c r="JO70" s="132" t="str">
        <f>SUM(JC70:JN70)</f>
        <v>0</v>
      </c>
      <c r="JQ70" s="139" t="str">
        <f>N70+AA70+AN70+BA70+BN70+CA70+CN70+DA70+DN70+EA70+EN70+FA70+FN70+GA70+GN70+HA70+HN70+IA70+IN70+JA70</f>
        <v>0</v>
      </c>
    </row>
    <row r="71" spans="1:278">
      <c r="A71" s="130"/>
      <c r="B71" s="131"/>
      <c r="C71" s="131"/>
      <c r="D71" s="131"/>
      <c r="E71" s="131"/>
      <c r="F71" s="131"/>
      <c r="G71" s="131"/>
      <c r="H71" s="131"/>
      <c r="I71" s="131"/>
      <c r="J71" s="131"/>
      <c r="K71" s="131"/>
      <c r="L71" s="131"/>
      <c r="M71" s="131"/>
      <c r="N71" s="132" t="str">
        <f>SUM(B71:M71)</f>
        <v>0</v>
      </c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  <c r="Z71" s="133"/>
      <c r="AA71" s="132" t="str">
        <f>SUM(O71:Z71)</f>
        <v>0</v>
      </c>
      <c r="AB71" s="131"/>
      <c r="AC71" s="131"/>
      <c r="AD71" s="131"/>
      <c r="AE71" s="131"/>
      <c r="AF71" s="131"/>
      <c r="AG71" s="131"/>
      <c r="AH71" s="131"/>
      <c r="AI71" s="131"/>
      <c r="AJ71" s="131"/>
      <c r="AK71" s="131"/>
      <c r="AL71" s="131"/>
      <c r="AM71" s="131"/>
      <c r="AN71" s="132" t="str">
        <f>SUM(AB71:AM71)</f>
        <v>0</v>
      </c>
      <c r="AO71" s="133"/>
      <c r="AP71" s="133"/>
      <c r="AQ71" s="133"/>
      <c r="AR71" s="133"/>
      <c r="AS71" s="133"/>
      <c r="AT71" s="133"/>
      <c r="AU71" s="133"/>
      <c r="AV71" s="133"/>
      <c r="AW71" s="133"/>
      <c r="AX71" s="133"/>
      <c r="AY71" s="133"/>
      <c r="AZ71" s="133"/>
      <c r="BA71" s="132" t="str">
        <f>SUM(AO71:AZ71)</f>
        <v>0</v>
      </c>
      <c r="BB71" s="134"/>
      <c r="BC71" s="134"/>
      <c r="BD71" s="134"/>
      <c r="BE71" s="134"/>
      <c r="BF71" s="134"/>
      <c r="BG71" s="134"/>
      <c r="BH71" s="134"/>
      <c r="BI71" s="134"/>
      <c r="BJ71" s="134"/>
      <c r="BK71" s="134"/>
      <c r="BL71" s="134"/>
      <c r="BM71" s="134"/>
      <c r="BN71" s="132" t="str">
        <f>SUM(BB71:BM71)</f>
        <v>0</v>
      </c>
      <c r="BO71" s="135"/>
      <c r="BP71" s="135"/>
      <c r="BQ71" s="135"/>
      <c r="BR71" s="135"/>
      <c r="BS71" s="135"/>
      <c r="BT71" s="135"/>
      <c r="BU71" s="135"/>
      <c r="BV71" s="135"/>
      <c r="BW71" s="135"/>
      <c r="BX71" s="135"/>
      <c r="BY71" s="135"/>
      <c r="BZ71" s="135"/>
      <c r="CA71" s="132" t="str">
        <f>SUM(BO71:BZ71)</f>
        <v>0</v>
      </c>
      <c r="CB71" s="136"/>
      <c r="CC71" s="136"/>
      <c r="CD71" s="136"/>
      <c r="CE71" s="136"/>
      <c r="CF71" s="136"/>
      <c r="CG71" s="136"/>
      <c r="CH71" s="136"/>
      <c r="CI71" s="136"/>
      <c r="CJ71" s="136"/>
      <c r="CK71" s="136"/>
      <c r="CL71" s="136"/>
      <c r="CM71" s="136"/>
      <c r="CN71" s="132" t="str">
        <f>SUM(CB71:CM71)</f>
        <v>0</v>
      </c>
      <c r="CO71" s="137"/>
      <c r="CP71" s="137"/>
      <c r="CQ71" s="137"/>
      <c r="CR71" s="137"/>
      <c r="CS71" s="137"/>
      <c r="CT71" s="137"/>
      <c r="CU71" s="137"/>
      <c r="CV71" s="137"/>
      <c r="CW71" s="137"/>
      <c r="CX71" s="137"/>
      <c r="CY71" s="137"/>
      <c r="CZ71" s="137"/>
      <c r="DA71" s="132" t="str">
        <f>SUM(CO71:CZ71)</f>
        <v>0</v>
      </c>
      <c r="DB71" s="136"/>
      <c r="DC71" s="136"/>
      <c r="DD71" s="136"/>
      <c r="DE71" s="136"/>
      <c r="DF71" s="136"/>
      <c r="DG71" s="136"/>
      <c r="DH71" s="136"/>
      <c r="DI71" s="136"/>
      <c r="DJ71" s="136"/>
      <c r="DK71" s="136"/>
      <c r="DL71" s="136"/>
      <c r="DM71" s="136"/>
      <c r="DN71" s="132" t="str">
        <f>SUM(DB71:DM71)</f>
        <v>0</v>
      </c>
      <c r="DO71" s="137"/>
      <c r="DP71" s="137"/>
      <c r="DQ71" s="137"/>
      <c r="DR71" s="137"/>
      <c r="DS71" s="137"/>
      <c r="DT71" s="137"/>
      <c r="DU71" s="137"/>
      <c r="DV71" s="137"/>
      <c r="DW71" s="137"/>
      <c r="DX71" s="137"/>
      <c r="DY71" s="137"/>
      <c r="DZ71" s="137"/>
      <c r="EA71" s="132" t="str">
        <f>SUM(DO71:DZ71)</f>
        <v>0</v>
      </c>
      <c r="EB71" s="216"/>
      <c r="EC71" s="216"/>
      <c r="ED71" s="216"/>
      <c r="EE71" s="216"/>
      <c r="EF71" s="216"/>
      <c r="EG71" s="216"/>
      <c r="EH71" s="216"/>
      <c r="EI71" s="216"/>
      <c r="EJ71" s="216"/>
      <c r="EK71" s="216"/>
      <c r="EL71" s="216"/>
      <c r="EM71" s="216"/>
      <c r="EN71" s="132" t="str">
        <f>SUM(EB71:EM71)</f>
        <v>0</v>
      </c>
      <c r="EO71" s="132"/>
      <c r="EP71" s="132"/>
      <c r="EQ71" s="132"/>
      <c r="ER71" s="132"/>
      <c r="ES71" s="132"/>
      <c r="ET71" s="132"/>
      <c r="EU71" s="132"/>
      <c r="EV71" s="132"/>
      <c r="EW71" s="132"/>
      <c r="EX71" s="132"/>
      <c r="EY71" s="132"/>
      <c r="EZ71" s="132"/>
      <c r="FA71" s="132" t="str">
        <f>SUM(EO71:EZ71)</f>
        <v>0</v>
      </c>
      <c r="FB71" s="181"/>
      <c r="FC71" s="181"/>
      <c r="FD71" s="181"/>
      <c r="FE71" s="181"/>
      <c r="FF71" s="181"/>
      <c r="FG71" s="181"/>
      <c r="FH71" s="181"/>
      <c r="FI71" s="181"/>
      <c r="FJ71" s="181"/>
      <c r="FK71" s="181"/>
      <c r="FL71" s="181"/>
      <c r="FM71" s="181"/>
      <c r="FN71" s="132" t="str">
        <f>SUM(FB71:FM71)</f>
        <v>0</v>
      </c>
      <c r="FO71" s="132"/>
      <c r="FP71" s="132"/>
      <c r="FQ71" s="132"/>
      <c r="FR71" s="132"/>
      <c r="FS71" s="132"/>
      <c r="FT71" s="132"/>
      <c r="FU71" s="132"/>
      <c r="FV71" s="132"/>
      <c r="FW71" s="132"/>
      <c r="FX71" s="132"/>
      <c r="FY71" s="132"/>
      <c r="FZ71" s="132"/>
      <c r="GA71" s="132" t="str">
        <f>SUM(FO71:FZ71)</f>
        <v>0</v>
      </c>
      <c r="GB71" s="181"/>
      <c r="GC71" s="181"/>
      <c r="GD71" s="181"/>
      <c r="GE71" s="181"/>
      <c r="GF71" s="181"/>
      <c r="GG71" s="181"/>
      <c r="GH71" s="181"/>
      <c r="GI71" s="181"/>
      <c r="GJ71" s="181"/>
      <c r="GK71" s="181"/>
      <c r="GL71" s="181"/>
      <c r="GM71" s="181"/>
      <c r="GN71" s="181" t="str">
        <f>SUM(GB71:GM71)</f>
        <v>0</v>
      </c>
      <c r="GO71" s="137"/>
      <c r="GP71" s="137"/>
      <c r="GQ71" s="137"/>
      <c r="GR71" s="137"/>
      <c r="GS71" s="137"/>
      <c r="GT71" s="137"/>
      <c r="GU71" s="137"/>
      <c r="GV71" s="137"/>
      <c r="GW71" s="137"/>
      <c r="GX71" s="137"/>
      <c r="GY71" s="137"/>
      <c r="GZ71" s="137"/>
      <c r="HA71" s="132" t="str">
        <f>SUM(GO71:GZ71)</f>
        <v>0</v>
      </c>
      <c r="HB71" s="181"/>
      <c r="HC71" s="181"/>
      <c r="HD71" s="181"/>
      <c r="HE71" s="181"/>
      <c r="HF71" s="181"/>
      <c r="HG71" s="181"/>
      <c r="HH71" s="181"/>
      <c r="HI71" s="181"/>
      <c r="HJ71" s="181"/>
      <c r="HK71" s="181"/>
      <c r="HL71" s="181"/>
      <c r="HM71" s="181"/>
      <c r="HN71" s="181" t="str">
        <f>SUM(HB71:HM71)</f>
        <v>0</v>
      </c>
      <c r="HO71" s="132"/>
      <c r="HP71" s="132"/>
      <c r="HQ71" s="132"/>
      <c r="HR71" s="132"/>
      <c r="HS71" s="132"/>
      <c r="HT71" s="132"/>
      <c r="HU71" s="132"/>
      <c r="HV71" s="132"/>
      <c r="HW71" s="132"/>
      <c r="HX71" s="132"/>
      <c r="HY71" s="132"/>
      <c r="HZ71" s="132"/>
      <c r="IA71" s="132" t="str">
        <f>SUM(HO71:HZ71)</f>
        <v>0</v>
      </c>
      <c r="IB71" s="181"/>
      <c r="IC71" s="181"/>
      <c r="ID71" s="181"/>
      <c r="IE71" s="181"/>
      <c r="IF71" s="181"/>
      <c r="IG71" s="181"/>
      <c r="IH71" s="181"/>
      <c r="II71" s="181"/>
      <c r="IJ71" s="181"/>
      <c r="IK71" s="181"/>
      <c r="IL71" s="181"/>
      <c r="IM71" s="181"/>
      <c r="IN71" s="181" t="str">
        <f>SUM(IB71:IM71)</f>
        <v>0</v>
      </c>
      <c r="IO71" s="181"/>
      <c r="IP71" s="181"/>
      <c r="IQ71" s="181"/>
      <c r="IR71" s="181"/>
      <c r="IS71" s="181"/>
      <c r="IT71" s="181"/>
      <c r="IU71" s="181"/>
      <c r="IV71" s="181"/>
      <c r="IW71" s="181"/>
      <c r="IX71" s="181"/>
      <c r="IY71" s="181"/>
      <c r="IZ71" s="181"/>
      <c r="JA71" s="181" t="str">
        <f>SUM(IO71:IZ71)</f>
        <v>0</v>
      </c>
      <c r="JC71" s="135" t="str">
        <f>B71+O71+AB71+AO71+BB71+BO71+CB71+CO71+DB71+DO71+EB71+EO71+FB71+FO71+GB71+GO71+HB71+HO71+IB71+IO71</f>
        <v>0</v>
      </c>
      <c r="JD71" s="135" t="str">
        <f>C71+P71+AC71+AP71+BC71+BP71+CC71+CP71+DC71+DP71+EC71+EP71+FC71+FP71+GC71+GP71+HC71+HP71+IC71+IP71</f>
        <v>0</v>
      </c>
      <c r="JE71" s="135" t="str">
        <f>D71+Q71+AD71+AQ71+BD71+BQ71+CD71+CQ71+DD71+DQ71+ED71+EQ71+FD71+FQ71+GD71+GQ71+HD71+HQ71+ID71+IQ71</f>
        <v>0</v>
      </c>
      <c r="JF71" s="135" t="str">
        <f>E71+R71+AE71+AR71+BE71+BR71+CE71+CR71+DE71+DR71+EE71+ER71+FE71+FR71+GE71+GR71+HE71+HR71+IE71+IR71</f>
        <v>0</v>
      </c>
      <c r="JG71" s="135" t="str">
        <f>F71+S71+AF71+AS71+BF71+BS71+CF71+CS71+DF71+DS71+EF71+ES71+FF71+FS71+GF71+GS71+HF71+HS71+IF71+IS71</f>
        <v>0</v>
      </c>
      <c r="JH71" s="135" t="str">
        <f>G71+T71+AG71+AT71+BG71+BT71+CG71+CT71+DG71+DT71+EG71+ET71+FG71+FT71+GG71+GT71+HG71+HT71+IG71+IT71</f>
        <v>0</v>
      </c>
      <c r="JI71" s="135" t="str">
        <f>H71+U71+AH71+AU71+BH71+BU71+CH71+CU71+DH71+DU71+EH71+EU71+FH71+FU71+GH71+GU71+HH71+HU71+IH71+IU71</f>
        <v>0</v>
      </c>
      <c r="JJ71" s="135" t="str">
        <f>I71+V71+AI71+AV71+BI71+BV71+CI71+CV71+DI71+DV71+EI71+EV71+FI71+FV71+GI71+GV71+HI71+HV71+II71+IV71</f>
        <v>0</v>
      </c>
      <c r="JK71" s="135" t="str">
        <f>J71+W71+AJ71+AW71+BJ71+BW71+CJ71+CW71+DJ71+DW71+EJ71+EW71+FJ71+FW71+GJ71+GW71+HJ71+HW71+IJ71+IW71</f>
        <v>0</v>
      </c>
      <c r="JL71" s="135" t="str">
        <f>K71+X71+AK71+AX71+BK71+BX71+CK71+CX71+DK71+DX71+EK71+EX71+FK71+FX71+GK71+GX71+HK71+HX71+IK71+IX71</f>
        <v>0</v>
      </c>
      <c r="JM71" s="135" t="str">
        <f>L71+Y71+AL71+AY71+BL71+BY71+CL71+CY71+DL71+DY71+EL71+EY71+FL71+FY71+GL71+GY71+HL71+HY71+IL71+IY71</f>
        <v>0</v>
      </c>
      <c r="JN71" s="135" t="str">
        <f>M71+Z71+AM71+AZ71+BM71+BZ71+CM71+CZ71+DM71+DZ71+EM71+EZ71+FM71+FZ71+GM71+GZ71+HM71+HZ71+IM71+IZ71</f>
        <v>0</v>
      </c>
      <c r="JO71" s="132" t="str">
        <f>SUM(JC71:JN71)</f>
        <v>0</v>
      </c>
      <c r="JQ71" s="139" t="str">
        <f>N71+AA71+AN71+BA71+BN71+CA71+CN71+DA71+DN71+EA71+EN71+FA71+FN71+GA71+GN71+HA71+HN71+IA71+IN71+JA71</f>
        <v>0</v>
      </c>
    </row>
    <row r="72" spans="1:278">
      <c r="A72" s="130"/>
      <c r="B72" s="131"/>
      <c r="C72" s="131"/>
      <c r="D72" s="131"/>
      <c r="E72" s="131"/>
      <c r="F72" s="131"/>
      <c r="G72" s="131"/>
      <c r="H72" s="131"/>
      <c r="I72" s="131"/>
      <c r="J72" s="131"/>
      <c r="K72" s="131"/>
      <c r="L72" s="131"/>
      <c r="M72" s="131"/>
      <c r="N72" s="132" t="str">
        <f>SUM(B72:M72)</f>
        <v>0</v>
      </c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/>
      <c r="AA72" s="132" t="str">
        <f>SUM(O72:Z72)</f>
        <v>0</v>
      </c>
      <c r="AB72" s="131"/>
      <c r="AC72" s="131"/>
      <c r="AD72" s="131"/>
      <c r="AE72" s="131"/>
      <c r="AF72" s="131"/>
      <c r="AG72" s="131"/>
      <c r="AH72" s="131"/>
      <c r="AI72" s="131"/>
      <c r="AJ72" s="131"/>
      <c r="AK72" s="131"/>
      <c r="AL72" s="131"/>
      <c r="AM72" s="131"/>
      <c r="AN72" s="132" t="str">
        <f>SUM(AB72:AM72)</f>
        <v>0</v>
      </c>
      <c r="AO72" s="133"/>
      <c r="AP72" s="133"/>
      <c r="AQ72" s="133"/>
      <c r="AR72" s="133"/>
      <c r="AS72" s="133"/>
      <c r="AT72" s="133"/>
      <c r="AU72" s="133"/>
      <c r="AV72" s="133"/>
      <c r="AW72" s="133"/>
      <c r="AX72" s="133"/>
      <c r="AY72" s="133"/>
      <c r="AZ72" s="133"/>
      <c r="BA72" s="132" t="str">
        <f>SUM(AO72:AZ72)</f>
        <v>0</v>
      </c>
      <c r="BB72" s="134"/>
      <c r="BC72" s="134"/>
      <c r="BD72" s="134"/>
      <c r="BE72" s="134"/>
      <c r="BF72" s="134"/>
      <c r="BG72" s="134"/>
      <c r="BH72" s="134"/>
      <c r="BI72" s="134"/>
      <c r="BJ72" s="134"/>
      <c r="BK72" s="134"/>
      <c r="BL72" s="134"/>
      <c r="BM72" s="134"/>
      <c r="BN72" s="132" t="str">
        <f>SUM(BB72:BM72)</f>
        <v>0</v>
      </c>
      <c r="BO72" s="135"/>
      <c r="BP72" s="135"/>
      <c r="BQ72" s="135"/>
      <c r="BR72" s="135"/>
      <c r="BS72" s="135"/>
      <c r="BT72" s="135"/>
      <c r="BU72" s="135"/>
      <c r="BV72" s="135"/>
      <c r="BW72" s="135"/>
      <c r="BX72" s="135"/>
      <c r="BY72" s="135"/>
      <c r="BZ72" s="135"/>
      <c r="CA72" s="132" t="str">
        <f>SUM(BO72:BZ72)</f>
        <v>0</v>
      </c>
      <c r="CB72" s="136"/>
      <c r="CC72" s="136"/>
      <c r="CD72" s="136"/>
      <c r="CE72" s="136"/>
      <c r="CF72" s="136"/>
      <c r="CG72" s="136"/>
      <c r="CH72" s="136"/>
      <c r="CI72" s="136"/>
      <c r="CJ72" s="136"/>
      <c r="CK72" s="136"/>
      <c r="CL72" s="136"/>
      <c r="CM72" s="136"/>
      <c r="CN72" s="132" t="str">
        <f>SUM(CB72:CM72)</f>
        <v>0</v>
      </c>
      <c r="CO72" s="137"/>
      <c r="CP72" s="137"/>
      <c r="CQ72" s="137"/>
      <c r="CR72" s="137"/>
      <c r="CS72" s="137"/>
      <c r="CT72" s="137"/>
      <c r="CU72" s="137"/>
      <c r="CV72" s="137"/>
      <c r="CW72" s="137"/>
      <c r="CX72" s="137"/>
      <c r="CY72" s="137"/>
      <c r="CZ72" s="137"/>
      <c r="DA72" s="132" t="str">
        <f>SUM(CO72:CZ72)</f>
        <v>0</v>
      </c>
      <c r="DB72" s="136"/>
      <c r="DC72" s="136"/>
      <c r="DD72" s="136"/>
      <c r="DE72" s="136"/>
      <c r="DF72" s="136"/>
      <c r="DG72" s="136"/>
      <c r="DH72" s="136"/>
      <c r="DI72" s="136"/>
      <c r="DJ72" s="136"/>
      <c r="DK72" s="136"/>
      <c r="DL72" s="136"/>
      <c r="DM72" s="136"/>
      <c r="DN72" s="132" t="str">
        <f>SUM(DB72:DM72)</f>
        <v>0</v>
      </c>
      <c r="DO72" s="137"/>
      <c r="DP72" s="137"/>
      <c r="DQ72" s="137"/>
      <c r="DR72" s="137"/>
      <c r="DS72" s="137"/>
      <c r="DT72" s="137"/>
      <c r="DU72" s="137"/>
      <c r="DV72" s="137"/>
      <c r="DW72" s="137"/>
      <c r="DX72" s="137"/>
      <c r="DY72" s="137"/>
      <c r="DZ72" s="137"/>
      <c r="EA72" s="132" t="str">
        <f>SUM(DO72:DZ72)</f>
        <v>0</v>
      </c>
      <c r="EB72" s="216"/>
      <c r="EC72" s="216"/>
      <c r="ED72" s="216"/>
      <c r="EE72" s="216"/>
      <c r="EF72" s="216"/>
      <c r="EG72" s="216"/>
      <c r="EH72" s="216"/>
      <c r="EI72" s="216"/>
      <c r="EJ72" s="216"/>
      <c r="EK72" s="216"/>
      <c r="EL72" s="216"/>
      <c r="EM72" s="216"/>
      <c r="EN72" s="132" t="str">
        <f>SUM(EB72:EM72)</f>
        <v>0</v>
      </c>
      <c r="EO72" s="132"/>
      <c r="EP72" s="132"/>
      <c r="EQ72" s="132"/>
      <c r="ER72" s="132"/>
      <c r="ES72" s="132"/>
      <c r="ET72" s="132"/>
      <c r="EU72" s="132"/>
      <c r="EV72" s="132"/>
      <c r="EW72" s="132"/>
      <c r="EX72" s="132"/>
      <c r="EY72" s="132"/>
      <c r="EZ72" s="132"/>
      <c r="FA72" s="132" t="str">
        <f>SUM(EO72:EZ72)</f>
        <v>0</v>
      </c>
      <c r="FB72" s="181"/>
      <c r="FC72" s="181"/>
      <c r="FD72" s="181"/>
      <c r="FE72" s="181"/>
      <c r="FF72" s="181"/>
      <c r="FG72" s="181"/>
      <c r="FH72" s="181"/>
      <c r="FI72" s="181"/>
      <c r="FJ72" s="181"/>
      <c r="FK72" s="181"/>
      <c r="FL72" s="181"/>
      <c r="FM72" s="181"/>
      <c r="FN72" s="132" t="str">
        <f>SUM(FB72:FM72)</f>
        <v>0</v>
      </c>
      <c r="FO72" s="132"/>
      <c r="FP72" s="132"/>
      <c r="FQ72" s="132"/>
      <c r="FR72" s="132"/>
      <c r="FS72" s="132"/>
      <c r="FT72" s="132"/>
      <c r="FU72" s="132"/>
      <c r="FV72" s="132"/>
      <c r="FW72" s="132"/>
      <c r="FX72" s="132"/>
      <c r="FY72" s="132"/>
      <c r="FZ72" s="132"/>
      <c r="GA72" s="132" t="str">
        <f>SUM(FO72:FZ72)</f>
        <v>0</v>
      </c>
      <c r="GB72" s="181"/>
      <c r="GC72" s="181"/>
      <c r="GD72" s="181"/>
      <c r="GE72" s="181"/>
      <c r="GF72" s="181"/>
      <c r="GG72" s="181"/>
      <c r="GH72" s="181"/>
      <c r="GI72" s="181"/>
      <c r="GJ72" s="181"/>
      <c r="GK72" s="181"/>
      <c r="GL72" s="181"/>
      <c r="GM72" s="181"/>
      <c r="GN72" s="181" t="str">
        <f>SUM(GB72:GM72)</f>
        <v>0</v>
      </c>
      <c r="GO72" s="137"/>
      <c r="GP72" s="137"/>
      <c r="GQ72" s="137"/>
      <c r="GR72" s="137"/>
      <c r="GS72" s="137"/>
      <c r="GT72" s="137"/>
      <c r="GU72" s="137"/>
      <c r="GV72" s="137"/>
      <c r="GW72" s="137"/>
      <c r="GX72" s="137"/>
      <c r="GY72" s="137"/>
      <c r="GZ72" s="137"/>
      <c r="HA72" s="132" t="str">
        <f>SUM(GO72:GZ72)</f>
        <v>0</v>
      </c>
      <c r="HB72" s="181"/>
      <c r="HC72" s="181"/>
      <c r="HD72" s="181"/>
      <c r="HE72" s="181"/>
      <c r="HF72" s="181"/>
      <c r="HG72" s="181"/>
      <c r="HH72" s="181"/>
      <c r="HI72" s="181"/>
      <c r="HJ72" s="181"/>
      <c r="HK72" s="181"/>
      <c r="HL72" s="181"/>
      <c r="HM72" s="181"/>
      <c r="HN72" s="181" t="str">
        <f>SUM(HB72:HM72)</f>
        <v>0</v>
      </c>
      <c r="HO72" s="132"/>
      <c r="HP72" s="132"/>
      <c r="HQ72" s="132"/>
      <c r="HR72" s="132"/>
      <c r="HS72" s="132"/>
      <c r="HT72" s="132"/>
      <c r="HU72" s="132"/>
      <c r="HV72" s="132"/>
      <c r="HW72" s="132"/>
      <c r="HX72" s="132"/>
      <c r="HY72" s="132"/>
      <c r="HZ72" s="132"/>
      <c r="IA72" s="132" t="str">
        <f>SUM(HO72:HZ72)</f>
        <v>0</v>
      </c>
      <c r="IB72" s="181"/>
      <c r="IC72" s="181"/>
      <c r="ID72" s="181"/>
      <c r="IE72" s="181"/>
      <c r="IF72" s="181"/>
      <c r="IG72" s="181"/>
      <c r="IH72" s="181"/>
      <c r="II72" s="181"/>
      <c r="IJ72" s="181"/>
      <c r="IK72" s="181"/>
      <c r="IL72" s="181"/>
      <c r="IM72" s="181"/>
      <c r="IN72" s="181" t="str">
        <f>SUM(IB72:IM72)</f>
        <v>0</v>
      </c>
      <c r="IO72" s="181"/>
      <c r="IP72" s="181"/>
      <c r="IQ72" s="181"/>
      <c r="IR72" s="181"/>
      <c r="IS72" s="181"/>
      <c r="IT72" s="181"/>
      <c r="IU72" s="181"/>
      <c r="IV72" s="181"/>
      <c r="IW72" s="181"/>
      <c r="IX72" s="181"/>
      <c r="IY72" s="181"/>
      <c r="IZ72" s="181"/>
      <c r="JA72" s="181" t="str">
        <f>SUM(IO72:IZ72)</f>
        <v>0</v>
      </c>
      <c r="JC72" s="135" t="str">
        <f>B72+O72+AB72+AO72+BB72+BO72+CB72+CO72+DB72+DO72+EB72+EO72+FB72+FO72+GB72+GO72+HB72+HO72+IB72+IO72</f>
        <v>0</v>
      </c>
      <c r="JD72" s="135" t="str">
        <f>C72+P72+AC72+AP72+BC72+BP72+CC72+CP72+DC72+DP72+EC72+EP72+FC72+FP72+GC72+GP72+HC72+HP72+IC72+IP72</f>
        <v>0</v>
      </c>
      <c r="JE72" s="135" t="str">
        <f>D72+Q72+AD72+AQ72+BD72+BQ72+CD72+CQ72+DD72+DQ72+ED72+EQ72+FD72+FQ72+GD72+GQ72+HD72+HQ72+ID72+IQ72</f>
        <v>0</v>
      </c>
      <c r="JF72" s="135" t="str">
        <f>E72+R72+AE72+AR72+BE72+BR72+CE72+CR72+DE72+DR72+EE72+ER72+FE72+FR72+GE72+GR72+HE72+HR72+IE72+IR72</f>
        <v>0</v>
      </c>
      <c r="JG72" s="135" t="str">
        <f>F72+S72+AF72+AS72+BF72+BS72+CF72+CS72+DF72+DS72+EF72+ES72+FF72+FS72+GF72+GS72+HF72+HS72+IF72+IS72</f>
        <v>0</v>
      </c>
      <c r="JH72" s="135" t="str">
        <f>G72+T72+AG72+AT72+BG72+BT72+CG72+CT72+DG72+DT72+EG72+ET72+FG72+FT72+GG72+GT72+HG72+HT72+IG72+IT72</f>
        <v>0</v>
      </c>
      <c r="JI72" s="135" t="str">
        <f>H72+U72+AH72+AU72+BH72+BU72+CH72+CU72+DH72+DU72+EH72+EU72+FH72+FU72+GH72+GU72+HH72+HU72+IH72+IU72</f>
        <v>0</v>
      </c>
      <c r="JJ72" s="135" t="str">
        <f>I72+V72+AI72+AV72+BI72+BV72+CI72+CV72+DI72+DV72+EI72+EV72+FI72+FV72+GI72+GV72+HI72+HV72+II72+IV72</f>
        <v>0</v>
      </c>
      <c r="JK72" s="135" t="str">
        <f>J72+W72+AJ72+AW72+BJ72+BW72+CJ72+CW72+DJ72+DW72+EJ72+EW72+FJ72+FW72+GJ72+GW72+HJ72+HW72+IJ72+IW72</f>
        <v>0</v>
      </c>
      <c r="JL72" s="135" t="str">
        <f>K72+X72+AK72+AX72+BK72+BX72+CK72+CX72+DK72+DX72+EK72+EX72+FK72+FX72+GK72+GX72+HK72+HX72+IK72+IX72</f>
        <v>0</v>
      </c>
      <c r="JM72" s="135" t="str">
        <f>L72+Y72+AL72+AY72+BL72+BY72+CL72+CY72+DL72+DY72+EL72+EY72+FL72+FY72+GL72+GY72+HL72+HY72+IL72+IY72</f>
        <v>0</v>
      </c>
      <c r="JN72" s="135" t="str">
        <f>M72+Z72+AM72+AZ72+BM72+BZ72+CM72+CZ72+DM72+DZ72+EM72+EZ72+FM72+FZ72+GM72+GZ72+HM72+HZ72+IM72+IZ72</f>
        <v>0</v>
      </c>
      <c r="JO72" s="132" t="str">
        <f>SUM(JC72:JN72)</f>
        <v>0</v>
      </c>
      <c r="JQ72" s="139" t="str">
        <f>N72+AA72+AN72+BA72+BN72+CA72+CN72+DA72+DN72+EA72+EN72+FA72+FN72+GA72+GN72+HA72+HN72+IA72+IN72+JA72</f>
        <v>0</v>
      </c>
    </row>
    <row r="73" spans="1:278">
      <c r="A73" s="130"/>
      <c r="B73" s="131"/>
      <c r="C73" s="131"/>
      <c r="D73" s="131"/>
      <c r="E73" s="131"/>
      <c r="F73" s="131"/>
      <c r="G73" s="131"/>
      <c r="H73" s="131"/>
      <c r="I73" s="131"/>
      <c r="J73" s="131"/>
      <c r="K73" s="131"/>
      <c r="L73" s="131"/>
      <c r="M73" s="131"/>
      <c r="N73" s="132" t="str">
        <f>SUM(B73:M73)</f>
        <v>0</v>
      </c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  <c r="AA73" s="132" t="str">
        <f>SUM(O73:Z73)</f>
        <v>0</v>
      </c>
      <c r="AB73" s="131"/>
      <c r="AC73" s="131"/>
      <c r="AD73" s="131"/>
      <c r="AE73" s="131"/>
      <c r="AF73" s="131"/>
      <c r="AG73" s="131"/>
      <c r="AH73" s="131"/>
      <c r="AI73" s="131"/>
      <c r="AJ73" s="131"/>
      <c r="AK73" s="131"/>
      <c r="AL73" s="131"/>
      <c r="AM73" s="131"/>
      <c r="AN73" s="132" t="str">
        <f>SUM(AB73:AM73)</f>
        <v>0</v>
      </c>
      <c r="AO73" s="133"/>
      <c r="AP73" s="133"/>
      <c r="AQ73" s="133"/>
      <c r="AR73" s="133"/>
      <c r="AS73" s="133"/>
      <c r="AT73" s="133"/>
      <c r="AU73" s="133"/>
      <c r="AV73" s="133"/>
      <c r="AW73" s="133"/>
      <c r="AX73" s="133"/>
      <c r="AY73" s="133"/>
      <c r="AZ73" s="133"/>
      <c r="BA73" s="132" t="str">
        <f>SUM(AO73:AZ73)</f>
        <v>0</v>
      </c>
      <c r="BB73" s="134"/>
      <c r="BC73" s="134"/>
      <c r="BD73" s="134"/>
      <c r="BE73" s="134"/>
      <c r="BF73" s="134"/>
      <c r="BG73" s="134"/>
      <c r="BH73" s="134"/>
      <c r="BI73" s="134"/>
      <c r="BJ73" s="134"/>
      <c r="BK73" s="134"/>
      <c r="BL73" s="134"/>
      <c r="BM73" s="134"/>
      <c r="BN73" s="132" t="str">
        <f>SUM(BB73:BM73)</f>
        <v>0</v>
      </c>
      <c r="BO73" s="135"/>
      <c r="BP73" s="135"/>
      <c r="BQ73" s="135"/>
      <c r="BR73" s="135"/>
      <c r="BS73" s="135"/>
      <c r="BT73" s="135"/>
      <c r="BU73" s="135"/>
      <c r="BV73" s="135"/>
      <c r="BW73" s="135"/>
      <c r="BX73" s="135"/>
      <c r="BY73" s="135"/>
      <c r="BZ73" s="135"/>
      <c r="CA73" s="132" t="str">
        <f>SUM(BO73:BZ73)</f>
        <v>0</v>
      </c>
      <c r="CB73" s="136"/>
      <c r="CC73" s="136"/>
      <c r="CD73" s="136"/>
      <c r="CE73" s="136"/>
      <c r="CF73" s="136"/>
      <c r="CG73" s="136"/>
      <c r="CH73" s="136"/>
      <c r="CI73" s="136"/>
      <c r="CJ73" s="136"/>
      <c r="CK73" s="136"/>
      <c r="CL73" s="136"/>
      <c r="CM73" s="136"/>
      <c r="CN73" s="132" t="str">
        <f>SUM(CB73:CM73)</f>
        <v>0</v>
      </c>
      <c r="CO73" s="137"/>
      <c r="CP73" s="137"/>
      <c r="CQ73" s="137"/>
      <c r="CR73" s="137"/>
      <c r="CS73" s="137"/>
      <c r="CT73" s="137"/>
      <c r="CU73" s="137"/>
      <c r="CV73" s="137"/>
      <c r="CW73" s="137"/>
      <c r="CX73" s="137"/>
      <c r="CY73" s="137"/>
      <c r="CZ73" s="137"/>
      <c r="DA73" s="132" t="str">
        <f>SUM(CO73:CZ73)</f>
        <v>0</v>
      </c>
      <c r="DB73" s="136"/>
      <c r="DC73" s="136"/>
      <c r="DD73" s="136"/>
      <c r="DE73" s="136"/>
      <c r="DF73" s="136"/>
      <c r="DG73" s="136"/>
      <c r="DH73" s="136"/>
      <c r="DI73" s="136"/>
      <c r="DJ73" s="136"/>
      <c r="DK73" s="136"/>
      <c r="DL73" s="136"/>
      <c r="DM73" s="136"/>
      <c r="DN73" s="132" t="str">
        <f>SUM(DB73:DM73)</f>
        <v>0</v>
      </c>
      <c r="DO73" s="137"/>
      <c r="DP73" s="137"/>
      <c r="DQ73" s="137"/>
      <c r="DR73" s="137"/>
      <c r="DS73" s="137"/>
      <c r="DT73" s="137"/>
      <c r="DU73" s="137"/>
      <c r="DV73" s="137"/>
      <c r="DW73" s="137"/>
      <c r="DX73" s="137"/>
      <c r="DY73" s="137"/>
      <c r="DZ73" s="137"/>
      <c r="EA73" s="132" t="str">
        <f>SUM(DO73:DZ73)</f>
        <v>0</v>
      </c>
      <c r="EB73" s="216"/>
      <c r="EC73" s="216"/>
      <c r="ED73" s="216"/>
      <c r="EE73" s="216"/>
      <c r="EF73" s="216"/>
      <c r="EG73" s="216"/>
      <c r="EH73" s="216"/>
      <c r="EI73" s="216"/>
      <c r="EJ73" s="216"/>
      <c r="EK73" s="216"/>
      <c r="EL73" s="216"/>
      <c r="EM73" s="216"/>
      <c r="EN73" s="132" t="str">
        <f>SUM(EB73:EM73)</f>
        <v>0</v>
      </c>
      <c r="EO73" s="132"/>
      <c r="EP73" s="132"/>
      <c r="EQ73" s="132"/>
      <c r="ER73" s="132"/>
      <c r="ES73" s="132"/>
      <c r="ET73" s="132"/>
      <c r="EU73" s="132"/>
      <c r="EV73" s="132"/>
      <c r="EW73" s="132"/>
      <c r="EX73" s="132"/>
      <c r="EY73" s="132"/>
      <c r="EZ73" s="132"/>
      <c r="FA73" s="132" t="str">
        <f>SUM(EO73:EZ73)</f>
        <v>0</v>
      </c>
      <c r="FB73" s="181"/>
      <c r="FC73" s="181"/>
      <c r="FD73" s="181"/>
      <c r="FE73" s="181"/>
      <c r="FF73" s="181"/>
      <c r="FG73" s="181"/>
      <c r="FH73" s="181"/>
      <c r="FI73" s="181"/>
      <c r="FJ73" s="181"/>
      <c r="FK73" s="181"/>
      <c r="FL73" s="181"/>
      <c r="FM73" s="181"/>
      <c r="FN73" s="132" t="str">
        <f>SUM(FB73:FM73)</f>
        <v>0</v>
      </c>
      <c r="FO73" s="132"/>
      <c r="FP73" s="132"/>
      <c r="FQ73" s="132"/>
      <c r="FR73" s="132"/>
      <c r="FS73" s="132"/>
      <c r="FT73" s="132"/>
      <c r="FU73" s="132"/>
      <c r="FV73" s="132"/>
      <c r="FW73" s="132"/>
      <c r="FX73" s="132"/>
      <c r="FY73" s="132"/>
      <c r="FZ73" s="132"/>
      <c r="GA73" s="132" t="str">
        <f>SUM(FO73:FZ73)</f>
        <v>0</v>
      </c>
      <c r="GB73" s="181"/>
      <c r="GC73" s="181"/>
      <c r="GD73" s="181"/>
      <c r="GE73" s="181"/>
      <c r="GF73" s="181"/>
      <c r="GG73" s="181"/>
      <c r="GH73" s="181"/>
      <c r="GI73" s="181"/>
      <c r="GJ73" s="181"/>
      <c r="GK73" s="181"/>
      <c r="GL73" s="181"/>
      <c r="GM73" s="181"/>
      <c r="GN73" s="181" t="str">
        <f>SUM(GB73:GM73)</f>
        <v>0</v>
      </c>
      <c r="GO73" s="137"/>
      <c r="GP73" s="137"/>
      <c r="GQ73" s="137"/>
      <c r="GR73" s="137"/>
      <c r="GS73" s="137"/>
      <c r="GT73" s="137"/>
      <c r="GU73" s="137"/>
      <c r="GV73" s="137"/>
      <c r="GW73" s="137"/>
      <c r="GX73" s="137"/>
      <c r="GY73" s="137"/>
      <c r="GZ73" s="137"/>
      <c r="HA73" s="132" t="str">
        <f>SUM(GO73:GZ73)</f>
        <v>0</v>
      </c>
      <c r="HB73" s="181"/>
      <c r="HC73" s="181"/>
      <c r="HD73" s="181"/>
      <c r="HE73" s="181"/>
      <c r="HF73" s="181"/>
      <c r="HG73" s="181"/>
      <c r="HH73" s="181"/>
      <c r="HI73" s="181"/>
      <c r="HJ73" s="181"/>
      <c r="HK73" s="181"/>
      <c r="HL73" s="181"/>
      <c r="HM73" s="181"/>
      <c r="HN73" s="181" t="str">
        <f>SUM(HB73:HM73)</f>
        <v>0</v>
      </c>
      <c r="HO73" s="132"/>
      <c r="HP73" s="132"/>
      <c r="HQ73" s="132"/>
      <c r="HR73" s="132"/>
      <c r="HS73" s="132"/>
      <c r="HT73" s="132"/>
      <c r="HU73" s="132"/>
      <c r="HV73" s="132"/>
      <c r="HW73" s="132"/>
      <c r="HX73" s="132"/>
      <c r="HY73" s="132"/>
      <c r="HZ73" s="132"/>
      <c r="IA73" s="132" t="str">
        <f>SUM(HO73:HZ73)</f>
        <v>0</v>
      </c>
      <c r="IB73" s="181"/>
      <c r="IC73" s="181"/>
      <c r="ID73" s="181"/>
      <c r="IE73" s="181"/>
      <c r="IF73" s="181"/>
      <c r="IG73" s="181"/>
      <c r="IH73" s="181"/>
      <c r="II73" s="181"/>
      <c r="IJ73" s="181"/>
      <c r="IK73" s="181"/>
      <c r="IL73" s="181"/>
      <c r="IM73" s="181"/>
      <c r="IN73" s="181" t="str">
        <f>SUM(IB73:IM73)</f>
        <v>0</v>
      </c>
      <c r="IO73" s="181"/>
      <c r="IP73" s="181"/>
      <c r="IQ73" s="181"/>
      <c r="IR73" s="181"/>
      <c r="IS73" s="181"/>
      <c r="IT73" s="181"/>
      <c r="IU73" s="181"/>
      <c r="IV73" s="181"/>
      <c r="IW73" s="181"/>
      <c r="IX73" s="181"/>
      <c r="IY73" s="181"/>
      <c r="IZ73" s="181"/>
      <c r="JA73" s="181" t="str">
        <f>SUM(IO73:IZ73)</f>
        <v>0</v>
      </c>
      <c r="JC73" s="135" t="str">
        <f>B73+O73+AB73+AO73+BB73+BO73+CB73+CO73+DB73+DO73+EB73+EO73+FB73+FO73+GB73+GO73+HB73+HO73+IB73+IO73</f>
        <v>0</v>
      </c>
      <c r="JD73" s="135" t="str">
        <f>C73+P73+AC73+AP73+BC73+BP73+CC73+CP73+DC73+DP73+EC73+EP73+FC73+FP73+GC73+GP73+HC73+HP73+IC73+IP73</f>
        <v>0</v>
      </c>
      <c r="JE73" s="135" t="str">
        <f>D73+Q73+AD73+AQ73+BD73+BQ73+CD73+CQ73+DD73+DQ73+ED73+EQ73+FD73+FQ73+GD73+GQ73+HD73+HQ73+ID73+IQ73</f>
        <v>0</v>
      </c>
      <c r="JF73" s="135" t="str">
        <f>E73+R73+AE73+AR73+BE73+BR73+CE73+CR73+DE73+DR73+EE73+ER73+FE73+FR73+GE73+GR73+HE73+HR73+IE73+IR73</f>
        <v>0</v>
      </c>
      <c r="JG73" s="135" t="str">
        <f>F73+S73+AF73+AS73+BF73+BS73+CF73+CS73+DF73+DS73+EF73+ES73+FF73+FS73+GF73+GS73+HF73+HS73+IF73+IS73</f>
        <v>0</v>
      </c>
      <c r="JH73" s="135" t="str">
        <f>G73+T73+AG73+AT73+BG73+BT73+CG73+CT73+DG73+DT73+EG73+ET73+FG73+FT73+GG73+GT73+HG73+HT73+IG73+IT73</f>
        <v>0</v>
      </c>
      <c r="JI73" s="135" t="str">
        <f>H73+U73+AH73+AU73+BH73+BU73+CH73+CU73+DH73+DU73+EH73+EU73+FH73+FU73+GH73+GU73+HH73+HU73+IH73+IU73</f>
        <v>0</v>
      </c>
      <c r="JJ73" s="135" t="str">
        <f>I73+V73+AI73+AV73+BI73+BV73+CI73+CV73+DI73+DV73+EI73+EV73+FI73+FV73+GI73+GV73+HI73+HV73+II73+IV73</f>
        <v>0</v>
      </c>
      <c r="JK73" s="135" t="str">
        <f>J73+W73+AJ73+AW73+BJ73+BW73+CJ73+CW73+DJ73+DW73+EJ73+EW73+FJ73+FW73+GJ73+GW73+HJ73+HW73+IJ73+IW73</f>
        <v>0</v>
      </c>
      <c r="JL73" s="135" t="str">
        <f>K73+X73+AK73+AX73+BK73+BX73+CK73+CX73+DK73+DX73+EK73+EX73+FK73+FX73+GK73+GX73+HK73+HX73+IK73+IX73</f>
        <v>0</v>
      </c>
      <c r="JM73" s="135" t="str">
        <f>L73+Y73+AL73+AY73+BL73+BY73+CL73+CY73+DL73+DY73+EL73+EY73+FL73+FY73+GL73+GY73+HL73+HY73+IL73+IY73</f>
        <v>0</v>
      </c>
      <c r="JN73" s="135" t="str">
        <f>M73+Z73+AM73+AZ73+BM73+BZ73+CM73+CZ73+DM73+DZ73+EM73+EZ73+FM73+FZ73+GM73+GZ73+HM73+HZ73+IM73+IZ73</f>
        <v>0</v>
      </c>
      <c r="JO73" s="132" t="str">
        <f>SUM(JC73:JN73)</f>
        <v>0</v>
      </c>
      <c r="JQ73" s="139" t="str">
        <f>N73+AA73+AN73+BA73+BN73+CA73+CN73+DA73+DN73+EA73+EN73+FA73+FN73+GA73+GN73+HA73+HN73+IA73+IN73+JA73</f>
        <v>0</v>
      </c>
    </row>
    <row r="74" spans="1:278">
      <c r="A74" s="130"/>
      <c r="B74" s="131"/>
      <c r="C74" s="131"/>
      <c r="D74" s="131"/>
      <c r="E74" s="131"/>
      <c r="F74" s="131"/>
      <c r="G74" s="131"/>
      <c r="H74" s="131"/>
      <c r="I74" s="131"/>
      <c r="J74" s="131"/>
      <c r="K74" s="131"/>
      <c r="L74" s="131"/>
      <c r="M74" s="131"/>
      <c r="N74" s="132" t="str">
        <f>SUM(B74:M74)</f>
        <v>0</v>
      </c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  <c r="AA74" s="132" t="str">
        <f>SUM(O74:Z74)</f>
        <v>0</v>
      </c>
      <c r="AB74" s="131"/>
      <c r="AC74" s="131"/>
      <c r="AD74" s="131"/>
      <c r="AE74" s="131"/>
      <c r="AF74" s="131"/>
      <c r="AG74" s="131"/>
      <c r="AH74" s="131"/>
      <c r="AI74" s="131"/>
      <c r="AJ74" s="131"/>
      <c r="AK74" s="131"/>
      <c r="AL74" s="131"/>
      <c r="AM74" s="131"/>
      <c r="AN74" s="132" t="str">
        <f>SUM(AB74:AM74)</f>
        <v>0</v>
      </c>
      <c r="AO74" s="133"/>
      <c r="AP74" s="133"/>
      <c r="AQ74" s="133"/>
      <c r="AR74" s="133"/>
      <c r="AS74" s="133"/>
      <c r="AT74" s="133"/>
      <c r="AU74" s="133"/>
      <c r="AV74" s="133"/>
      <c r="AW74" s="133"/>
      <c r="AX74" s="133"/>
      <c r="AY74" s="133"/>
      <c r="AZ74" s="133"/>
      <c r="BA74" s="132" t="str">
        <f>SUM(AO74:AZ74)</f>
        <v>0</v>
      </c>
      <c r="BB74" s="134"/>
      <c r="BC74" s="134"/>
      <c r="BD74" s="134"/>
      <c r="BE74" s="134"/>
      <c r="BF74" s="134"/>
      <c r="BG74" s="134"/>
      <c r="BH74" s="134"/>
      <c r="BI74" s="134"/>
      <c r="BJ74" s="134"/>
      <c r="BK74" s="134"/>
      <c r="BL74" s="134"/>
      <c r="BM74" s="134"/>
      <c r="BN74" s="132" t="str">
        <f>SUM(BB74:BM74)</f>
        <v>0</v>
      </c>
      <c r="BO74" s="135"/>
      <c r="BP74" s="135"/>
      <c r="BQ74" s="135"/>
      <c r="BR74" s="135"/>
      <c r="BS74" s="135"/>
      <c r="BT74" s="135"/>
      <c r="BU74" s="135"/>
      <c r="BV74" s="135"/>
      <c r="BW74" s="135"/>
      <c r="BX74" s="135"/>
      <c r="BY74" s="135"/>
      <c r="BZ74" s="135"/>
      <c r="CA74" s="132" t="str">
        <f>SUM(BO74:BZ74)</f>
        <v>0</v>
      </c>
      <c r="CB74" s="136"/>
      <c r="CC74" s="136"/>
      <c r="CD74" s="136"/>
      <c r="CE74" s="136"/>
      <c r="CF74" s="136"/>
      <c r="CG74" s="136"/>
      <c r="CH74" s="136"/>
      <c r="CI74" s="136"/>
      <c r="CJ74" s="136"/>
      <c r="CK74" s="136"/>
      <c r="CL74" s="136"/>
      <c r="CM74" s="136"/>
      <c r="CN74" s="132" t="str">
        <f>SUM(CB74:CM74)</f>
        <v>0</v>
      </c>
      <c r="CO74" s="137"/>
      <c r="CP74" s="137"/>
      <c r="CQ74" s="137"/>
      <c r="CR74" s="137"/>
      <c r="CS74" s="137"/>
      <c r="CT74" s="137"/>
      <c r="CU74" s="137"/>
      <c r="CV74" s="137"/>
      <c r="CW74" s="137"/>
      <c r="CX74" s="137"/>
      <c r="CY74" s="137"/>
      <c r="CZ74" s="137"/>
      <c r="DA74" s="132" t="str">
        <f>SUM(CO74:CZ74)</f>
        <v>0</v>
      </c>
      <c r="DB74" s="136"/>
      <c r="DC74" s="136"/>
      <c r="DD74" s="136"/>
      <c r="DE74" s="136"/>
      <c r="DF74" s="136"/>
      <c r="DG74" s="136"/>
      <c r="DH74" s="136"/>
      <c r="DI74" s="136"/>
      <c r="DJ74" s="136"/>
      <c r="DK74" s="136"/>
      <c r="DL74" s="136"/>
      <c r="DM74" s="136"/>
      <c r="DN74" s="132" t="str">
        <f>SUM(DB74:DM74)</f>
        <v>0</v>
      </c>
      <c r="DO74" s="137"/>
      <c r="DP74" s="137"/>
      <c r="DQ74" s="137"/>
      <c r="DR74" s="137"/>
      <c r="DS74" s="137"/>
      <c r="DT74" s="137"/>
      <c r="DU74" s="137"/>
      <c r="DV74" s="137"/>
      <c r="DW74" s="137"/>
      <c r="DX74" s="137"/>
      <c r="DY74" s="137"/>
      <c r="DZ74" s="137"/>
      <c r="EA74" s="132" t="str">
        <f>SUM(DO74:DZ74)</f>
        <v>0</v>
      </c>
      <c r="EB74" s="216"/>
      <c r="EC74" s="216"/>
      <c r="ED74" s="216"/>
      <c r="EE74" s="216"/>
      <c r="EF74" s="216"/>
      <c r="EG74" s="216"/>
      <c r="EH74" s="216"/>
      <c r="EI74" s="216"/>
      <c r="EJ74" s="216"/>
      <c r="EK74" s="216"/>
      <c r="EL74" s="216"/>
      <c r="EM74" s="216"/>
      <c r="EN74" s="132" t="str">
        <f>SUM(EB74:EM74)</f>
        <v>0</v>
      </c>
      <c r="EO74" s="132"/>
      <c r="EP74" s="132"/>
      <c r="EQ74" s="132"/>
      <c r="ER74" s="132"/>
      <c r="ES74" s="132"/>
      <c r="ET74" s="132"/>
      <c r="EU74" s="132"/>
      <c r="EV74" s="132"/>
      <c r="EW74" s="132"/>
      <c r="EX74" s="132"/>
      <c r="EY74" s="132"/>
      <c r="EZ74" s="132"/>
      <c r="FA74" s="132" t="str">
        <f>SUM(EO74:EZ74)</f>
        <v>0</v>
      </c>
      <c r="FB74" s="181"/>
      <c r="FC74" s="181"/>
      <c r="FD74" s="181"/>
      <c r="FE74" s="181"/>
      <c r="FF74" s="181"/>
      <c r="FG74" s="181"/>
      <c r="FH74" s="181"/>
      <c r="FI74" s="181"/>
      <c r="FJ74" s="181"/>
      <c r="FK74" s="181"/>
      <c r="FL74" s="181"/>
      <c r="FM74" s="181"/>
      <c r="FN74" s="132" t="str">
        <f>SUM(FB74:FM74)</f>
        <v>0</v>
      </c>
      <c r="FO74" s="132"/>
      <c r="FP74" s="132"/>
      <c r="FQ74" s="132"/>
      <c r="FR74" s="132"/>
      <c r="FS74" s="132"/>
      <c r="FT74" s="132"/>
      <c r="FU74" s="132"/>
      <c r="FV74" s="132"/>
      <c r="FW74" s="132"/>
      <c r="FX74" s="132"/>
      <c r="FY74" s="132"/>
      <c r="FZ74" s="132"/>
      <c r="GA74" s="132" t="str">
        <f>SUM(FO74:FZ74)</f>
        <v>0</v>
      </c>
      <c r="GB74" s="181"/>
      <c r="GC74" s="181"/>
      <c r="GD74" s="181"/>
      <c r="GE74" s="181"/>
      <c r="GF74" s="181"/>
      <c r="GG74" s="181"/>
      <c r="GH74" s="181"/>
      <c r="GI74" s="181"/>
      <c r="GJ74" s="181"/>
      <c r="GK74" s="181"/>
      <c r="GL74" s="181"/>
      <c r="GM74" s="181"/>
      <c r="GN74" s="181" t="str">
        <f>SUM(GB74:GM74)</f>
        <v>0</v>
      </c>
      <c r="GO74" s="137"/>
      <c r="GP74" s="137"/>
      <c r="GQ74" s="137"/>
      <c r="GR74" s="137"/>
      <c r="GS74" s="137"/>
      <c r="GT74" s="137"/>
      <c r="GU74" s="137"/>
      <c r="GV74" s="137"/>
      <c r="GW74" s="137"/>
      <c r="GX74" s="137"/>
      <c r="GY74" s="137"/>
      <c r="GZ74" s="137"/>
      <c r="HA74" s="132" t="str">
        <f>SUM(GO74:GZ74)</f>
        <v>0</v>
      </c>
      <c r="HB74" s="181"/>
      <c r="HC74" s="181"/>
      <c r="HD74" s="181"/>
      <c r="HE74" s="181"/>
      <c r="HF74" s="181"/>
      <c r="HG74" s="181"/>
      <c r="HH74" s="181"/>
      <c r="HI74" s="181"/>
      <c r="HJ74" s="181"/>
      <c r="HK74" s="181"/>
      <c r="HL74" s="181"/>
      <c r="HM74" s="181"/>
      <c r="HN74" s="181" t="str">
        <f>SUM(HB74:HM74)</f>
        <v>0</v>
      </c>
      <c r="HO74" s="132"/>
      <c r="HP74" s="132"/>
      <c r="HQ74" s="132"/>
      <c r="HR74" s="132"/>
      <c r="HS74" s="132"/>
      <c r="HT74" s="132"/>
      <c r="HU74" s="132"/>
      <c r="HV74" s="132"/>
      <c r="HW74" s="132"/>
      <c r="HX74" s="132"/>
      <c r="HY74" s="132"/>
      <c r="HZ74" s="132"/>
      <c r="IA74" s="132" t="str">
        <f>SUM(HO74:HZ74)</f>
        <v>0</v>
      </c>
      <c r="IB74" s="181"/>
      <c r="IC74" s="181"/>
      <c r="ID74" s="181"/>
      <c r="IE74" s="181"/>
      <c r="IF74" s="181"/>
      <c r="IG74" s="181"/>
      <c r="IH74" s="181"/>
      <c r="II74" s="181"/>
      <c r="IJ74" s="181"/>
      <c r="IK74" s="181"/>
      <c r="IL74" s="181"/>
      <c r="IM74" s="181"/>
      <c r="IN74" s="181" t="str">
        <f>SUM(IB74:IM74)</f>
        <v>0</v>
      </c>
      <c r="IO74" s="181"/>
      <c r="IP74" s="181"/>
      <c r="IQ74" s="181"/>
      <c r="IR74" s="181"/>
      <c r="IS74" s="181"/>
      <c r="IT74" s="181"/>
      <c r="IU74" s="181"/>
      <c r="IV74" s="181"/>
      <c r="IW74" s="181"/>
      <c r="IX74" s="181"/>
      <c r="IY74" s="181"/>
      <c r="IZ74" s="181"/>
      <c r="JA74" s="181" t="str">
        <f>SUM(IO74:IZ74)</f>
        <v>0</v>
      </c>
      <c r="JC74" s="135" t="str">
        <f>B74+O74+AB74+AO74+BB74+BO74+CB74+CO74+DB74+DO74+EB74+EO74+FB74+FO74+GB74+GO74+HB74+HO74+IB74+IO74</f>
        <v>0</v>
      </c>
      <c r="JD74" s="135" t="str">
        <f>C74+P74+AC74+AP74+BC74+BP74+CC74+CP74+DC74+DP74+EC74+EP74+FC74+FP74+GC74+GP74+HC74+HP74+IC74+IP74</f>
        <v>0</v>
      </c>
      <c r="JE74" s="135" t="str">
        <f>D74+Q74+AD74+AQ74+BD74+BQ74+CD74+CQ74+DD74+DQ74+ED74+EQ74+FD74+FQ74+GD74+GQ74+HD74+HQ74+ID74+IQ74</f>
        <v>0</v>
      </c>
      <c r="JF74" s="135" t="str">
        <f>E74+R74+AE74+AR74+BE74+BR74+CE74+CR74+DE74+DR74+EE74+ER74+FE74+FR74+GE74+GR74+HE74+HR74+IE74+IR74</f>
        <v>0</v>
      </c>
      <c r="JG74" s="135" t="str">
        <f>F74+S74+AF74+AS74+BF74+BS74+CF74+CS74+DF74+DS74+EF74+ES74+FF74+FS74+GF74+GS74+HF74+HS74+IF74+IS74</f>
        <v>0</v>
      </c>
      <c r="JH74" s="135" t="str">
        <f>G74+T74+AG74+AT74+BG74+BT74+CG74+CT74+DG74+DT74+EG74+ET74+FG74+FT74+GG74+GT74+HG74+HT74+IG74+IT74</f>
        <v>0</v>
      </c>
      <c r="JI74" s="135" t="str">
        <f>H74+U74+AH74+AU74+BH74+BU74+CH74+CU74+DH74+DU74+EH74+EU74+FH74+FU74+GH74+GU74+HH74+HU74+IH74+IU74</f>
        <v>0</v>
      </c>
      <c r="JJ74" s="135" t="str">
        <f>I74+V74+AI74+AV74+BI74+BV74+CI74+CV74+DI74+DV74+EI74+EV74+FI74+FV74+GI74+GV74+HI74+HV74+II74+IV74</f>
        <v>0</v>
      </c>
      <c r="JK74" s="135" t="str">
        <f>J74+W74+AJ74+AW74+BJ74+BW74+CJ74+CW74+DJ74+DW74+EJ74+EW74+FJ74+FW74+GJ74+GW74+HJ74+HW74+IJ74+IW74</f>
        <v>0</v>
      </c>
      <c r="JL74" s="135" t="str">
        <f>K74+X74+AK74+AX74+BK74+BX74+CK74+CX74+DK74+DX74+EK74+EX74+FK74+FX74+GK74+GX74+HK74+HX74+IK74+IX74</f>
        <v>0</v>
      </c>
      <c r="JM74" s="135" t="str">
        <f>L74+Y74+AL74+AY74+BL74+BY74+CL74+CY74+DL74+DY74+EL74+EY74+FL74+FY74+GL74+GY74+HL74+HY74+IL74+IY74</f>
        <v>0</v>
      </c>
      <c r="JN74" s="135" t="str">
        <f>M74+Z74+AM74+AZ74+BM74+BZ74+CM74+CZ74+DM74+DZ74+EM74+EZ74+FM74+FZ74+GM74+GZ74+HM74+HZ74+IM74+IZ74</f>
        <v>0</v>
      </c>
      <c r="JO74" s="132" t="str">
        <f>SUM(JC74:JN74)</f>
        <v>0</v>
      </c>
      <c r="JQ74" s="139" t="str">
        <f>N74+AA74+AN74+BA74+BN74+CA74+CN74+DA74+DN74+EA74+EN74+FA74+FN74+GA74+GN74+HA74+HN74+IA74+IN74+JA74</f>
        <v>0</v>
      </c>
    </row>
    <row r="75" spans="1:278">
      <c r="A75" s="130"/>
      <c r="B75" s="131"/>
      <c r="C75" s="131"/>
      <c r="D75" s="131"/>
      <c r="E75" s="131"/>
      <c r="F75" s="131"/>
      <c r="G75" s="131"/>
      <c r="H75" s="131"/>
      <c r="I75" s="131"/>
      <c r="J75" s="131"/>
      <c r="K75" s="131"/>
      <c r="L75" s="131"/>
      <c r="M75" s="131"/>
      <c r="N75" s="132" t="str">
        <f>SUM(B75:M75)</f>
        <v>0</v>
      </c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133"/>
      <c r="Z75" s="133"/>
      <c r="AA75" s="132" t="str">
        <f>SUM(O75:Z75)</f>
        <v>0</v>
      </c>
      <c r="AB75" s="131"/>
      <c r="AC75" s="131"/>
      <c r="AD75" s="131"/>
      <c r="AE75" s="131"/>
      <c r="AF75" s="131"/>
      <c r="AG75" s="131"/>
      <c r="AH75" s="131"/>
      <c r="AI75" s="131"/>
      <c r="AJ75" s="131"/>
      <c r="AK75" s="131"/>
      <c r="AL75" s="131"/>
      <c r="AM75" s="131"/>
      <c r="AN75" s="132" t="str">
        <f>SUM(AB75:AM75)</f>
        <v>0</v>
      </c>
      <c r="AO75" s="133"/>
      <c r="AP75" s="133"/>
      <c r="AQ75" s="133"/>
      <c r="AR75" s="133"/>
      <c r="AS75" s="133"/>
      <c r="AT75" s="133"/>
      <c r="AU75" s="133"/>
      <c r="AV75" s="133"/>
      <c r="AW75" s="133"/>
      <c r="AX75" s="133"/>
      <c r="AY75" s="133"/>
      <c r="AZ75" s="133"/>
      <c r="BA75" s="132" t="str">
        <f>SUM(AO75:AZ75)</f>
        <v>0</v>
      </c>
      <c r="BB75" s="134"/>
      <c r="BC75" s="134"/>
      <c r="BD75" s="134"/>
      <c r="BE75" s="134"/>
      <c r="BF75" s="134"/>
      <c r="BG75" s="134"/>
      <c r="BH75" s="134"/>
      <c r="BI75" s="134"/>
      <c r="BJ75" s="134"/>
      <c r="BK75" s="134"/>
      <c r="BL75" s="134"/>
      <c r="BM75" s="134"/>
      <c r="BN75" s="132" t="str">
        <f>SUM(BB75:BM75)</f>
        <v>0</v>
      </c>
      <c r="BO75" s="135"/>
      <c r="BP75" s="135"/>
      <c r="BQ75" s="135"/>
      <c r="BR75" s="135"/>
      <c r="BS75" s="135"/>
      <c r="BT75" s="135"/>
      <c r="BU75" s="135"/>
      <c r="BV75" s="135"/>
      <c r="BW75" s="135"/>
      <c r="BX75" s="135"/>
      <c r="BY75" s="135"/>
      <c r="BZ75" s="135"/>
      <c r="CA75" s="132" t="str">
        <f>SUM(BO75:BZ75)</f>
        <v>0</v>
      </c>
      <c r="CB75" s="136"/>
      <c r="CC75" s="136"/>
      <c r="CD75" s="136"/>
      <c r="CE75" s="136"/>
      <c r="CF75" s="136"/>
      <c r="CG75" s="136"/>
      <c r="CH75" s="136"/>
      <c r="CI75" s="136"/>
      <c r="CJ75" s="136"/>
      <c r="CK75" s="136"/>
      <c r="CL75" s="136"/>
      <c r="CM75" s="136"/>
      <c r="CN75" s="132" t="str">
        <f>SUM(CB75:CM75)</f>
        <v>0</v>
      </c>
      <c r="CO75" s="137"/>
      <c r="CP75" s="137"/>
      <c r="CQ75" s="137"/>
      <c r="CR75" s="137"/>
      <c r="CS75" s="137"/>
      <c r="CT75" s="137"/>
      <c r="CU75" s="137"/>
      <c r="CV75" s="137"/>
      <c r="CW75" s="137"/>
      <c r="CX75" s="137"/>
      <c r="CY75" s="137"/>
      <c r="CZ75" s="137"/>
      <c r="DA75" s="132" t="str">
        <f>SUM(CO75:CZ75)</f>
        <v>0</v>
      </c>
      <c r="DB75" s="136"/>
      <c r="DC75" s="136"/>
      <c r="DD75" s="136"/>
      <c r="DE75" s="136"/>
      <c r="DF75" s="136"/>
      <c r="DG75" s="136"/>
      <c r="DH75" s="136"/>
      <c r="DI75" s="136"/>
      <c r="DJ75" s="136"/>
      <c r="DK75" s="136"/>
      <c r="DL75" s="136"/>
      <c r="DM75" s="136"/>
      <c r="DN75" s="132" t="str">
        <f>SUM(DB75:DM75)</f>
        <v>0</v>
      </c>
      <c r="DO75" s="137"/>
      <c r="DP75" s="137"/>
      <c r="DQ75" s="137"/>
      <c r="DR75" s="137"/>
      <c r="DS75" s="137"/>
      <c r="DT75" s="137"/>
      <c r="DU75" s="137"/>
      <c r="DV75" s="137"/>
      <c r="DW75" s="137"/>
      <c r="DX75" s="137"/>
      <c r="DY75" s="137"/>
      <c r="DZ75" s="137"/>
      <c r="EA75" s="132" t="str">
        <f>SUM(DO75:DZ75)</f>
        <v>0</v>
      </c>
      <c r="EB75" s="216"/>
      <c r="EC75" s="216"/>
      <c r="ED75" s="216"/>
      <c r="EE75" s="216"/>
      <c r="EF75" s="216"/>
      <c r="EG75" s="216"/>
      <c r="EH75" s="216"/>
      <c r="EI75" s="216"/>
      <c r="EJ75" s="216"/>
      <c r="EK75" s="216"/>
      <c r="EL75" s="216"/>
      <c r="EM75" s="216"/>
      <c r="EN75" s="132" t="str">
        <f>SUM(EB75:EM75)</f>
        <v>0</v>
      </c>
      <c r="EO75" s="132"/>
      <c r="EP75" s="132"/>
      <c r="EQ75" s="132"/>
      <c r="ER75" s="132"/>
      <c r="ES75" s="132"/>
      <c r="ET75" s="132"/>
      <c r="EU75" s="132"/>
      <c r="EV75" s="132"/>
      <c r="EW75" s="132"/>
      <c r="EX75" s="132"/>
      <c r="EY75" s="132"/>
      <c r="EZ75" s="132"/>
      <c r="FA75" s="132" t="str">
        <f>SUM(EO75:EZ75)</f>
        <v>0</v>
      </c>
      <c r="FB75" s="181"/>
      <c r="FC75" s="181"/>
      <c r="FD75" s="181"/>
      <c r="FE75" s="181"/>
      <c r="FF75" s="181"/>
      <c r="FG75" s="181"/>
      <c r="FH75" s="181"/>
      <c r="FI75" s="181"/>
      <c r="FJ75" s="181"/>
      <c r="FK75" s="181"/>
      <c r="FL75" s="181"/>
      <c r="FM75" s="181"/>
      <c r="FN75" s="132" t="str">
        <f>SUM(FB75:FM75)</f>
        <v>0</v>
      </c>
      <c r="FO75" s="132"/>
      <c r="FP75" s="132"/>
      <c r="FQ75" s="132"/>
      <c r="FR75" s="132"/>
      <c r="FS75" s="132"/>
      <c r="FT75" s="132"/>
      <c r="FU75" s="132"/>
      <c r="FV75" s="132"/>
      <c r="FW75" s="132"/>
      <c r="FX75" s="132"/>
      <c r="FY75" s="132"/>
      <c r="FZ75" s="132"/>
      <c r="GA75" s="132" t="str">
        <f>SUM(FO75:FZ75)</f>
        <v>0</v>
      </c>
      <c r="GB75" s="181"/>
      <c r="GC75" s="181"/>
      <c r="GD75" s="181"/>
      <c r="GE75" s="181"/>
      <c r="GF75" s="181"/>
      <c r="GG75" s="181"/>
      <c r="GH75" s="181"/>
      <c r="GI75" s="181"/>
      <c r="GJ75" s="181"/>
      <c r="GK75" s="181"/>
      <c r="GL75" s="181"/>
      <c r="GM75" s="181"/>
      <c r="GN75" s="181" t="str">
        <f>SUM(GB75:GM75)</f>
        <v>0</v>
      </c>
      <c r="GO75" s="137"/>
      <c r="GP75" s="137"/>
      <c r="GQ75" s="137"/>
      <c r="GR75" s="137"/>
      <c r="GS75" s="137"/>
      <c r="GT75" s="137"/>
      <c r="GU75" s="137"/>
      <c r="GV75" s="137"/>
      <c r="GW75" s="137"/>
      <c r="GX75" s="137"/>
      <c r="GY75" s="137"/>
      <c r="GZ75" s="137"/>
      <c r="HA75" s="132" t="str">
        <f>SUM(GO75:GZ75)</f>
        <v>0</v>
      </c>
      <c r="HB75" s="181"/>
      <c r="HC75" s="181"/>
      <c r="HD75" s="181"/>
      <c r="HE75" s="181"/>
      <c r="HF75" s="181"/>
      <c r="HG75" s="181"/>
      <c r="HH75" s="181"/>
      <c r="HI75" s="181"/>
      <c r="HJ75" s="181"/>
      <c r="HK75" s="181"/>
      <c r="HL75" s="181"/>
      <c r="HM75" s="181"/>
      <c r="HN75" s="181" t="str">
        <f>SUM(HB75:HM75)</f>
        <v>0</v>
      </c>
      <c r="HO75" s="132"/>
      <c r="HP75" s="132"/>
      <c r="HQ75" s="132"/>
      <c r="HR75" s="132"/>
      <c r="HS75" s="132"/>
      <c r="HT75" s="132"/>
      <c r="HU75" s="132"/>
      <c r="HV75" s="132"/>
      <c r="HW75" s="132"/>
      <c r="HX75" s="132"/>
      <c r="HY75" s="132"/>
      <c r="HZ75" s="132"/>
      <c r="IA75" s="132" t="str">
        <f>SUM(HO75:HZ75)</f>
        <v>0</v>
      </c>
      <c r="IB75" s="181"/>
      <c r="IC75" s="181"/>
      <c r="ID75" s="181"/>
      <c r="IE75" s="181"/>
      <c r="IF75" s="181"/>
      <c r="IG75" s="181"/>
      <c r="IH75" s="181"/>
      <c r="II75" s="181"/>
      <c r="IJ75" s="181"/>
      <c r="IK75" s="181"/>
      <c r="IL75" s="181"/>
      <c r="IM75" s="181"/>
      <c r="IN75" s="181" t="str">
        <f>SUM(IB75:IM75)</f>
        <v>0</v>
      </c>
      <c r="IO75" s="181"/>
      <c r="IP75" s="181"/>
      <c r="IQ75" s="181"/>
      <c r="IR75" s="181"/>
      <c r="IS75" s="181"/>
      <c r="IT75" s="181"/>
      <c r="IU75" s="181"/>
      <c r="IV75" s="181"/>
      <c r="IW75" s="181"/>
      <c r="IX75" s="181"/>
      <c r="IY75" s="181"/>
      <c r="IZ75" s="181"/>
      <c r="JA75" s="181" t="str">
        <f>SUM(IO75:IZ75)</f>
        <v>0</v>
      </c>
      <c r="JC75" s="135" t="str">
        <f>B75+O75+AB75+AO75+BB75+BO75+CB75+CO75+DB75+DO75+EB75+EO75+FB75+FO75+GB75+GO75+HB75+HO75+IB75+IO75</f>
        <v>0</v>
      </c>
      <c r="JD75" s="135" t="str">
        <f>C75+P75+AC75+AP75+BC75+BP75+CC75+CP75+DC75+DP75+EC75+EP75+FC75+FP75+GC75+GP75+HC75+HP75+IC75+IP75</f>
        <v>0</v>
      </c>
      <c r="JE75" s="135" t="str">
        <f>D75+Q75+AD75+AQ75+BD75+BQ75+CD75+CQ75+DD75+DQ75+ED75+EQ75+FD75+FQ75+GD75+GQ75+HD75+HQ75+ID75+IQ75</f>
        <v>0</v>
      </c>
      <c r="JF75" s="135" t="str">
        <f>E75+R75+AE75+AR75+BE75+BR75+CE75+CR75+DE75+DR75+EE75+ER75+FE75+FR75+GE75+GR75+HE75+HR75+IE75+IR75</f>
        <v>0</v>
      </c>
      <c r="JG75" s="135" t="str">
        <f>F75+S75+AF75+AS75+BF75+BS75+CF75+CS75+DF75+DS75+EF75+ES75+FF75+FS75+GF75+GS75+HF75+HS75+IF75+IS75</f>
        <v>0</v>
      </c>
      <c r="JH75" s="135" t="str">
        <f>G75+T75+AG75+AT75+BG75+BT75+CG75+CT75+DG75+DT75+EG75+ET75+FG75+FT75+GG75+GT75+HG75+HT75+IG75+IT75</f>
        <v>0</v>
      </c>
      <c r="JI75" s="135" t="str">
        <f>H75+U75+AH75+AU75+BH75+BU75+CH75+CU75+DH75+DU75+EH75+EU75+FH75+FU75+GH75+GU75+HH75+HU75+IH75+IU75</f>
        <v>0</v>
      </c>
      <c r="JJ75" s="135" t="str">
        <f>I75+V75+AI75+AV75+BI75+BV75+CI75+CV75+DI75+DV75+EI75+EV75+FI75+FV75+GI75+GV75+HI75+HV75+II75+IV75</f>
        <v>0</v>
      </c>
      <c r="JK75" s="135" t="str">
        <f>J75+W75+AJ75+AW75+BJ75+BW75+CJ75+CW75+DJ75+DW75+EJ75+EW75+FJ75+FW75+GJ75+GW75+HJ75+HW75+IJ75+IW75</f>
        <v>0</v>
      </c>
      <c r="JL75" s="135" t="str">
        <f>K75+X75+AK75+AX75+BK75+BX75+CK75+CX75+DK75+DX75+EK75+EX75+FK75+FX75+GK75+GX75+HK75+HX75+IK75+IX75</f>
        <v>0</v>
      </c>
      <c r="JM75" s="135" t="str">
        <f>L75+Y75+AL75+AY75+BL75+BY75+CL75+CY75+DL75+DY75+EL75+EY75+FL75+FY75+GL75+GY75+HL75+HY75+IL75+IY75</f>
        <v>0</v>
      </c>
      <c r="JN75" s="135" t="str">
        <f>M75+Z75+AM75+AZ75+BM75+BZ75+CM75+CZ75+DM75+DZ75+EM75+EZ75+FM75+FZ75+GM75+GZ75+HM75+HZ75+IM75+IZ75</f>
        <v>0</v>
      </c>
      <c r="JO75" s="132" t="str">
        <f>SUM(JC75:JN75)</f>
        <v>0</v>
      </c>
      <c r="JQ75" s="139" t="str">
        <f>N75+AA75+AN75+BA75+BN75+CA75+CN75+DA75+DN75+EA75+EN75+FA75+FN75+GA75+GN75+HA75+HN75+IA75+IN75+JA75</f>
        <v>0</v>
      </c>
    </row>
    <row r="76" spans="1:278">
      <c r="A76" s="130"/>
      <c r="B76" s="131"/>
      <c r="C76" s="131"/>
      <c r="D76" s="131"/>
      <c r="E76" s="131"/>
      <c r="F76" s="131"/>
      <c r="G76" s="131"/>
      <c r="H76" s="131"/>
      <c r="I76" s="131"/>
      <c r="J76" s="131"/>
      <c r="K76" s="131"/>
      <c r="L76" s="131"/>
      <c r="M76" s="131"/>
      <c r="N76" s="132" t="str">
        <f>SUM(B76:M76)</f>
        <v>0</v>
      </c>
      <c r="O76" s="133"/>
      <c r="P76" s="133"/>
      <c r="Q76" s="133"/>
      <c r="R76" s="133"/>
      <c r="S76" s="133"/>
      <c r="T76" s="133"/>
      <c r="U76" s="133"/>
      <c r="V76" s="133"/>
      <c r="W76" s="133"/>
      <c r="X76" s="133"/>
      <c r="Y76" s="133"/>
      <c r="Z76" s="133"/>
      <c r="AA76" s="132" t="str">
        <f>SUM(O76:Z76)</f>
        <v>0</v>
      </c>
      <c r="AB76" s="131"/>
      <c r="AC76" s="131"/>
      <c r="AD76" s="131"/>
      <c r="AE76" s="131"/>
      <c r="AF76" s="131"/>
      <c r="AG76" s="131"/>
      <c r="AH76" s="131"/>
      <c r="AI76" s="131"/>
      <c r="AJ76" s="131"/>
      <c r="AK76" s="131"/>
      <c r="AL76" s="131"/>
      <c r="AM76" s="131"/>
      <c r="AN76" s="132" t="str">
        <f>SUM(AB76:AM76)</f>
        <v>0</v>
      </c>
      <c r="AO76" s="133"/>
      <c r="AP76" s="133"/>
      <c r="AQ76" s="133"/>
      <c r="AR76" s="133"/>
      <c r="AS76" s="133"/>
      <c r="AT76" s="133"/>
      <c r="AU76" s="133"/>
      <c r="AV76" s="133"/>
      <c r="AW76" s="133"/>
      <c r="AX76" s="133"/>
      <c r="AY76" s="133"/>
      <c r="AZ76" s="133"/>
      <c r="BA76" s="132" t="str">
        <f>SUM(AO76:AZ76)</f>
        <v>0</v>
      </c>
      <c r="BB76" s="134"/>
      <c r="BC76" s="134"/>
      <c r="BD76" s="134"/>
      <c r="BE76" s="134"/>
      <c r="BF76" s="134"/>
      <c r="BG76" s="134"/>
      <c r="BH76" s="134"/>
      <c r="BI76" s="134"/>
      <c r="BJ76" s="134"/>
      <c r="BK76" s="134"/>
      <c r="BL76" s="134"/>
      <c r="BM76" s="134"/>
      <c r="BN76" s="132" t="str">
        <f>SUM(BB76:BM76)</f>
        <v>0</v>
      </c>
      <c r="BO76" s="135"/>
      <c r="BP76" s="135"/>
      <c r="BQ76" s="135"/>
      <c r="BR76" s="135"/>
      <c r="BS76" s="135"/>
      <c r="BT76" s="135"/>
      <c r="BU76" s="135"/>
      <c r="BV76" s="135"/>
      <c r="BW76" s="135"/>
      <c r="BX76" s="135"/>
      <c r="BY76" s="135"/>
      <c r="BZ76" s="135"/>
      <c r="CA76" s="132" t="str">
        <f>SUM(BO76:BZ76)</f>
        <v>0</v>
      </c>
      <c r="CB76" s="136"/>
      <c r="CC76" s="136"/>
      <c r="CD76" s="136"/>
      <c r="CE76" s="136"/>
      <c r="CF76" s="136"/>
      <c r="CG76" s="136"/>
      <c r="CH76" s="136"/>
      <c r="CI76" s="136"/>
      <c r="CJ76" s="136"/>
      <c r="CK76" s="136"/>
      <c r="CL76" s="136"/>
      <c r="CM76" s="136"/>
      <c r="CN76" s="132" t="str">
        <f>SUM(CB76:CM76)</f>
        <v>0</v>
      </c>
      <c r="CO76" s="137"/>
      <c r="CP76" s="137"/>
      <c r="CQ76" s="137"/>
      <c r="CR76" s="137"/>
      <c r="CS76" s="137"/>
      <c r="CT76" s="137"/>
      <c r="CU76" s="137"/>
      <c r="CV76" s="137"/>
      <c r="CW76" s="137"/>
      <c r="CX76" s="137"/>
      <c r="CY76" s="137"/>
      <c r="CZ76" s="137"/>
      <c r="DA76" s="132" t="str">
        <f>SUM(CO76:CZ76)</f>
        <v>0</v>
      </c>
      <c r="DB76" s="136"/>
      <c r="DC76" s="136"/>
      <c r="DD76" s="136"/>
      <c r="DE76" s="136"/>
      <c r="DF76" s="136"/>
      <c r="DG76" s="136"/>
      <c r="DH76" s="136"/>
      <c r="DI76" s="136"/>
      <c r="DJ76" s="136"/>
      <c r="DK76" s="136"/>
      <c r="DL76" s="136"/>
      <c r="DM76" s="136"/>
      <c r="DN76" s="132" t="str">
        <f>SUM(DB76:DM76)</f>
        <v>0</v>
      </c>
      <c r="DO76" s="137"/>
      <c r="DP76" s="137"/>
      <c r="DQ76" s="137"/>
      <c r="DR76" s="137"/>
      <c r="DS76" s="137"/>
      <c r="DT76" s="137"/>
      <c r="DU76" s="137"/>
      <c r="DV76" s="137"/>
      <c r="DW76" s="137"/>
      <c r="DX76" s="137"/>
      <c r="DY76" s="137"/>
      <c r="DZ76" s="137"/>
      <c r="EA76" s="132" t="str">
        <f>SUM(DO76:DZ76)</f>
        <v>0</v>
      </c>
      <c r="EB76" s="216"/>
      <c r="EC76" s="216"/>
      <c r="ED76" s="216"/>
      <c r="EE76" s="216"/>
      <c r="EF76" s="216"/>
      <c r="EG76" s="216"/>
      <c r="EH76" s="216"/>
      <c r="EI76" s="216"/>
      <c r="EJ76" s="216"/>
      <c r="EK76" s="216"/>
      <c r="EL76" s="216"/>
      <c r="EM76" s="216"/>
      <c r="EN76" s="132" t="str">
        <f>SUM(EB76:EM76)</f>
        <v>0</v>
      </c>
      <c r="EO76" s="132"/>
      <c r="EP76" s="132"/>
      <c r="EQ76" s="132"/>
      <c r="ER76" s="132"/>
      <c r="ES76" s="132"/>
      <c r="ET76" s="132"/>
      <c r="EU76" s="132"/>
      <c r="EV76" s="132"/>
      <c r="EW76" s="132"/>
      <c r="EX76" s="132"/>
      <c r="EY76" s="132"/>
      <c r="EZ76" s="132"/>
      <c r="FA76" s="132" t="str">
        <f>SUM(EO76:EZ76)</f>
        <v>0</v>
      </c>
      <c r="FB76" s="181"/>
      <c r="FC76" s="181"/>
      <c r="FD76" s="181"/>
      <c r="FE76" s="181"/>
      <c r="FF76" s="181"/>
      <c r="FG76" s="181"/>
      <c r="FH76" s="181"/>
      <c r="FI76" s="181"/>
      <c r="FJ76" s="181"/>
      <c r="FK76" s="181"/>
      <c r="FL76" s="181"/>
      <c r="FM76" s="181"/>
      <c r="FN76" s="132" t="str">
        <f>SUM(FB76:FM76)</f>
        <v>0</v>
      </c>
      <c r="FO76" s="132"/>
      <c r="FP76" s="132"/>
      <c r="FQ76" s="132"/>
      <c r="FR76" s="132"/>
      <c r="FS76" s="132"/>
      <c r="FT76" s="132"/>
      <c r="FU76" s="132"/>
      <c r="FV76" s="132"/>
      <c r="FW76" s="132"/>
      <c r="FX76" s="132"/>
      <c r="FY76" s="132"/>
      <c r="FZ76" s="132"/>
      <c r="GA76" s="132" t="str">
        <f>SUM(FO76:FZ76)</f>
        <v>0</v>
      </c>
      <c r="GB76" s="181"/>
      <c r="GC76" s="181"/>
      <c r="GD76" s="181"/>
      <c r="GE76" s="181"/>
      <c r="GF76" s="181"/>
      <c r="GG76" s="181"/>
      <c r="GH76" s="181"/>
      <c r="GI76" s="181"/>
      <c r="GJ76" s="181"/>
      <c r="GK76" s="181"/>
      <c r="GL76" s="181"/>
      <c r="GM76" s="181"/>
      <c r="GN76" s="181" t="str">
        <f>SUM(GB76:GM76)</f>
        <v>0</v>
      </c>
      <c r="GO76" s="137"/>
      <c r="GP76" s="137"/>
      <c r="GQ76" s="137"/>
      <c r="GR76" s="137"/>
      <c r="GS76" s="137"/>
      <c r="GT76" s="137"/>
      <c r="GU76" s="137"/>
      <c r="GV76" s="137"/>
      <c r="GW76" s="137"/>
      <c r="GX76" s="137"/>
      <c r="GY76" s="137"/>
      <c r="GZ76" s="137"/>
      <c r="HA76" s="132" t="str">
        <f>SUM(GO76:GZ76)</f>
        <v>0</v>
      </c>
      <c r="HB76" s="181"/>
      <c r="HC76" s="181"/>
      <c r="HD76" s="181"/>
      <c r="HE76" s="181"/>
      <c r="HF76" s="181"/>
      <c r="HG76" s="181"/>
      <c r="HH76" s="181"/>
      <c r="HI76" s="181"/>
      <c r="HJ76" s="181"/>
      <c r="HK76" s="181"/>
      <c r="HL76" s="181"/>
      <c r="HM76" s="181"/>
      <c r="HN76" s="181" t="str">
        <f>SUM(HB76:HM76)</f>
        <v>0</v>
      </c>
      <c r="HO76" s="132"/>
      <c r="HP76" s="132"/>
      <c r="HQ76" s="132"/>
      <c r="HR76" s="132"/>
      <c r="HS76" s="132"/>
      <c r="HT76" s="132"/>
      <c r="HU76" s="132"/>
      <c r="HV76" s="132"/>
      <c r="HW76" s="132"/>
      <c r="HX76" s="132"/>
      <c r="HY76" s="132"/>
      <c r="HZ76" s="132"/>
      <c r="IA76" s="132" t="str">
        <f>SUM(HO76:HZ76)</f>
        <v>0</v>
      </c>
      <c r="IB76" s="181"/>
      <c r="IC76" s="181"/>
      <c r="ID76" s="181"/>
      <c r="IE76" s="181"/>
      <c r="IF76" s="181"/>
      <c r="IG76" s="181"/>
      <c r="IH76" s="181"/>
      <c r="II76" s="181"/>
      <c r="IJ76" s="181"/>
      <c r="IK76" s="181"/>
      <c r="IL76" s="181"/>
      <c r="IM76" s="181"/>
      <c r="IN76" s="181" t="str">
        <f>SUM(IB76:IM76)</f>
        <v>0</v>
      </c>
      <c r="IO76" s="181"/>
      <c r="IP76" s="181"/>
      <c r="IQ76" s="181"/>
      <c r="IR76" s="181"/>
      <c r="IS76" s="181"/>
      <c r="IT76" s="181"/>
      <c r="IU76" s="181"/>
      <c r="IV76" s="181"/>
      <c r="IW76" s="181"/>
      <c r="IX76" s="181"/>
      <c r="IY76" s="181"/>
      <c r="IZ76" s="181"/>
      <c r="JA76" s="181" t="str">
        <f>SUM(IO76:IZ76)</f>
        <v>0</v>
      </c>
      <c r="JC76" s="135" t="str">
        <f>B76+O76+AB76+AO76+BB76+BO76+CB76+CO76+DB76+DO76+EB76+EO76+FB76+FO76+GB76+GO76+HB76+HO76+IB76+IO76</f>
        <v>0</v>
      </c>
      <c r="JD76" s="135" t="str">
        <f>C76+P76+AC76+AP76+BC76+BP76+CC76+CP76+DC76+DP76+EC76+EP76+FC76+FP76+GC76+GP76+HC76+HP76+IC76+IP76</f>
        <v>0</v>
      </c>
      <c r="JE76" s="135" t="str">
        <f>D76+Q76+AD76+AQ76+BD76+BQ76+CD76+CQ76+DD76+DQ76+ED76+EQ76+FD76+FQ76+GD76+GQ76+HD76+HQ76+ID76+IQ76</f>
        <v>0</v>
      </c>
      <c r="JF76" s="135" t="str">
        <f>E76+R76+AE76+AR76+BE76+BR76+CE76+CR76+DE76+DR76+EE76+ER76+FE76+FR76+GE76+GR76+HE76+HR76+IE76+IR76</f>
        <v>0</v>
      </c>
      <c r="JG76" s="135" t="str">
        <f>F76+S76+AF76+AS76+BF76+BS76+CF76+CS76+DF76+DS76+EF76+ES76+FF76+FS76+GF76+GS76+HF76+HS76+IF76+IS76</f>
        <v>0</v>
      </c>
      <c r="JH76" s="135" t="str">
        <f>G76+T76+AG76+AT76+BG76+BT76+CG76+CT76+DG76+DT76+EG76+ET76+FG76+FT76+GG76+GT76+HG76+HT76+IG76+IT76</f>
        <v>0</v>
      </c>
      <c r="JI76" s="135" t="str">
        <f>H76+U76+AH76+AU76+BH76+BU76+CH76+CU76+DH76+DU76+EH76+EU76+FH76+FU76+GH76+GU76+HH76+HU76+IH76+IU76</f>
        <v>0</v>
      </c>
      <c r="JJ76" s="135" t="str">
        <f>I76+V76+AI76+AV76+BI76+BV76+CI76+CV76+DI76+DV76+EI76+EV76+FI76+FV76+GI76+GV76+HI76+HV76+II76+IV76</f>
        <v>0</v>
      </c>
      <c r="JK76" s="135" t="str">
        <f>J76+W76+AJ76+AW76+BJ76+BW76+CJ76+CW76+DJ76+DW76+EJ76+EW76+FJ76+FW76+GJ76+GW76+HJ76+HW76+IJ76+IW76</f>
        <v>0</v>
      </c>
      <c r="JL76" s="135" t="str">
        <f>K76+X76+AK76+AX76+BK76+BX76+CK76+CX76+DK76+DX76+EK76+EX76+FK76+FX76+GK76+GX76+HK76+HX76+IK76+IX76</f>
        <v>0</v>
      </c>
      <c r="JM76" s="135" t="str">
        <f>L76+Y76+AL76+AY76+BL76+BY76+CL76+CY76+DL76+DY76+EL76+EY76+FL76+FY76+GL76+GY76+HL76+HY76+IL76+IY76</f>
        <v>0</v>
      </c>
      <c r="JN76" s="135" t="str">
        <f>M76+Z76+AM76+AZ76+BM76+BZ76+CM76+CZ76+DM76+DZ76+EM76+EZ76+FM76+FZ76+GM76+GZ76+HM76+HZ76+IM76+IZ76</f>
        <v>0</v>
      </c>
      <c r="JO76" s="132" t="str">
        <f>SUM(JC76:JN76)</f>
        <v>0</v>
      </c>
      <c r="JQ76" s="139" t="str">
        <f>N76+AA76+AN76+BA76+BN76+CA76+CN76+DA76+DN76+EA76+EN76+FA76+FN76+GA76+GN76+HA76+HN76+IA76+IN76+JA76</f>
        <v>0</v>
      </c>
    </row>
    <row r="77" spans="1:278">
      <c r="A77" s="130"/>
      <c r="B77" s="131"/>
      <c r="C77" s="131"/>
      <c r="D77" s="131"/>
      <c r="E77" s="131"/>
      <c r="F77" s="131"/>
      <c r="G77" s="131"/>
      <c r="H77" s="131"/>
      <c r="I77" s="131"/>
      <c r="J77" s="131"/>
      <c r="K77" s="131"/>
      <c r="L77" s="131"/>
      <c r="M77" s="131"/>
      <c r="N77" s="132" t="str">
        <f>SUM(B77:M77)</f>
        <v>0</v>
      </c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/>
      <c r="AA77" s="132" t="str">
        <f>SUM(O77:Z77)</f>
        <v>0</v>
      </c>
      <c r="AB77" s="131"/>
      <c r="AC77" s="131"/>
      <c r="AD77" s="131"/>
      <c r="AE77" s="131"/>
      <c r="AF77" s="131"/>
      <c r="AG77" s="131"/>
      <c r="AH77" s="131"/>
      <c r="AI77" s="131"/>
      <c r="AJ77" s="131"/>
      <c r="AK77" s="131"/>
      <c r="AL77" s="131"/>
      <c r="AM77" s="131"/>
      <c r="AN77" s="132" t="str">
        <f>SUM(AB77:AM77)</f>
        <v>0</v>
      </c>
      <c r="AO77" s="133"/>
      <c r="AP77" s="133"/>
      <c r="AQ77" s="133"/>
      <c r="AR77" s="133"/>
      <c r="AS77" s="133"/>
      <c r="AT77" s="133"/>
      <c r="AU77" s="133"/>
      <c r="AV77" s="133"/>
      <c r="AW77" s="133"/>
      <c r="AX77" s="133"/>
      <c r="AY77" s="133"/>
      <c r="AZ77" s="133"/>
      <c r="BA77" s="132" t="str">
        <f>SUM(AO77:AZ77)</f>
        <v>0</v>
      </c>
      <c r="BB77" s="134"/>
      <c r="BC77" s="134"/>
      <c r="BD77" s="134"/>
      <c r="BE77" s="134"/>
      <c r="BF77" s="134"/>
      <c r="BG77" s="134"/>
      <c r="BH77" s="134"/>
      <c r="BI77" s="134"/>
      <c r="BJ77" s="134"/>
      <c r="BK77" s="134"/>
      <c r="BL77" s="134"/>
      <c r="BM77" s="134"/>
      <c r="BN77" s="132" t="str">
        <f>SUM(BB77:BM77)</f>
        <v>0</v>
      </c>
      <c r="BO77" s="135"/>
      <c r="BP77" s="135"/>
      <c r="BQ77" s="135"/>
      <c r="BR77" s="135"/>
      <c r="BS77" s="135"/>
      <c r="BT77" s="135"/>
      <c r="BU77" s="135"/>
      <c r="BV77" s="135"/>
      <c r="BW77" s="135"/>
      <c r="BX77" s="135"/>
      <c r="BY77" s="135"/>
      <c r="BZ77" s="135"/>
      <c r="CA77" s="132" t="str">
        <f>SUM(BO77:BZ77)</f>
        <v>0</v>
      </c>
      <c r="CB77" s="136"/>
      <c r="CC77" s="136"/>
      <c r="CD77" s="136"/>
      <c r="CE77" s="136"/>
      <c r="CF77" s="136"/>
      <c r="CG77" s="136"/>
      <c r="CH77" s="136"/>
      <c r="CI77" s="136"/>
      <c r="CJ77" s="136"/>
      <c r="CK77" s="136"/>
      <c r="CL77" s="136"/>
      <c r="CM77" s="136"/>
      <c r="CN77" s="132" t="str">
        <f>SUM(CB77:CM77)</f>
        <v>0</v>
      </c>
      <c r="CO77" s="137"/>
      <c r="CP77" s="137"/>
      <c r="CQ77" s="137"/>
      <c r="CR77" s="137"/>
      <c r="CS77" s="137"/>
      <c r="CT77" s="137"/>
      <c r="CU77" s="137"/>
      <c r="CV77" s="137"/>
      <c r="CW77" s="137"/>
      <c r="CX77" s="137"/>
      <c r="CY77" s="137"/>
      <c r="CZ77" s="137"/>
      <c r="DA77" s="132" t="str">
        <f>SUM(CO77:CZ77)</f>
        <v>0</v>
      </c>
      <c r="DB77" s="136"/>
      <c r="DC77" s="136"/>
      <c r="DD77" s="136"/>
      <c r="DE77" s="136"/>
      <c r="DF77" s="136"/>
      <c r="DG77" s="136"/>
      <c r="DH77" s="136"/>
      <c r="DI77" s="136"/>
      <c r="DJ77" s="136"/>
      <c r="DK77" s="136"/>
      <c r="DL77" s="136"/>
      <c r="DM77" s="136"/>
      <c r="DN77" s="132" t="str">
        <f>SUM(DB77:DM77)</f>
        <v>0</v>
      </c>
      <c r="DO77" s="137"/>
      <c r="DP77" s="137"/>
      <c r="DQ77" s="137"/>
      <c r="DR77" s="137"/>
      <c r="DS77" s="137"/>
      <c r="DT77" s="137"/>
      <c r="DU77" s="137"/>
      <c r="DV77" s="137"/>
      <c r="DW77" s="137"/>
      <c r="DX77" s="137"/>
      <c r="DY77" s="137"/>
      <c r="DZ77" s="137"/>
      <c r="EA77" s="132" t="str">
        <f>SUM(DO77:DZ77)</f>
        <v>0</v>
      </c>
      <c r="EB77" s="216"/>
      <c r="EC77" s="216"/>
      <c r="ED77" s="216"/>
      <c r="EE77" s="216"/>
      <c r="EF77" s="216"/>
      <c r="EG77" s="216"/>
      <c r="EH77" s="216"/>
      <c r="EI77" s="216"/>
      <c r="EJ77" s="216"/>
      <c r="EK77" s="216"/>
      <c r="EL77" s="216"/>
      <c r="EM77" s="216"/>
      <c r="EN77" s="132" t="str">
        <f>SUM(EB77:EM77)</f>
        <v>0</v>
      </c>
      <c r="EO77" s="132"/>
      <c r="EP77" s="132"/>
      <c r="EQ77" s="132"/>
      <c r="ER77" s="132"/>
      <c r="ES77" s="132"/>
      <c r="ET77" s="132"/>
      <c r="EU77" s="132"/>
      <c r="EV77" s="132"/>
      <c r="EW77" s="132"/>
      <c r="EX77" s="132"/>
      <c r="EY77" s="132"/>
      <c r="EZ77" s="132"/>
      <c r="FA77" s="132" t="str">
        <f>SUM(EO77:EZ77)</f>
        <v>0</v>
      </c>
      <c r="FB77" s="181"/>
      <c r="FC77" s="181"/>
      <c r="FD77" s="181"/>
      <c r="FE77" s="181"/>
      <c r="FF77" s="181"/>
      <c r="FG77" s="181"/>
      <c r="FH77" s="181"/>
      <c r="FI77" s="181"/>
      <c r="FJ77" s="181"/>
      <c r="FK77" s="181"/>
      <c r="FL77" s="181"/>
      <c r="FM77" s="181"/>
      <c r="FN77" s="132" t="str">
        <f>SUM(FB77:FM77)</f>
        <v>0</v>
      </c>
      <c r="FO77" s="132"/>
      <c r="FP77" s="132"/>
      <c r="FQ77" s="132"/>
      <c r="FR77" s="132"/>
      <c r="FS77" s="132"/>
      <c r="FT77" s="132"/>
      <c r="FU77" s="132"/>
      <c r="FV77" s="132"/>
      <c r="FW77" s="132"/>
      <c r="FX77" s="132"/>
      <c r="FY77" s="132"/>
      <c r="FZ77" s="132"/>
      <c r="GA77" s="132" t="str">
        <f>SUM(FO77:FZ77)</f>
        <v>0</v>
      </c>
      <c r="GB77" s="181"/>
      <c r="GC77" s="181"/>
      <c r="GD77" s="181"/>
      <c r="GE77" s="181"/>
      <c r="GF77" s="181"/>
      <c r="GG77" s="181"/>
      <c r="GH77" s="181"/>
      <c r="GI77" s="181"/>
      <c r="GJ77" s="181"/>
      <c r="GK77" s="181"/>
      <c r="GL77" s="181"/>
      <c r="GM77" s="181"/>
      <c r="GN77" s="181" t="str">
        <f>SUM(GB77:GM77)</f>
        <v>0</v>
      </c>
      <c r="GO77" s="137"/>
      <c r="GP77" s="137"/>
      <c r="GQ77" s="137"/>
      <c r="GR77" s="137"/>
      <c r="GS77" s="137"/>
      <c r="GT77" s="137"/>
      <c r="GU77" s="137"/>
      <c r="GV77" s="137"/>
      <c r="GW77" s="137"/>
      <c r="GX77" s="137"/>
      <c r="GY77" s="137"/>
      <c r="GZ77" s="137"/>
      <c r="HA77" s="132" t="str">
        <f>SUM(GO77:GZ77)</f>
        <v>0</v>
      </c>
      <c r="HB77" s="181"/>
      <c r="HC77" s="181"/>
      <c r="HD77" s="181"/>
      <c r="HE77" s="181"/>
      <c r="HF77" s="181"/>
      <c r="HG77" s="181"/>
      <c r="HH77" s="181"/>
      <c r="HI77" s="181"/>
      <c r="HJ77" s="181"/>
      <c r="HK77" s="181"/>
      <c r="HL77" s="181"/>
      <c r="HM77" s="181"/>
      <c r="HN77" s="181" t="str">
        <f>SUM(HB77:HM77)</f>
        <v>0</v>
      </c>
      <c r="HO77" s="132"/>
      <c r="HP77" s="132"/>
      <c r="HQ77" s="132"/>
      <c r="HR77" s="132"/>
      <c r="HS77" s="132"/>
      <c r="HT77" s="132"/>
      <c r="HU77" s="132"/>
      <c r="HV77" s="132"/>
      <c r="HW77" s="132"/>
      <c r="HX77" s="132"/>
      <c r="HY77" s="132"/>
      <c r="HZ77" s="132"/>
      <c r="IA77" s="132" t="str">
        <f>SUM(HO77:HZ77)</f>
        <v>0</v>
      </c>
      <c r="IB77" s="181"/>
      <c r="IC77" s="181"/>
      <c r="ID77" s="181"/>
      <c r="IE77" s="181"/>
      <c r="IF77" s="181"/>
      <c r="IG77" s="181"/>
      <c r="IH77" s="181"/>
      <c r="II77" s="181"/>
      <c r="IJ77" s="181"/>
      <c r="IK77" s="181"/>
      <c r="IL77" s="181"/>
      <c r="IM77" s="181"/>
      <c r="IN77" s="181" t="str">
        <f>SUM(IB77:IM77)</f>
        <v>0</v>
      </c>
      <c r="IO77" s="181"/>
      <c r="IP77" s="181"/>
      <c r="IQ77" s="181"/>
      <c r="IR77" s="181"/>
      <c r="IS77" s="181"/>
      <c r="IT77" s="181"/>
      <c r="IU77" s="181"/>
      <c r="IV77" s="181"/>
      <c r="IW77" s="181"/>
      <c r="IX77" s="181"/>
      <c r="IY77" s="181"/>
      <c r="IZ77" s="181"/>
      <c r="JA77" s="181" t="str">
        <f>SUM(IO77:IZ77)</f>
        <v>0</v>
      </c>
      <c r="JC77" s="135" t="str">
        <f>B77+O77+AB77+AO77+BB77+BO77+CB77+CO77+DB77+DO77+EB77+EO77+FB77+FO77+GB77+GO77+HB77+HO77+IB77+IO77</f>
        <v>0</v>
      </c>
      <c r="JD77" s="135" t="str">
        <f>C77+P77+AC77+AP77+BC77+BP77+CC77+CP77+DC77+DP77+EC77+EP77+FC77+FP77+GC77+GP77+HC77+HP77+IC77+IP77</f>
        <v>0</v>
      </c>
      <c r="JE77" s="135" t="str">
        <f>D77+Q77+AD77+AQ77+BD77+BQ77+CD77+CQ77+DD77+DQ77+ED77+EQ77+FD77+FQ77+GD77+GQ77+HD77+HQ77+ID77+IQ77</f>
        <v>0</v>
      </c>
      <c r="JF77" s="135" t="str">
        <f>E77+R77+AE77+AR77+BE77+BR77+CE77+CR77+DE77+DR77+EE77+ER77+FE77+FR77+GE77+GR77+HE77+HR77+IE77+IR77</f>
        <v>0</v>
      </c>
      <c r="JG77" s="135" t="str">
        <f>F77+S77+AF77+AS77+BF77+BS77+CF77+CS77+DF77+DS77+EF77+ES77+FF77+FS77+GF77+GS77+HF77+HS77+IF77+IS77</f>
        <v>0</v>
      </c>
      <c r="JH77" s="135" t="str">
        <f>G77+T77+AG77+AT77+BG77+BT77+CG77+CT77+DG77+DT77+EG77+ET77+FG77+FT77+GG77+GT77+HG77+HT77+IG77+IT77</f>
        <v>0</v>
      </c>
      <c r="JI77" s="135" t="str">
        <f>H77+U77+AH77+AU77+BH77+BU77+CH77+CU77+DH77+DU77+EH77+EU77+FH77+FU77+GH77+GU77+HH77+HU77+IH77+IU77</f>
        <v>0</v>
      </c>
      <c r="JJ77" s="135" t="str">
        <f>I77+V77+AI77+AV77+BI77+BV77+CI77+CV77+DI77+DV77+EI77+EV77+FI77+FV77+GI77+GV77+HI77+HV77+II77+IV77</f>
        <v>0</v>
      </c>
      <c r="JK77" s="135" t="str">
        <f>J77+W77+AJ77+AW77+BJ77+BW77+CJ77+CW77+DJ77+DW77+EJ77+EW77+FJ77+FW77+GJ77+GW77+HJ77+HW77+IJ77+IW77</f>
        <v>0</v>
      </c>
      <c r="JL77" s="135" t="str">
        <f>K77+X77+AK77+AX77+BK77+BX77+CK77+CX77+DK77+DX77+EK77+EX77+FK77+FX77+GK77+GX77+HK77+HX77+IK77+IX77</f>
        <v>0</v>
      </c>
      <c r="JM77" s="135" t="str">
        <f>L77+Y77+AL77+AY77+BL77+BY77+CL77+CY77+DL77+DY77+EL77+EY77+FL77+FY77+GL77+GY77+HL77+HY77+IL77+IY77</f>
        <v>0</v>
      </c>
      <c r="JN77" s="135" t="str">
        <f>M77+Z77+AM77+AZ77+BM77+BZ77+CM77+CZ77+DM77+DZ77+EM77+EZ77+FM77+FZ77+GM77+GZ77+HM77+HZ77+IM77+IZ77</f>
        <v>0</v>
      </c>
      <c r="JO77" s="132" t="str">
        <f>SUM(JC77:JN77)</f>
        <v>0</v>
      </c>
      <c r="JQ77" s="139" t="str">
        <f>N77+AA77+AN77+BA77+BN77+CA77+CN77+DA77+DN77+EA77+EN77+FA77+FN77+GA77+GN77+HA77+HN77+IA77+IN77+JA77</f>
        <v>0</v>
      </c>
    </row>
    <row r="78" spans="1:278">
      <c r="A78" s="130"/>
      <c r="B78" s="131"/>
      <c r="C78" s="131"/>
      <c r="D78" s="131"/>
      <c r="E78" s="131"/>
      <c r="F78" s="131"/>
      <c r="G78" s="131"/>
      <c r="H78" s="131"/>
      <c r="I78" s="131"/>
      <c r="J78" s="131"/>
      <c r="K78" s="131"/>
      <c r="L78" s="131"/>
      <c r="M78" s="131"/>
      <c r="N78" s="132" t="str">
        <f>SUM(B78:M78)</f>
        <v>0</v>
      </c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  <c r="Z78" s="133"/>
      <c r="AA78" s="132" t="str">
        <f>SUM(O78:Z78)</f>
        <v>0</v>
      </c>
      <c r="AB78" s="131"/>
      <c r="AC78" s="131"/>
      <c r="AD78" s="131"/>
      <c r="AE78" s="131"/>
      <c r="AF78" s="131"/>
      <c r="AG78" s="131"/>
      <c r="AH78" s="131"/>
      <c r="AI78" s="131"/>
      <c r="AJ78" s="131"/>
      <c r="AK78" s="131"/>
      <c r="AL78" s="131"/>
      <c r="AM78" s="131"/>
      <c r="AN78" s="132" t="str">
        <f>SUM(AB78:AM78)</f>
        <v>0</v>
      </c>
      <c r="AO78" s="133"/>
      <c r="AP78" s="133"/>
      <c r="AQ78" s="133"/>
      <c r="AR78" s="133"/>
      <c r="AS78" s="133"/>
      <c r="AT78" s="133"/>
      <c r="AU78" s="133"/>
      <c r="AV78" s="133"/>
      <c r="AW78" s="133"/>
      <c r="AX78" s="133"/>
      <c r="AY78" s="133"/>
      <c r="AZ78" s="133"/>
      <c r="BA78" s="132" t="str">
        <f>SUM(AO78:AZ78)</f>
        <v>0</v>
      </c>
      <c r="BB78" s="134"/>
      <c r="BC78" s="134"/>
      <c r="BD78" s="134"/>
      <c r="BE78" s="134"/>
      <c r="BF78" s="134"/>
      <c r="BG78" s="134"/>
      <c r="BH78" s="134"/>
      <c r="BI78" s="134"/>
      <c r="BJ78" s="134"/>
      <c r="BK78" s="134"/>
      <c r="BL78" s="134"/>
      <c r="BM78" s="134"/>
      <c r="BN78" s="132" t="str">
        <f>SUM(BB78:BM78)</f>
        <v>0</v>
      </c>
      <c r="BO78" s="135"/>
      <c r="BP78" s="135"/>
      <c r="BQ78" s="135"/>
      <c r="BR78" s="135"/>
      <c r="BS78" s="135"/>
      <c r="BT78" s="135"/>
      <c r="BU78" s="135"/>
      <c r="BV78" s="135"/>
      <c r="BW78" s="135"/>
      <c r="BX78" s="135"/>
      <c r="BY78" s="135"/>
      <c r="BZ78" s="135"/>
      <c r="CA78" s="132" t="str">
        <f>SUM(BO78:BZ78)</f>
        <v>0</v>
      </c>
      <c r="CB78" s="136"/>
      <c r="CC78" s="136"/>
      <c r="CD78" s="136"/>
      <c r="CE78" s="136"/>
      <c r="CF78" s="136"/>
      <c r="CG78" s="136"/>
      <c r="CH78" s="136"/>
      <c r="CI78" s="136"/>
      <c r="CJ78" s="136"/>
      <c r="CK78" s="136"/>
      <c r="CL78" s="136"/>
      <c r="CM78" s="136"/>
      <c r="CN78" s="132" t="str">
        <f>SUM(CB78:CM78)</f>
        <v>0</v>
      </c>
      <c r="CO78" s="137"/>
      <c r="CP78" s="137"/>
      <c r="CQ78" s="137"/>
      <c r="CR78" s="137"/>
      <c r="CS78" s="137"/>
      <c r="CT78" s="137"/>
      <c r="CU78" s="137"/>
      <c r="CV78" s="137"/>
      <c r="CW78" s="137"/>
      <c r="CX78" s="137"/>
      <c r="CY78" s="137"/>
      <c r="CZ78" s="137"/>
      <c r="DA78" s="132" t="str">
        <f>SUM(CO78:CZ78)</f>
        <v>0</v>
      </c>
      <c r="DB78" s="136"/>
      <c r="DC78" s="136"/>
      <c r="DD78" s="136"/>
      <c r="DE78" s="136"/>
      <c r="DF78" s="136"/>
      <c r="DG78" s="136"/>
      <c r="DH78" s="136"/>
      <c r="DI78" s="136"/>
      <c r="DJ78" s="136"/>
      <c r="DK78" s="136"/>
      <c r="DL78" s="136"/>
      <c r="DM78" s="136"/>
      <c r="DN78" s="132" t="str">
        <f>SUM(DB78:DM78)</f>
        <v>0</v>
      </c>
      <c r="DO78" s="137"/>
      <c r="DP78" s="137"/>
      <c r="DQ78" s="137"/>
      <c r="DR78" s="137"/>
      <c r="DS78" s="137"/>
      <c r="DT78" s="137"/>
      <c r="DU78" s="137"/>
      <c r="DV78" s="137"/>
      <c r="DW78" s="137"/>
      <c r="DX78" s="137"/>
      <c r="DY78" s="137"/>
      <c r="DZ78" s="137"/>
      <c r="EA78" s="132" t="str">
        <f>SUM(DO78:DZ78)</f>
        <v>0</v>
      </c>
      <c r="EB78" s="216"/>
      <c r="EC78" s="216"/>
      <c r="ED78" s="216"/>
      <c r="EE78" s="216"/>
      <c r="EF78" s="216"/>
      <c r="EG78" s="216"/>
      <c r="EH78" s="216"/>
      <c r="EI78" s="216"/>
      <c r="EJ78" s="216"/>
      <c r="EK78" s="216"/>
      <c r="EL78" s="216"/>
      <c r="EM78" s="216"/>
      <c r="EN78" s="132" t="str">
        <f>SUM(EB78:EM78)</f>
        <v>0</v>
      </c>
      <c r="EO78" s="132"/>
      <c r="EP78" s="132"/>
      <c r="EQ78" s="132"/>
      <c r="ER78" s="132"/>
      <c r="ES78" s="132"/>
      <c r="ET78" s="132"/>
      <c r="EU78" s="132"/>
      <c r="EV78" s="132"/>
      <c r="EW78" s="132"/>
      <c r="EX78" s="132"/>
      <c r="EY78" s="132"/>
      <c r="EZ78" s="132"/>
      <c r="FA78" s="132" t="str">
        <f>SUM(EO78:EZ78)</f>
        <v>0</v>
      </c>
      <c r="FB78" s="181"/>
      <c r="FC78" s="181"/>
      <c r="FD78" s="181"/>
      <c r="FE78" s="181"/>
      <c r="FF78" s="181"/>
      <c r="FG78" s="181"/>
      <c r="FH78" s="181"/>
      <c r="FI78" s="181"/>
      <c r="FJ78" s="181"/>
      <c r="FK78" s="181"/>
      <c r="FL78" s="181"/>
      <c r="FM78" s="181"/>
      <c r="FN78" s="132" t="str">
        <f>SUM(FB78:FM78)</f>
        <v>0</v>
      </c>
      <c r="FO78" s="132"/>
      <c r="FP78" s="132"/>
      <c r="FQ78" s="132"/>
      <c r="FR78" s="132"/>
      <c r="FS78" s="132"/>
      <c r="FT78" s="132"/>
      <c r="FU78" s="132"/>
      <c r="FV78" s="132"/>
      <c r="FW78" s="132"/>
      <c r="FX78" s="132"/>
      <c r="FY78" s="132"/>
      <c r="FZ78" s="132"/>
      <c r="GA78" s="132" t="str">
        <f>SUM(FO78:FZ78)</f>
        <v>0</v>
      </c>
      <c r="GB78" s="181"/>
      <c r="GC78" s="181"/>
      <c r="GD78" s="181"/>
      <c r="GE78" s="181"/>
      <c r="GF78" s="181"/>
      <c r="GG78" s="181"/>
      <c r="GH78" s="181"/>
      <c r="GI78" s="181"/>
      <c r="GJ78" s="181"/>
      <c r="GK78" s="181"/>
      <c r="GL78" s="181"/>
      <c r="GM78" s="181"/>
      <c r="GN78" s="181" t="str">
        <f>SUM(GB78:GM78)</f>
        <v>0</v>
      </c>
      <c r="GO78" s="137"/>
      <c r="GP78" s="137"/>
      <c r="GQ78" s="137"/>
      <c r="GR78" s="137"/>
      <c r="GS78" s="137"/>
      <c r="GT78" s="137"/>
      <c r="GU78" s="137"/>
      <c r="GV78" s="137"/>
      <c r="GW78" s="137"/>
      <c r="GX78" s="137"/>
      <c r="GY78" s="137"/>
      <c r="GZ78" s="137"/>
      <c r="HA78" s="132" t="str">
        <f>SUM(GO78:GZ78)</f>
        <v>0</v>
      </c>
      <c r="HB78" s="181"/>
      <c r="HC78" s="181"/>
      <c r="HD78" s="181"/>
      <c r="HE78" s="181"/>
      <c r="HF78" s="181"/>
      <c r="HG78" s="181"/>
      <c r="HH78" s="181"/>
      <c r="HI78" s="181"/>
      <c r="HJ78" s="181"/>
      <c r="HK78" s="181"/>
      <c r="HL78" s="181"/>
      <c r="HM78" s="181"/>
      <c r="HN78" s="181" t="str">
        <f>SUM(HB78:HM78)</f>
        <v>0</v>
      </c>
      <c r="HO78" s="132"/>
      <c r="HP78" s="132"/>
      <c r="HQ78" s="132"/>
      <c r="HR78" s="132"/>
      <c r="HS78" s="132"/>
      <c r="HT78" s="132"/>
      <c r="HU78" s="132"/>
      <c r="HV78" s="132"/>
      <c r="HW78" s="132"/>
      <c r="HX78" s="132"/>
      <c r="HY78" s="132"/>
      <c r="HZ78" s="132"/>
      <c r="IA78" s="132" t="str">
        <f>SUM(HO78:HZ78)</f>
        <v>0</v>
      </c>
      <c r="IB78" s="181"/>
      <c r="IC78" s="181"/>
      <c r="ID78" s="181"/>
      <c r="IE78" s="181"/>
      <c r="IF78" s="181"/>
      <c r="IG78" s="181"/>
      <c r="IH78" s="181"/>
      <c r="II78" s="181"/>
      <c r="IJ78" s="181"/>
      <c r="IK78" s="181"/>
      <c r="IL78" s="181"/>
      <c r="IM78" s="181"/>
      <c r="IN78" s="181" t="str">
        <f>SUM(IB78:IM78)</f>
        <v>0</v>
      </c>
      <c r="IO78" s="181"/>
      <c r="IP78" s="181"/>
      <c r="IQ78" s="181"/>
      <c r="IR78" s="181"/>
      <c r="IS78" s="181"/>
      <c r="IT78" s="181"/>
      <c r="IU78" s="181"/>
      <c r="IV78" s="181"/>
      <c r="IW78" s="181"/>
      <c r="IX78" s="181"/>
      <c r="IY78" s="181"/>
      <c r="IZ78" s="181"/>
      <c r="JA78" s="181" t="str">
        <f>SUM(IO78:IZ78)</f>
        <v>0</v>
      </c>
      <c r="JC78" s="135" t="str">
        <f>B78+O78+AB78+AO78+BB78+BO78+CB78+CO78+DB78+DO78+EB78+EO78+FB78+FO78+GB78+GO78+HB78+HO78+IB78+IO78</f>
        <v>0</v>
      </c>
      <c r="JD78" s="135" t="str">
        <f>C78+P78+AC78+AP78+BC78+BP78+CC78+CP78+DC78+DP78+EC78+EP78+FC78+FP78+GC78+GP78+HC78+HP78+IC78+IP78</f>
        <v>0</v>
      </c>
      <c r="JE78" s="135" t="str">
        <f>D78+Q78+AD78+AQ78+BD78+BQ78+CD78+CQ78+DD78+DQ78+ED78+EQ78+FD78+FQ78+GD78+GQ78+HD78+HQ78+ID78+IQ78</f>
        <v>0</v>
      </c>
      <c r="JF78" s="135" t="str">
        <f>E78+R78+AE78+AR78+BE78+BR78+CE78+CR78+DE78+DR78+EE78+ER78+FE78+FR78+GE78+GR78+HE78+HR78+IE78+IR78</f>
        <v>0</v>
      </c>
      <c r="JG78" s="135" t="str">
        <f>F78+S78+AF78+AS78+BF78+BS78+CF78+CS78+DF78+DS78+EF78+ES78+FF78+FS78+GF78+GS78+HF78+HS78+IF78+IS78</f>
        <v>0</v>
      </c>
      <c r="JH78" s="135" t="str">
        <f>G78+T78+AG78+AT78+BG78+BT78+CG78+CT78+DG78+DT78+EG78+ET78+FG78+FT78+GG78+GT78+HG78+HT78+IG78+IT78</f>
        <v>0</v>
      </c>
      <c r="JI78" s="135" t="str">
        <f>H78+U78+AH78+AU78+BH78+BU78+CH78+CU78+DH78+DU78+EH78+EU78+FH78+FU78+GH78+GU78+HH78+HU78+IH78+IU78</f>
        <v>0</v>
      </c>
      <c r="JJ78" s="135" t="str">
        <f>I78+V78+AI78+AV78+BI78+BV78+CI78+CV78+DI78+DV78+EI78+EV78+FI78+FV78+GI78+GV78+HI78+HV78+II78+IV78</f>
        <v>0</v>
      </c>
      <c r="JK78" s="135" t="str">
        <f>J78+W78+AJ78+AW78+BJ78+BW78+CJ78+CW78+DJ78+DW78+EJ78+EW78+FJ78+FW78+GJ78+GW78+HJ78+HW78+IJ78+IW78</f>
        <v>0</v>
      </c>
      <c r="JL78" s="135" t="str">
        <f>K78+X78+AK78+AX78+BK78+BX78+CK78+CX78+DK78+DX78+EK78+EX78+FK78+FX78+GK78+GX78+HK78+HX78+IK78+IX78</f>
        <v>0</v>
      </c>
      <c r="JM78" s="135" t="str">
        <f>L78+Y78+AL78+AY78+BL78+BY78+CL78+CY78+DL78+DY78+EL78+EY78+FL78+FY78+GL78+GY78+HL78+HY78+IL78+IY78</f>
        <v>0</v>
      </c>
      <c r="JN78" s="135" t="str">
        <f>M78+Z78+AM78+AZ78+BM78+BZ78+CM78+CZ78+DM78+DZ78+EM78+EZ78+FM78+FZ78+GM78+GZ78+HM78+HZ78+IM78+IZ78</f>
        <v>0</v>
      </c>
      <c r="JO78" s="132" t="str">
        <f>SUM(JC78:JN78)</f>
        <v>0</v>
      </c>
      <c r="JQ78" s="139" t="str">
        <f>N78+AA78+AN78+BA78+BN78+CA78+CN78+DA78+DN78+EA78+EN78+FA78+FN78+GA78+GN78+HA78+HN78+IA78+IN78+JA78</f>
        <v>0</v>
      </c>
    </row>
    <row r="79" spans="1:278">
      <c r="A79" s="130"/>
      <c r="B79" s="131"/>
      <c r="C79" s="131"/>
      <c r="D79" s="131"/>
      <c r="E79" s="131"/>
      <c r="F79" s="131"/>
      <c r="G79" s="131"/>
      <c r="H79" s="131"/>
      <c r="I79" s="131"/>
      <c r="J79" s="131"/>
      <c r="K79" s="131"/>
      <c r="L79" s="131"/>
      <c r="M79" s="131"/>
      <c r="N79" s="132" t="str">
        <f>SUM(B79:M79)</f>
        <v>0</v>
      </c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133"/>
      <c r="Z79" s="133"/>
      <c r="AA79" s="132" t="str">
        <f>SUM(O79:Z79)</f>
        <v>0</v>
      </c>
      <c r="AB79" s="131"/>
      <c r="AC79" s="131"/>
      <c r="AD79" s="131"/>
      <c r="AE79" s="131"/>
      <c r="AF79" s="131"/>
      <c r="AG79" s="131"/>
      <c r="AH79" s="131"/>
      <c r="AI79" s="131"/>
      <c r="AJ79" s="131"/>
      <c r="AK79" s="131"/>
      <c r="AL79" s="131"/>
      <c r="AM79" s="131"/>
      <c r="AN79" s="132" t="str">
        <f>SUM(AB79:AM79)</f>
        <v>0</v>
      </c>
      <c r="AO79" s="133"/>
      <c r="AP79" s="133"/>
      <c r="AQ79" s="133"/>
      <c r="AR79" s="133"/>
      <c r="AS79" s="133"/>
      <c r="AT79" s="133"/>
      <c r="AU79" s="133"/>
      <c r="AV79" s="133"/>
      <c r="AW79" s="133"/>
      <c r="AX79" s="133"/>
      <c r="AY79" s="133"/>
      <c r="AZ79" s="133"/>
      <c r="BA79" s="132" t="str">
        <f>SUM(AO79:AZ79)</f>
        <v>0</v>
      </c>
      <c r="BB79" s="134"/>
      <c r="BC79" s="134"/>
      <c r="BD79" s="134"/>
      <c r="BE79" s="134"/>
      <c r="BF79" s="134"/>
      <c r="BG79" s="134"/>
      <c r="BH79" s="134"/>
      <c r="BI79" s="134"/>
      <c r="BJ79" s="134"/>
      <c r="BK79" s="134"/>
      <c r="BL79" s="134"/>
      <c r="BM79" s="134"/>
      <c r="BN79" s="132" t="str">
        <f>SUM(BB79:BM79)</f>
        <v>0</v>
      </c>
      <c r="BO79" s="135"/>
      <c r="BP79" s="135"/>
      <c r="BQ79" s="135"/>
      <c r="BR79" s="135"/>
      <c r="BS79" s="135"/>
      <c r="BT79" s="135"/>
      <c r="BU79" s="135"/>
      <c r="BV79" s="135"/>
      <c r="BW79" s="135"/>
      <c r="BX79" s="135"/>
      <c r="BY79" s="135"/>
      <c r="BZ79" s="135"/>
      <c r="CA79" s="132" t="str">
        <f>SUM(BO79:BZ79)</f>
        <v>0</v>
      </c>
      <c r="CB79" s="136"/>
      <c r="CC79" s="136"/>
      <c r="CD79" s="136"/>
      <c r="CE79" s="136"/>
      <c r="CF79" s="136"/>
      <c r="CG79" s="136"/>
      <c r="CH79" s="136"/>
      <c r="CI79" s="136"/>
      <c r="CJ79" s="136"/>
      <c r="CK79" s="136"/>
      <c r="CL79" s="136"/>
      <c r="CM79" s="136"/>
      <c r="CN79" s="132" t="str">
        <f>SUM(CB79:CM79)</f>
        <v>0</v>
      </c>
      <c r="CO79" s="137"/>
      <c r="CP79" s="137"/>
      <c r="CQ79" s="137"/>
      <c r="CR79" s="137"/>
      <c r="CS79" s="137"/>
      <c r="CT79" s="137"/>
      <c r="CU79" s="137"/>
      <c r="CV79" s="137"/>
      <c r="CW79" s="137"/>
      <c r="CX79" s="137"/>
      <c r="CY79" s="137"/>
      <c r="CZ79" s="137"/>
      <c r="DA79" s="132" t="str">
        <f>SUM(CO79:CZ79)</f>
        <v>0</v>
      </c>
      <c r="DB79" s="136"/>
      <c r="DC79" s="136"/>
      <c r="DD79" s="136"/>
      <c r="DE79" s="136"/>
      <c r="DF79" s="136"/>
      <c r="DG79" s="136"/>
      <c r="DH79" s="136"/>
      <c r="DI79" s="136"/>
      <c r="DJ79" s="136"/>
      <c r="DK79" s="136"/>
      <c r="DL79" s="136"/>
      <c r="DM79" s="136"/>
      <c r="DN79" s="132" t="str">
        <f>SUM(DB79:DM79)</f>
        <v>0</v>
      </c>
      <c r="DO79" s="137"/>
      <c r="DP79" s="137"/>
      <c r="DQ79" s="137"/>
      <c r="DR79" s="137"/>
      <c r="DS79" s="137"/>
      <c r="DT79" s="137"/>
      <c r="DU79" s="137"/>
      <c r="DV79" s="137"/>
      <c r="DW79" s="137"/>
      <c r="DX79" s="137"/>
      <c r="DY79" s="137"/>
      <c r="DZ79" s="137"/>
      <c r="EA79" s="132" t="str">
        <f>SUM(DO79:DZ79)</f>
        <v>0</v>
      </c>
      <c r="EB79" s="216"/>
      <c r="EC79" s="216"/>
      <c r="ED79" s="216"/>
      <c r="EE79" s="216"/>
      <c r="EF79" s="216"/>
      <c r="EG79" s="216"/>
      <c r="EH79" s="216"/>
      <c r="EI79" s="216"/>
      <c r="EJ79" s="216"/>
      <c r="EK79" s="216"/>
      <c r="EL79" s="216"/>
      <c r="EM79" s="216"/>
      <c r="EN79" s="132" t="str">
        <f>SUM(EB79:EM79)</f>
        <v>0</v>
      </c>
      <c r="EO79" s="132"/>
      <c r="EP79" s="132"/>
      <c r="EQ79" s="132"/>
      <c r="ER79" s="132"/>
      <c r="ES79" s="132"/>
      <c r="ET79" s="132"/>
      <c r="EU79" s="132"/>
      <c r="EV79" s="132"/>
      <c r="EW79" s="132"/>
      <c r="EX79" s="132"/>
      <c r="EY79" s="132"/>
      <c r="EZ79" s="132"/>
      <c r="FA79" s="132" t="str">
        <f>SUM(EO79:EZ79)</f>
        <v>0</v>
      </c>
      <c r="FB79" s="181"/>
      <c r="FC79" s="181"/>
      <c r="FD79" s="181"/>
      <c r="FE79" s="181"/>
      <c r="FF79" s="181"/>
      <c r="FG79" s="181"/>
      <c r="FH79" s="181"/>
      <c r="FI79" s="181"/>
      <c r="FJ79" s="181"/>
      <c r="FK79" s="181"/>
      <c r="FL79" s="181"/>
      <c r="FM79" s="181"/>
      <c r="FN79" s="132" t="str">
        <f>SUM(FB79:FM79)</f>
        <v>0</v>
      </c>
      <c r="FO79" s="132"/>
      <c r="FP79" s="132"/>
      <c r="FQ79" s="132"/>
      <c r="FR79" s="132"/>
      <c r="FS79" s="132"/>
      <c r="FT79" s="132"/>
      <c r="FU79" s="132"/>
      <c r="FV79" s="132"/>
      <c r="FW79" s="132"/>
      <c r="FX79" s="132"/>
      <c r="FY79" s="132"/>
      <c r="FZ79" s="132"/>
      <c r="GA79" s="132" t="str">
        <f>SUM(FO79:FZ79)</f>
        <v>0</v>
      </c>
      <c r="GB79" s="181"/>
      <c r="GC79" s="181"/>
      <c r="GD79" s="181"/>
      <c r="GE79" s="181"/>
      <c r="GF79" s="181"/>
      <c r="GG79" s="181"/>
      <c r="GH79" s="181"/>
      <c r="GI79" s="181"/>
      <c r="GJ79" s="181"/>
      <c r="GK79" s="181"/>
      <c r="GL79" s="181"/>
      <c r="GM79" s="181"/>
      <c r="GN79" s="181" t="str">
        <f>SUM(GB79:GM79)</f>
        <v>0</v>
      </c>
      <c r="GO79" s="137"/>
      <c r="GP79" s="137"/>
      <c r="GQ79" s="137"/>
      <c r="GR79" s="137"/>
      <c r="GS79" s="137"/>
      <c r="GT79" s="137"/>
      <c r="GU79" s="137"/>
      <c r="GV79" s="137"/>
      <c r="GW79" s="137"/>
      <c r="GX79" s="137"/>
      <c r="GY79" s="137"/>
      <c r="GZ79" s="137"/>
      <c r="HA79" s="132" t="str">
        <f>SUM(GO79:GZ79)</f>
        <v>0</v>
      </c>
      <c r="HB79" s="181"/>
      <c r="HC79" s="181"/>
      <c r="HD79" s="181"/>
      <c r="HE79" s="181"/>
      <c r="HF79" s="181"/>
      <c r="HG79" s="181"/>
      <c r="HH79" s="181"/>
      <c r="HI79" s="181"/>
      <c r="HJ79" s="181"/>
      <c r="HK79" s="181"/>
      <c r="HL79" s="181"/>
      <c r="HM79" s="181"/>
      <c r="HN79" s="181" t="str">
        <f>SUM(HB79:HM79)</f>
        <v>0</v>
      </c>
      <c r="HO79" s="132"/>
      <c r="HP79" s="132"/>
      <c r="HQ79" s="132"/>
      <c r="HR79" s="132"/>
      <c r="HS79" s="132"/>
      <c r="HT79" s="132"/>
      <c r="HU79" s="132"/>
      <c r="HV79" s="132"/>
      <c r="HW79" s="132"/>
      <c r="HX79" s="132"/>
      <c r="HY79" s="132"/>
      <c r="HZ79" s="132"/>
      <c r="IA79" s="132" t="str">
        <f>SUM(HO79:HZ79)</f>
        <v>0</v>
      </c>
      <c r="IB79" s="181"/>
      <c r="IC79" s="181"/>
      <c r="ID79" s="181"/>
      <c r="IE79" s="181"/>
      <c r="IF79" s="181"/>
      <c r="IG79" s="181"/>
      <c r="IH79" s="181"/>
      <c r="II79" s="181"/>
      <c r="IJ79" s="181"/>
      <c r="IK79" s="181"/>
      <c r="IL79" s="181"/>
      <c r="IM79" s="181"/>
      <c r="IN79" s="181" t="str">
        <f>SUM(IB79:IM79)</f>
        <v>0</v>
      </c>
      <c r="IO79" s="181"/>
      <c r="IP79" s="181"/>
      <c r="IQ79" s="181"/>
      <c r="IR79" s="181"/>
      <c r="IS79" s="181"/>
      <c r="IT79" s="181"/>
      <c r="IU79" s="181"/>
      <c r="IV79" s="181"/>
      <c r="IW79" s="181"/>
      <c r="IX79" s="181"/>
      <c r="IY79" s="181"/>
      <c r="IZ79" s="181"/>
      <c r="JA79" s="181" t="str">
        <f>SUM(IO79:IZ79)</f>
        <v>0</v>
      </c>
      <c r="JC79" s="135" t="str">
        <f>B79+O79+AB79+AO79+BB79+BO79+CB79+CO79+DB79+DO79+EB79+EO79+FB79+FO79+GB79+GO79+HB79+HO79+IB79+IO79</f>
        <v>0</v>
      </c>
      <c r="JD79" s="135" t="str">
        <f>C79+P79+AC79+AP79+BC79+BP79+CC79+CP79+DC79+DP79+EC79+EP79+FC79+FP79+GC79+GP79+HC79+HP79+IC79+IP79</f>
        <v>0</v>
      </c>
      <c r="JE79" s="135" t="str">
        <f>D79+Q79+AD79+AQ79+BD79+BQ79+CD79+CQ79+DD79+DQ79+ED79+EQ79+FD79+FQ79+GD79+GQ79+HD79+HQ79+ID79+IQ79</f>
        <v>0</v>
      </c>
      <c r="JF79" s="135" t="str">
        <f>E79+R79+AE79+AR79+BE79+BR79+CE79+CR79+DE79+DR79+EE79+ER79+FE79+FR79+GE79+GR79+HE79+HR79+IE79+IR79</f>
        <v>0</v>
      </c>
      <c r="JG79" s="135" t="str">
        <f>F79+S79+AF79+AS79+BF79+BS79+CF79+CS79+DF79+DS79+EF79+ES79+FF79+FS79+GF79+GS79+HF79+HS79+IF79+IS79</f>
        <v>0</v>
      </c>
      <c r="JH79" s="135" t="str">
        <f>G79+T79+AG79+AT79+BG79+BT79+CG79+CT79+DG79+DT79+EG79+ET79+FG79+FT79+GG79+GT79+HG79+HT79+IG79+IT79</f>
        <v>0</v>
      </c>
      <c r="JI79" s="135" t="str">
        <f>H79+U79+AH79+AU79+BH79+BU79+CH79+CU79+DH79+DU79+EH79+EU79+FH79+FU79+GH79+GU79+HH79+HU79+IH79+IU79</f>
        <v>0</v>
      </c>
      <c r="JJ79" s="135" t="str">
        <f>I79+V79+AI79+AV79+BI79+BV79+CI79+CV79+DI79+DV79+EI79+EV79+FI79+FV79+GI79+GV79+HI79+HV79+II79+IV79</f>
        <v>0</v>
      </c>
      <c r="JK79" s="135" t="str">
        <f>J79+W79+AJ79+AW79+BJ79+BW79+CJ79+CW79+DJ79+DW79+EJ79+EW79+FJ79+FW79+GJ79+GW79+HJ79+HW79+IJ79+IW79</f>
        <v>0</v>
      </c>
      <c r="JL79" s="135" t="str">
        <f>K79+X79+AK79+AX79+BK79+BX79+CK79+CX79+DK79+DX79+EK79+EX79+FK79+FX79+GK79+GX79+HK79+HX79+IK79+IX79</f>
        <v>0</v>
      </c>
      <c r="JM79" s="135" t="str">
        <f>L79+Y79+AL79+AY79+BL79+BY79+CL79+CY79+DL79+DY79+EL79+EY79+FL79+FY79+GL79+GY79+HL79+HY79+IL79+IY79</f>
        <v>0</v>
      </c>
      <c r="JN79" s="135" t="str">
        <f>M79+Z79+AM79+AZ79+BM79+BZ79+CM79+CZ79+DM79+DZ79+EM79+EZ79+FM79+FZ79+GM79+GZ79+HM79+HZ79+IM79+IZ79</f>
        <v>0</v>
      </c>
      <c r="JO79" s="132" t="str">
        <f>SUM(JC79:JN79)</f>
        <v>0</v>
      </c>
      <c r="JQ79" s="139" t="str">
        <f>N79+AA79+AN79+BA79+BN79+CA79+CN79+DA79+DN79+EA79+EN79+FA79+FN79+GA79+GN79+HA79+HN79+IA79+IN79+JA79</f>
        <v>0</v>
      </c>
    </row>
    <row r="80" spans="1:278">
      <c r="A80" s="130"/>
      <c r="B80" s="131"/>
      <c r="C80" s="131"/>
      <c r="D80" s="131"/>
      <c r="E80" s="131"/>
      <c r="F80" s="131"/>
      <c r="G80" s="131"/>
      <c r="H80" s="131"/>
      <c r="I80" s="131"/>
      <c r="J80" s="131"/>
      <c r="K80" s="131"/>
      <c r="L80" s="131"/>
      <c r="M80" s="131"/>
      <c r="N80" s="132" t="str">
        <f>SUM(B80:M80)</f>
        <v>0</v>
      </c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133"/>
      <c r="Z80" s="133"/>
      <c r="AA80" s="132" t="str">
        <f>SUM(O80:Z80)</f>
        <v>0</v>
      </c>
      <c r="AB80" s="131"/>
      <c r="AC80" s="131"/>
      <c r="AD80" s="131"/>
      <c r="AE80" s="131"/>
      <c r="AF80" s="131"/>
      <c r="AG80" s="131"/>
      <c r="AH80" s="131"/>
      <c r="AI80" s="131"/>
      <c r="AJ80" s="131"/>
      <c r="AK80" s="131"/>
      <c r="AL80" s="131"/>
      <c r="AM80" s="131"/>
      <c r="AN80" s="132" t="str">
        <f>SUM(AB80:AM80)</f>
        <v>0</v>
      </c>
      <c r="AO80" s="133"/>
      <c r="AP80" s="133"/>
      <c r="AQ80" s="133"/>
      <c r="AR80" s="133"/>
      <c r="AS80" s="133"/>
      <c r="AT80" s="133"/>
      <c r="AU80" s="133"/>
      <c r="AV80" s="133"/>
      <c r="AW80" s="133"/>
      <c r="AX80" s="133"/>
      <c r="AY80" s="133"/>
      <c r="AZ80" s="133"/>
      <c r="BA80" s="132" t="str">
        <f>SUM(AO80:AZ80)</f>
        <v>0</v>
      </c>
      <c r="BB80" s="134"/>
      <c r="BC80" s="134"/>
      <c r="BD80" s="134"/>
      <c r="BE80" s="134"/>
      <c r="BF80" s="134"/>
      <c r="BG80" s="134"/>
      <c r="BH80" s="134"/>
      <c r="BI80" s="134"/>
      <c r="BJ80" s="134"/>
      <c r="BK80" s="134"/>
      <c r="BL80" s="134"/>
      <c r="BM80" s="134"/>
      <c r="BN80" s="132" t="str">
        <f>SUM(BB80:BM80)</f>
        <v>0</v>
      </c>
      <c r="BO80" s="135"/>
      <c r="BP80" s="135"/>
      <c r="BQ80" s="135"/>
      <c r="BR80" s="135"/>
      <c r="BS80" s="135"/>
      <c r="BT80" s="135"/>
      <c r="BU80" s="135"/>
      <c r="BV80" s="135"/>
      <c r="BW80" s="135"/>
      <c r="BX80" s="135"/>
      <c r="BY80" s="135"/>
      <c r="BZ80" s="135"/>
      <c r="CA80" s="132" t="str">
        <f>SUM(BO80:BZ80)</f>
        <v>0</v>
      </c>
      <c r="CB80" s="136"/>
      <c r="CC80" s="136"/>
      <c r="CD80" s="136"/>
      <c r="CE80" s="136"/>
      <c r="CF80" s="136"/>
      <c r="CG80" s="136"/>
      <c r="CH80" s="136"/>
      <c r="CI80" s="136"/>
      <c r="CJ80" s="136"/>
      <c r="CK80" s="136"/>
      <c r="CL80" s="136"/>
      <c r="CM80" s="136"/>
      <c r="CN80" s="132" t="str">
        <f>SUM(CB80:CM80)</f>
        <v>0</v>
      </c>
      <c r="CO80" s="137"/>
      <c r="CP80" s="137"/>
      <c r="CQ80" s="137"/>
      <c r="CR80" s="137"/>
      <c r="CS80" s="137"/>
      <c r="CT80" s="137"/>
      <c r="CU80" s="137"/>
      <c r="CV80" s="137"/>
      <c r="CW80" s="137"/>
      <c r="CX80" s="137"/>
      <c r="CY80" s="137"/>
      <c r="CZ80" s="137"/>
      <c r="DA80" s="132" t="str">
        <f>SUM(CO80:CZ80)</f>
        <v>0</v>
      </c>
      <c r="DB80" s="136"/>
      <c r="DC80" s="136"/>
      <c r="DD80" s="136"/>
      <c r="DE80" s="136"/>
      <c r="DF80" s="136"/>
      <c r="DG80" s="136"/>
      <c r="DH80" s="136"/>
      <c r="DI80" s="136"/>
      <c r="DJ80" s="136"/>
      <c r="DK80" s="136"/>
      <c r="DL80" s="136"/>
      <c r="DM80" s="136"/>
      <c r="DN80" s="132" t="str">
        <f>SUM(DB80:DM80)</f>
        <v>0</v>
      </c>
      <c r="DO80" s="137"/>
      <c r="DP80" s="137"/>
      <c r="DQ80" s="137"/>
      <c r="DR80" s="137"/>
      <c r="DS80" s="137"/>
      <c r="DT80" s="137"/>
      <c r="DU80" s="137"/>
      <c r="DV80" s="137"/>
      <c r="DW80" s="137"/>
      <c r="DX80" s="137"/>
      <c r="DY80" s="137"/>
      <c r="DZ80" s="137"/>
      <c r="EA80" s="132" t="str">
        <f>SUM(DO80:DZ80)</f>
        <v>0</v>
      </c>
      <c r="EB80" s="216"/>
      <c r="EC80" s="216"/>
      <c r="ED80" s="216"/>
      <c r="EE80" s="216"/>
      <c r="EF80" s="216"/>
      <c r="EG80" s="216"/>
      <c r="EH80" s="216"/>
      <c r="EI80" s="216"/>
      <c r="EJ80" s="216"/>
      <c r="EK80" s="216"/>
      <c r="EL80" s="216"/>
      <c r="EM80" s="216"/>
      <c r="EN80" s="132" t="str">
        <f>SUM(EB80:EM80)</f>
        <v>0</v>
      </c>
      <c r="EO80" s="132"/>
      <c r="EP80" s="132"/>
      <c r="EQ80" s="132"/>
      <c r="ER80" s="132"/>
      <c r="ES80" s="132"/>
      <c r="ET80" s="132"/>
      <c r="EU80" s="132"/>
      <c r="EV80" s="132"/>
      <c r="EW80" s="132"/>
      <c r="EX80" s="132"/>
      <c r="EY80" s="132"/>
      <c r="EZ80" s="132"/>
      <c r="FA80" s="132" t="str">
        <f>SUM(EO80:EZ80)</f>
        <v>0</v>
      </c>
      <c r="FB80" s="181"/>
      <c r="FC80" s="181"/>
      <c r="FD80" s="181"/>
      <c r="FE80" s="181"/>
      <c r="FF80" s="181"/>
      <c r="FG80" s="181"/>
      <c r="FH80" s="181"/>
      <c r="FI80" s="181"/>
      <c r="FJ80" s="181"/>
      <c r="FK80" s="181"/>
      <c r="FL80" s="181"/>
      <c r="FM80" s="181"/>
      <c r="FN80" s="132" t="str">
        <f>SUM(FB80:FM80)</f>
        <v>0</v>
      </c>
      <c r="FO80" s="132"/>
      <c r="FP80" s="132"/>
      <c r="FQ80" s="132"/>
      <c r="FR80" s="132"/>
      <c r="FS80" s="132"/>
      <c r="FT80" s="132"/>
      <c r="FU80" s="132"/>
      <c r="FV80" s="132"/>
      <c r="FW80" s="132"/>
      <c r="FX80" s="132"/>
      <c r="FY80" s="132"/>
      <c r="FZ80" s="132"/>
      <c r="GA80" s="132" t="str">
        <f>SUM(FO80:FZ80)</f>
        <v>0</v>
      </c>
      <c r="GB80" s="181"/>
      <c r="GC80" s="181"/>
      <c r="GD80" s="181"/>
      <c r="GE80" s="181"/>
      <c r="GF80" s="181"/>
      <c r="GG80" s="181"/>
      <c r="GH80" s="181"/>
      <c r="GI80" s="181"/>
      <c r="GJ80" s="181"/>
      <c r="GK80" s="181"/>
      <c r="GL80" s="181"/>
      <c r="GM80" s="181"/>
      <c r="GN80" s="181" t="str">
        <f>SUM(GB80:GM80)</f>
        <v>0</v>
      </c>
      <c r="GO80" s="137"/>
      <c r="GP80" s="137"/>
      <c r="GQ80" s="137"/>
      <c r="GR80" s="137"/>
      <c r="GS80" s="137"/>
      <c r="GT80" s="137"/>
      <c r="GU80" s="137"/>
      <c r="GV80" s="137"/>
      <c r="GW80" s="137"/>
      <c r="GX80" s="137"/>
      <c r="GY80" s="137"/>
      <c r="GZ80" s="137"/>
      <c r="HA80" s="132" t="str">
        <f>SUM(GO80:GZ80)</f>
        <v>0</v>
      </c>
      <c r="HB80" s="181"/>
      <c r="HC80" s="181"/>
      <c r="HD80" s="181"/>
      <c r="HE80" s="181"/>
      <c r="HF80" s="181"/>
      <c r="HG80" s="181"/>
      <c r="HH80" s="181"/>
      <c r="HI80" s="181"/>
      <c r="HJ80" s="181"/>
      <c r="HK80" s="181"/>
      <c r="HL80" s="181"/>
      <c r="HM80" s="181"/>
      <c r="HN80" s="181" t="str">
        <f>SUM(HB80:HM80)</f>
        <v>0</v>
      </c>
      <c r="HO80" s="132"/>
      <c r="HP80" s="132"/>
      <c r="HQ80" s="132"/>
      <c r="HR80" s="132"/>
      <c r="HS80" s="132"/>
      <c r="HT80" s="132"/>
      <c r="HU80" s="132"/>
      <c r="HV80" s="132"/>
      <c r="HW80" s="132"/>
      <c r="HX80" s="132"/>
      <c r="HY80" s="132"/>
      <c r="HZ80" s="132"/>
      <c r="IA80" s="132" t="str">
        <f>SUM(HO80:HZ80)</f>
        <v>0</v>
      </c>
      <c r="IB80" s="181"/>
      <c r="IC80" s="181"/>
      <c r="ID80" s="181"/>
      <c r="IE80" s="181"/>
      <c r="IF80" s="181"/>
      <c r="IG80" s="181"/>
      <c r="IH80" s="181"/>
      <c r="II80" s="181"/>
      <c r="IJ80" s="181"/>
      <c r="IK80" s="181"/>
      <c r="IL80" s="181"/>
      <c r="IM80" s="181"/>
      <c r="IN80" s="181" t="str">
        <f>SUM(IB80:IM80)</f>
        <v>0</v>
      </c>
      <c r="IO80" s="181"/>
      <c r="IP80" s="181"/>
      <c r="IQ80" s="181"/>
      <c r="IR80" s="181"/>
      <c r="IS80" s="181"/>
      <c r="IT80" s="181"/>
      <c r="IU80" s="181"/>
      <c r="IV80" s="181"/>
      <c r="IW80" s="181"/>
      <c r="IX80" s="181"/>
      <c r="IY80" s="181"/>
      <c r="IZ80" s="181"/>
      <c r="JA80" s="181" t="str">
        <f>SUM(IO80:IZ80)</f>
        <v>0</v>
      </c>
      <c r="JC80" s="135" t="str">
        <f>B80+O80+AB80+AO80+BB80+BO80+CB80+CO80+DB80+DO80+EB80+EO80+FB80+FO80+GB80+GO80+HB80+HO80+IB80+IO80</f>
        <v>0</v>
      </c>
      <c r="JD80" s="135" t="str">
        <f>C80+P80+AC80+AP80+BC80+BP80+CC80+CP80+DC80+DP80+EC80+EP80+FC80+FP80+GC80+GP80+HC80+HP80+IC80+IP80</f>
        <v>0</v>
      </c>
      <c r="JE80" s="135" t="str">
        <f>D80+Q80+AD80+AQ80+BD80+BQ80+CD80+CQ80+DD80+DQ80+ED80+EQ80+FD80+FQ80+GD80+GQ80+HD80+HQ80+ID80+IQ80</f>
        <v>0</v>
      </c>
      <c r="JF80" s="135" t="str">
        <f>E80+R80+AE80+AR80+BE80+BR80+CE80+CR80+DE80+DR80+EE80+ER80+FE80+FR80+GE80+GR80+HE80+HR80+IE80+IR80</f>
        <v>0</v>
      </c>
      <c r="JG80" s="135" t="str">
        <f>F80+S80+AF80+AS80+BF80+BS80+CF80+CS80+DF80+DS80+EF80+ES80+FF80+FS80+GF80+GS80+HF80+HS80+IF80+IS80</f>
        <v>0</v>
      </c>
      <c r="JH80" s="135" t="str">
        <f>G80+T80+AG80+AT80+BG80+BT80+CG80+CT80+DG80+DT80+EG80+ET80+FG80+FT80+GG80+GT80+HG80+HT80+IG80+IT80</f>
        <v>0</v>
      </c>
      <c r="JI80" s="135" t="str">
        <f>H80+U80+AH80+AU80+BH80+BU80+CH80+CU80+DH80+DU80+EH80+EU80+FH80+FU80+GH80+GU80+HH80+HU80+IH80+IU80</f>
        <v>0</v>
      </c>
      <c r="JJ80" s="135" t="str">
        <f>I80+V80+AI80+AV80+BI80+BV80+CI80+CV80+DI80+DV80+EI80+EV80+FI80+FV80+GI80+GV80+HI80+HV80+II80+IV80</f>
        <v>0</v>
      </c>
      <c r="JK80" s="135" t="str">
        <f>J80+W80+AJ80+AW80+BJ80+BW80+CJ80+CW80+DJ80+DW80+EJ80+EW80+FJ80+FW80+GJ80+GW80+HJ80+HW80+IJ80+IW80</f>
        <v>0</v>
      </c>
      <c r="JL80" s="135" t="str">
        <f>K80+X80+AK80+AX80+BK80+BX80+CK80+CX80+DK80+DX80+EK80+EX80+FK80+FX80+GK80+GX80+HK80+HX80+IK80+IX80</f>
        <v>0</v>
      </c>
      <c r="JM80" s="135" t="str">
        <f>L80+Y80+AL80+AY80+BL80+BY80+CL80+CY80+DL80+DY80+EL80+EY80+FL80+FY80+GL80+GY80+HL80+HY80+IL80+IY80</f>
        <v>0</v>
      </c>
      <c r="JN80" s="135" t="str">
        <f>M80+Z80+AM80+AZ80+BM80+BZ80+CM80+CZ80+DM80+DZ80+EM80+EZ80+FM80+FZ80+GM80+GZ80+HM80+HZ80+IM80+IZ80</f>
        <v>0</v>
      </c>
      <c r="JO80" s="132" t="str">
        <f>SUM(JC80:JN80)</f>
        <v>0</v>
      </c>
      <c r="JQ80" s="139" t="str">
        <f>N80+AA80+AN80+BA80+BN80+CA80+CN80+DA80+DN80+EA80+EN80+FA80+FN80+GA80+GN80+HA80+HN80+IA80+IN80+JA80</f>
        <v>0</v>
      </c>
    </row>
    <row r="81" spans="1:278">
      <c r="A81" s="130"/>
      <c r="B81" s="131"/>
      <c r="C81" s="131"/>
      <c r="D81" s="131"/>
      <c r="E81" s="131"/>
      <c r="F81" s="131"/>
      <c r="G81" s="131"/>
      <c r="H81" s="131"/>
      <c r="I81" s="131"/>
      <c r="J81" s="131"/>
      <c r="K81" s="131"/>
      <c r="L81" s="131"/>
      <c r="M81" s="131"/>
      <c r="N81" s="132" t="str">
        <f>SUM(B81:M81)</f>
        <v>0</v>
      </c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  <c r="Z81" s="133"/>
      <c r="AA81" s="132" t="str">
        <f>SUM(O81:Z81)</f>
        <v>0</v>
      </c>
      <c r="AB81" s="131"/>
      <c r="AC81" s="131"/>
      <c r="AD81" s="131"/>
      <c r="AE81" s="131"/>
      <c r="AF81" s="131"/>
      <c r="AG81" s="131"/>
      <c r="AH81" s="131"/>
      <c r="AI81" s="131"/>
      <c r="AJ81" s="131"/>
      <c r="AK81" s="131"/>
      <c r="AL81" s="131"/>
      <c r="AM81" s="131"/>
      <c r="AN81" s="132" t="str">
        <f>SUM(AB81:AM81)</f>
        <v>0</v>
      </c>
      <c r="AO81" s="133"/>
      <c r="AP81" s="133"/>
      <c r="AQ81" s="133"/>
      <c r="AR81" s="133"/>
      <c r="AS81" s="133"/>
      <c r="AT81" s="133"/>
      <c r="AU81" s="133"/>
      <c r="AV81" s="133"/>
      <c r="AW81" s="133"/>
      <c r="AX81" s="133"/>
      <c r="AY81" s="133"/>
      <c r="AZ81" s="133"/>
      <c r="BA81" s="132" t="str">
        <f>SUM(AO81:AZ81)</f>
        <v>0</v>
      </c>
      <c r="BB81" s="134"/>
      <c r="BC81" s="134"/>
      <c r="BD81" s="134"/>
      <c r="BE81" s="134"/>
      <c r="BF81" s="134"/>
      <c r="BG81" s="134"/>
      <c r="BH81" s="134"/>
      <c r="BI81" s="134"/>
      <c r="BJ81" s="134"/>
      <c r="BK81" s="134"/>
      <c r="BL81" s="134"/>
      <c r="BM81" s="134"/>
      <c r="BN81" s="132" t="str">
        <f>SUM(BB81:BM81)</f>
        <v>0</v>
      </c>
      <c r="BO81" s="135"/>
      <c r="BP81" s="135"/>
      <c r="BQ81" s="135"/>
      <c r="BR81" s="135"/>
      <c r="BS81" s="135"/>
      <c r="BT81" s="135"/>
      <c r="BU81" s="135"/>
      <c r="BV81" s="135"/>
      <c r="BW81" s="135"/>
      <c r="BX81" s="135"/>
      <c r="BY81" s="135"/>
      <c r="BZ81" s="135"/>
      <c r="CA81" s="132" t="str">
        <f>SUM(BO81:BZ81)</f>
        <v>0</v>
      </c>
      <c r="CB81" s="136"/>
      <c r="CC81" s="136"/>
      <c r="CD81" s="136"/>
      <c r="CE81" s="136"/>
      <c r="CF81" s="136"/>
      <c r="CG81" s="136"/>
      <c r="CH81" s="136"/>
      <c r="CI81" s="136"/>
      <c r="CJ81" s="136"/>
      <c r="CK81" s="136"/>
      <c r="CL81" s="136"/>
      <c r="CM81" s="136"/>
      <c r="CN81" s="132" t="str">
        <f>SUM(CB81:CM81)</f>
        <v>0</v>
      </c>
      <c r="CO81" s="137"/>
      <c r="CP81" s="137"/>
      <c r="CQ81" s="137"/>
      <c r="CR81" s="137"/>
      <c r="CS81" s="137"/>
      <c r="CT81" s="137"/>
      <c r="CU81" s="137"/>
      <c r="CV81" s="137"/>
      <c r="CW81" s="137"/>
      <c r="CX81" s="137"/>
      <c r="CY81" s="137"/>
      <c r="CZ81" s="137"/>
      <c r="DA81" s="132" t="str">
        <f>SUM(CO81:CZ81)</f>
        <v>0</v>
      </c>
      <c r="DB81" s="136"/>
      <c r="DC81" s="136"/>
      <c r="DD81" s="136"/>
      <c r="DE81" s="136"/>
      <c r="DF81" s="136"/>
      <c r="DG81" s="136"/>
      <c r="DH81" s="136"/>
      <c r="DI81" s="136"/>
      <c r="DJ81" s="136"/>
      <c r="DK81" s="136"/>
      <c r="DL81" s="136"/>
      <c r="DM81" s="136"/>
      <c r="DN81" s="132" t="str">
        <f>SUM(DB81:DM81)</f>
        <v>0</v>
      </c>
      <c r="DO81" s="137"/>
      <c r="DP81" s="137"/>
      <c r="DQ81" s="137"/>
      <c r="DR81" s="137"/>
      <c r="DS81" s="137"/>
      <c r="DT81" s="137"/>
      <c r="DU81" s="137"/>
      <c r="DV81" s="137"/>
      <c r="DW81" s="137"/>
      <c r="DX81" s="137"/>
      <c r="DY81" s="137"/>
      <c r="DZ81" s="137"/>
      <c r="EA81" s="132" t="str">
        <f>SUM(DO81:DZ81)</f>
        <v>0</v>
      </c>
      <c r="EB81" s="216"/>
      <c r="EC81" s="216"/>
      <c r="ED81" s="216"/>
      <c r="EE81" s="216"/>
      <c r="EF81" s="216"/>
      <c r="EG81" s="216"/>
      <c r="EH81" s="216"/>
      <c r="EI81" s="216"/>
      <c r="EJ81" s="216"/>
      <c r="EK81" s="216"/>
      <c r="EL81" s="216"/>
      <c r="EM81" s="216"/>
      <c r="EN81" s="132" t="str">
        <f>SUM(EB81:EM81)</f>
        <v>0</v>
      </c>
      <c r="EO81" s="132"/>
      <c r="EP81" s="132"/>
      <c r="EQ81" s="132"/>
      <c r="ER81" s="132"/>
      <c r="ES81" s="132"/>
      <c r="ET81" s="132"/>
      <c r="EU81" s="132"/>
      <c r="EV81" s="132"/>
      <c r="EW81" s="132"/>
      <c r="EX81" s="132"/>
      <c r="EY81" s="132"/>
      <c r="EZ81" s="132"/>
      <c r="FA81" s="132" t="str">
        <f>SUM(EO81:EZ81)</f>
        <v>0</v>
      </c>
      <c r="FB81" s="181"/>
      <c r="FC81" s="181"/>
      <c r="FD81" s="181"/>
      <c r="FE81" s="181"/>
      <c r="FF81" s="181"/>
      <c r="FG81" s="181"/>
      <c r="FH81" s="181"/>
      <c r="FI81" s="181"/>
      <c r="FJ81" s="181"/>
      <c r="FK81" s="181"/>
      <c r="FL81" s="181"/>
      <c r="FM81" s="181"/>
      <c r="FN81" s="132" t="str">
        <f>SUM(FB81:FM81)</f>
        <v>0</v>
      </c>
      <c r="FO81" s="132"/>
      <c r="FP81" s="132"/>
      <c r="FQ81" s="132"/>
      <c r="FR81" s="132"/>
      <c r="FS81" s="132"/>
      <c r="FT81" s="132"/>
      <c r="FU81" s="132"/>
      <c r="FV81" s="132"/>
      <c r="FW81" s="132"/>
      <c r="FX81" s="132"/>
      <c r="FY81" s="132"/>
      <c r="FZ81" s="132"/>
      <c r="GA81" s="132" t="str">
        <f>SUM(FO81:FZ81)</f>
        <v>0</v>
      </c>
      <c r="GB81" s="181"/>
      <c r="GC81" s="181"/>
      <c r="GD81" s="181"/>
      <c r="GE81" s="181"/>
      <c r="GF81" s="181"/>
      <c r="GG81" s="181"/>
      <c r="GH81" s="181"/>
      <c r="GI81" s="181"/>
      <c r="GJ81" s="181"/>
      <c r="GK81" s="181"/>
      <c r="GL81" s="181"/>
      <c r="GM81" s="181"/>
      <c r="GN81" s="181" t="str">
        <f>SUM(GB81:GM81)</f>
        <v>0</v>
      </c>
      <c r="GO81" s="137"/>
      <c r="GP81" s="137"/>
      <c r="GQ81" s="137"/>
      <c r="GR81" s="137"/>
      <c r="GS81" s="137"/>
      <c r="GT81" s="137"/>
      <c r="GU81" s="137"/>
      <c r="GV81" s="137"/>
      <c r="GW81" s="137"/>
      <c r="GX81" s="137"/>
      <c r="GY81" s="137"/>
      <c r="GZ81" s="137"/>
      <c r="HA81" s="132" t="str">
        <f>SUM(GO81:GZ81)</f>
        <v>0</v>
      </c>
      <c r="HB81" s="181"/>
      <c r="HC81" s="181"/>
      <c r="HD81" s="181"/>
      <c r="HE81" s="181"/>
      <c r="HF81" s="181"/>
      <c r="HG81" s="181"/>
      <c r="HH81" s="181"/>
      <c r="HI81" s="181"/>
      <c r="HJ81" s="181"/>
      <c r="HK81" s="181"/>
      <c r="HL81" s="181"/>
      <c r="HM81" s="181"/>
      <c r="HN81" s="181" t="str">
        <f>SUM(HB81:HM81)</f>
        <v>0</v>
      </c>
      <c r="HO81" s="132"/>
      <c r="HP81" s="132"/>
      <c r="HQ81" s="132"/>
      <c r="HR81" s="132"/>
      <c r="HS81" s="132"/>
      <c r="HT81" s="132"/>
      <c r="HU81" s="132"/>
      <c r="HV81" s="132"/>
      <c r="HW81" s="132"/>
      <c r="HX81" s="132"/>
      <c r="HY81" s="132"/>
      <c r="HZ81" s="132"/>
      <c r="IA81" s="132" t="str">
        <f>SUM(HO81:HZ81)</f>
        <v>0</v>
      </c>
      <c r="IB81" s="181"/>
      <c r="IC81" s="181"/>
      <c r="ID81" s="181"/>
      <c r="IE81" s="181"/>
      <c r="IF81" s="181"/>
      <c r="IG81" s="181"/>
      <c r="IH81" s="181"/>
      <c r="II81" s="181"/>
      <c r="IJ81" s="181"/>
      <c r="IK81" s="181"/>
      <c r="IL81" s="181"/>
      <c r="IM81" s="181"/>
      <c r="IN81" s="181" t="str">
        <f>SUM(IB81:IM81)</f>
        <v>0</v>
      </c>
      <c r="IO81" s="181"/>
      <c r="IP81" s="181"/>
      <c r="IQ81" s="181"/>
      <c r="IR81" s="181"/>
      <c r="IS81" s="181"/>
      <c r="IT81" s="181"/>
      <c r="IU81" s="181"/>
      <c r="IV81" s="181"/>
      <c r="IW81" s="181"/>
      <c r="IX81" s="181"/>
      <c r="IY81" s="181"/>
      <c r="IZ81" s="181"/>
      <c r="JA81" s="181" t="str">
        <f>SUM(IO81:IZ81)</f>
        <v>0</v>
      </c>
      <c r="JC81" s="135" t="str">
        <f>B81+O81+AB81+AO81+BB81+BO81+CB81+CO81+DB81+DO81+EB81+EO81+FB81+FO81+GB81+GO81+HB81+HO81+IB81+IO81</f>
        <v>0</v>
      </c>
      <c r="JD81" s="135" t="str">
        <f>C81+P81+AC81+AP81+BC81+BP81+CC81+CP81+DC81+DP81+EC81+EP81+FC81+FP81+GC81+GP81+HC81+HP81+IC81+IP81</f>
        <v>0</v>
      </c>
      <c r="JE81" s="135" t="str">
        <f>D81+Q81+AD81+AQ81+BD81+BQ81+CD81+CQ81+DD81+DQ81+ED81+EQ81+FD81+FQ81+GD81+GQ81+HD81+HQ81+ID81+IQ81</f>
        <v>0</v>
      </c>
      <c r="JF81" s="135" t="str">
        <f>E81+R81+AE81+AR81+BE81+BR81+CE81+CR81+DE81+DR81+EE81+ER81+FE81+FR81+GE81+GR81+HE81+HR81+IE81+IR81</f>
        <v>0</v>
      </c>
      <c r="JG81" s="135" t="str">
        <f>F81+S81+AF81+AS81+BF81+BS81+CF81+CS81+DF81+DS81+EF81+ES81+FF81+FS81+GF81+GS81+HF81+HS81+IF81+IS81</f>
        <v>0</v>
      </c>
      <c r="JH81" s="135" t="str">
        <f>G81+T81+AG81+AT81+BG81+BT81+CG81+CT81+DG81+DT81+EG81+ET81+FG81+FT81+GG81+GT81+HG81+HT81+IG81+IT81</f>
        <v>0</v>
      </c>
      <c r="JI81" s="135" t="str">
        <f>H81+U81+AH81+AU81+BH81+BU81+CH81+CU81+DH81+DU81+EH81+EU81+FH81+FU81+GH81+GU81+HH81+HU81+IH81+IU81</f>
        <v>0</v>
      </c>
      <c r="JJ81" s="135" t="str">
        <f>I81+V81+AI81+AV81+BI81+BV81+CI81+CV81+DI81+DV81+EI81+EV81+FI81+FV81+GI81+GV81+HI81+HV81+II81+IV81</f>
        <v>0</v>
      </c>
      <c r="JK81" s="135" t="str">
        <f>J81+W81+AJ81+AW81+BJ81+BW81+CJ81+CW81+DJ81+DW81+EJ81+EW81+FJ81+FW81+GJ81+GW81+HJ81+HW81+IJ81+IW81</f>
        <v>0</v>
      </c>
      <c r="JL81" s="135" t="str">
        <f>K81+X81+AK81+AX81+BK81+BX81+CK81+CX81+DK81+DX81+EK81+EX81+FK81+FX81+GK81+GX81+HK81+HX81+IK81+IX81</f>
        <v>0</v>
      </c>
      <c r="JM81" s="135" t="str">
        <f>L81+Y81+AL81+AY81+BL81+BY81+CL81+CY81+DL81+DY81+EL81+EY81+FL81+FY81+GL81+GY81+HL81+HY81+IL81+IY81</f>
        <v>0</v>
      </c>
      <c r="JN81" s="135" t="str">
        <f>M81+Z81+AM81+AZ81+BM81+BZ81+CM81+CZ81+DM81+DZ81+EM81+EZ81+FM81+FZ81+GM81+GZ81+HM81+HZ81+IM81+IZ81</f>
        <v>0</v>
      </c>
      <c r="JO81" s="132" t="str">
        <f>SUM(JC81:JN81)</f>
        <v>0</v>
      </c>
      <c r="JQ81" s="139" t="str">
        <f>N81+AA81+AN81+BA81+BN81+CA81+CN81+DA81+DN81+EA81+EN81+FA81+FN81+GA81+GN81+HA81+HN81+IA81+IN81+JA81</f>
        <v>0</v>
      </c>
    </row>
    <row r="82" spans="1:278">
      <c r="A82" s="130"/>
      <c r="B82" s="131"/>
      <c r="C82" s="131"/>
      <c r="D82" s="131"/>
      <c r="E82" s="131"/>
      <c r="F82" s="131"/>
      <c r="G82" s="131"/>
      <c r="H82" s="131"/>
      <c r="I82" s="131"/>
      <c r="J82" s="131"/>
      <c r="K82" s="131"/>
      <c r="L82" s="131"/>
      <c r="M82" s="131"/>
      <c r="N82" s="132" t="str">
        <f>SUM(B82:M82)</f>
        <v>0</v>
      </c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  <c r="Z82" s="133"/>
      <c r="AA82" s="132" t="str">
        <f>SUM(O82:Z82)</f>
        <v>0</v>
      </c>
      <c r="AB82" s="131"/>
      <c r="AC82" s="131"/>
      <c r="AD82" s="131"/>
      <c r="AE82" s="131"/>
      <c r="AF82" s="131"/>
      <c r="AG82" s="131"/>
      <c r="AH82" s="131"/>
      <c r="AI82" s="131"/>
      <c r="AJ82" s="131"/>
      <c r="AK82" s="131"/>
      <c r="AL82" s="131"/>
      <c r="AM82" s="131"/>
      <c r="AN82" s="132" t="str">
        <f>SUM(AB82:AM82)</f>
        <v>0</v>
      </c>
      <c r="AO82" s="133"/>
      <c r="AP82" s="133"/>
      <c r="AQ82" s="133"/>
      <c r="AR82" s="133"/>
      <c r="AS82" s="133"/>
      <c r="AT82" s="133"/>
      <c r="AU82" s="133"/>
      <c r="AV82" s="133"/>
      <c r="AW82" s="133"/>
      <c r="AX82" s="133"/>
      <c r="AY82" s="133"/>
      <c r="AZ82" s="133"/>
      <c r="BA82" s="132" t="str">
        <f>SUM(AO82:AZ82)</f>
        <v>0</v>
      </c>
      <c r="BB82" s="134"/>
      <c r="BC82" s="134"/>
      <c r="BD82" s="134"/>
      <c r="BE82" s="134"/>
      <c r="BF82" s="134"/>
      <c r="BG82" s="134"/>
      <c r="BH82" s="134"/>
      <c r="BI82" s="134"/>
      <c r="BJ82" s="134"/>
      <c r="BK82" s="134"/>
      <c r="BL82" s="134"/>
      <c r="BM82" s="134"/>
      <c r="BN82" s="132" t="str">
        <f>SUM(BB82:BM82)</f>
        <v>0</v>
      </c>
      <c r="BO82" s="135"/>
      <c r="BP82" s="135"/>
      <c r="BQ82" s="135"/>
      <c r="BR82" s="135"/>
      <c r="BS82" s="135"/>
      <c r="BT82" s="135"/>
      <c r="BU82" s="135"/>
      <c r="BV82" s="135"/>
      <c r="BW82" s="135"/>
      <c r="BX82" s="135"/>
      <c r="BY82" s="135"/>
      <c r="BZ82" s="135"/>
      <c r="CA82" s="132" t="str">
        <f>SUM(BO82:BZ82)</f>
        <v>0</v>
      </c>
      <c r="CB82" s="136"/>
      <c r="CC82" s="136"/>
      <c r="CD82" s="136"/>
      <c r="CE82" s="136"/>
      <c r="CF82" s="136"/>
      <c r="CG82" s="136"/>
      <c r="CH82" s="136"/>
      <c r="CI82" s="136"/>
      <c r="CJ82" s="136"/>
      <c r="CK82" s="136"/>
      <c r="CL82" s="136"/>
      <c r="CM82" s="136"/>
      <c r="CN82" s="132" t="str">
        <f>SUM(CB82:CM82)</f>
        <v>0</v>
      </c>
      <c r="CO82" s="137"/>
      <c r="CP82" s="137"/>
      <c r="CQ82" s="137"/>
      <c r="CR82" s="137"/>
      <c r="CS82" s="137"/>
      <c r="CT82" s="137"/>
      <c r="CU82" s="137"/>
      <c r="CV82" s="137"/>
      <c r="CW82" s="137"/>
      <c r="CX82" s="137"/>
      <c r="CY82" s="137"/>
      <c r="CZ82" s="137"/>
      <c r="DA82" s="132" t="str">
        <f>SUM(CO82:CZ82)</f>
        <v>0</v>
      </c>
      <c r="DB82" s="136"/>
      <c r="DC82" s="136"/>
      <c r="DD82" s="136"/>
      <c r="DE82" s="136"/>
      <c r="DF82" s="136"/>
      <c r="DG82" s="136"/>
      <c r="DH82" s="136"/>
      <c r="DI82" s="136"/>
      <c r="DJ82" s="136"/>
      <c r="DK82" s="136"/>
      <c r="DL82" s="136"/>
      <c r="DM82" s="136"/>
      <c r="DN82" s="132" t="str">
        <f>SUM(DB82:DM82)</f>
        <v>0</v>
      </c>
      <c r="DO82" s="137"/>
      <c r="DP82" s="137"/>
      <c r="DQ82" s="137"/>
      <c r="DR82" s="137"/>
      <c r="DS82" s="137"/>
      <c r="DT82" s="137"/>
      <c r="DU82" s="137"/>
      <c r="DV82" s="137"/>
      <c r="DW82" s="137"/>
      <c r="DX82" s="137"/>
      <c r="DY82" s="137"/>
      <c r="DZ82" s="137"/>
      <c r="EA82" s="132" t="str">
        <f>SUM(DO82:DZ82)</f>
        <v>0</v>
      </c>
      <c r="EB82" s="216"/>
      <c r="EC82" s="216"/>
      <c r="ED82" s="216"/>
      <c r="EE82" s="216"/>
      <c r="EF82" s="216"/>
      <c r="EG82" s="216"/>
      <c r="EH82" s="216"/>
      <c r="EI82" s="216"/>
      <c r="EJ82" s="216"/>
      <c r="EK82" s="216"/>
      <c r="EL82" s="216"/>
      <c r="EM82" s="216"/>
      <c r="EN82" s="132" t="str">
        <f>SUM(EB82:EM82)</f>
        <v>0</v>
      </c>
      <c r="EO82" s="132"/>
      <c r="EP82" s="132"/>
      <c r="EQ82" s="132"/>
      <c r="ER82" s="132"/>
      <c r="ES82" s="132"/>
      <c r="ET82" s="132"/>
      <c r="EU82" s="132"/>
      <c r="EV82" s="132"/>
      <c r="EW82" s="132"/>
      <c r="EX82" s="132"/>
      <c r="EY82" s="132"/>
      <c r="EZ82" s="132"/>
      <c r="FA82" s="132" t="str">
        <f>SUM(EO82:EZ82)</f>
        <v>0</v>
      </c>
      <c r="FB82" s="181"/>
      <c r="FC82" s="181"/>
      <c r="FD82" s="181"/>
      <c r="FE82" s="181"/>
      <c r="FF82" s="181"/>
      <c r="FG82" s="181"/>
      <c r="FH82" s="181"/>
      <c r="FI82" s="181"/>
      <c r="FJ82" s="181"/>
      <c r="FK82" s="181"/>
      <c r="FL82" s="181"/>
      <c r="FM82" s="181"/>
      <c r="FN82" s="132" t="str">
        <f>SUM(FB82:FM82)</f>
        <v>0</v>
      </c>
      <c r="FO82" s="132"/>
      <c r="FP82" s="132"/>
      <c r="FQ82" s="132"/>
      <c r="FR82" s="132"/>
      <c r="FS82" s="132"/>
      <c r="FT82" s="132"/>
      <c r="FU82" s="132"/>
      <c r="FV82" s="132"/>
      <c r="FW82" s="132"/>
      <c r="FX82" s="132"/>
      <c r="FY82" s="132"/>
      <c r="FZ82" s="132"/>
      <c r="GA82" s="132" t="str">
        <f>SUM(FO82:FZ82)</f>
        <v>0</v>
      </c>
      <c r="GB82" s="181"/>
      <c r="GC82" s="181"/>
      <c r="GD82" s="181"/>
      <c r="GE82" s="181"/>
      <c r="GF82" s="181"/>
      <c r="GG82" s="181"/>
      <c r="GH82" s="181"/>
      <c r="GI82" s="181"/>
      <c r="GJ82" s="181"/>
      <c r="GK82" s="181"/>
      <c r="GL82" s="181"/>
      <c r="GM82" s="181"/>
      <c r="GN82" s="181" t="str">
        <f>SUM(GB82:GM82)</f>
        <v>0</v>
      </c>
      <c r="GO82" s="137"/>
      <c r="GP82" s="137"/>
      <c r="GQ82" s="137"/>
      <c r="GR82" s="137"/>
      <c r="GS82" s="137"/>
      <c r="GT82" s="137"/>
      <c r="GU82" s="137"/>
      <c r="GV82" s="137"/>
      <c r="GW82" s="137"/>
      <c r="GX82" s="137"/>
      <c r="GY82" s="137"/>
      <c r="GZ82" s="137"/>
      <c r="HA82" s="132" t="str">
        <f>SUM(GO82:GZ82)</f>
        <v>0</v>
      </c>
      <c r="HB82" s="181"/>
      <c r="HC82" s="181"/>
      <c r="HD82" s="181"/>
      <c r="HE82" s="181"/>
      <c r="HF82" s="181"/>
      <c r="HG82" s="181"/>
      <c r="HH82" s="181"/>
      <c r="HI82" s="181"/>
      <c r="HJ82" s="181"/>
      <c r="HK82" s="181"/>
      <c r="HL82" s="181"/>
      <c r="HM82" s="181"/>
      <c r="HN82" s="181" t="str">
        <f>SUM(HB82:HM82)</f>
        <v>0</v>
      </c>
      <c r="HO82" s="132"/>
      <c r="HP82" s="132"/>
      <c r="HQ82" s="132"/>
      <c r="HR82" s="132"/>
      <c r="HS82" s="132"/>
      <c r="HT82" s="132"/>
      <c r="HU82" s="132"/>
      <c r="HV82" s="132"/>
      <c r="HW82" s="132"/>
      <c r="HX82" s="132"/>
      <c r="HY82" s="132"/>
      <c r="HZ82" s="132"/>
      <c r="IA82" s="132" t="str">
        <f>SUM(HO82:HZ82)</f>
        <v>0</v>
      </c>
      <c r="IB82" s="181"/>
      <c r="IC82" s="181"/>
      <c r="ID82" s="181"/>
      <c r="IE82" s="181"/>
      <c r="IF82" s="181"/>
      <c r="IG82" s="181"/>
      <c r="IH82" s="181"/>
      <c r="II82" s="181"/>
      <c r="IJ82" s="181"/>
      <c r="IK82" s="181"/>
      <c r="IL82" s="181"/>
      <c r="IM82" s="181"/>
      <c r="IN82" s="181" t="str">
        <f>SUM(IB82:IM82)</f>
        <v>0</v>
      </c>
      <c r="IO82" s="181"/>
      <c r="IP82" s="181"/>
      <c r="IQ82" s="181"/>
      <c r="IR82" s="181"/>
      <c r="IS82" s="181"/>
      <c r="IT82" s="181"/>
      <c r="IU82" s="181"/>
      <c r="IV82" s="181"/>
      <c r="IW82" s="181"/>
      <c r="IX82" s="181"/>
      <c r="IY82" s="181"/>
      <c r="IZ82" s="181"/>
      <c r="JA82" s="181" t="str">
        <f>SUM(IO82:IZ82)</f>
        <v>0</v>
      </c>
      <c r="JC82" s="135" t="str">
        <f>B82+O82+AB82+AO82+BB82+BO82+CB82+CO82+DB82+DO82+EB82+EO82+FB82+FO82+GB82+GO82+HB82+HO82+IB82+IO82</f>
        <v>0</v>
      </c>
      <c r="JD82" s="135" t="str">
        <f>C82+P82+AC82+AP82+BC82+BP82+CC82+CP82+DC82+DP82+EC82+EP82+FC82+FP82+GC82+GP82+HC82+HP82+IC82+IP82</f>
        <v>0</v>
      </c>
      <c r="JE82" s="135" t="str">
        <f>D82+Q82+AD82+AQ82+BD82+BQ82+CD82+CQ82+DD82+DQ82+ED82+EQ82+FD82+FQ82+GD82+GQ82+HD82+HQ82+ID82+IQ82</f>
        <v>0</v>
      </c>
      <c r="JF82" s="135" t="str">
        <f>E82+R82+AE82+AR82+BE82+BR82+CE82+CR82+DE82+DR82+EE82+ER82+FE82+FR82+GE82+GR82+HE82+HR82+IE82+IR82</f>
        <v>0</v>
      </c>
      <c r="JG82" s="135" t="str">
        <f>F82+S82+AF82+AS82+BF82+BS82+CF82+CS82+DF82+DS82+EF82+ES82+FF82+FS82+GF82+GS82+HF82+HS82+IF82+IS82</f>
        <v>0</v>
      </c>
      <c r="JH82" s="135" t="str">
        <f>G82+T82+AG82+AT82+BG82+BT82+CG82+CT82+DG82+DT82+EG82+ET82+FG82+FT82+GG82+GT82+HG82+HT82+IG82+IT82</f>
        <v>0</v>
      </c>
      <c r="JI82" s="135" t="str">
        <f>H82+U82+AH82+AU82+BH82+BU82+CH82+CU82+DH82+DU82+EH82+EU82+FH82+FU82+GH82+GU82+HH82+HU82+IH82+IU82</f>
        <v>0</v>
      </c>
      <c r="JJ82" s="135" t="str">
        <f>I82+V82+AI82+AV82+BI82+BV82+CI82+CV82+DI82+DV82+EI82+EV82+FI82+FV82+GI82+GV82+HI82+HV82+II82+IV82</f>
        <v>0</v>
      </c>
      <c r="JK82" s="135" t="str">
        <f>J82+W82+AJ82+AW82+BJ82+BW82+CJ82+CW82+DJ82+DW82+EJ82+EW82+FJ82+FW82+GJ82+GW82+HJ82+HW82+IJ82+IW82</f>
        <v>0</v>
      </c>
      <c r="JL82" s="135" t="str">
        <f>K82+X82+AK82+AX82+BK82+BX82+CK82+CX82+DK82+DX82+EK82+EX82+FK82+FX82+GK82+GX82+HK82+HX82+IK82+IX82</f>
        <v>0</v>
      </c>
      <c r="JM82" s="135" t="str">
        <f>L82+Y82+AL82+AY82+BL82+BY82+CL82+CY82+DL82+DY82+EL82+EY82+FL82+FY82+GL82+GY82+HL82+HY82+IL82+IY82</f>
        <v>0</v>
      </c>
      <c r="JN82" s="135" t="str">
        <f>M82+Z82+AM82+AZ82+BM82+BZ82+CM82+CZ82+DM82+DZ82+EM82+EZ82+FM82+FZ82+GM82+GZ82+HM82+HZ82+IM82+IZ82</f>
        <v>0</v>
      </c>
      <c r="JO82" s="132" t="str">
        <f>SUM(JC82:JN82)</f>
        <v>0</v>
      </c>
      <c r="JQ82" s="139" t="str">
        <f>N82+AA82+AN82+BA82+BN82+CA82+CN82+DA82+DN82+EA82+EN82+FA82+FN82+GA82+GN82+HA82+HN82+IA82+IN82+JA82</f>
        <v>0</v>
      </c>
    </row>
    <row r="83" spans="1:278">
      <c r="A83" s="130"/>
      <c r="B83" s="131"/>
      <c r="C83" s="131"/>
      <c r="D83" s="131"/>
      <c r="E83" s="131"/>
      <c r="F83" s="131"/>
      <c r="G83" s="131"/>
      <c r="H83" s="131"/>
      <c r="I83" s="131"/>
      <c r="J83" s="131"/>
      <c r="K83" s="131"/>
      <c r="L83" s="131"/>
      <c r="M83" s="131"/>
      <c r="N83" s="132" t="str">
        <f>SUM(B83:M83)</f>
        <v>0</v>
      </c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33"/>
      <c r="AA83" s="132" t="str">
        <f>SUM(O83:Z83)</f>
        <v>0</v>
      </c>
      <c r="AB83" s="131"/>
      <c r="AC83" s="131"/>
      <c r="AD83" s="131"/>
      <c r="AE83" s="131"/>
      <c r="AF83" s="131"/>
      <c r="AG83" s="131"/>
      <c r="AH83" s="131"/>
      <c r="AI83" s="131"/>
      <c r="AJ83" s="131"/>
      <c r="AK83" s="131"/>
      <c r="AL83" s="131"/>
      <c r="AM83" s="131"/>
      <c r="AN83" s="132" t="str">
        <f>SUM(AB83:AM83)</f>
        <v>0</v>
      </c>
      <c r="AO83" s="133"/>
      <c r="AP83" s="133"/>
      <c r="AQ83" s="133"/>
      <c r="AR83" s="133"/>
      <c r="AS83" s="133"/>
      <c r="AT83" s="133"/>
      <c r="AU83" s="133"/>
      <c r="AV83" s="133"/>
      <c r="AW83" s="133"/>
      <c r="AX83" s="133"/>
      <c r="AY83" s="133"/>
      <c r="AZ83" s="133"/>
      <c r="BA83" s="132" t="str">
        <f>SUM(AO83:AZ83)</f>
        <v>0</v>
      </c>
      <c r="BB83" s="134"/>
      <c r="BC83" s="134"/>
      <c r="BD83" s="134"/>
      <c r="BE83" s="134"/>
      <c r="BF83" s="134"/>
      <c r="BG83" s="134"/>
      <c r="BH83" s="134"/>
      <c r="BI83" s="134"/>
      <c r="BJ83" s="134"/>
      <c r="BK83" s="134"/>
      <c r="BL83" s="134"/>
      <c r="BM83" s="134"/>
      <c r="BN83" s="132" t="str">
        <f>SUM(BB83:BM83)</f>
        <v>0</v>
      </c>
      <c r="BO83" s="135"/>
      <c r="BP83" s="135"/>
      <c r="BQ83" s="135"/>
      <c r="BR83" s="135"/>
      <c r="BS83" s="135"/>
      <c r="BT83" s="135"/>
      <c r="BU83" s="135"/>
      <c r="BV83" s="135"/>
      <c r="BW83" s="135"/>
      <c r="BX83" s="135"/>
      <c r="BY83" s="135"/>
      <c r="BZ83" s="135"/>
      <c r="CA83" s="132" t="str">
        <f>SUM(BO83:BZ83)</f>
        <v>0</v>
      </c>
      <c r="CB83" s="136"/>
      <c r="CC83" s="136"/>
      <c r="CD83" s="136"/>
      <c r="CE83" s="136"/>
      <c r="CF83" s="136"/>
      <c r="CG83" s="136"/>
      <c r="CH83" s="136"/>
      <c r="CI83" s="136"/>
      <c r="CJ83" s="136"/>
      <c r="CK83" s="136"/>
      <c r="CL83" s="136"/>
      <c r="CM83" s="136"/>
      <c r="CN83" s="132" t="str">
        <f>SUM(CB83:CM83)</f>
        <v>0</v>
      </c>
      <c r="CO83" s="137"/>
      <c r="CP83" s="137"/>
      <c r="CQ83" s="137"/>
      <c r="CR83" s="137"/>
      <c r="CS83" s="137"/>
      <c r="CT83" s="137"/>
      <c r="CU83" s="137"/>
      <c r="CV83" s="137"/>
      <c r="CW83" s="137"/>
      <c r="CX83" s="137"/>
      <c r="CY83" s="137"/>
      <c r="CZ83" s="137"/>
      <c r="DA83" s="132" t="str">
        <f>SUM(CO83:CZ83)</f>
        <v>0</v>
      </c>
      <c r="DB83" s="136"/>
      <c r="DC83" s="136"/>
      <c r="DD83" s="136"/>
      <c r="DE83" s="136"/>
      <c r="DF83" s="136"/>
      <c r="DG83" s="136"/>
      <c r="DH83" s="136"/>
      <c r="DI83" s="136"/>
      <c r="DJ83" s="136"/>
      <c r="DK83" s="136"/>
      <c r="DL83" s="136"/>
      <c r="DM83" s="136"/>
      <c r="DN83" s="132" t="str">
        <f>SUM(DB83:DM83)</f>
        <v>0</v>
      </c>
      <c r="DO83" s="137"/>
      <c r="DP83" s="137"/>
      <c r="DQ83" s="137"/>
      <c r="DR83" s="137"/>
      <c r="DS83" s="137"/>
      <c r="DT83" s="137"/>
      <c r="DU83" s="137"/>
      <c r="DV83" s="137"/>
      <c r="DW83" s="137"/>
      <c r="DX83" s="137"/>
      <c r="DY83" s="137"/>
      <c r="DZ83" s="137"/>
      <c r="EA83" s="132" t="str">
        <f>SUM(DO83:DZ83)</f>
        <v>0</v>
      </c>
      <c r="EB83" s="216"/>
      <c r="EC83" s="216"/>
      <c r="ED83" s="216"/>
      <c r="EE83" s="216"/>
      <c r="EF83" s="216"/>
      <c r="EG83" s="216"/>
      <c r="EH83" s="216"/>
      <c r="EI83" s="216"/>
      <c r="EJ83" s="216"/>
      <c r="EK83" s="216"/>
      <c r="EL83" s="216"/>
      <c r="EM83" s="216"/>
      <c r="EN83" s="132" t="str">
        <f>SUM(EB83:EM83)</f>
        <v>0</v>
      </c>
      <c r="EO83" s="132"/>
      <c r="EP83" s="132"/>
      <c r="EQ83" s="132"/>
      <c r="ER83" s="132"/>
      <c r="ES83" s="132"/>
      <c r="ET83" s="132"/>
      <c r="EU83" s="132"/>
      <c r="EV83" s="132"/>
      <c r="EW83" s="132"/>
      <c r="EX83" s="132"/>
      <c r="EY83" s="132"/>
      <c r="EZ83" s="132"/>
      <c r="FA83" s="132" t="str">
        <f>SUM(EO83:EZ83)</f>
        <v>0</v>
      </c>
      <c r="FB83" s="181"/>
      <c r="FC83" s="181"/>
      <c r="FD83" s="181"/>
      <c r="FE83" s="181"/>
      <c r="FF83" s="181"/>
      <c r="FG83" s="181"/>
      <c r="FH83" s="181"/>
      <c r="FI83" s="181"/>
      <c r="FJ83" s="181"/>
      <c r="FK83" s="181"/>
      <c r="FL83" s="181"/>
      <c r="FM83" s="181"/>
      <c r="FN83" s="132" t="str">
        <f>SUM(FB83:FM83)</f>
        <v>0</v>
      </c>
      <c r="FO83" s="132"/>
      <c r="FP83" s="132"/>
      <c r="FQ83" s="132"/>
      <c r="FR83" s="132"/>
      <c r="FS83" s="132"/>
      <c r="FT83" s="132"/>
      <c r="FU83" s="132"/>
      <c r="FV83" s="132"/>
      <c r="FW83" s="132"/>
      <c r="FX83" s="132"/>
      <c r="FY83" s="132"/>
      <c r="FZ83" s="132"/>
      <c r="GA83" s="132" t="str">
        <f>SUM(FO83:FZ83)</f>
        <v>0</v>
      </c>
      <c r="GB83" s="181"/>
      <c r="GC83" s="181"/>
      <c r="GD83" s="181"/>
      <c r="GE83" s="181"/>
      <c r="GF83" s="181"/>
      <c r="GG83" s="181"/>
      <c r="GH83" s="181"/>
      <c r="GI83" s="181"/>
      <c r="GJ83" s="181"/>
      <c r="GK83" s="181"/>
      <c r="GL83" s="181"/>
      <c r="GM83" s="181"/>
      <c r="GN83" s="181" t="str">
        <f>SUM(GB83:GM83)</f>
        <v>0</v>
      </c>
      <c r="GO83" s="137"/>
      <c r="GP83" s="137"/>
      <c r="GQ83" s="137"/>
      <c r="GR83" s="137"/>
      <c r="GS83" s="137"/>
      <c r="GT83" s="137"/>
      <c r="GU83" s="137"/>
      <c r="GV83" s="137"/>
      <c r="GW83" s="137"/>
      <c r="GX83" s="137"/>
      <c r="GY83" s="137"/>
      <c r="GZ83" s="137"/>
      <c r="HA83" s="132" t="str">
        <f>SUM(GO83:GZ83)</f>
        <v>0</v>
      </c>
      <c r="HB83" s="181"/>
      <c r="HC83" s="181"/>
      <c r="HD83" s="181"/>
      <c r="HE83" s="181"/>
      <c r="HF83" s="181"/>
      <c r="HG83" s="181"/>
      <c r="HH83" s="181"/>
      <c r="HI83" s="181"/>
      <c r="HJ83" s="181"/>
      <c r="HK83" s="181"/>
      <c r="HL83" s="181"/>
      <c r="HM83" s="181"/>
      <c r="HN83" s="181" t="str">
        <f>SUM(HB83:HM83)</f>
        <v>0</v>
      </c>
      <c r="HO83" s="132"/>
      <c r="HP83" s="132"/>
      <c r="HQ83" s="132"/>
      <c r="HR83" s="132"/>
      <c r="HS83" s="132"/>
      <c r="HT83" s="132"/>
      <c r="HU83" s="132"/>
      <c r="HV83" s="132"/>
      <c r="HW83" s="132"/>
      <c r="HX83" s="132"/>
      <c r="HY83" s="132"/>
      <c r="HZ83" s="132"/>
      <c r="IA83" s="132" t="str">
        <f>SUM(HO83:HZ83)</f>
        <v>0</v>
      </c>
      <c r="IB83" s="181"/>
      <c r="IC83" s="181"/>
      <c r="ID83" s="181"/>
      <c r="IE83" s="181"/>
      <c r="IF83" s="181"/>
      <c r="IG83" s="181"/>
      <c r="IH83" s="181"/>
      <c r="II83" s="181"/>
      <c r="IJ83" s="181"/>
      <c r="IK83" s="181"/>
      <c r="IL83" s="181"/>
      <c r="IM83" s="181"/>
      <c r="IN83" s="181" t="str">
        <f>SUM(IB83:IM83)</f>
        <v>0</v>
      </c>
      <c r="IO83" s="181"/>
      <c r="IP83" s="181"/>
      <c r="IQ83" s="181"/>
      <c r="IR83" s="181"/>
      <c r="IS83" s="181"/>
      <c r="IT83" s="181"/>
      <c r="IU83" s="181"/>
      <c r="IV83" s="181"/>
      <c r="IW83" s="181"/>
      <c r="IX83" s="181"/>
      <c r="IY83" s="181"/>
      <c r="IZ83" s="181"/>
      <c r="JA83" s="181" t="str">
        <f>SUM(IO83:IZ83)</f>
        <v>0</v>
      </c>
      <c r="JC83" s="135" t="str">
        <f>B83+O83+AB83+AO83+BB83+BO83+CB83+CO83+DB83+DO83+EB83+EO83+FB83+FO83+GB83+GO83+HB83+HO83+IB83+IO83</f>
        <v>0</v>
      </c>
      <c r="JD83" s="135" t="str">
        <f>C83+P83+AC83+AP83+BC83+BP83+CC83+CP83+DC83+DP83+EC83+EP83+FC83+FP83+GC83+GP83+HC83+HP83+IC83+IP83</f>
        <v>0</v>
      </c>
      <c r="JE83" s="135" t="str">
        <f>D83+Q83+AD83+AQ83+BD83+BQ83+CD83+CQ83+DD83+DQ83+ED83+EQ83+FD83+FQ83+GD83+GQ83+HD83+HQ83+ID83+IQ83</f>
        <v>0</v>
      </c>
      <c r="JF83" s="135" t="str">
        <f>E83+R83+AE83+AR83+BE83+BR83+CE83+CR83+DE83+DR83+EE83+ER83+FE83+FR83+GE83+GR83+HE83+HR83+IE83+IR83</f>
        <v>0</v>
      </c>
      <c r="JG83" s="135" t="str">
        <f>F83+S83+AF83+AS83+BF83+BS83+CF83+CS83+DF83+DS83+EF83+ES83+FF83+FS83+GF83+GS83+HF83+HS83+IF83+IS83</f>
        <v>0</v>
      </c>
      <c r="JH83" s="135" t="str">
        <f>G83+T83+AG83+AT83+BG83+BT83+CG83+CT83+DG83+DT83+EG83+ET83+FG83+FT83+GG83+GT83+HG83+HT83+IG83+IT83</f>
        <v>0</v>
      </c>
      <c r="JI83" s="135" t="str">
        <f>H83+U83+AH83+AU83+BH83+BU83+CH83+CU83+DH83+DU83+EH83+EU83+FH83+FU83+GH83+GU83+HH83+HU83+IH83+IU83</f>
        <v>0</v>
      </c>
      <c r="JJ83" s="135" t="str">
        <f>I83+V83+AI83+AV83+BI83+BV83+CI83+CV83+DI83+DV83+EI83+EV83+FI83+FV83+GI83+GV83+HI83+HV83+II83+IV83</f>
        <v>0</v>
      </c>
      <c r="JK83" s="135" t="str">
        <f>J83+W83+AJ83+AW83+BJ83+BW83+CJ83+CW83+DJ83+DW83+EJ83+EW83+FJ83+FW83+GJ83+GW83+HJ83+HW83+IJ83+IW83</f>
        <v>0</v>
      </c>
      <c r="JL83" s="135" t="str">
        <f>K83+X83+AK83+AX83+BK83+BX83+CK83+CX83+DK83+DX83+EK83+EX83+FK83+FX83+GK83+GX83+HK83+HX83+IK83+IX83</f>
        <v>0</v>
      </c>
      <c r="JM83" s="135" t="str">
        <f>L83+Y83+AL83+AY83+BL83+BY83+CL83+CY83+DL83+DY83+EL83+EY83+FL83+FY83+GL83+GY83+HL83+HY83+IL83+IY83</f>
        <v>0</v>
      </c>
      <c r="JN83" s="135" t="str">
        <f>M83+Z83+AM83+AZ83+BM83+BZ83+CM83+CZ83+DM83+DZ83+EM83+EZ83+FM83+FZ83+GM83+GZ83+HM83+HZ83+IM83+IZ83</f>
        <v>0</v>
      </c>
      <c r="JO83" s="132" t="str">
        <f>SUM(JC83:JN83)</f>
        <v>0</v>
      </c>
      <c r="JQ83" s="139" t="str">
        <f>N83+AA83+AN83+BA83+BN83+CA83+CN83+DA83+DN83+EA83+EN83+FA83+FN83+GA83+GN83+HA83+HN83+IA83+IN83+JA83</f>
        <v>0</v>
      </c>
    </row>
    <row r="84" spans="1:278">
      <c r="A84" s="130"/>
      <c r="B84" s="131"/>
      <c r="C84" s="131"/>
      <c r="D84" s="131"/>
      <c r="E84" s="131"/>
      <c r="F84" s="131"/>
      <c r="G84" s="131"/>
      <c r="H84" s="131"/>
      <c r="I84" s="131"/>
      <c r="J84" s="131"/>
      <c r="K84" s="131"/>
      <c r="L84" s="131"/>
      <c r="M84" s="131"/>
      <c r="N84" s="132" t="str">
        <f>SUM(B84:M84)</f>
        <v>0</v>
      </c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33"/>
      <c r="AA84" s="132" t="str">
        <f>SUM(O84:Z84)</f>
        <v>0</v>
      </c>
      <c r="AB84" s="131"/>
      <c r="AC84" s="131"/>
      <c r="AD84" s="131"/>
      <c r="AE84" s="131"/>
      <c r="AF84" s="131"/>
      <c r="AG84" s="131"/>
      <c r="AH84" s="131"/>
      <c r="AI84" s="131"/>
      <c r="AJ84" s="131"/>
      <c r="AK84" s="131"/>
      <c r="AL84" s="131"/>
      <c r="AM84" s="131"/>
      <c r="AN84" s="132" t="str">
        <f>SUM(AB84:AM84)</f>
        <v>0</v>
      </c>
      <c r="AO84" s="133"/>
      <c r="AP84" s="133"/>
      <c r="AQ84" s="133"/>
      <c r="AR84" s="133"/>
      <c r="AS84" s="133"/>
      <c r="AT84" s="133"/>
      <c r="AU84" s="133"/>
      <c r="AV84" s="133"/>
      <c r="AW84" s="133"/>
      <c r="AX84" s="133"/>
      <c r="AY84" s="133"/>
      <c r="AZ84" s="133"/>
      <c r="BA84" s="132" t="str">
        <f>SUM(AO84:AZ84)</f>
        <v>0</v>
      </c>
      <c r="BB84" s="134"/>
      <c r="BC84" s="134"/>
      <c r="BD84" s="134"/>
      <c r="BE84" s="134"/>
      <c r="BF84" s="134"/>
      <c r="BG84" s="134"/>
      <c r="BH84" s="134"/>
      <c r="BI84" s="134"/>
      <c r="BJ84" s="134"/>
      <c r="BK84" s="134"/>
      <c r="BL84" s="134"/>
      <c r="BM84" s="134"/>
      <c r="BN84" s="132" t="str">
        <f>SUM(BB84:BM84)</f>
        <v>0</v>
      </c>
      <c r="BO84" s="135"/>
      <c r="BP84" s="135"/>
      <c r="BQ84" s="135"/>
      <c r="BR84" s="135"/>
      <c r="BS84" s="135"/>
      <c r="BT84" s="135"/>
      <c r="BU84" s="135"/>
      <c r="BV84" s="135"/>
      <c r="BW84" s="135"/>
      <c r="BX84" s="135"/>
      <c r="BY84" s="135"/>
      <c r="BZ84" s="135"/>
      <c r="CA84" s="132" t="str">
        <f>SUM(BO84:BZ84)</f>
        <v>0</v>
      </c>
      <c r="CB84" s="136"/>
      <c r="CC84" s="136"/>
      <c r="CD84" s="136"/>
      <c r="CE84" s="136"/>
      <c r="CF84" s="136"/>
      <c r="CG84" s="136"/>
      <c r="CH84" s="136"/>
      <c r="CI84" s="136"/>
      <c r="CJ84" s="136"/>
      <c r="CK84" s="136"/>
      <c r="CL84" s="136"/>
      <c r="CM84" s="136"/>
      <c r="CN84" s="132" t="str">
        <f>SUM(CB84:CM84)</f>
        <v>0</v>
      </c>
      <c r="CO84" s="137"/>
      <c r="CP84" s="137"/>
      <c r="CQ84" s="137"/>
      <c r="CR84" s="137"/>
      <c r="CS84" s="137"/>
      <c r="CT84" s="137"/>
      <c r="CU84" s="137"/>
      <c r="CV84" s="137"/>
      <c r="CW84" s="137"/>
      <c r="CX84" s="137"/>
      <c r="CY84" s="137"/>
      <c r="CZ84" s="137"/>
      <c r="DA84" s="132" t="str">
        <f>SUM(CO84:CZ84)</f>
        <v>0</v>
      </c>
      <c r="DB84" s="136"/>
      <c r="DC84" s="136"/>
      <c r="DD84" s="136"/>
      <c r="DE84" s="136"/>
      <c r="DF84" s="136"/>
      <c r="DG84" s="136"/>
      <c r="DH84" s="136"/>
      <c r="DI84" s="136"/>
      <c r="DJ84" s="136"/>
      <c r="DK84" s="136"/>
      <c r="DL84" s="136"/>
      <c r="DM84" s="136"/>
      <c r="DN84" s="132" t="str">
        <f>SUM(DB84:DM84)</f>
        <v>0</v>
      </c>
      <c r="DO84" s="137"/>
      <c r="DP84" s="137"/>
      <c r="DQ84" s="137"/>
      <c r="DR84" s="137"/>
      <c r="DS84" s="137"/>
      <c r="DT84" s="137"/>
      <c r="DU84" s="137"/>
      <c r="DV84" s="137"/>
      <c r="DW84" s="137"/>
      <c r="DX84" s="137"/>
      <c r="DY84" s="137"/>
      <c r="DZ84" s="137"/>
      <c r="EA84" s="132" t="str">
        <f>SUM(DO84:DZ84)</f>
        <v>0</v>
      </c>
      <c r="EB84" s="216"/>
      <c r="EC84" s="216"/>
      <c r="ED84" s="216"/>
      <c r="EE84" s="216"/>
      <c r="EF84" s="216"/>
      <c r="EG84" s="216"/>
      <c r="EH84" s="216"/>
      <c r="EI84" s="216"/>
      <c r="EJ84" s="216"/>
      <c r="EK84" s="216"/>
      <c r="EL84" s="216"/>
      <c r="EM84" s="216"/>
      <c r="EN84" s="132" t="str">
        <f>SUM(EB84:EM84)</f>
        <v>0</v>
      </c>
      <c r="EO84" s="132"/>
      <c r="EP84" s="132"/>
      <c r="EQ84" s="132"/>
      <c r="ER84" s="132"/>
      <c r="ES84" s="132"/>
      <c r="ET84" s="132"/>
      <c r="EU84" s="132"/>
      <c r="EV84" s="132"/>
      <c r="EW84" s="132"/>
      <c r="EX84" s="132"/>
      <c r="EY84" s="132"/>
      <c r="EZ84" s="132"/>
      <c r="FA84" s="132" t="str">
        <f>SUM(EO84:EZ84)</f>
        <v>0</v>
      </c>
      <c r="FB84" s="181"/>
      <c r="FC84" s="181"/>
      <c r="FD84" s="181"/>
      <c r="FE84" s="181"/>
      <c r="FF84" s="181"/>
      <c r="FG84" s="181"/>
      <c r="FH84" s="181"/>
      <c r="FI84" s="181"/>
      <c r="FJ84" s="181"/>
      <c r="FK84" s="181"/>
      <c r="FL84" s="181"/>
      <c r="FM84" s="181"/>
      <c r="FN84" s="132" t="str">
        <f>SUM(FB84:FM84)</f>
        <v>0</v>
      </c>
      <c r="FO84" s="132"/>
      <c r="FP84" s="132"/>
      <c r="FQ84" s="132"/>
      <c r="FR84" s="132"/>
      <c r="FS84" s="132"/>
      <c r="FT84" s="132"/>
      <c r="FU84" s="132"/>
      <c r="FV84" s="132"/>
      <c r="FW84" s="132"/>
      <c r="FX84" s="132"/>
      <c r="FY84" s="132"/>
      <c r="FZ84" s="132"/>
      <c r="GA84" s="132" t="str">
        <f>SUM(FO84:FZ84)</f>
        <v>0</v>
      </c>
      <c r="GB84" s="181"/>
      <c r="GC84" s="181"/>
      <c r="GD84" s="181"/>
      <c r="GE84" s="181"/>
      <c r="GF84" s="181"/>
      <c r="GG84" s="181"/>
      <c r="GH84" s="181"/>
      <c r="GI84" s="181"/>
      <c r="GJ84" s="181"/>
      <c r="GK84" s="181"/>
      <c r="GL84" s="181"/>
      <c r="GM84" s="181"/>
      <c r="GN84" s="181" t="str">
        <f>SUM(GB84:GM84)</f>
        <v>0</v>
      </c>
      <c r="GO84" s="137"/>
      <c r="GP84" s="137"/>
      <c r="GQ84" s="137"/>
      <c r="GR84" s="137"/>
      <c r="GS84" s="137"/>
      <c r="GT84" s="137"/>
      <c r="GU84" s="137"/>
      <c r="GV84" s="137"/>
      <c r="GW84" s="137"/>
      <c r="GX84" s="137"/>
      <c r="GY84" s="137"/>
      <c r="GZ84" s="137"/>
      <c r="HA84" s="132" t="str">
        <f>SUM(GO84:GZ84)</f>
        <v>0</v>
      </c>
      <c r="HB84" s="181"/>
      <c r="HC84" s="181"/>
      <c r="HD84" s="181"/>
      <c r="HE84" s="181"/>
      <c r="HF84" s="181"/>
      <c r="HG84" s="181"/>
      <c r="HH84" s="181"/>
      <c r="HI84" s="181"/>
      <c r="HJ84" s="181"/>
      <c r="HK84" s="181"/>
      <c r="HL84" s="181"/>
      <c r="HM84" s="181"/>
      <c r="HN84" s="181" t="str">
        <f>SUM(HB84:HM84)</f>
        <v>0</v>
      </c>
      <c r="HO84" s="132"/>
      <c r="HP84" s="132"/>
      <c r="HQ84" s="132"/>
      <c r="HR84" s="132"/>
      <c r="HS84" s="132"/>
      <c r="HT84" s="132"/>
      <c r="HU84" s="132"/>
      <c r="HV84" s="132"/>
      <c r="HW84" s="132"/>
      <c r="HX84" s="132"/>
      <c r="HY84" s="132"/>
      <c r="HZ84" s="132"/>
      <c r="IA84" s="132" t="str">
        <f>SUM(HO84:HZ84)</f>
        <v>0</v>
      </c>
      <c r="IB84" s="181"/>
      <c r="IC84" s="181"/>
      <c r="ID84" s="181"/>
      <c r="IE84" s="181"/>
      <c r="IF84" s="181"/>
      <c r="IG84" s="181"/>
      <c r="IH84" s="181"/>
      <c r="II84" s="181"/>
      <c r="IJ84" s="181"/>
      <c r="IK84" s="181"/>
      <c r="IL84" s="181"/>
      <c r="IM84" s="181"/>
      <c r="IN84" s="181" t="str">
        <f>SUM(IB84:IM84)</f>
        <v>0</v>
      </c>
      <c r="IO84" s="181"/>
      <c r="IP84" s="181"/>
      <c r="IQ84" s="181"/>
      <c r="IR84" s="181"/>
      <c r="IS84" s="181"/>
      <c r="IT84" s="181"/>
      <c r="IU84" s="181"/>
      <c r="IV84" s="181"/>
      <c r="IW84" s="181"/>
      <c r="IX84" s="181"/>
      <c r="IY84" s="181"/>
      <c r="IZ84" s="181"/>
      <c r="JA84" s="181" t="str">
        <f>SUM(IO84:IZ84)</f>
        <v>0</v>
      </c>
      <c r="JC84" s="135" t="str">
        <f>B84+O84+AB84+AO84+BB84+BO84+CB84+CO84+DB84+DO84+EB84+EO84+FB84+FO84+GB84+GO84+HB84+HO84+IB84+IO84</f>
        <v>0</v>
      </c>
      <c r="JD84" s="135" t="str">
        <f>C84+P84+AC84+AP84+BC84+BP84+CC84+CP84+DC84+DP84+EC84+EP84+FC84+FP84+GC84+GP84+HC84+HP84+IC84+IP84</f>
        <v>0</v>
      </c>
      <c r="JE84" s="135" t="str">
        <f>D84+Q84+AD84+AQ84+BD84+BQ84+CD84+CQ84+DD84+DQ84+ED84+EQ84+FD84+FQ84+GD84+GQ84+HD84+HQ84+ID84+IQ84</f>
        <v>0</v>
      </c>
      <c r="JF84" s="135" t="str">
        <f>E84+R84+AE84+AR84+BE84+BR84+CE84+CR84+DE84+DR84+EE84+ER84+FE84+FR84+GE84+GR84+HE84+HR84+IE84+IR84</f>
        <v>0</v>
      </c>
      <c r="JG84" s="135" t="str">
        <f>F84+S84+AF84+AS84+BF84+BS84+CF84+CS84+DF84+DS84+EF84+ES84+FF84+FS84+GF84+GS84+HF84+HS84+IF84+IS84</f>
        <v>0</v>
      </c>
      <c r="JH84" s="135" t="str">
        <f>G84+T84+AG84+AT84+BG84+BT84+CG84+CT84+DG84+DT84+EG84+ET84+FG84+FT84+GG84+GT84+HG84+HT84+IG84+IT84</f>
        <v>0</v>
      </c>
      <c r="JI84" s="135" t="str">
        <f>H84+U84+AH84+AU84+BH84+BU84+CH84+CU84+DH84+DU84+EH84+EU84+FH84+FU84+GH84+GU84+HH84+HU84+IH84+IU84</f>
        <v>0</v>
      </c>
      <c r="JJ84" s="135" t="str">
        <f>I84+V84+AI84+AV84+BI84+BV84+CI84+CV84+DI84+DV84+EI84+EV84+FI84+FV84+GI84+GV84+HI84+HV84+II84+IV84</f>
        <v>0</v>
      </c>
      <c r="JK84" s="135" t="str">
        <f>J84+W84+AJ84+AW84+BJ84+BW84+CJ84+CW84+DJ84+DW84+EJ84+EW84+FJ84+FW84+GJ84+GW84+HJ84+HW84+IJ84+IW84</f>
        <v>0</v>
      </c>
      <c r="JL84" s="135" t="str">
        <f>K84+X84+AK84+AX84+BK84+BX84+CK84+CX84+DK84+DX84+EK84+EX84+FK84+FX84+GK84+GX84+HK84+HX84+IK84+IX84</f>
        <v>0</v>
      </c>
      <c r="JM84" s="135" t="str">
        <f>L84+Y84+AL84+AY84+BL84+BY84+CL84+CY84+DL84+DY84+EL84+EY84+FL84+FY84+GL84+GY84+HL84+HY84+IL84+IY84</f>
        <v>0</v>
      </c>
      <c r="JN84" s="135" t="str">
        <f>M84+Z84+AM84+AZ84+BM84+BZ84+CM84+CZ84+DM84+DZ84+EM84+EZ84+FM84+FZ84+GM84+GZ84+HM84+HZ84+IM84+IZ84</f>
        <v>0</v>
      </c>
      <c r="JO84" s="132" t="str">
        <f>SUM(JC84:JN84)</f>
        <v>0</v>
      </c>
      <c r="JQ84" s="139" t="str">
        <f>N84+AA84+AN84+BA84+BN84+CA84+CN84+DA84+DN84+EA84+EN84+FA84+FN84+GA84+GN84+HA84+HN84+IA84+IN84+JA84</f>
        <v>0</v>
      </c>
    </row>
    <row r="85" spans="1:278">
      <c r="A85" s="130"/>
      <c r="B85" s="131"/>
      <c r="C85" s="131"/>
      <c r="D85" s="131"/>
      <c r="E85" s="131"/>
      <c r="F85" s="131"/>
      <c r="G85" s="131"/>
      <c r="H85" s="131"/>
      <c r="I85" s="131"/>
      <c r="J85" s="131"/>
      <c r="K85" s="131"/>
      <c r="L85" s="131"/>
      <c r="M85" s="131"/>
      <c r="N85" s="132" t="str">
        <f>SUM(B85:M85)</f>
        <v>0</v>
      </c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  <c r="Z85" s="133"/>
      <c r="AA85" s="132" t="str">
        <f>SUM(O85:Z85)</f>
        <v>0</v>
      </c>
      <c r="AB85" s="131"/>
      <c r="AC85" s="131"/>
      <c r="AD85" s="131"/>
      <c r="AE85" s="131"/>
      <c r="AF85" s="131"/>
      <c r="AG85" s="131"/>
      <c r="AH85" s="131"/>
      <c r="AI85" s="131"/>
      <c r="AJ85" s="131"/>
      <c r="AK85" s="131"/>
      <c r="AL85" s="131"/>
      <c r="AM85" s="131"/>
      <c r="AN85" s="132" t="str">
        <f>SUM(AB85:AM85)</f>
        <v>0</v>
      </c>
      <c r="AO85" s="133"/>
      <c r="AP85" s="133"/>
      <c r="AQ85" s="133"/>
      <c r="AR85" s="133"/>
      <c r="AS85" s="133"/>
      <c r="AT85" s="133"/>
      <c r="AU85" s="133"/>
      <c r="AV85" s="133"/>
      <c r="AW85" s="133"/>
      <c r="AX85" s="133"/>
      <c r="AY85" s="133"/>
      <c r="AZ85" s="133"/>
      <c r="BA85" s="132" t="str">
        <f>SUM(AO85:AZ85)</f>
        <v>0</v>
      </c>
      <c r="BB85" s="134"/>
      <c r="BC85" s="134"/>
      <c r="BD85" s="134"/>
      <c r="BE85" s="134"/>
      <c r="BF85" s="134"/>
      <c r="BG85" s="134"/>
      <c r="BH85" s="134"/>
      <c r="BI85" s="134"/>
      <c r="BJ85" s="134"/>
      <c r="BK85" s="134"/>
      <c r="BL85" s="134"/>
      <c r="BM85" s="134"/>
      <c r="BN85" s="132" t="str">
        <f>SUM(BB85:BM85)</f>
        <v>0</v>
      </c>
      <c r="BO85" s="135"/>
      <c r="BP85" s="135"/>
      <c r="BQ85" s="135"/>
      <c r="BR85" s="135"/>
      <c r="BS85" s="135"/>
      <c r="BT85" s="135"/>
      <c r="BU85" s="135"/>
      <c r="BV85" s="135"/>
      <c r="BW85" s="135"/>
      <c r="BX85" s="135"/>
      <c r="BY85" s="135"/>
      <c r="BZ85" s="135"/>
      <c r="CA85" s="132" t="str">
        <f>SUM(BO85:BZ85)</f>
        <v>0</v>
      </c>
      <c r="CB85" s="136"/>
      <c r="CC85" s="136"/>
      <c r="CD85" s="136"/>
      <c r="CE85" s="136"/>
      <c r="CF85" s="136"/>
      <c r="CG85" s="136"/>
      <c r="CH85" s="136"/>
      <c r="CI85" s="136"/>
      <c r="CJ85" s="136"/>
      <c r="CK85" s="136"/>
      <c r="CL85" s="136"/>
      <c r="CM85" s="136"/>
      <c r="CN85" s="132" t="str">
        <f>SUM(CB85:CM85)</f>
        <v>0</v>
      </c>
      <c r="CO85" s="137"/>
      <c r="CP85" s="137"/>
      <c r="CQ85" s="137"/>
      <c r="CR85" s="137"/>
      <c r="CS85" s="137"/>
      <c r="CT85" s="137"/>
      <c r="CU85" s="137"/>
      <c r="CV85" s="137"/>
      <c r="CW85" s="137"/>
      <c r="CX85" s="137"/>
      <c r="CY85" s="137"/>
      <c r="CZ85" s="137"/>
      <c r="DA85" s="132" t="str">
        <f>SUM(CO85:CZ85)</f>
        <v>0</v>
      </c>
      <c r="DB85" s="136"/>
      <c r="DC85" s="136"/>
      <c r="DD85" s="136"/>
      <c r="DE85" s="136"/>
      <c r="DF85" s="136"/>
      <c r="DG85" s="136"/>
      <c r="DH85" s="136"/>
      <c r="DI85" s="136"/>
      <c r="DJ85" s="136"/>
      <c r="DK85" s="136"/>
      <c r="DL85" s="136"/>
      <c r="DM85" s="136"/>
      <c r="DN85" s="132" t="str">
        <f>SUM(DB85:DM85)</f>
        <v>0</v>
      </c>
      <c r="DO85" s="137"/>
      <c r="DP85" s="137"/>
      <c r="DQ85" s="137"/>
      <c r="DR85" s="137"/>
      <c r="DS85" s="137"/>
      <c r="DT85" s="137"/>
      <c r="DU85" s="137"/>
      <c r="DV85" s="137"/>
      <c r="DW85" s="137"/>
      <c r="DX85" s="137"/>
      <c r="DY85" s="137"/>
      <c r="DZ85" s="137"/>
      <c r="EA85" s="132" t="str">
        <f>SUM(DO85:DZ85)</f>
        <v>0</v>
      </c>
      <c r="EB85" s="216"/>
      <c r="EC85" s="216"/>
      <c r="ED85" s="216"/>
      <c r="EE85" s="216"/>
      <c r="EF85" s="216"/>
      <c r="EG85" s="216"/>
      <c r="EH85" s="216"/>
      <c r="EI85" s="216"/>
      <c r="EJ85" s="216"/>
      <c r="EK85" s="216"/>
      <c r="EL85" s="216"/>
      <c r="EM85" s="216"/>
      <c r="EN85" s="132" t="str">
        <f>SUM(EB85:EM85)</f>
        <v>0</v>
      </c>
      <c r="EO85" s="132"/>
      <c r="EP85" s="132"/>
      <c r="EQ85" s="132"/>
      <c r="ER85" s="132"/>
      <c r="ES85" s="132"/>
      <c r="ET85" s="132"/>
      <c r="EU85" s="132"/>
      <c r="EV85" s="132"/>
      <c r="EW85" s="132"/>
      <c r="EX85" s="132"/>
      <c r="EY85" s="132"/>
      <c r="EZ85" s="132"/>
      <c r="FA85" s="132" t="str">
        <f>SUM(EO85:EZ85)</f>
        <v>0</v>
      </c>
      <c r="FB85" s="181"/>
      <c r="FC85" s="181"/>
      <c r="FD85" s="181"/>
      <c r="FE85" s="181"/>
      <c r="FF85" s="181"/>
      <c r="FG85" s="181"/>
      <c r="FH85" s="181"/>
      <c r="FI85" s="181"/>
      <c r="FJ85" s="181"/>
      <c r="FK85" s="181"/>
      <c r="FL85" s="181"/>
      <c r="FM85" s="181"/>
      <c r="FN85" s="132" t="str">
        <f>SUM(FB85:FM85)</f>
        <v>0</v>
      </c>
      <c r="FO85" s="132"/>
      <c r="FP85" s="132"/>
      <c r="FQ85" s="132"/>
      <c r="FR85" s="132"/>
      <c r="FS85" s="132"/>
      <c r="FT85" s="132"/>
      <c r="FU85" s="132"/>
      <c r="FV85" s="132"/>
      <c r="FW85" s="132"/>
      <c r="FX85" s="132"/>
      <c r="FY85" s="132"/>
      <c r="FZ85" s="132"/>
      <c r="GA85" s="132" t="str">
        <f>SUM(FO85:FZ85)</f>
        <v>0</v>
      </c>
      <c r="GB85" s="181"/>
      <c r="GC85" s="181"/>
      <c r="GD85" s="181"/>
      <c r="GE85" s="181"/>
      <c r="GF85" s="181"/>
      <c r="GG85" s="181"/>
      <c r="GH85" s="181"/>
      <c r="GI85" s="181"/>
      <c r="GJ85" s="181"/>
      <c r="GK85" s="181"/>
      <c r="GL85" s="181"/>
      <c r="GM85" s="181"/>
      <c r="GN85" s="181" t="str">
        <f>SUM(GB85:GM85)</f>
        <v>0</v>
      </c>
      <c r="GO85" s="137"/>
      <c r="GP85" s="137"/>
      <c r="GQ85" s="137"/>
      <c r="GR85" s="137"/>
      <c r="GS85" s="137"/>
      <c r="GT85" s="137"/>
      <c r="GU85" s="137"/>
      <c r="GV85" s="137"/>
      <c r="GW85" s="137"/>
      <c r="GX85" s="137"/>
      <c r="GY85" s="137"/>
      <c r="GZ85" s="137"/>
      <c r="HA85" s="132" t="str">
        <f>SUM(GO85:GZ85)</f>
        <v>0</v>
      </c>
      <c r="HB85" s="181"/>
      <c r="HC85" s="181"/>
      <c r="HD85" s="181"/>
      <c r="HE85" s="181"/>
      <c r="HF85" s="181"/>
      <c r="HG85" s="181"/>
      <c r="HH85" s="181"/>
      <c r="HI85" s="181"/>
      <c r="HJ85" s="181"/>
      <c r="HK85" s="181"/>
      <c r="HL85" s="181"/>
      <c r="HM85" s="181"/>
      <c r="HN85" s="181" t="str">
        <f>SUM(HB85:HM85)</f>
        <v>0</v>
      </c>
      <c r="HO85" s="132"/>
      <c r="HP85" s="132"/>
      <c r="HQ85" s="132"/>
      <c r="HR85" s="132"/>
      <c r="HS85" s="132"/>
      <c r="HT85" s="132"/>
      <c r="HU85" s="132"/>
      <c r="HV85" s="132"/>
      <c r="HW85" s="132"/>
      <c r="HX85" s="132"/>
      <c r="HY85" s="132"/>
      <c r="HZ85" s="132"/>
      <c r="IA85" s="132" t="str">
        <f>SUM(HO85:HZ85)</f>
        <v>0</v>
      </c>
      <c r="IB85" s="181"/>
      <c r="IC85" s="181"/>
      <c r="ID85" s="181"/>
      <c r="IE85" s="181"/>
      <c r="IF85" s="181"/>
      <c r="IG85" s="181"/>
      <c r="IH85" s="181"/>
      <c r="II85" s="181"/>
      <c r="IJ85" s="181"/>
      <c r="IK85" s="181"/>
      <c r="IL85" s="181"/>
      <c r="IM85" s="181"/>
      <c r="IN85" s="181" t="str">
        <f>SUM(IB85:IM85)</f>
        <v>0</v>
      </c>
      <c r="IO85" s="181"/>
      <c r="IP85" s="181"/>
      <c r="IQ85" s="181"/>
      <c r="IR85" s="181"/>
      <c r="IS85" s="181"/>
      <c r="IT85" s="181"/>
      <c r="IU85" s="181"/>
      <c r="IV85" s="181"/>
      <c r="IW85" s="181"/>
      <c r="IX85" s="181"/>
      <c r="IY85" s="181"/>
      <c r="IZ85" s="181"/>
      <c r="JA85" s="181" t="str">
        <f>SUM(IO85:IZ85)</f>
        <v>0</v>
      </c>
      <c r="JC85" s="135" t="str">
        <f>B85+O85+AB85+AO85+BB85+BO85+CB85+CO85+DB85+DO85+EB85+EO85+FB85+FO85+GB85+GO85+HB85+HO85+IB85+IO85</f>
        <v>0</v>
      </c>
      <c r="JD85" s="135" t="str">
        <f>C85+P85+AC85+AP85+BC85+BP85+CC85+CP85+DC85+DP85+EC85+EP85+FC85+FP85+GC85+GP85+HC85+HP85+IC85+IP85</f>
        <v>0</v>
      </c>
      <c r="JE85" s="135" t="str">
        <f>D85+Q85+AD85+AQ85+BD85+BQ85+CD85+CQ85+DD85+DQ85+ED85+EQ85+FD85+FQ85+GD85+GQ85+HD85+HQ85+ID85+IQ85</f>
        <v>0</v>
      </c>
      <c r="JF85" s="135" t="str">
        <f>E85+R85+AE85+AR85+BE85+BR85+CE85+CR85+DE85+DR85+EE85+ER85+FE85+FR85+GE85+GR85+HE85+HR85+IE85+IR85</f>
        <v>0</v>
      </c>
      <c r="JG85" s="135" t="str">
        <f>F85+S85+AF85+AS85+BF85+BS85+CF85+CS85+DF85+DS85+EF85+ES85+FF85+FS85+GF85+GS85+HF85+HS85+IF85+IS85</f>
        <v>0</v>
      </c>
      <c r="JH85" s="135" t="str">
        <f>G85+T85+AG85+AT85+BG85+BT85+CG85+CT85+DG85+DT85+EG85+ET85+FG85+FT85+GG85+GT85+HG85+HT85+IG85+IT85</f>
        <v>0</v>
      </c>
      <c r="JI85" s="135" t="str">
        <f>H85+U85+AH85+AU85+BH85+BU85+CH85+CU85+DH85+DU85+EH85+EU85+FH85+FU85+GH85+GU85+HH85+HU85+IH85+IU85</f>
        <v>0</v>
      </c>
      <c r="JJ85" s="135" t="str">
        <f>I85+V85+AI85+AV85+BI85+BV85+CI85+CV85+DI85+DV85+EI85+EV85+FI85+FV85+GI85+GV85+HI85+HV85+II85+IV85</f>
        <v>0</v>
      </c>
      <c r="JK85" s="135" t="str">
        <f>J85+W85+AJ85+AW85+BJ85+BW85+CJ85+CW85+DJ85+DW85+EJ85+EW85+FJ85+FW85+GJ85+GW85+HJ85+HW85+IJ85+IW85</f>
        <v>0</v>
      </c>
      <c r="JL85" s="135" t="str">
        <f>K85+X85+AK85+AX85+BK85+BX85+CK85+CX85+DK85+DX85+EK85+EX85+FK85+FX85+GK85+GX85+HK85+HX85+IK85+IX85</f>
        <v>0</v>
      </c>
      <c r="JM85" s="135" t="str">
        <f>L85+Y85+AL85+AY85+BL85+BY85+CL85+CY85+DL85+DY85+EL85+EY85+FL85+FY85+GL85+GY85+HL85+HY85+IL85+IY85</f>
        <v>0</v>
      </c>
      <c r="JN85" s="135" t="str">
        <f>M85+Z85+AM85+AZ85+BM85+BZ85+CM85+CZ85+DM85+DZ85+EM85+EZ85+FM85+FZ85+GM85+GZ85+HM85+HZ85+IM85+IZ85</f>
        <v>0</v>
      </c>
      <c r="JO85" s="132" t="str">
        <f>SUM(JC85:JN85)</f>
        <v>0</v>
      </c>
      <c r="JQ85" s="139" t="str">
        <f>N85+AA85+AN85+BA85+BN85+CA85+CN85+DA85+DN85+EA85+EN85+FA85+FN85+GA85+GN85+HA85+HN85+IA85+IN85+JA85</f>
        <v>0</v>
      </c>
    </row>
    <row r="86" spans="1:278">
      <c r="A86" s="130"/>
      <c r="B86" s="131"/>
      <c r="C86" s="131"/>
      <c r="D86" s="131"/>
      <c r="E86" s="131"/>
      <c r="F86" s="131"/>
      <c r="G86" s="131"/>
      <c r="H86" s="131"/>
      <c r="I86" s="131"/>
      <c r="J86" s="131"/>
      <c r="K86" s="131"/>
      <c r="L86" s="131"/>
      <c r="M86" s="131"/>
      <c r="N86" s="132" t="str">
        <f>SUM(B86:M86)</f>
        <v>0</v>
      </c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/>
      <c r="Z86" s="133"/>
      <c r="AA86" s="132" t="str">
        <f>SUM(O86:Z86)</f>
        <v>0</v>
      </c>
      <c r="AB86" s="131"/>
      <c r="AC86" s="131"/>
      <c r="AD86" s="131"/>
      <c r="AE86" s="131"/>
      <c r="AF86" s="131"/>
      <c r="AG86" s="131"/>
      <c r="AH86" s="131"/>
      <c r="AI86" s="131"/>
      <c r="AJ86" s="131"/>
      <c r="AK86" s="131"/>
      <c r="AL86" s="131"/>
      <c r="AM86" s="131"/>
      <c r="AN86" s="132" t="str">
        <f>SUM(AB86:AM86)</f>
        <v>0</v>
      </c>
      <c r="AO86" s="133"/>
      <c r="AP86" s="133"/>
      <c r="AQ86" s="133"/>
      <c r="AR86" s="133"/>
      <c r="AS86" s="133"/>
      <c r="AT86" s="133"/>
      <c r="AU86" s="133"/>
      <c r="AV86" s="133"/>
      <c r="AW86" s="133"/>
      <c r="AX86" s="133"/>
      <c r="AY86" s="133"/>
      <c r="AZ86" s="133"/>
      <c r="BA86" s="132" t="str">
        <f>SUM(AO86:AZ86)</f>
        <v>0</v>
      </c>
      <c r="BB86" s="134"/>
      <c r="BC86" s="134"/>
      <c r="BD86" s="134"/>
      <c r="BE86" s="134"/>
      <c r="BF86" s="134"/>
      <c r="BG86" s="134"/>
      <c r="BH86" s="134"/>
      <c r="BI86" s="134"/>
      <c r="BJ86" s="134"/>
      <c r="BK86" s="134"/>
      <c r="BL86" s="134"/>
      <c r="BM86" s="134"/>
      <c r="BN86" s="132" t="str">
        <f>SUM(BB86:BM86)</f>
        <v>0</v>
      </c>
      <c r="BO86" s="135"/>
      <c r="BP86" s="135"/>
      <c r="BQ86" s="135"/>
      <c r="BR86" s="135"/>
      <c r="BS86" s="135"/>
      <c r="BT86" s="135"/>
      <c r="BU86" s="135"/>
      <c r="BV86" s="135"/>
      <c r="BW86" s="135"/>
      <c r="BX86" s="135"/>
      <c r="BY86" s="135"/>
      <c r="BZ86" s="135"/>
      <c r="CA86" s="132" t="str">
        <f>SUM(BO86:BZ86)</f>
        <v>0</v>
      </c>
      <c r="CB86" s="136"/>
      <c r="CC86" s="136"/>
      <c r="CD86" s="136"/>
      <c r="CE86" s="136"/>
      <c r="CF86" s="136"/>
      <c r="CG86" s="136"/>
      <c r="CH86" s="136"/>
      <c r="CI86" s="136"/>
      <c r="CJ86" s="136"/>
      <c r="CK86" s="136"/>
      <c r="CL86" s="136"/>
      <c r="CM86" s="136"/>
      <c r="CN86" s="132" t="str">
        <f>SUM(CB86:CM86)</f>
        <v>0</v>
      </c>
      <c r="CO86" s="137"/>
      <c r="CP86" s="137"/>
      <c r="CQ86" s="137"/>
      <c r="CR86" s="137"/>
      <c r="CS86" s="137"/>
      <c r="CT86" s="137"/>
      <c r="CU86" s="137"/>
      <c r="CV86" s="137"/>
      <c r="CW86" s="137"/>
      <c r="CX86" s="137"/>
      <c r="CY86" s="137"/>
      <c r="CZ86" s="137"/>
      <c r="DA86" s="132" t="str">
        <f>SUM(CO86:CZ86)</f>
        <v>0</v>
      </c>
      <c r="DB86" s="136"/>
      <c r="DC86" s="136"/>
      <c r="DD86" s="136"/>
      <c r="DE86" s="136"/>
      <c r="DF86" s="136"/>
      <c r="DG86" s="136"/>
      <c r="DH86" s="136"/>
      <c r="DI86" s="136"/>
      <c r="DJ86" s="136"/>
      <c r="DK86" s="136"/>
      <c r="DL86" s="136"/>
      <c r="DM86" s="136"/>
      <c r="DN86" s="132" t="str">
        <f>SUM(DB86:DM86)</f>
        <v>0</v>
      </c>
      <c r="DO86" s="137"/>
      <c r="DP86" s="137"/>
      <c r="DQ86" s="137"/>
      <c r="DR86" s="137"/>
      <c r="DS86" s="137"/>
      <c r="DT86" s="137"/>
      <c r="DU86" s="137"/>
      <c r="DV86" s="137"/>
      <c r="DW86" s="137"/>
      <c r="DX86" s="137"/>
      <c r="DY86" s="137"/>
      <c r="DZ86" s="137"/>
      <c r="EA86" s="132" t="str">
        <f>SUM(DO86:DZ86)</f>
        <v>0</v>
      </c>
      <c r="EB86" s="216"/>
      <c r="EC86" s="216"/>
      <c r="ED86" s="216"/>
      <c r="EE86" s="216"/>
      <c r="EF86" s="216"/>
      <c r="EG86" s="216"/>
      <c r="EH86" s="216"/>
      <c r="EI86" s="216"/>
      <c r="EJ86" s="216"/>
      <c r="EK86" s="216"/>
      <c r="EL86" s="216"/>
      <c r="EM86" s="216"/>
      <c r="EN86" s="132" t="str">
        <f>SUM(EB86:EM86)</f>
        <v>0</v>
      </c>
      <c r="EO86" s="132"/>
      <c r="EP86" s="132"/>
      <c r="EQ86" s="132"/>
      <c r="ER86" s="132"/>
      <c r="ES86" s="132"/>
      <c r="ET86" s="132"/>
      <c r="EU86" s="132"/>
      <c r="EV86" s="132"/>
      <c r="EW86" s="132"/>
      <c r="EX86" s="132"/>
      <c r="EY86" s="132"/>
      <c r="EZ86" s="132"/>
      <c r="FA86" s="132" t="str">
        <f>SUM(EO86:EZ86)</f>
        <v>0</v>
      </c>
      <c r="FB86" s="181"/>
      <c r="FC86" s="181"/>
      <c r="FD86" s="181"/>
      <c r="FE86" s="181"/>
      <c r="FF86" s="181"/>
      <c r="FG86" s="181"/>
      <c r="FH86" s="181"/>
      <c r="FI86" s="181"/>
      <c r="FJ86" s="181"/>
      <c r="FK86" s="181"/>
      <c r="FL86" s="181"/>
      <c r="FM86" s="181"/>
      <c r="FN86" s="132" t="str">
        <f>SUM(FB86:FM86)</f>
        <v>0</v>
      </c>
      <c r="FO86" s="132"/>
      <c r="FP86" s="132"/>
      <c r="FQ86" s="132"/>
      <c r="FR86" s="132"/>
      <c r="FS86" s="132"/>
      <c r="FT86" s="132"/>
      <c r="FU86" s="132"/>
      <c r="FV86" s="132"/>
      <c r="FW86" s="132"/>
      <c r="FX86" s="132"/>
      <c r="FY86" s="132"/>
      <c r="FZ86" s="132"/>
      <c r="GA86" s="132" t="str">
        <f>SUM(FO86:FZ86)</f>
        <v>0</v>
      </c>
      <c r="GB86" s="181"/>
      <c r="GC86" s="181"/>
      <c r="GD86" s="181"/>
      <c r="GE86" s="181"/>
      <c r="GF86" s="181"/>
      <c r="GG86" s="181"/>
      <c r="GH86" s="181"/>
      <c r="GI86" s="181"/>
      <c r="GJ86" s="181"/>
      <c r="GK86" s="181"/>
      <c r="GL86" s="181"/>
      <c r="GM86" s="181"/>
      <c r="GN86" s="181" t="str">
        <f>SUM(GB86:GM86)</f>
        <v>0</v>
      </c>
      <c r="GO86" s="137"/>
      <c r="GP86" s="137"/>
      <c r="GQ86" s="137"/>
      <c r="GR86" s="137"/>
      <c r="GS86" s="137"/>
      <c r="GT86" s="137"/>
      <c r="GU86" s="137"/>
      <c r="GV86" s="137"/>
      <c r="GW86" s="137"/>
      <c r="GX86" s="137"/>
      <c r="GY86" s="137"/>
      <c r="GZ86" s="137"/>
      <c r="HA86" s="132" t="str">
        <f>SUM(GO86:GZ86)</f>
        <v>0</v>
      </c>
      <c r="HB86" s="181"/>
      <c r="HC86" s="181"/>
      <c r="HD86" s="181"/>
      <c r="HE86" s="181"/>
      <c r="HF86" s="181"/>
      <c r="HG86" s="181"/>
      <c r="HH86" s="181"/>
      <c r="HI86" s="181"/>
      <c r="HJ86" s="181"/>
      <c r="HK86" s="181"/>
      <c r="HL86" s="181"/>
      <c r="HM86" s="181"/>
      <c r="HN86" s="181" t="str">
        <f>SUM(HB86:HM86)</f>
        <v>0</v>
      </c>
      <c r="HO86" s="132"/>
      <c r="HP86" s="132"/>
      <c r="HQ86" s="132"/>
      <c r="HR86" s="132"/>
      <c r="HS86" s="132"/>
      <c r="HT86" s="132"/>
      <c r="HU86" s="132"/>
      <c r="HV86" s="132"/>
      <c r="HW86" s="132"/>
      <c r="HX86" s="132"/>
      <c r="HY86" s="132"/>
      <c r="HZ86" s="132"/>
      <c r="IA86" s="132" t="str">
        <f>SUM(HO86:HZ86)</f>
        <v>0</v>
      </c>
      <c r="IB86" s="181"/>
      <c r="IC86" s="181"/>
      <c r="ID86" s="181"/>
      <c r="IE86" s="181"/>
      <c r="IF86" s="181"/>
      <c r="IG86" s="181"/>
      <c r="IH86" s="181"/>
      <c r="II86" s="181"/>
      <c r="IJ86" s="181"/>
      <c r="IK86" s="181"/>
      <c r="IL86" s="181"/>
      <c r="IM86" s="181"/>
      <c r="IN86" s="181" t="str">
        <f>SUM(IB86:IM86)</f>
        <v>0</v>
      </c>
      <c r="IO86" s="181"/>
      <c r="IP86" s="181"/>
      <c r="IQ86" s="181"/>
      <c r="IR86" s="181"/>
      <c r="IS86" s="181"/>
      <c r="IT86" s="181"/>
      <c r="IU86" s="181"/>
      <c r="IV86" s="181"/>
      <c r="IW86" s="181"/>
      <c r="IX86" s="181"/>
      <c r="IY86" s="181"/>
      <c r="IZ86" s="181"/>
      <c r="JA86" s="181" t="str">
        <f>SUM(IO86:IZ86)</f>
        <v>0</v>
      </c>
      <c r="JC86" s="135" t="str">
        <f>B86+O86+AB86+AO86+BB86+BO86+CB86+CO86+DB86+DO86+EB86+EO86+FB86+FO86+GB86+GO86+HB86+HO86+IB86+IO86</f>
        <v>0</v>
      </c>
      <c r="JD86" s="135" t="str">
        <f>C86+P86+AC86+AP86+BC86+BP86+CC86+CP86+DC86+DP86+EC86+EP86+FC86+FP86+GC86+GP86+HC86+HP86+IC86+IP86</f>
        <v>0</v>
      </c>
      <c r="JE86" s="135" t="str">
        <f>D86+Q86+AD86+AQ86+BD86+BQ86+CD86+CQ86+DD86+DQ86+ED86+EQ86+FD86+FQ86+GD86+GQ86+HD86+HQ86+ID86+IQ86</f>
        <v>0</v>
      </c>
      <c r="JF86" s="135" t="str">
        <f>E86+R86+AE86+AR86+BE86+BR86+CE86+CR86+DE86+DR86+EE86+ER86+FE86+FR86+GE86+GR86+HE86+HR86+IE86+IR86</f>
        <v>0</v>
      </c>
      <c r="JG86" s="135" t="str">
        <f>F86+S86+AF86+AS86+BF86+BS86+CF86+CS86+DF86+DS86+EF86+ES86+FF86+FS86+GF86+GS86+HF86+HS86+IF86+IS86</f>
        <v>0</v>
      </c>
      <c r="JH86" s="135" t="str">
        <f>G86+T86+AG86+AT86+BG86+BT86+CG86+CT86+DG86+DT86+EG86+ET86+FG86+FT86+GG86+GT86+HG86+HT86+IG86+IT86</f>
        <v>0</v>
      </c>
      <c r="JI86" s="135" t="str">
        <f>H86+U86+AH86+AU86+BH86+BU86+CH86+CU86+DH86+DU86+EH86+EU86+FH86+FU86+GH86+GU86+HH86+HU86+IH86+IU86</f>
        <v>0</v>
      </c>
      <c r="JJ86" s="135" t="str">
        <f>I86+V86+AI86+AV86+BI86+BV86+CI86+CV86+DI86+DV86+EI86+EV86+FI86+FV86+GI86+GV86+HI86+HV86+II86+IV86</f>
        <v>0</v>
      </c>
      <c r="JK86" s="135" t="str">
        <f>J86+W86+AJ86+AW86+BJ86+BW86+CJ86+CW86+DJ86+DW86+EJ86+EW86+FJ86+FW86+GJ86+GW86+HJ86+HW86+IJ86+IW86</f>
        <v>0</v>
      </c>
      <c r="JL86" s="135" t="str">
        <f>K86+X86+AK86+AX86+BK86+BX86+CK86+CX86+DK86+DX86+EK86+EX86+FK86+FX86+GK86+GX86+HK86+HX86+IK86+IX86</f>
        <v>0</v>
      </c>
      <c r="JM86" s="135" t="str">
        <f>L86+Y86+AL86+AY86+BL86+BY86+CL86+CY86+DL86+DY86+EL86+EY86+FL86+FY86+GL86+GY86+HL86+HY86+IL86+IY86</f>
        <v>0</v>
      </c>
      <c r="JN86" s="135" t="str">
        <f>M86+Z86+AM86+AZ86+BM86+BZ86+CM86+CZ86+DM86+DZ86+EM86+EZ86+FM86+FZ86+GM86+GZ86+HM86+HZ86+IM86+IZ86</f>
        <v>0</v>
      </c>
      <c r="JO86" s="132" t="str">
        <f>SUM(JC86:JN86)</f>
        <v>0</v>
      </c>
      <c r="JQ86" s="139" t="str">
        <f>N86+AA86+AN86+BA86+BN86+CA86+CN86+DA86+DN86+EA86+EN86+FA86+FN86+GA86+GN86+HA86+HN86+IA86+IN86+JA86</f>
        <v>0</v>
      </c>
    </row>
    <row r="87" spans="1:278">
      <c r="A87" s="130"/>
      <c r="B87" s="131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2" t="str">
        <f>SUM(B87:M87)</f>
        <v>0</v>
      </c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/>
      <c r="AA87" s="132" t="str">
        <f>SUM(O87:Z87)</f>
        <v>0</v>
      </c>
      <c r="AB87" s="131"/>
      <c r="AC87" s="131"/>
      <c r="AD87" s="131"/>
      <c r="AE87" s="131"/>
      <c r="AF87" s="131"/>
      <c r="AG87" s="131"/>
      <c r="AH87" s="131"/>
      <c r="AI87" s="131"/>
      <c r="AJ87" s="131"/>
      <c r="AK87" s="131"/>
      <c r="AL87" s="131"/>
      <c r="AM87" s="131"/>
      <c r="AN87" s="132" t="str">
        <f>SUM(AB87:AM87)</f>
        <v>0</v>
      </c>
      <c r="AO87" s="133"/>
      <c r="AP87" s="133"/>
      <c r="AQ87" s="133"/>
      <c r="AR87" s="133"/>
      <c r="AS87" s="133"/>
      <c r="AT87" s="133"/>
      <c r="AU87" s="133"/>
      <c r="AV87" s="133"/>
      <c r="AW87" s="133"/>
      <c r="AX87" s="133"/>
      <c r="AY87" s="133"/>
      <c r="AZ87" s="133"/>
      <c r="BA87" s="132" t="str">
        <f>SUM(AO87:AZ87)</f>
        <v>0</v>
      </c>
      <c r="BB87" s="134"/>
      <c r="BC87" s="134"/>
      <c r="BD87" s="134"/>
      <c r="BE87" s="134"/>
      <c r="BF87" s="134"/>
      <c r="BG87" s="134"/>
      <c r="BH87" s="134"/>
      <c r="BI87" s="134"/>
      <c r="BJ87" s="134"/>
      <c r="BK87" s="134"/>
      <c r="BL87" s="134"/>
      <c r="BM87" s="134"/>
      <c r="BN87" s="132" t="str">
        <f>SUM(BB87:BM87)</f>
        <v>0</v>
      </c>
      <c r="BO87" s="135"/>
      <c r="BP87" s="135"/>
      <c r="BQ87" s="135"/>
      <c r="BR87" s="135"/>
      <c r="BS87" s="135"/>
      <c r="BT87" s="135"/>
      <c r="BU87" s="135"/>
      <c r="BV87" s="135"/>
      <c r="BW87" s="135"/>
      <c r="BX87" s="135"/>
      <c r="BY87" s="135"/>
      <c r="BZ87" s="135"/>
      <c r="CA87" s="132" t="str">
        <f>SUM(BO87:BZ87)</f>
        <v>0</v>
      </c>
      <c r="CB87" s="136"/>
      <c r="CC87" s="136"/>
      <c r="CD87" s="136"/>
      <c r="CE87" s="136"/>
      <c r="CF87" s="136"/>
      <c r="CG87" s="136"/>
      <c r="CH87" s="136"/>
      <c r="CI87" s="136"/>
      <c r="CJ87" s="136"/>
      <c r="CK87" s="136"/>
      <c r="CL87" s="136"/>
      <c r="CM87" s="136"/>
      <c r="CN87" s="132" t="str">
        <f>SUM(CB87:CM87)</f>
        <v>0</v>
      </c>
      <c r="CO87" s="137"/>
      <c r="CP87" s="137"/>
      <c r="CQ87" s="137"/>
      <c r="CR87" s="137"/>
      <c r="CS87" s="137"/>
      <c r="CT87" s="137"/>
      <c r="CU87" s="137"/>
      <c r="CV87" s="137"/>
      <c r="CW87" s="137"/>
      <c r="CX87" s="137"/>
      <c r="CY87" s="137"/>
      <c r="CZ87" s="137"/>
      <c r="DA87" s="132" t="str">
        <f>SUM(CO87:CZ87)</f>
        <v>0</v>
      </c>
      <c r="DB87" s="136"/>
      <c r="DC87" s="136"/>
      <c r="DD87" s="136"/>
      <c r="DE87" s="136"/>
      <c r="DF87" s="136"/>
      <c r="DG87" s="136"/>
      <c r="DH87" s="136"/>
      <c r="DI87" s="136"/>
      <c r="DJ87" s="136"/>
      <c r="DK87" s="136"/>
      <c r="DL87" s="136"/>
      <c r="DM87" s="136"/>
      <c r="DN87" s="132" t="str">
        <f>SUM(DB87:DM87)</f>
        <v>0</v>
      </c>
      <c r="DO87" s="137"/>
      <c r="DP87" s="137"/>
      <c r="DQ87" s="137"/>
      <c r="DR87" s="137"/>
      <c r="DS87" s="137"/>
      <c r="DT87" s="137"/>
      <c r="DU87" s="137"/>
      <c r="DV87" s="137"/>
      <c r="DW87" s="137"/>
      <c r="DX87" s="137"/>
      <c r="DY87" s="137"/>
      <c r="DZ87" s="137"/>
      <c r="EA87" s="132" t="str">
        <f>SUM(DO87:DZ87)</f>
        <v>0</v>
      </c>
      <c r="EB87" s="216"/>
      <c r="EC87" s="216"/>
      <c r="ED87" s="216"/>
      <c r="EE87" s="216"/>
      <c r="EF87" s="216"/>
      <c r="EG87" s="216"/>
      <c r="EH87" s="216"/>
      <c r="EI87" s="216"/>
      <c r="EJ87" s="216"/>
      <c r="EK87" s="216"/>
      <c r="EL87" s="216"/>
      <c r="EM87" s="216"/>
      <c r="EN87" s="132" t="str">
        <f>SUM(EB87:EM87)</f>
        <v>0</v>
      </c>
      <c r="EO87" s="132"/>
      <c r="EP87" s="132"/>
      <c r="EQ87" s="132"/>
      <c r="ER87" s="132"/>
      <c r="ES87" s="132"/>
      <c r="ET87" s="132"/>
      <c r="EU87" s="132"/>
      <c r="EV87" s="132"/>
      <c r="EW87" s="132"/>
      <c r="EX87" s="132"/>
      <c r="EY87" s="132"/>
      <c r="EZ87" s="132"/>
      <c r="FA87" s="132" t="str">
        <f>SUM(EO87:EZ87)</f>
        <v>0</v>
      </c>
      <c r="FB87" s="181"/>
      <c r="FC87" s="181"/>
      <c r="FD87" s="181"/>
      <c r="FE87" s="181"/>
      <c r="FF87" s="181"/>
      <c r="FG87" s="181"/>
      <c r="FH87" s="181"/>
      <c r="FI87" s="181"/>
      <c r="FJ87" s="181"/>
      <c r="FK87" s="181"/>
      <c r="FL87" s="181"/>
      <c r="FM87" s="181"/>
      <c r="FN87" s="132" t="str">
        <f>SUM(FB87:FM87)</f>
        <v>0</v>
      </c>
      <c r="FO87" s="132"/>
      <c r="FP87" s="132"/>
      <c r="FQ87" s="132"/>
      <c r="FR87" s="132"/>
      <c r="FS87" s="132"/>
      <c r="FT87" s="132"/>
      <c r="FU87" s="132"/>
      <c r="FV87" s="132"/>
      <c r="FW87" s="132"/>
      <c r="FX87" s="132"/>
      <c r="FY87" s="132"/>
      <c r="FZ87" s="132"/>
      <c r="GA87" s="132" t="str">
        <f>SUM(FO87:FZ87)</f>
        <v>0</v>
      </c>
      <c r="GB87" s="181"/>
      <c r="GC87" s="181"/>
      <c r="GD87" s="181"/>
      <c r="GE87" s="181"/>
      <c r="GF87" s="181"/>
      <c r="GG87" s="181"/>
      <c r="GH87" s="181"/>
      <c r="GI87" s="181"/>
      <c r="GJ87" s="181"/>
      <c r="GK87" s="181"/>
      <c r="GL87" s="181"/>
      <c r="GM87" s="181"/>
      <c r="GN87" s="181" t="str">
        <f>SUM(GB87:GM87)</f>
        <v>0</v>
      </c>
      <c r="GO87" s="137"/>
      <c r="GP87" s="137"/>
      <c r="GQ87" s="137"/>
      <c r="GR87" s="137"/>
      <c r="GS87" s="137"/>
      <c r="GT87" s="137"/>
      <c r="GU87" s="137"/>
      <c r="GV87" s="137"/>
      <c r="GW87" s="137"/>
      <c r="GX87" s="137"/>
      <c r="GY87" s="137"/>
      <c r="GZ87" s="137"/>
      <c r="HA87" s="132" t="str">
        <f>SUM(GO87:GZ87)</f>
        <v>0</v>
      </c>
      <c r="HB87" s="181"/>
      <c r="HC87" s="181"/>
      <c r="HD87" s="181"/>
      <c r="HE87" s="181"/>
      <c r="HF87" s="181"/>
      <c r="HG87" s="181"/>
      <c r="HH87" s="181"/>
      <c r="HI87" s="181"/>
      <c r="HJ87" s="181"/>
      <c r="HK87" s="181"/>
      <c r="HL87" s="181"/>
      <c r="HM87" s="181"/>
      <c r="HN87" s="181" t="str">
        <f>SUM(HB87:HM87)</f>
        <v>0</v>
      </c>
      <c r="HO87" s="132"/>
      <c r="HP87" s="132"/>
      <c r="HQ87" s="132"/>
      <c r="HR87" s="132"/>
      <c r="HS87" s="132"/>
      <c r="HT87" s="132"/>
      <c r="HU87" s="132"/>
      <c r="HV87" s="132"/>
      <c r="HW87" s="132"/>
      <c r="HX87" s="132"/>
      <c r="HY87" s="132"/>
      <c r="HZ87" s="132"/>
      <c r="IA87" s="132" t="str">
        <f>SUM(HO87:HZ87)</f>
        <v>0</v>
      </c>
      <c r="IB87" s="181"/>
      <c r="IC87" s="181"/>
      <c r="ID87" s="181"/>
      <c r="IE87" s="181"/>
      <c r="IF87" s="181"/>
      <c r="IG87" s="181"/>
      <c r="IH87" s="181"/>
      <c r="II87" s="181"/>
      <c r="IJ87" s="181"/>
      <c r="IK87" s="181"/>
      <c r="IL87" s="181"/>
      <c r="IM87" s="181"/>
      <c r="IN87" s="181" t="str">
        <f>SUM(IB87:IM87)</f>
        <v>0</v>
      </c>
      <c r="IO87" s="181"/>
      <c r="IP87" s="181"/>
      <c r="IQ87" s="181"/>
      <c r="IR87" s="181"/>
      <c r="IS87" s="181"/>
      <c r="IT87" s="181"/>
      <c r="IU87" s="181"/>
      <c r="IV87" s="181"/>
      <c r="IW87" s="181"/>
      <c r="IX87" s="181"/>
      <c r="IY87" s="181"/>
      <c r="IZ87" s="181"/>
      <c r="JA87" s="181" t="str">
        <f>SUM(IO87:IZ87)</f>
        <v>0</v>
      </c>
      <c r="JC87" s="135" t="str">
        <f>B87+O87+AB87+AO87+BB87+BO87+CB87+CO87+DB87+DO87+EB87+EO87+FB87+FO87+GB87+GO87+HB87+HO87+IB87+IO87</f>
        <v>0</v>
      </c>
      <c r="JD87" s="135" t="str">
        <f>C87+P87+AC87+AP87+BC87+BP87+CC87+CP87+DC87+DP87+EC87+EP87+FC87+FP87+GC87+GP87+HC87+HP87+IC87+IP87</f>
        <v>0</v>
      </c>
      <c r="JE87" s="135" t="str">
        <f>D87+Q87+AD87+AQ87+BD87+BQ87+CD87+CQ87+DD87+DQ87+ED87+EQ87+FD87+FQ87+GD87+GQ87+HD87+HQ87+ID87+IQ87</f>
        <v>0</v>
      </c>
      <c r="JF87" s="135" t="str">
        <f>E87+R87+AE87+AR87+BE87+BR87+CE87+CR87+DE87+DR87+EE87+ER87+FE87+FR87+GE87+GR87+HE87+HR87+IE87+IR87</f>
        <v>0</v>
      </c>
      <c r="JG87" s="135" t="str">
        <f>F87+S87+AF87+AS87+BF87+BS87+CF87+CS87+DF87+DS87+EF87+ES87+FF87+FS87+GF87+GS87+HF87+HS87+IF87+IS87</f>
        <v>0</v>
      </c>
      <c r="JH87" s="135" t="str">
        <f>G87+T87+AG87+AT87+BG87+BT87+CG87+CT87+DG87+DT87+EG87+ET87+FG87+FT87+GG87+GT87+HG87+HT87+IG87+IT87</f>
        <v>0</v>
      </c>
      <c r="JI87" s="135" t="str">
        <f>H87+U87+AH87+AU87+BH87+BU87+CH87+CU87+DH87+DU87+EH87+EU87+FH87+FU87+GH87+GU87+HH87+HU87+IH87+IU87</f>
        <v>0</v>
      </c>
      <c r="JJ87" s="135" t="str">
        <f>I87+V87+AI87+AV87+BI87+BV87+CI87+CV87+DI87+DV87+EI87+EV87+FI87+FV87+GI87+GV87+HI87+HV87+II87+IV87</f>
        <v>0</v>
      </c>
      <c r="JK87" s="135" t="str">
        <f>J87+W87+AJ87+AW87+BJ87+BW87+CJ87+CW87+DJ87+DW87+EJ87+EW87+FJ87+FW87+GJ87+GW87+HJ87+HW87+IJ87+IW87</f>
        <v>0</v>
      </c>
      <c r="JL87" s="135" t="str">
        <f>K87+X87+AK87+AX87+BK87+BX87+CK87+CX87+DK87+DX87+EK87+EX87+FK87+FX87+GK87+GX87+HK87+HX87+IK87+IX87</f>
        <v>0</v>
      </c>
      <c r="JM87" s="135" t="str">
        <f>L87+Y87+AL87+AY87+BL87+BY87+CL87+CY87+DL87+DY87+EL87+EY87+FL87+FY87+GL87+GY87+HL87+HY87+IL87+IY87</f>
        <v>0</v>
      </c>
      <c r="JN87" s="135" t="str">
        <f>M87+Z87+AM87+AZ87+BM87+BZ87+CM87+CZ87+DM87+DZ87+EM87+EZ87+FM87+FZ87+GM87+GZ87+HM87+HZ87+IM87+IZ87</f>
        <v>0</v>
      </c>
      <c r="JO87" s="132" t="str">
        <f>SUM(JC87:JN87)</f>
        <v>0</v>
      </c>
      <c r="JQ87" s="139" t="str">
        <f>N87+AA87+AN87+BA87+BN87+CA87+CN87+DA87+DN87+EA87+EN87+FA87+FN87+GA87+GN87+HA87+HN87+IA87+IN87+JA87</f>
        <v>0</v>
      </c>
    </row>
    <row r="88" spans="1:278">
      <c r="A88" s="130"/>
      <c r="B88" s="131"/>
      <c r="C88" s="131"/>
      <c r="D88" s="131"/>
      <c r="E88" s="131"/>
      <c r="F88" s="131"/>
      <c r="G88" s="131"/>
      <c r="H88" s="131"/>
      <c r="I88" s="131"/>
      <c r="J88" s="131"/>
      <c r="K88" s="131"/>
      <c r="L88" s="131"/>
      <c r="M88" s="131"/>
      <c r="N88" s="132" t="str">
        <f>SUM(B88:M88)</f>
        <v>0</v>
      </c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33"/>
      <c r="AA88" s="132" t="str">
        <f>SUM(O88:Z88)</f>
        <v>0</v>
      </c>
      <c r="AB88" s="131"/>
      <c r="AC88" s="131"/>
      <c r="AD88" s="131"/>
      <c r="AE88" s="131"/>
      <c r="AF88" s="131"/>
      <c r="AG88" s="131"/>
      <c r="AH88" s="131"/>
      <c r="AI88" s="131"/>
      <c r="AJ88" s="131"/>
      <c r="AK88" s="131"/>
      <c r="AL88" s="131"/>
      <c r="AM88" s="131"/>
      <c r="AN88" s="132" t="str">
        <f>SUM(AB88:AM88)</f>
        <v>0</v>
      </c>
      <c r="AO88" s="133"/>
      <c r="AP88" s="133"/>
      <c r="AQ88" s="133"/>
      <c r="AR88" s="133"/>
      <c r="AS88" s="133"/>
      <c r="AT88" s="133"/>
      <c r="AU88" s="133"/>
      <c r="AV88" s="133"/>
      <c r="AW88" s="133"/>
      <c r="AX88" s="133"/>
      <c r="AY88" s="133"/>
      <c r="AZ88" s="133"/>
      <c r="BA88" s="132" t="str">
        <f>SUM(AO88:AZ88)</f>
        <v>0</v>
      </c>
      <c r="BB88" s="134"/>
      <c r="BC88" s="134"/>
      <c r="BD88" s="134"/>
      <c r="BE88" s="134"/>
      <c r="BF88" s="134"/>
      <c r="BG88" s="134"/>
      <c r="BH88" s="134"/>
      <c r="BI88" s="134"/>
      <c r="BJ88" s="134"/>
      <c r="BK88" s="134"/>
      <c r="BL88" s="134"/>
      <c r="BM88" s="134"/>
      <c r="BN88" s="132" t="str">
        <f>SUM(BB88:BM88)</f>
        <v>0</v>
      </c>
      <c r="BO88" s="135"/>
      <c r="BP88" s="135"/>
      <c r="BQ88" s="135"/>
      <c r="BR88" s="135"/>
      <c r="BS88" s="135"/>
      <c r="BT88" s="135"/>
      <c r="BU88" s="135"/>
      <c r="BV88" s="135"/>
      <c r="BW88" s="135"/>
      <c r="BX88" s="135"/>
      <c r="BY88" s="135"/>
      <c r="BZ88" s="135"/>
      <c r="CA88" s="132" t="str">
        <f>SUM(BO88:BZ88)</f>
        <v>0</v>
      </c>
      <c r="CB88" s="136"/>
      <c r="CC88" s="136"/>
      <c r="CD88" s="136"/>
      <c r="CE88" s="136"/>
      <c r="CF88" s="136"/>
      <c r="CG88" s="136"/>
      <c r="CH88" s="136"/>
      <c r="CI88" s="136"/>
      <c r="CJ88" s="136"/>
      <c r="CK88" s="136"/>
      <c r="CL88" s="136"/>
      <c r="CM88" s="136"/>
      <c r="CN88" s="132" t="str">
        <f>SUM(CB88:CM88)</f>
        <v>0</v>
      </c>
      <c r="CO88" s="137"/>
      <c r="CP88" s="137"/>
      <c r="CQ88" s="137"/>
      <c r="CR88" s="137"/>
      <c r="CS88" s="137"/>
      <c r="CT88" s="137"/>
      <c r="CU88" s="137"/>
      <c r="CV88" s="137"/>
      <c r="CW88" s="137"/>
      <c r="CX88" s="137"/>
      <c r="CY88" s="137"/>
      <c r="CZ88" s="137"/>
      <c r="DA88" s="132" t="str">
        <f>SUM(CO88:CZ88)</f>
        <v>0</v>
      </c>
      <c r="DB88" s="136"/>
      <c r="DC88" s="136"/>
      <c r="DD88" s="136"/>
      <c r="DE88" s="136"/>
      <c r="DF88" s="136"/>
      <c r="DG88" s="136"/>
      <c r="DH88" s="136"/>
      <c r="DI88" s="136"/>
      <c r="DJ88" s="136"/>
      <c r="DK88" s="136"/>
      <c r="DL88" s="136"/>
      <c r="DM88" s="136"/>
      <c r="DN88" s="132" t="str">
        <f>SUM(DB88:DM88)</f>
        <v>0</v>
      </c>
      <c r="DO88" s="137"/>
      <c r="DP88" s="137"/>
      <c r="DQ88" s="137"/>
      <c r="DR88" s="137"/>
      <c r="DS88" s="137"/>
      <c r="DT88" s="137"/>
      <c r="DU88" s="137"/>
      <c r="DV88" s="137"/>
      <c r="DW88" s="137"/>
      <c r="DX88" s="137"/>
      <c r="DY88" s="137"/>
      <c r="DZ88" s="137"/>
      <c r="EA88" s="132" t="str">
        <f>SUM(DO88:DZ88)</f>
        <v>0</v>
      </c>
      <c r="EB88" s="216"/>
      <c r="EC88" s="216"/>
      <c r="ED88" s="216"/>
      <c r="EE88" s="216"/>
      <c r="EF88" s="216"/>
      <c r="EG88" s="216"/>
      <c r="EH88" s="216"/>
      <c r="EI88" s="216"/>
      <c r="EJ88" s="216"/>
      <c r="EK88" s="216"/>
      <c r="EL88" s="216"/>
      <c r="EM88" s="216"/>
      <c r="EN88" s="132" t="str">
        <f>SUM(EB88:EM88)</f>
        <v>0</v>
      </c>
      <c r="EO88" s="132"/>
      <c r="EP88" s="132"/>
      <c r="EQ88" s="132"/>
      <c r="ER88" s="132"/>
      <c r="ES88" s="132"/>
      <c r="ET88" s="132"/>
      <c r="EU88" s="132"/>
      <c r="EV88" s="132"/>
      <c r="EW88" s="132"/>
      <c r="EX88" s="132"/>
      <c r="EY88" s="132"/>
      <c r="EZ88" s="132"/>
      <c r="FA88" s="132" t="str">
        <f>SUM(EO88:EZ88)</f>
        <v>0</v>
      </c>
      <c r="FB88" s="181"/>
      <c r="FC88" s="181"/>
      <c r="FD88" s="181"/>
      <c r="FE88" s="181"/>
      <c r="FF88" s="181"/>
      <c r="FG88" s="181"/>
      <c r="FH88" s="181"/>
      <c r="FI88" s="181"/>
      <c r="FJ88" s="181"/>
      <c r="FK88" s="181"/>
      <c r="FL88" s="181"/>
      <c r="FM88" s="181"/>
      <c r="FN88" s="132" t="str">
        <f>SUM(FB88:FM88)</f>
        <v>0</v>
      </c>
      <c r="FO88" s="132"/>
      <c r="FP88" s="132"/>
      <c r="FQ88" s="132"/>
      <c r="FR88" s="132"/>
      <c r="FS88" s="132"/>
      <c r="FT88" s="132"/>
      <c r="FU88" s="132"/>
      <c r="FV88" s="132"/>
      <c r="FW88" s="132"/>
      <c r="FX88" s="132"/>
      <c r="FY88" s="132"/>
      <c r="FZ88" s="132"/>
      <c r="GA88" s="132" t="str">
        <f>SUM(FO88:FZ88)</f>
        <v>0</v>
      </c>
      <c r="GB88" s="181"/>
      <c r="GC88" s="181"/>
      <c r="GD88" s="181"/>
      <c r="GE88" s="181"/>
      <c r="GF88" s="181"/>
      <c r="GG88" s="181"/>
      <c r="GH88" s="181"/>
      <c r="GI88" s="181"/>
      <c r="GJ88" s="181"/>
      <c r="GK88" s="181"/>
      <c r="GL88" s="181"/>
      <c r="GM88" s="181"/>
      <c r="GN88" s="181" t="str">
        <f>SUM(GB88:GM88)</f>
        <v>0</v>
      </c>
      <c r="GO88" s="137"/>
      <c r="GP88" s="137"/>
      <c r="GQ88" s="137"/>
      <c r="GR88" s="137"/>
      <c r="GS88" s="137"/>
      <c r="GT88" s="137"/>
      <c r="GU88" s="137"/>
      <c r="GV88" s="137"/>
      <c r="GW88" s="137"/>
      <c r="GX88" s="137"/>
      <c r="GY88" s="137"/>
      <c r="GZ88" s="137"/>
      <c r="HA88" s="132" t="str">
        <f>SUM(GO88:GZ88)</f>
        <v>0</v>
      </c>
      <c r="HB88" s="181"/>
      <c r="HC88" s="181"/>
      <c r="HD88" s="181"/>
      <c r="HE88" s="181"/>
      <c r="HF88" s="181"/>
      <c r="HG88" s="181"/>
      <c r="HH88" s="181"/>
      <c r="HI88" s="181"/>
      <c r="HJ88" s="181"/>
      <c r="HK88" s="181"/>
      <c r="HL88" s="181"/>
      <c r="HM88" s="181"/>
      <c r="HN88" s="181" t="str">
        <f>SUM(HB88:HM88)</f>
        <v>0</v>
      </c>
      <c r="HO88" s="132"/>
      <c r="HP88" s="132"/>
      <c r="HQ88" s="132"/>
      <c r="HR88" s="132"/>
      <c r="HS88" s="132"/>
      <c r="HT88" s="132"/>
      <c r="HU88" s="132"/>
      <c r="HV88" s="132"/>
      <c r="HW88" s="132"/>
      <c r="HX88" s="132"/>
      <c r="HY88" s="132"/>
      <c r="HZ88" s="132"/>
      <c r="IA88" s="132" t="str">
        <f>SUM(HO88:HZ88)</f>
        <v>0</v>
      </c>
      <c r="IB88" s="181"/>
      <c r="IC88" s="181"/>
      <c r="ID88" s="181"/>
      <c r="IE88" s="181"/>
      <c r="IF88" s="181"/>
      <c r="IG88" s="181"/>
      <c r="IH88" s="181"/>
      <c r="II88" s="181"/>
      <c r="IJ88" s="181"/>
      <c r="IK88" s="181"/>
      <c r="IL88" s="181"/>
      <c r="IM88" s="181"/>
      <c r="IN88" s="181" t="str">
        <f>SUM(IB88:IM88)</f>
        <v>0</v>
      </c>
      <c r="IO88" s="181"/>
      <c r="IP88" s="181"/>
      <c r="IQ88" s="181"/>
      <c r="IR88" s="181"/>
      <c r="IS88" s="181"/>
      <c r="IT88" s="181"/>
      <c r="IU88" s="181"/>
      <c r="IV88" s="181"/>
      <c r="IW88" s="181"/>
      <c r="IX88" s="181"/>
      <c r="IY88" s="181"/>
      <c r="IZ88" s="181"/>
      <c r="JA88" s="181" t="str">
        <f>SUM(IO88:IZ88)</f>
        <v>0</v>
      </c>
      <c r="JC88" s="135" t="str">
        <f>B88+O88+AB88+AO88+BB88+BO88+CB88+CO88+DB88+DO88+EB88+EO88+FB88+FO88+GB88+GO88+HB88+HO88+IB88+IO88</f>
        <v>0</v>
      </c>
      <c r="JD88" s="135" t="str">
        <f>C88+P88+AC88+AP88+BC88+BP88+CC88+CP88+DC88+DP88+EC88+EP88+FC88+FP88+GC88+GP88+HC88+HP88+IC88+IP88</f>
        <v>0</v>
      </c>
      <c r="JE88" s="135" t="str">
        <f>D88+Q88+AD88+AQ88+BD88+BQ88+CD88+CQ88+DD88+DQ88+ED88+EQ88+FD88+FQ88+GD88+GQ88+HD88+HQ88+ID88+IQ88</f>
        <v>0</v>
      </c>
      <c r="JF88" s="135" t="str">
        <f>E88+R88+AE88+AR88+BE88+BR88+CE88+CR88+DE88+DR88+EE88+ER88+FE88+FR88+GE88+GR88+HE88+HR88+IE88+IR88</f>
        <v>0</v>
      </c>
      <c r="JG88" s="135" t="str">
        <f>F88+S88+AF88+AS88+BF88+BS88+CF88+CS88+DF88+DS88+EF88+ES88+FF88+FS88+GF88+GS88+HF88+HS88+IF88+IS88</f>
        <v>0</v>
      </c>
      <c r="JH88" s="135" t="str">
        <f>G88+T88+AG88+AT88+BG88+BT88+CG88+CT88+DG88+DT88+EG88+ET88+FG88+FT88+GG88+GT88+HG88+HT88+IG88+IT88</f>
        <v>0</v>
      </c>
      <c r="JI88" s="135" t="str">
        <f>H88+U88+AH88+AU88+BH88+BU88+CH88+CU88+DH88+DU88+EH88+EU88+FH88+FU88+GH88+GU88+HH88+HU88+IH88+IU88</f>
        <v>0</v>
      </c>
      <c r="JJ88" s="135" t="str">
        <f>I88+V88+AI88+AV88+BI88+BV88+CI88+CV88+DI88+DV88+EI88+EV88+FI88+FV88+GI88+GV88+HI88+HV88+II88+IV88</f>
        <v>0</v>
      </c>
      <c r="JK88" s="135" t="str">
        <f>J88+W88+AJ88+AW88+BJ88+BW88+CJ88+CW88+DJ88+DW88+EJ88+EW88+FJ88+FW88+GJ88+GW88+HJ88+HW88+IJ88+IW88</f>
        <v>0</v>
      </c>
      <c r="JL88" s="135" t="str">
        <f>K88+X88+AK88+AX88+BK88+BX88+CK88+CX88+DK88+DX88+EK88+EX88+FK88+FX88+GK88+GX88+HK88+HX88+IK88+IX88</f>
        <v>0</v>
      </c>
      <c r="JM88" s="135" t="str">
        <f>L88+Y88+AL88+AY88+BL88+BY88+CL88+CY88+DL88+DY88+EL88+EY88+FL88+FY88+GL88+GY88+HL88+HY88+IL88+IY88</f>
        <v>0</v>
      </c>
      <c r="JN88" s="135" t="str">
        <f>M88+Z88+AM88+AZ88+BM88+BZ88+CM88+CZ88+DM88+DZ88+EM88+EZ88+FM88+FZ88+GM88+GZ88+HM88+HZ88+IM88+IZ88</f>
        <v>0</v>
      </c>
      <c r="JO88" s="132" t="str">
        <f>SUM(JC88:JN88)</f>
        <v>0</v>
      </c>
      <c r="JQ88" s="139" t="str">
        <f>N88+AA88+AN88+BA88+BN88+CA88+CN88+DA88+DN88+EA88+EN88+FA88+FN88+GA88+GN88+HA88+HN88+IA88+IN88+JA88</f>
        <v>0</v>
      </c>
    </row>
    <row r="89" spans="1:278">
      <c r="A89" s="130"/>
      <c r="B89" s="131"/>
      <c r="C89" s="131"/>
      <c r="D89" s="131"/>
      <c r="E89" s="131"/>
      <c r="F89" s="131"/>
      <c r="G89" s="131"/>
      <c r="H89" s="131"/>
      <c r="I89" s="131"/>
      <c r="J89" s="131"/>
      <c r="K89" s="131"/>
      <c r="L89" s="131"/>
      <c r="M89" s="131"/>
      <c r="N89" s="132" t="str">
        <f>SUM(B89:M89)</f>
        <v>0</v>
      </c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  <c r="AA89" s="132" t="str">
        <f>SUM(O89:Z89)</f>
        <v>0</v>
      </c>
      <c r="AB89" s="131"/>
      <c r="AC89" s="131"/>
      <c r="AD89" s="131"/>
      <c r="AE89" s="131"/>
      <c r="AF89" s="131"/>
      <c r="AG89" s="131"/>
      <c r="AH89" s="131"/>
      <c r="AI89" s="131"/>
      <c r="AJ89" s="131"/>
      <c r="AK89" s="131"/>
      <c r="AL89" s="131"/>
      <c r="AM89" s="131"/>
      <c r="AN89" s="132" t="str">
        <f>SUM(AB89:AM89)</f>
        <v>0</v>
      </c>
      <c r="AO89" s="133"/>
      <c r="AP89" s="133"/>
      <c r="AQ89" s="133"/>
      <c r="AR89" s="133"/>
      <c r="AS89" s="133"/>
      <c r="AT89" s="133"/>
      <c r="AU89" s="133"/>
      <c r="AV89" s="133"/>
      <c r="AW89" s="133"/>
      <c r="AX89" s="133"/>
      <c r="AY89" s="133"/>
      <c r="AZ89" s="133"/>
      <c r="BA89" s="132" t="str">
        <f>SUM(AO89:AZ89)</f>
        <v>0</v>
      </c>
      <c r="BB89" s="134"/>
      <c r="BC89" s="134"/>
      <c r="BD89" s="134"/>
      <c r="BE89" s="134"/>
      <c r="BF89" s="134"/>
      <c r="BG89" s="134"/>
      <c r="BH89" s="134"/>
      <c r="BI89" s="134"/>
      <c r="BJ89" s="134"/>
      <c r="BK89" s="134"/>
      <c r="BL89" s="134"/>
      <c r="BM89" s="134"/>
      <c r="BN89" s="132" t="str">
        <f>SUM(BB89:BM89)</f>
        <v>0</v>
      </c>
      <c r="BO89" s="135"/>
      <c r="BP89" s="135"/>
      <c r="BQ89" s="135"/>
      <c r="BR89" s="135"/>
      <c r="BS89" s="135"/>
      <c r="BT89" s="135"/>
      <c r="BU89" s="135"/>
      <c r="BV89" s="135"/>
      <c r="BW89" s="135"/>
      <c r="BX89" s="135"/>
      <c r="BY89" s="135"/>
      <c r="BZ89" s="135"/>
      <c r="CA89" s="132" t="str">
        <f>SUM(BO89:BZ89)</f>
        <v>0</v>
      </c>
      <c r="CB89" s="136"/>
      <c r="CC89" s="136"/>
      <c r="CD89" s="136"/>
      <c r="CE89" s="136"/>
      <c r="CF89" s="136"/>
      <c r="CG89" s="136"/>
      <c r="CH89" s="136"/>
      <c r="CI89" s="136"/>
      <c r="CJ89" s="136"/>
      <c r="CK89" s="136"/>
      <c r="CL89" s="136"/>
      <c r="CM89" s="136"/>
      <c r="CN89" s="132" t="str">
        <f>SUM(CB89:CM89)</f>
        <v>0</v>
      </c>
      <c r="CO89" s="137"/>
      <c r="CP89" s="137"/>
      <c r="CQ89" s="137"/>
      <c r="CR89" s="137"/>
      <c r="CS89" s="137"/>
      <c r="CT89" s="137"/>
      <c r="CU89" s="137"/>
      <c r="CV89" s="137"/>
      <c r="CW89" s="137"/>
      <c r="CX89" s="137"/>
      <c r="CY89" s="137"/>
      <c r="CZ89" s="137"/>
      <c r="DA89" s="132" t="str">
        <f>SUM(CO89:CZ89)</f>
        <v>0</v>
      </c>
      <c r="DB89" s="136"/>
      <c r="DC89" s="136"/>
      <c r="DD89" s="136"/>
      <c r="DE89" s="136"/>
      <c r="DF89" s="136"/>
      <c r="DG89" s="136"/>
      <c r="DH89" s="136"/>
      <c r="DI89" s="136"/>
      <c r="DJ89" s="136"/>
      <c r="DK89" s="136"/>
      <c r="DL89" s="136"/>
      <c r="DM89" s="136"/>
      <c r="DN89" s="132" t="str">
        <f>SUM(DB89:DM89)</f>
        <v>0</v>
      </c>
      <c r="DO89" s="137"/>
      <c r="DP89" s="137"/>
      <c r="DQ89" s="137"/>
      <c r="DR89" s="137"/>
      <c r="DS89" s="137"/>
      <c r="DT89" s="137"/>
      <c r="DU89" s="137"/>
      <c r="DV89" s="137"/>
      <c r="DW89" s="137"/>
      <c r="DX89" s="137"/>
      <c r="DY89" s="137"/>
      <c r="DZ89" s="137"/>
      <c r="EA89" s="132" t="str">
        <f>SUM(DO89:DZ89)</f>
        <v>0</v>
      </c>
      <c r="EB89" s="216"/>
      <c r="EC89" s="216"/>
      <c r="ED89" s="216"/>
      <c r="EE89" s="216"/>
      <c r="EF89" s="216"/>
      <c r="EG89" s="216"/>
      <c r="EH89" s="216"/>
      <c r="EI89" s="216"/>
      <c r="EJ89" s="216"/>
      <c r="EK89" s="216"/>
      <c r="EL89" s="216"/>
      <c r="EM89" s="216"/>
      <c r="EN89" s="132" t="str">
        <f>SUM(EB89:EM89)</f>
        <v>0</v>
      </c>
      <c r="EO89" s="132"/>
      <c r="EP89" s="132"/>
      <c r="EQ89" s="132"/>
      <c r="ER89" s="132"/>
      <c r="ES89" s="132"/>
      <c r="ET89" s="132"/>
      <c r="EU89" s="132"/>
      <c r="EV89" s="132"/>
      <c r="EW89" s="132"/>
      <c r="EX89" s="132"/>
      <c r="EY89" s="132"/>
      <c r="EZ89" s="132"/>
      <c r="FA89" s="132" t="str">
        <f>SUM(EO89:EZ89)</f>
        <v>0</v>
      </c>
      <c r="FB89" s="181"/>
      <c r="FC89" s="181"/>
      <c r="FD89" s="181"/>
      <c r="FE89" s="181"/>
      <c r="FF89" s="181"/>
      <c r="FG89" s="181"/>
      <c r="FH89" s="181"/>
      <c r="FI89" s="181"/>
      <c r="FJ89" s="181"/>
      <c r="FK89" s="181"/>
      <c r="FL89" s="181"/>
      <c r="FM89" s="181"/>
      <c r="FN89" s="132" t="str">
        <f>SUM(FB89:FM89)</f>
        <v>0</v>
      </c>
      <c r="FO89" s="132"/>
      <c r="FP89" s="132"/>
      <c r="FQ89" s="132"/>
      <c r="FR89" s="132"/>
      <c r="FS89" s="132"/>
      <c r="FT89" s="132"/>
      <c r="FU89" s="132"/>
      <c r="FV89" s="132"/>
      <c r="FW89" s="132"/>
      <c r="FX89" s="132"/>
      <c r="FY89" s="132"/>
      <c r="FZ89" s="132"/>
      <c r="GA89" s="132" t="str">
        <f>SUM(FO89:FZ89)</f>
        <v>0</v>
      </c>
      <c r="GB89" s="181"/>
      <c r="GC89" s="181"/>
      <c r="GD89" s="181"/>
      <c r="GE89" s="181"/>
      <c r="GF89" s="181"/>
      <c r="GG89" s="181"/>
      <c r="GH89" s="181"/>
      <c r="GI89" s="181"/>
      <c r="GJ89" s="181"/>
      <c r="GK89" s="181"/>
      <c r="GL89" s="181"/>
      <c r="GM89" s="181"/>
      <c r="GN89" s="181" t="str">
        <f>SUM(GB89:GM89)</f>
        <v>0</v>
      </c>
      <c r="GO89" s="137"/>
      <c r="GP89" s="137"/>
      <c r="GQ89" s="137"/>
      <c r="GR89" s="137"/>
      <c r="GS89" s="137"/>
      <c r="GT89" s="137"/>
      <c r="GU89" s="137"/>
      <c r="GV89" s="137"/>
      <c r="GW89" s="137"/>
      <c r="GX89" s="137"/>
      <c r="GY89" s="137"/>
      <c r="GZ89" s="137"/>
      <c r="HA89" s="132" t="str">
        <f>SUM(GO89:GZ89)</f>
        <v>0</v>
      </c>
      <c r="HB89" s="181"/>
      <c r="HC89" s="181"/>
      <c r="HD89" s="181"/>
      <c r="HE89" s="181"/>
      <c r="HF89" s="181"/>
      <c r="HG89" s="181"/>
      <c r="HH89" s="181"/>
      <c r="HI89" s="181"/>
      <c r="HJ89" s="181"/>
      <c r="HK89" s="181"/>
      <c r="HL89" s="181"/>
      <c r="HM89" s="181"/>
      <c r="HN89" s="181" t="str">
        <f>SUM(HB89:HM89)</f>
        <v>0</v>
      </c>
      <c r="HO89" s="132"/>
      <c r="HP89" s="132"/>
      <c r="HQ89" s="132"/>
      <c r="HR89" s="132"/>
      <c r="HS89" s="132"/>
      <c r="HT89" s="132"/>
      <c r="HU89" s="132"/>
      <c r="HV89" s="132"/>
      <c r="HW89" s="132"/>
      <c r="HX89" s="132"/>
      <c r="HY89" s="132"/>
      <c r="HZ89" s="132"/>
      <c r="IA89" s="132" t="str">
        <f>SUM(HO89:HZ89)</f>
        <v>0</v>
      </c>
      <c r="IB89" s="181"/>
      <c r="IC89" s="181"/>
      <c r="ID89" s="181"/>
      <c r="IE89" s="181"/>
      <c r="IF89" s="181"/>
      <c r="IG89" s="181"/>
      <c r="IH89" s="181"/>
      <c r="II89" s="181"/>
      <c r="IJ89" s="181"/>
      <c r="IK89" s="181"/>
      <c r="IL89" s="181"/>
      <c r="IM89" s="181"/>
      <c r="IN89" s="181" t="str">
        <f>SUM(IB89:IM89)</f>
        <v>0</v>
      </c>
      <c r="IO89" s="181"/>
      <c r="IP89" s="181"/>
      <c r="IQ89" s="181"/>
      <c r="IR89" s="181"/>
      <c r="IS89" s="181"/>
      <c r="IT89" s="181"/>
      <c r="IU89" s="181"/>
      <c r="IV89" s="181"/>
      <c r="IW89" s="181"/>
      <c r="IX89" s="181"/>
      <c r="IY89" s="181"/>
      <c r="IZ89" s="181"/>
      <c r="JA89" s="181" t="str">
        <f>SUM(IO89:IZ89)</f>
        <v>0</v>
      </c>
      <c r="JC89" s="135" t="str">
        <f>B89+O89+AB89+AO89+BB89+BO89+CB89+CO89+DB89+DO89+EB89+EO89+FB89+FO89+GB89+GO89+HB89+HO89+IB89+IO89</f>
        <v>0</v>
      </c>
      <c r="JD89" s="135" t="str">
        <f>C89+P89+AC89+AP89+BC89+BP89+CC89+CP89+DC89+DP89+EC89+EP89+FC89+FP89+GC89+GP89+HC89+HP89+IC89+IP89</f>
        <v>0</v>
      </c>
      <c r="JE89" s="135" t="str">
        <f>D89+Q89+AD89+AQ89+BD89+BQ89+CD89+CQ89+DD89+DQ89+ED89+EQ89+FD89+FQ89+GD89+GQ89+HD89+HQ89+ID89+IQ89</f>
        <v>0</v>
      </c>
      <c r="JF89" s="135" t="str">
        <f>E89+R89+AE89+AR89+BE89+BR89+CE89+CR89+DE89+DR89+EE89+ER89+FE89+FR89+GE89+GR89+HE89+HR89+IE89+IR89</f>
        <v>0</v>
      </c>
      <c r="JG89" s="135" t="str">
        <f>F89+S89+AF89+AS89+BF89+BS89+CF89+CS89+DF89+DS89+EF89+ES89+FF89+FS89+GF89+GS89+HF89+HS89+IF89+IS89</f>
        <v>0</v>
      </c>
      <c r="JH89" s="135" t="str">
        <f>G89+T89+AG89+AT89+BG89+BT89+CG89+CT89+DG89+DT89+EG89+ET89+FG89+FT89+GG89+GT89+HG89+HT89+IG89+IT89</f>
        <v>0</v>
      </c>
      <c r="JI89" s="135" t="str">
        <f>H89+U89+AH89+AU89+BH89+BU89+CH89+CU89+DH89+DU89+EH89+EU89+FH89+FU89+GH89+GU89+HH89+HU89+IH89+IU89</f>
        <v>0</v>
      </c>
      <c r="JJ89" s="135" t="str">
        <f>I89+V89+AI89+AV89+BI89+BV89+CI89+CV89+DI89+DV89+EI89+EV89+FI89+FV89+GI89+GV89+HI89+HV89+II89+IV89</f>
        <v>0</v>
      </c>
      <c r="JK89" s="135" t="str">
        <f>J89+W89+AJ89+AW89+BJ89+BW89+CJ89+CW89+DJ89+DW89+EJ89+EW89+FJ89+FW89+GJ89+GW89+HJ89+HW89+IJ89+IW89</f>
        <v>0</v>
      </c>
      <c r="JL89" s="135" t="str">
        <f>K89+X89+AK89+AX89+BK89+BX89+CK89+CX89+DK89+DX89+EK89+EX89+FK89+FX89+GK89+GX89+HK89+HX89+IK89+IX89</f>
        <v>0</v>
      </c>
      <c r="JM89" s="135" t="str">
        <f>L89+Y89+AL89+AY89+BL89+BY89+CL89+CY89+DL89+DY89+EL89+EY89+FL89+FY89+GL89+GY89+HL89+HY89+IL89+IY89</f>
        <v>0</v>
      </c>
      <c r="JN89" s="135" t="str">
        <f>M89+Z89+AM89+AZ89+BM89+BZ89+CM89+CZ89+DM89+DZ89+EM89+EZ89+FM89+FZ89+GM89+GZ89+HM89+HZ89+IM89+IZ89</f>
        <v>0</v>
      </c>
      <c r="JO89" s="132" t="str">
        <f>SUM(JC89:JN89)</f>
        <v>0</v>
      </c>
      <c r="JQ89" s="139" t="str">
        <f>N89+AA89+AN89+BA89+BN89+CA89+CN89+DA89+DN89+EA89+EN89+FA89+FN89+GA89+GN89+HA89+HN89+IA89+IN89+JA89</f>
        <v>0</v>
      </c>
    </row>
    <row r="90" spans="1:278">
      <c r="A90" s="130"/>
      <c r="B90" s="131"/>
      <c r="C90" s="131"/>
      <c r="D90" s="131"/>
      <c r="E90" s="131"/>
      <c r="F90" s="131"/>
      <c r="G90" s="131"/>
      <c r="H90" s="131"/>
      <c r="I90" s="131"/>
      <c r="J90" s="131"/>
      <c r="K90" s="131"/>
      <c r="L90" s="131"/>
      <c r="M90" s="131"/>
      <c r="N90" s="132" t="str">
        <f>SUM(B90:M90)</f>
        <v>0</v>
      </c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  <c r="AA90" s="132" t="str">
        <f>SUM(O90:Z90)</f>
        <v>0</v>
      </c>
      <c r="AB90" s="131"/>
      <c r="AC90" s="131"/>
      <c r="AD90" s="131"/>
      <c r="AE90" s="131"/>
      <c r="AF90" s="131"/>
      <c r="AG90" s="131"/>
      <c r="AH90" s="131"/>
      <c r="AI90" s="131"/>
      <c r="AJ90" s="131"/>
      <c r="AK90" s="131"/>
      <c r="AL90" s="131"/>
      <c r="AM90" s="131"/>
      <c r="AN90" s="132" t="str">
        <f>SUM(AB90:AM90)</f>
        <v>0</v>
      </c>
      <c r="AO90" s="133"/>
      <c r="AP90" s="133"/>
      <c r="AQ90" s="133"/>
      <c r="AR90" s="133"/>
      <c r="AS90" s="133"/>
      <c r="AT90" s="133"/>
      <c r="AU90" s="133"/>
      <c r="AV90" s="133"/>
      <c r="AW90" s="133"/>
      <c r="AX90" s="133"/>
      <c r="AY90" s="133"/>
      <c r="AZ90" s="133"/>
      <c r="BA90" s="132" t="str">
        <f>SUM(AO90:AZ90)</f>
        <v>0</v>
      </c>
      <c r="BB90" s="134"/>
      <c r="BC90" s="134"/>
      <c r="BD90" s="134"/>
      <c r="BE90" s="134"/>
      <c r="BF90" s="134"/>
      <c r="BG90" s="134"/>
      <c r="BH90" s="134"/>
      <c r="BI90" s="134"/>
      <c r="BJ90" s="134"/>
      <c r="BK90" s="134"/>
      <c r="BL90" s="134"/>
      <c r="BM90" s="134"/>
      <c r="BN90" s="132" t="str">
        <f>SUM(BB90:BM90)</f>
        <v>0</v>
      </c>
      <c r="BO90" s="135"/>
      <c r="BP90" s="135"/>
      <c r="BQ90" s="135"/>
      <c r="BR90" s="135"/>
      <c r="BS90" s="135"/>
      <c r="BT90" s="135"/>
      <c r="BU90" s="135"/>
      <c r="BV90" s="135"/>
      <c r="BW90" s="135"/>
      <c r="BX90" s="135"/>
      <c r="BY90" s="135"/>
      <c r="BZ90" s="135"/>
      <c r="CA90" s="132" t="str">
        <f>SUM(BO90:BZ90)</f>
        <v>0</v>
      </c>
      <c r="CB90" s="136"/>
      <c r="CC90" s="136"/>
      <c r="CD90" s="136"/>
      <c r="CE90" s="136"/>
      <c r="CF90" s="136"/>
      <c r="CG90" s="136"/>
      <c r="CH90" s="136"/>
      <c r="CI90" s="136"/>
      <c r="CJ90" s="136"/>
      <c r="CK90" s="136"/>
      <c r="CL90" s="136"/>
      <c r="CM90" s="136"/>
      <c r="CN90" s="132" t="str">
        <f>SUM(CB90:CM90)</f>
        <v>0</v>
      </c>
      <c r="CO90" s="137"/>
      <c r="CP90" s="137"/>
      <c r="CQ90" s="137"/>
      <c r="CR90" s="137"/>
      <c r="CS90" s="137"/>
      <c r="CT90" s="137"/>
      <c r="CU90" s="137"/>
      <c r="CV90" s="137"/>
      <c r="CW90" s="137"/>
      <c r="CX90" s="137"/>
      <c r="CY90" s="137"/>
      <c r="CZ90" s="137"/>
      <c r="DA90" s="132" t="str">
        <f>SUM(CO90:CZ90)</f>
        <v>0</v>
      </c>
      <c r="DB90" s="136"/>
      <c r="DC90" s="136"/>
      <c r="DD90" s="136"/>
      <c r="DE90" s="136"/>
      <c r="DF90" s="136"/>
      <c r="DG90" s="136"/>
      <c r="DH90" s="136"/>
      <c r="DI90" s="136"/>
      <c r="DJ90" s="136"/>
      <c r="DK90" s="136"/>
      <c r="DL90" s="136"/>
      <c r="DM90" s="136"/>
      <c r="DN90" s="132" t="str">
        <f>SUM(DB90:DM90)</f>
        <v>0</v>
      </c>
      <c r="DO90" s="137"/>
      <c r="DP90" s="137"/>
      <c r="DQ90" s="137"/>
      <c r="DR90" s="137"/>
      <c r="DS90" s="137"/>
      <c r="DT90" s="137"/>
      <c r="DU90" s="137"/>
      <c r="DV90" s="137"/>
      <c r="DW90" s="137"/>
      <c r="DX90" s="137"/>
      <c r="DY90" s="137"/>
      <c r="DZ90" s="137"/>
      <c r="EA90" s="132" t="str">
        <f>SUM(DO90:DZ90)</f>
        <v>0</v>
      </c>
      <c r="EB90" s="216"/>
      <c r="EC90" s="216"/>
      <c r="ED90" s="216"/>
      <c r="EE90" s="216"/>
      <c r="EF90" s="216"/>
      <c r="EG90" s="216"/>
      <c r="EH90" s="216"/>
      <c r="EI90" s="216"/>
      <c r="EJ90" s="216"/>
      <c r="EK90" s="216"/>
      <c r="EL90" s="216"/>
      <c r="EM90" s="216"/>
      <c r="EN90" s="132" t="str">
        <f>SUM(EB90:EM90)</f>
        <v>0</v>
      </c>
      <c r="EO90" s="132"/>
      <c r="EP90" s="132"/>
      <c r="EQ90" s="132"/>
      <c r="ER90" s="132"/>
      <c r="ES90" s="132"/>
      <c r="ET90" s="132"/>
      <c r="EU90" s="132"/>
      <c r="EV90" s="132"/>
      <c r="EW90" s="132"/>
      <c r="EX90" s="132"/>
      <c r="EY90" s="132"/>
      <c r="EZ90" s="132"/>
      <c r="FA90" s="132" t="str">
        <f>SUM(EO90:EZ90)</f>
        <v>0</v>
      </c>
      <c r="FB90" s="181"/>
      <c r="FC90" s="181"/>
      <c r="FD90" s="181"/>
      <c r="FE90" s="181"/>
      <c r="FF90" s="181"/>
      <c r="FG90" s="181"/>
      <c r="FH90" s="181"/>
      <c r="FI90" s="181"/>
      <c r="FJ90" s="181"/>
      <c r="FK90" s="181"/>
      <c r="FL90" s="181"/>
      <c r="FM90" s="181"/>
      <c r="FN90" s="132" t="str">
        <f>SUM(FB90:FM90)</f>
        <v>0</v>
      </c>
      <c r="FO90" s="132"/>
      <c r="FP90" s="132"/>
      <c r="FQ90" s="132"/>
      <c r="FR90" s="132"/>
      <c r="FS90" s="132"/>
      <c r="FT90" s="132"/>
      <c r="FU90" s="132"/>
      <c r="FV90" s="132"/>
      <c r="FW90" s="132"/>
      <c r="FX90" s="132"/>
      <c r="FY90" s="132"/>
      <c r="FZ90" s="132"/>
      <c r="GA90" s="132" t="str">
        <f>SUM(FO90:FZ90)</f>
        <v>0</v>
      </c>
      <c r="GB90" s="181"/>
      <c r="GC90" s="181"/>
      <c r="GD90" s="181"/>
      <c r="GE90" s="181"/>
      <c r="GF90" s="181"/>
      <c r="GG90" s="181"/>
      <c r="GH90" s="181"/>
      <c r="GI90" s="181"/>
      <c r="GJ90" s="181"/>
      <c r="GK90" s="181"/>
      <c r="GL90" s="181"/>
      <c r="GM90" s="181"/>
      <c r="GN90" s="181" t="str">
        <f>SUM(GB90:GM90)</f>
        <v>0</v>
      </c>
      <c r="GO90" s="137"/>
      <c r="GP90" s="137"/>
      <c r="GQ90" s="137"/>
      <c r="GR90" s="137"/>
      <c r="GS90" s="137"/>
      <c r="GT90" s="137"/>
      <c r="GU90" s="137"/>
      <c r="GV90" s="137"/>
      <c r="GW90" s="137"/>
      <c r="GX90" s="137"/>
      <c r="GY90" s="137"/>
      <c r="GZ90" s="137"/>
      <c r="HA90" s="132" t="str">
        <f>SUM(GO90:GZ90)</f>
        <v>0</v>
      </c>
      <c r="HB90" s="181"/>
      <c r="HC90" s="181"/>
      <c r="HD90" s="181"/>
      <c r="HE90" s="181"/>
      <c r="HF90" s="181"/>
      <c r="HG90" s="181"/>
      <c r="HH90" s="181"/>
      <c r="HI90" s="181"/>
      <c r="HJ90" s="181"/>
      <c r="HK90" s="181"/>
      <c r="HL90" s="181"/>
      <c r="HM90" s="181"/>
      <c r="HN90" s="181" t="str">
        <f>SUM(HB90:HM90)</f>
        <v>0</v>
      </c>
      <c r="HO90" s="132"/>
      <c r="HP90" s="132"/>
      <c r="HQ90" s="132"/>
      <c r="HR90" s="132"/>
      <c r="HS90" s="132"/>
      <c r="HT90" s="132"/>
      <c r="HU90" s="132"/>
      <c r="HV90" s="132"/>
      <c r="HW90" s="132"/>
      <c r="HX90" s="132"/>
      <c r="HY90" s="132"/>
      <c r="HZ90" s="132"/>
      <c r="IA90" s="132" t="str">
        <f>SUM(HO90:HZ90)</f>
        <v>0</v>
      </c>
      <c r="IB90" s="181"/>
      <c r="IC90" s="181"/>
      <c r="ID90" s="181"/>
      <c r="IE90" s="181"/>
      <c r="IF90" s="181"/>
      <c r="IG90" s="181"/>
      <c r="IH90" s="181"/>
      <c r="II90" s="181"/>
      <c r="IJ90" s="181"/>
      <c r="IK90" s="181"/>
      <c r="IL90" s="181"/>
      <c r="IM90" s="181"/>
      <c r="IN90" s="181" t="str">
        <f>SUM(IB90:IM90)</f>
        <v>0</v>
      </c>
      <c r="IO90" s="181"/>
      <c r="IP90" s="181"/>
      <c r="IQ90" s="181"/>
      <c r="IR90" s="181"/>
      <c r="IS90" s="181"/>
      <c r="IT90" s="181"/>
      <c r="IU90" s="181"/>
      <c r="IV90" s="181"/>
      <c r="IW90" s="181"/>
      <c r="IX90" s="181"/>
      <c r="IY90" s="181"/>
      <c r="IZ90" s="181"/>
      <c r="JA90" s="181" t="str">
        <f>SUM(IO90:IZ90)</f>
        <v>0</v>
      </c>
      <c r="JC90" s="135" t="str">
        <f>B90+O90+AB90+AO90+BB90+BO90+CB90+CO90+DB90+DO90+EB90+EO90+FB90+FO90+GB90+GO90+HB90+HO90+IB90+IO90</f>
        <v>0</v>
      </c>
      <c r="JD90" s="135" t="str">
        <f>C90+P90+AC90+AP90+BC90+BP90+CC90+CP90+DC90+DP90+EC90+EP90+FC90+FP90+GC90+GP90+HC90+HP90+IC90+IP90</f>
        <v>0</v>
      </c>
      <c r="JE90" s="135" t="str">
        <f>D90+Q90+AD90+AQ90+BD90+BQ90+CD90+CQ90+DD90+DQ90+ED90+EQ90+FD90+FQ90+GD90+GQ90+HD90+HQ90+ID90+IQ90</f>
        <v>0</v>
      </c>
      <c r="JF90" s="135" t="str">
        <f>E90+R90+AE90+AR90+BE90+BR90+CE90+CR90+DE90+DR90+EE90+ER90+FE90+FR90+GE90+GR90+HE90+HR90+IE90+IR90</f>
        <v>0</v>
      </c>
      <c r="JG90" s="135" t="str">
        <f>F90+S90+AF90+AS90+BF90+BS90+CF90+CS90+DF90+DS90+EF90+ES90+FF90+FS90+GF90+GS90+HF90+HS90+IF90+IS90</f>
        <v>0</v>
      </c>
      <c r="JH90" s="135" t="str">
        <f>G90+T90+AG90+AT90+BG90+BT90+CG90+CT90+DG90+DT90+EG90+ET90+FG90+FT90+GG90+GT90+HG90+HT90+IG90+IT90</f>
        <v>0</v>
      </c>
      <c r="JI90" s="135" t="str">
        <f>H90+U90+AH90+AU90+BH90+BU90+CH90+CU90+DH90+DU90+EH90+EU90+FH90+FU90+GH90+GU90+HH90+HU90+IH90+IU90</f>
        <v>0</v>
      </c>
      <c r="JJ90" s="135" t="str">
        <f>I90+V90+AI90+AV90+BI90+BV90+CI90+CV90+DI90+DV90+EI90+EV90+FI90+FV90+GI90+GV90+HI90+HV90+II90+IV90</f>
        <v>0</v>
      </c>
      <c r="JK90" s="135" t="str">
        <f>J90+W90+AJ90+AW90+BJ90+BW90+CJ90+CW90+DJ90+DW90+EJ90+EW90+FJ90+FW90+GJ90+GW90+HJ90+HW90+IJ90+IW90</f>
        <v>0</v>
      </c>
      <c r="JL90" s="135" t="str">
        <f>K90+X90+AK90+AX90+BK90+BX90+CK90+CX90+DK90+DX90+EK90+EX90+FK90+FX90+GK90+GX90+HK90+HX90+IK90+IX90</f>
        <v>0</v>
      </c>
      <c r="JM90" s="135" t="str">
        <f>L90+Y90+AL90+AY90+BL90+BY90+CL90+CY90+DL90+DY90+EL90+EY90+FL90+FY90+GL90+GY90+HL90+HY90+IL90+IY90</f>
        <v>0</v>
      </c>
      <c r="JN90" s="135" t="str">
        <f>M90+Z90+AM90+AZ90+BM90+BZ90+CM90+CZ90+DM90+DZ90+EM90+EZ90+FM90+FZ90+GM90+GZ90+HM90+HZ90+IM90+IZ90</f>
        <v>0</v>
      </c>
      <c r="JO90" s="132" t="str">
        <f>SUM(JC90:JN90)</f>
        <v>0</v>
      </c>
      <c r="JQ90" s="139" t="str">
        <f>N90+AA90+AN90+BA90+BN90+CA90+CN90+DA90+DN90+EA90+EN90+FA90+FN90+GA90+GN90+HA90+HN90+IA90+IN90+JA90</f>
        <v>0</v>
      </c>
    </row>
    <row r="91" spans="1:278">
      <c r="A91" s="130"/>
      <c r="B91" s="131"/>
      <c r="C91" s="131"/>
      <c r="D91" s="131"/>
      <c r="E91" s="131"/>
      <c r="F91" s="131"/>
      <c r="G91" s="131"/>
      <c r="H91" s="131"/>
      <c r="I91" s="131"/>
      <c r="J91" s="131"/>
      <c r="K91" s="131"/>
      <c r="L91" s="131"/>
      <c r="M91" s="131"/>
      <c r="N91" s="132" t="str">
        <f>SUM(B91:M91)</f>
        <v>0</v>
      </c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  <c r="AA91" s="132" t="str">
        <f>SUM(O91:Z91)</f>
        <v>0</v>
      </c>
      <c r="AB91" s="131"/>
      <c r="AC91" s="131"/>
      <c r="AD91" s="131"/>
      <c r="AE91" s="131"/>
      <c r="AF91" s="131"/>
      <c r="AG91" s="131"/>
      <c r="AH91" s="131"/>
      <c r="AI91" s="131"/>
      <c r="AJ91" s="131"/>
      <c r="AK91" s="131"/>
      <c r="AL91" s="131"/>
      <c r="AM91" s="131"/>
      <c r="AN91" s="132" t="str">
        <f>SUM(AB91:AM91)</f>
        <v>0</v>
      </c>
      <c r="AO91" s="133"/>
      <c r="AP91" s="133"/>
      <c r="AQ91" s="133"/>
      <c r="AR91" s="133"/>
      <c r="AS91" s="133"/>
      <c r="AT91" s="133"/>
      <c r="AU91" s="133"/>
      <c r="AV91" s="133"/>
      <c r="AW91" s="133"/>
      <c r="AX91" s="133"/>
      <c r="AY91" s="133"/>
      <c r="AZ91" s="133"/>
      <c r="BA91" s="132" t="str">
        <f>SUM(AO91:AZ91)</f>
        <v>0</v>
      </c>
      <c r="BB91" s="134"/>
      <c r="BC91" s="134"/>
      <c r="BD91" s="134"/>
      <c r="BE91" s="134"/>
      <c r="BF91" s="134"/>
      <c r="BG91" s="134"/>
      <c r="BH91" s="134"/>
      <c r="BI91" s="134"/>
      <c r="BJ91" s="134"/>
      <c r="BK91" s="134"/>
      <c r="BL91" s="134"/>
      <c r="BM91" s="134"/>
      <c r="BN91" s="132" t="str">
        <f>SUM(BB91:BM91)</f>
        <v>0</v>
      </c>
      <c r="BO91" s="135"/>
      <c r="BP91" s="135"/>
      <c r="BQ91" s="135"/>
      <c r="BR91" s="135"/>
      <c r="BS91" s="135"/>
      <c r="BT91" s="135"/>
      <c r="BU91" s="135"/>
      <c r="BV91" s="135"/>
      <c r="BW91" s="135"/>
      <c r="BX91" s="135"/>
      <c r="BY91" s="135"/>
      <c r="BZ91" s="135"/>
      <c r="CA91" s="132" t="str">
        <f>SUM(BO91:BZ91)</f>
        <v>0</v>
      </c>
      <c r="CB91" s="136"/>
      <c r="CC91" s="136"/>
      <c r="CD91" s="136"/>
      <c r="CE91" s="136"/>
      <c r="CF91" s="136"/>
      <c r="CG91" s="136"/>
      <c r="CH91" s="136"/>
      <c r="CI91" s="136"/>
      <c r="CJ91" s="136"/>
      <c r="CK91" s="136"/>
      <c r="CL91" s="136"/>
      <c r="CM91" s="136"/>
      <c r="CN91" s="132" t="str">
        <f>SUM(CB91:CM91)</f>
        <v>0</v>
      </c>
      <c r="CO91" s="137"/>
      <c r="CP91" s="137"/>
      <c r="CQ91" s="137"/>
      <c r="CR91" s="137"/>
      <c r="CS91" s="137"/>
      <c r="CT91" s="137"/>
      <c r="CU91" s="137"/>
      <c r="CV91" s="137"/>
      <c r="CW91" s="137"/>
      <c r="CX91" s="137"/>
      <c r="CY91" s="137"/>
      <c r="CZ91" s="137"/>
      <c r="DA91" s="132" t="str">
        <f>SUM(CO91:CZ91)</f>
        <v>0</v>
      </c>
      <c r="DB91" s="136"/>
      <c r="DC91" s="136"/>
      <c r="DD91" s="136"/>
      <c r="DE91" s="136"/>
      <c r="DF91" s="136"/>
      <c r="DG91" s="136"/>
      <c r="DH91" s="136"/>
      <c r="DI91" s="136"/>
      <c r="DJ91" s="136"/>
      <c r="DK91" s="136"/>
      <c r="DL91" s="136"/>
      <c r="DM91" s="136"/>
      <c r="DN91" s="132" t="str">
        <f>SUM(DB91:DM91)</f>
        <v>0</v>
      </c>
      <c r="DO91" s="137"/>
      <c r="DP91" s="137"/>
      <c r="DQ91" s="137"/>
      <c r="DR91" s="137"/>
      <c r="DS91" s="137"/>
      <c r="DT91" s="137"/>
      <c r="DU91" s="137"/>
      <c r="DV91" s="137"/>
      <c r="DW91" s="137"/>
      <c r="DX91" s="137"/>
      <c r="DY91" s="137"/>
      <c r="DZ91" s="137"/>
      <c r="EA91" s="132" t="str">
        <f>SUM(DO91:DZ91)</f>
        <v>0</v>
      </c>
      <c r="EB91" s="216"/>
      <c r="EC91" s="216"/>
      <c r="ED91" s="216"/>
      <c r="EE91" s="216"/>
      <c r="EF91" s="216"/>
      <c r="EG91" s="216"/>
      <c r="EH91" s="216"/>
      <c r="EI91" s="216"/>
      <c r="EJ91" s="216"/>
      <c r="EK91" s="216"/>
      <c r="EL91" s="216"/>
      <c r="EM91" s="216"/>
      <c r="EN91" s="132" t="str">
        <f>SUM(EB91:EM91)</f>
        <v>0</v>
      </c>
      <c r="EO91" s="132"/>
      <c r="EP91" s="132"/>
      <c r="EQ91" s="132"/>
      <c r="ER91" s="132"/>
      <c r="ES91" s="132"/>
      <c r="ET91" s="132"/>
      <c r="EU91" s="132"/>
      <c r="EV91" s="132"/>
      <c r="EW91" s="132"/>
      <c r="EX91" s="132"/>
      <c r="EY91" s="132"/>
      <c r="EZ91" s="132"/>
      <c r="FA91" s="132" t="str">
        <f>SUM(EO91:EZ91)</f>
        <v>0</v>
      </c>
      <c r="FB91" s="181"/>
      <c r="FC91" s="181"/>
      <c r="FD91" s="181"/>
      <c r="FE91" s="181"/>
      <c r="FF91" s="181"/>
      <c r="FG91" s="181"/>
      <c r="FH91" s="181"/>
      <c r="FI91" s="181"/>
      <c r="FJ91" s="181"/>
      <c r="FK91" s="181"/>
      <c r="FL91" s="181"/>
      <c r="FM91" s="181"/>
      <c r="FN91" s="132" t="str">
        <f>SUM(FB91:FM91)</f>
        <v>0</v>
      </c>
      <c r="FO91" s="132"/>
      <c r="FP91" s="132"/>
      <c r="FQ91" s="132"/>
      <c r="FR91" s="132"/>
      <c r="FS91" s="132"/>
      <c r="FT91" s="132"/>
      <c r="FU91" s="132"/>
      <c r="FV91" s="132"/>
      <c r="FW91" s="132"/>
      <c r="FX91" s="132"/>
      <c r="FY91" s="132"/>
      <c r="FZ91" s="132"/>
      <c r="GA91" s="132" t="str">
        <f>SUM(FO91:FZ91)</f>
        <v>0</v>
      </c>
      <c r="GB91" s="181"/>
      <c r="GC91" s="181"/>
      <c r="GD91" s="181"/>
      <c r="GE91" s="181"/>
      <c r="GF91" s="181"/>
      <c r="GG91" s="181"/>
      <c r="GH91" s="181"/>
      <c r="GI91" s="181"/>
      <c r="GJ91" s="181"/>
      <c r="GK91" s="181"/>
      <c r="GL91" s="181"/>
      <c r="GM91" s="181"/>
      <c r="GN91" s="181" t="str">
        <f>SUM(GB91:GM91)</f>
        <v>0</v>
      </c>
      <c r="GO91" s="137"/>
      <c r="GP91" s="137"/>
      <c r="GQ91" s="137"/>
      <c r="GR91" s="137"/>
      <c r="GS91" s="137"/>
      <c r="GT91" s="137"/>
      <c r="GU91" s="137"/>
      <c r="GV91" s="137"/>
      <c r="GW91" s="137"/>
      <c r="GX91" s="137"/>
      <c r="GY91" s="137"/>
      <c r="GZ91" s="137"/>
      <c r="HA91" s="132" t="str">
        <f>SUM(GO91:GZ91)</f>
        <v>0</v>
      </c>
      <c r="HB91" s="181"/>
      <c r="HC91" s="181"/>
      <c r="HD91" s="181"/>
      <c r="HE91" s="181"/>
      <c r="HF91" s="181"/>
      <c r="HG91" s="181"/>
      <c r="HH91" s="181"/>
      <c r="HI91" s="181"/>
      <c r="HJ91" s="181"/>
      <c r="HK91" s="181"/>
      <c r="HL91" s="181"/>
      <c r="HM91" s="181"/>
      <c r="HN91" s="181" t="str">
        <f>SUM(HB91:HM91)</f>
        <v>0</v>
      </c>
      <c r="HO91" s="132"/>
      <c r="HP91" s="132"/>
      <c r="HQ91" s="132"/>
      <c r="HR91" s="132"/>
      <c r="HS91" s="132"/>
      <c r="HT91" s="132"/>
      <c r="HU91" s="132"/>
      <c r="HV91" s="132"/>
      <c r="HW91" s="132"/>
      <c r="HX91" s="132"/>
      <c r="HY91" s="132"/>
      <c r="HZ91" s="132"/>
      <c r="IA91" s="132" t="str">
        <f>SUM(HO91:HZ91)</f>
        <v>0</v>
      </c>
      <c r="IB91" s="181"/>
      <c r="IC91" s="181"/>
      <c r="ID91" s="181"/>
      <c r="IE91" s="181"/>
      <c r="IF91" s="181"/>
      <c r="IG91" s="181"/>
      <c r="IH91" s="181"/>
      <c r="II91" s="181"/>
      <c r="IJ91" s="181"/>
      <c r="IK91" s="181"/>
      <c r="IL91" s="181"/>
      <c r="IM91" s="181"/>
      <c r="IN91" s="181" t="str">
        <f>SUM(IB91:IM91)</f>
        <v>0</v>
      </c>
      <c r="IO91" s="181"/>
      <c r="IP91" s="181"/>
      <c r="IQ91" s="181"/>
      <c r="IR91" s="181"/>
      <c r="IS91" s="181"/>
      <c r="IT91" s="181"/>
      <c r="IU91" s="181"/>
      <c r="IV91" s="181"/>
      <c r="IW91" s="181"/>
      <c r="IX91" s="181"/>
      <c r="IY91" s="181"/>
      <c r="IZ91" s="181"/>
      <c r="JA91" s="181" t="str">
        <f>SUM(IO91:IZ91)</f>
        <v>0</v>
      </c>
      <c r="JC91" s="135" t="str">
        <f>B91+O91+AB91+AO91+BB91+BO91+CB91+CO91+DB91+DO91+EB91+EO91+FB91+FO91+GB91+GO91+HB91+HO91+IB91+IO91</f>
        <v>0</v>
      </c>
      <c r="JD91" s="135" t="str">
        <f>C91+P91+AC91+AP91+BC91+BP91+CC91+CP91+DC91+DP91+EC91+EP91+FC91+FP91+GC91+GP91+HC91+HP91+IC91+IP91</f>
        <v>0</v>
      </c>
      <c r="JE91" s="135" t="str">
        <f>D91+Q91+AD91+AQ91+BD91+BQ91+CD91+CQ91+DD91+DQ91+ED91+EQ91+FD91+FQ91+GD91+GQ91+HD91+HQ91+ID91+IQ91</f>
        <v>0</v>
      </c>
      <c r="JF91" s="135" t="str">
        <f>E91+R91+AE91+AR91+BE91+BR91+CE91+CR91+DE91+DR91+EE91+ER91+FE91+FR91+GE91+GR91+HE91+HR91+IE91+IR91</f>
        <v>0</v>
      </c>
      <c r="JG91" s="135" t="str">
        <f>F91+S91+AF91+AS91+BF91+BS91+CF91+CS91+DF91+DS91+EF91+ES91+FF91+FS91+GF91+GS91+HF91+HS91+IF91+IS91</f>
        <v>0</v>
      </c>
      <c r="JH91" s="135" t="str">
        <f>G91+T91+AG91+AT91+BG91+BT91+CG91+CT91+DG91+DT91+EG91+ET91+FG91+FT91+GG91+GT91+HG91+HT91+IG91+IT91</f>
        <v>0</v>
      </c>
      <c r="JI91" s="135" t="str">
        <f>H91+U91+AH91+AU91+BH91+BU91+CH91+CU91+DH91+DU91+EH91+EU91+FH91+FU91+GH91+GU91+HH91+HU91+IH91+IU91</f>
        <v>0</v>
      </c>
      <c r="JJ91" s="135" t="str">
        <f>I91+V91+AI91+AV91+BI91+BV91+CI91+CV91+DI91+DV91+EI91+EV91+FI91+FV91+GI91+GV91+HI91+HV91+II91+IV91</f>
        <v>0</v>
      </c>
      <c r="JK91" s="135" t="str">
        <f>J91+W91+AJ91+AW91+BJ91+BW91+CJ91+CW91+DJ91+DW91+EJ91+EW91+FJ91+FW91+GJ91+GW91+HJ91+HW91+IJ91+IW91</f>
        <v>0</v>
      </c>
      <c r="JL91" s="135" t="str">
        <f>K91+X91+AK91+AX91+BK91+BX91+CK91+CX91+DK91+DX91+EK91+EX91+FK91+FX91+GK91+GX91+HK91+HX91+IK91+IX91</f>
        <v>0</v>
      </c>
      <c r="JM91" s="135" t="str">
        <f>L91+Y91+AL91+AY91+BL91+BY91+CL91+CY91+DL91+DY91+EL91+EY91+FL91+FY91+GL91+GY91+HL91+HY91+IL91+IY91</f>
        <v>0</v>
      </c>
      <c r="JN91" s="135" t="str">
        <f>M91+Z91+AM91+AZ91+BM91+BZ91+CM91+CZ91+DM91+DZ91+EM91+EZ91+FM91+FZ91+GM91+GZ91+HM91+HZ91+IM91+IZ91</f>
        <v>0</v>
      </c>
      <c r="JO91" s="132" t="str">
        <f>SUM(JC91:JN91)</f>
        <v>0</v>
      </c>
      <c r="JQ91" s="139" t="str">
        <f>N91+AA91+AN91+BA91+BN91+CA91+CN91+DA91+DN91+EA91+EN91+FA91+FN91+GA91+GN91+HA91+HN91+IA91+IN91+JA91</f>
        <v>0</v>
      </c>
    </row>
    <row r="92" spans="1:278">
      <c r="A92" s="130"/>
      <c r="B92" s="131"/>
      <c r="C92" s="131"/>
      <c r="D92" s="131"/>
      <c r="E92" s="131"/>
      <c r="F92" s="131"/>
      <c r="G92" s="131"/>
      <c r="H92" s="131"/>
      <c r="I92" s="131"/>
      <c r="J92" s="131"/>
      <c r="K92" s="131"/>
      <c r="L92" s="131"/>
      <c r="M92" s="131"/>
      <c r="N92" s="132" t="str">
        <f>SUM(B92:M92)</f>
        <v>0</v>
      </c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  <c r="AA92" s="132" t="str">
        <f>SUM(O92:Z92)</f>
        <v>0</v>
      </c>
      <c r="AB92" s="131"/>
      <c r="AC92" s="131"/>
      <c r="AD92" s="131"/>
      <c r="AE92" s="131"/>
      <c r="AF92" s="131"/>
      <c r="AG92" s="131"/>
      <c r="AH92" s="131"/>
      <c r="AI92" s="131"/>
      <c r="AJ92" s="131"/>
      <c r="AK92" s="131"/>
      <c r="AL92" s="131"/>
      <c r="AM92" s="131"/>
      <c r="AN92" s="132" t="str">
        <f>SUM(AB92:AM92)</f>
        <v>0</v>
      </c>
      <c r="AO92" s="133"/>
      <c r="AP92" s="133"/>
      <c r="AQ92" s="133"/>
      <c r="AR92" s="133"/>
      <c r="AS92" s="133"/>
      <c r="AT92" s="133"/>
      <c r="AU92" s="133"/>
      <c r="AV92" s="133"/>
      <c r="AW92" s="133"/>
      <c r="AX92" s="133"/>
      <c r="AY92" s="133"/>
      <c r="AZ92" s="133"/>
      <c r="BA92" s="132" t="str">
        <f>SUM(AO92:AZ92)</f>
        <v>0</v>
      </c>
      <c r="BB92" s="134"/>
      <c r="BC92" s="134"/>
      <c r="BD92" s="134"/>
      <c r="BE92" s="134"/>
      <c r="BF92" s="134"/>
      <c r="BG92" s="134"/>
      <c r="BH92" s="134"/>
      <c r="BI92" s="134"/>
      <c r="BJ92" s="134"/>
      <c r="BK92" s="134"/>
      <c r="BL92" s="134"/>
      <c r="BM92" s="134"/>
      <c r="BN92" s="132" t="str">
        <f>SUM(BB92:BM92)</f>
        <v>0</v>
      </c>
      <c r="BO92" s="135"/>
      <c r="BP92" s="135"/>
      <c r="BQ92" s="135"/>
      <c r="BR92" s="135"/>
      <c r="BS92" s="135"/>
      <c r="BT92" s="135"/>
      <c r="BU92" s="135"/>
      <c r="BV92" s="135"/>
      <c r="BW92" s="135"/>
      <c r="BX92" s="135"/>
      <c r="BY92" s="135"/>
      <c r="BZ92" s="135"/>
      <c r="CA92" s="132" t="str">
        <f>SUM(BO92:BZ92)</f>
        <v>0</v>
      </c>
      <c r="CB92" s="136"/>
      <c r="CC92" s="136"/>
      <c r="CD92" s="136"/>
      <c r="CE92" s="136"/>
      <c r="CF92" s="136"/>
      <c r="CG92" s="136"/>
      <c r="CH92" s="136"/>
      <c r="CI92" s="136"/>
      <c r="CJ92" s="136"/>
      <c r="CK92" s="136"/>
      <c r="CL92" s="136"/>
      <c r="CM92" s="136"/>
      <c r="CN92" s="132" t="str">
        <f>SUM(CB92:CM92)</f>
        <v>0</v>
      </c>
      <c r="CO92" s="137"/>
      <c r="CP92" s="137"/>
      <c r="CQ92" s="137"/>
      <c r="CR92" s="137"/>
      <c r="CS92" s="137"/>
      <c r="CT92" s="137"/>
      <c r="CU92" s="137"/>
      <c r="CV92" s="137"/>
      <c r="CW92" s="137"/>
      <c r="CX92" s="137"/>
      <c r="CY92" s="137"/>
      <c r="CZ92" s="137"/>
      <c r="DA92" s="132" t="str">
        <f>SUM(CO92:CZ92)</f>
        <v>0</v>
      </c>
      <c r="DB92" s="136"/>
      <c r="DC92" s="136"/>
      <c r="DD92" s="136"/>
      <c r="DE92" s="136"/>
      <c r="DF92" s="136"/>
      <c r="DG92" s="136"/>
      <c r="DH92" s="136"/>
      <c r="DI92" s="136"/>
      <c r="DJ92" s="136"/>
      <c r="DK92" s="136"/>
      <c r="DL92" s="136"/>
      <c r="DM92" s="136"/>
      <c r="DN92" s="132" t="str">
        <f>SUM(DB92:DM92)</f>
        <v>0</v>
      </c>
      <c r="DO92" s="137"/>
      <c r="DP92" s="137"/>
      <c r="DQ92" s="137"/>
      <c r="DR92" s="137"/>
      <c r="DS92" s="137"/>
      <c r="DT92" s="137"/>
      <c r="DU92" s="137"/>
      <c r="DV92" s="137"/>
      <c r="DW92" s="137"/>
      <c r="DX92" s="137"/>
      <c r="DY92" s="137"/>
      <c r="DZ92" s="137"/>
      <c r="EA92" s="132" t="str">
        <f>SUM(DO92:DZ92)</f>
        <v>0</v>
      </c>
      <c r="EB92" s="216"/>
      <c r="EC92" s="216"/>
      <c r="ED92" s="216"/>
      <c r="EE92" s="216"/>
      <c r="EF92" s="216"/>
      <c r="EG92" s="216"/>
      <c r="EH92" s="216"/>
      <c r="EI92" s="216"/>
      <c r="EJ92" s="216"/>
      <c r="EK92" s="216"/>
      <c r="EL92" s="216"/>
      <c r="EM92" s="216"/>
      <c r="EN92" s="132" t="str">
        <f>SUM(EB92:EM92)</f>
        <v>0</v>
      </c>
      <c r="EO92" s="132"/>
      <c r="EP92" s="132"/>
      <c r="EQ92" s="132"/>
      <c r="ER92" s="132"/>
      <c r="ES92" s="132"/>
      <c r="ET92" s="132"/>
      <c r="EU92" s="132"/>
      <c r="EV92" s="132"/>
      <c r="EW92" s="132"/>
      <c r="EX92" s="132"/>
      <c r="EY92" s="132"/>
      <c r="EZ92" s="132"/>
      <c r="FA92" s="132" t="str">
        <f>SUM(EO92:EZ92)</f>
        <v>0</v>
      </c>
      <c r="FB92" s="181"/>
      <c r="FC92" s="181"/>
      <c r="FD92" s="181"/>
      <c r="FE92" s="181"/>
      <c r="FF92" s="181"/>
      <c r="FG92" s="181"/>
      <c r="FH92" s="181"/>
      <c r="FI92" s="181"/>
      <c r="FJ92" s="181"/>
      <c r="FK92" s="181"/>
      <c r="FL92" s="181"/>
      <c r="FM92" s="181"/>
      <c r="FN92" s="132" t="str">
        <f>SUM(FB92:FM92)</f>
        <v>0</v>
      </c>
      <c r="FO92" s="132"/>
      <c r="FP92" s="132"/>
      <c r="FQ92" s="132"/>
      <c r="FR92" s="132"/>
      <c r="FS92" s="132"/>
      <c r="FT92" s="132"/>
      <c r="FU92" s="132"/>
      <c r="FV92" s="132"/>
      <c r="FW92" s="132"/>
      <c r="FX92" s="132"/>
      <c r="FY92" s="132"/>
      <c r="FZ92" s="132"/>
      <c r="GA92" s="132" t="str">
        <f>SUM(FO92:FZ92)</f>
        <v>0</v>
      </c>
      <c r="GB92" s="181"/>
      <c r="GC92" s="181"/>
      <c r="GD92" s="181"/>
      <c r="GE92" s="181"/>
      <c r="GF92" s="181"/>
      <c r="GG92" s="181"/>
      <c r="GH92" s="181"/>
      <c r="GI92" s="181"/>
      <c r="GJ92" s="181"/>
      <c r="GK92" s="181"/>
      <c r="GL92" s="181"/>
      <c r="GM92" s="181"/>
      <c r="GN92" s="181" t="str">
        <f>SUM(GB92:GM92)</f>
        <v>0</v>
      </c>
      <c r="GO92" s="137"/>
      <c r="GP92" s="137"/>
      <c r="GQ92" s="137"/>
      <c r="GR92" s="137"/>
      <c r="GS92" s="137"/>
      <c r="GT92" s="137"/>
      <c r="GU92" s="137"/>
      <c r="GV92" s="137"/>
      <c r="GW92" s="137"/>
      <c r="GX92" s="137"/>
      <c r="GY92" s="137"/>
      <c r="GZ92" s="137"/>
      <c r="HA92" s="132" t="str">
        <f>SUM(GO92:GZ92)</f>
        <v>0</v>
      </c>
      <c r="HB92" s="181"/>
      <c r="HC92" s="181"/>
      <c r="HD92" s="181"/>
      <c r="HE92" s="181"/>
      <c r="HF92" s="181"/>
      <c r="HG92" s="181"/>
      <c r="HH92" s="181"/>
      <c r="HI92" s="181"/>
      <c r="HJ92" s="181"/>
      <c r="HK92" s="181"/>
      <c r="HL92" s="181"/>
      <c r="HM92" s="181"/>
      <c r="HN92" s="181" t="str">
        <f>SUM(HB92:HM92)</f>
        <v>0</v>
      </c>
      <c r="HO92" s="132"/>
      <c r="HP92" s="132"/>
      <c r="HQ92" s="132"/>
      <c r="HR92" s="132"/>
      <c r="HS92" s="132"/>
      <c r="HT92" s="132"/>
      <c r="HU92" s="132"/>
      <c r="HV92" s="132"/>
      <c r="HW92" s="132"/>
      <c r="HX92" s="132"/>
      <c r="HY92" s="132"/>
      <c r="HZ92" s="132"/>
      <c r="IA92" s="132" t="str">
        <f>SUM(HO92:HZ92)</f>
        <v>0</v>
      </c>
      <c r="IB92" s="181"/>
      <c r="IC92" s="181"/>
      <c r="ID92" s="181"/>
      <c r="IE92" s="181"/>
      <c r="IF92" s="181"/>
      <c r="IG92" s="181"/>
      <c r="IH92" s="181"/>
      <c r="II92" s="181"/>
      <c r="IJ92" s="181"/>
      <c r="IK92" s="181"/>
      <c r="IL92" s="181"/>
      <c r="IM92" s="181"/>
      <c r="IN92" s="181" t="str">
        <f>SUM(IB92:IM92)</f>
        <v>0</v>
      </c>
      <c r="IO92" s="181"/>
      <c r="IP92" s="181"/>
      <c r="IQ92" s="181"/>
      <c r="IR92" s="181"/>
      <c r="IS92" s="181"/>
      <c r="IT92" s="181"/>
      <c r="IU92" s="181"/>
      <c r="IV92" s="181"/>
      <c r="IW92" s="181"/>
      <c r="IX92" s="181"/>
      <c r="IY92" s="181"/>
      <c r="IZ92" s="181"/>
      <c r="JA92" s="181" t="str">
        <f>SUM(IO92:IZ92)</f>
        <v>0</v>
      </c>
      <c r="JC92" s="135" t="str">
        <f>B92+O92+AB92+AO92+BB92+BO92+CB92+CO92+DB92+DO92+EB92+EO92+FB92+FO92+GB92+GO92+HB92+HO92+IB92+IO92</f>
        <v>0</v>
      </c>
      <c r="JD92" s="135" t="str">
        <f>C92+P92+AC92+AP92+BC92+BP92+CC92+CP92+DC92+DP92+EC92+EP92+FC92+FP92+GC92+GP92+HC92+HP92+IC92+IP92</f>
        <v>0</v>
      </c>
      <c r="JE92" s="135" t="str">
        <f>D92+Q92+AD92+AQ92+BD92+BQ92+CD92+CQ92+DD92+DQ92+ED92+EQ92+FD92+FQ92+GD92+GQ92+HD92+HQ92+ID92+IQ92</f>
        <v>0</v>
      </c>
      <c r="JF92" s="135" t="str">
        <f>E92+R92+AE92+AR92+BE92+BR92+CE92+CR92+DE92+DR92+EE92+ER92+FE92+FR92+GE92+GR92+HE92+HR92+IE92+IR92</f>
        <v>0</v>
      </c>
      <c r="JG92" s="135" t="str">
        <f>F92+S92+AF92+AS92+BF92+BS92+CF92+CS92+DF92+DS92+EF92+ES92+FF92+FS92+GF92+GS92+HF92+HS92+IF92+IS92</f>
        <v>0</v>
      </c>
      <c r="JH92" s="135" t="str">
        <f>G92+T92+AG92+AT92+BG92+BT92+CG92+CT92+DG92+DT92+EG92+ET92+FG92+FT92+GG92+GT92+HG92+HT92+IG92+IT92</f>
        <v>0</v>
      </c>
      <c r="JI92" s="135" t="str">
        <f>H92+U92+AH92+AU92+BH92+BU92+CH92+CU92+DH92+DU92+EH92+EU92+FH92+FU92+GH92+GU92+HH92+HU92+IH92+IU92</f>
        <v>0</v>
      </c>
      <c r="JJ92" s="135" t="str">
        <f>I92+V92+AI92+AV92+BI92+BV92+CI92+CV92+DI92+DV92+EI92+EV92+FI92+FV92+GI92+GV92+HI92+HV92+II92+IV92</f>
        <v>0</v>
      </c>
      <c r="JK92" s="135" t="str">
        <f>J92+W92+AJ92+AW92+BJ92+BW92+CJ92+CW92+DJ92+DW92+EJ92+EW92+FJ92+FW92+GJ92+GW92+HJ92+HW92+IJ92+IW92</f>
        <v>0</v>
      </c>
      <c r="JL92" s="135" t="str">
        <f>K92+X92+AK92+AX92+BK92+BX92+CK92+CX92+DK92+DX92+EK92+EX92+FK92+FX92+GK92+GX92+HK92+HX92+IK92+IX92</f>
        <v>0</v>
      </c>
      <c r="JM92" s="135" t="str">
        <f>L92+Y92+AL92+AY92+BL92+BY92+CL92+CY92+DL92+DY92+EL92+EY92+FL92+FY92+GL92+GY92+HL92+HY92+IL92+IY92</f>
        <v>0</v>
      </c>
      <c r="JN92" s="135" t="str">
        <f>M92+Z92+AM92+AZ92+BM92+BZ92+CM92+CZ92+DM92+DZ92+EM92+EZ92+FM92+FZ92+GM92+GZ92+HM92+HZ92+IM92+IZ92</f>
        <v>0</v>
      </c>
      <c r="JO92" s="132" t="str">
        <f>SUM(JC92:JN92)</f>
        <v>0</v>
      </c>
      <c r="JQ92" s="139" t="str">
        <f>N92+AA92+AN92+BA92+BN92+CA92+CN92+DA92+DN92+EA92+EN92+FA92+FN92+GA92+GN92+HA92+HN92+IA92+IN92+JA92</f>
        <v>0</v>
      </c>
    </row>
    <row r="93" spans="1:278">
      <c r="A93" s="130"/>
      <c r="B93" s="131"/>
      <c r="C93" s="131"/>
      <c r="D93" s="131"/>
      <c r="E93" s="131"/>
      <c r="F93" s="131"/>
      <c r="G93" s="131"/>
      <c r="H93" s="131"/>
      <c r="I93" s="131"/>
      <c r="J93" s="131"/>
      <c r="K93" s="131"/>
      <c r="L93" s="131"/>
      <c r="M93" s="131"/>
      <c r="N93" s="132" t="str">
        <f>SUM(B93:M93)</f>
        <v>0</v>
      </c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  <c r="AA93" s="132" t="str">
        <f>SUM(O93:Z93)</f>
        <v>0</v>
      </c>
      <c r="AB93" s="131"/>
      <c r="AC93" s="131"/>
      <c r="AD93" s="131"/>
      <c r="AE93" s="131"/>
      <c r="AF93" s="131"/>
      <c r="AG93" s="131"/>
      <c r="AH93" s="131"/>
      <c r="AI93" s="131"/>
      <c r="AJ93" s="131"/>
      <c r="AK93" s="131"/>
      <c r="AL93" s="131"/>
      <c r="AM93" s="131"/>
      <c r="AN93" s="132" t="str">
        <f>SUM(AB93:AM93)</f>
        <v>0</v>
      </c>
      <c r="AO93" s="133"/>
      <c r="AP93" s="133"/>
      <c r="AQ93" s="133"/>
      <c r="AR93" s="133"/>
      <c r="AS93" s="133"/>
      <c r="AT93" s="133"/>
      <c r="AU93" s="133"/>
      <c r="AV93" s="133"/>
      <c r="AW93" s="133"/>
      <c r="AX93" s="133"/>
      <c r="AY93" s="133"/>
      <c r="AZ93" s="133"/>
      <c r="BA93" s="132" t="str">
        <f>SUM(AO93:AZ93)</f>
        <v>0</v>
      </c>
      <c r="BB93" s="134"/>
      <c r="BC93" s="134"/>
      <c r="BD93" s="134"/>
      <c r="BE93" s="134"/>
      <c r="BF93" s="134"/>
      <c r="BG93" s="134"/>
      <c r="BH93" s="134"/>
      <c r="BI93" s="134"/>
      <c r="BJ93" s="134"/>
      <c r="BK93" s="134"/>
      <c r="BL93" s="134"/>
      <c r="BM93" s="134"/>
      <c r="BN93" s="132" t="str">
        <f>SUM(BB93:BM93)</f>
        <v>0</v>
      </c>
      <c r="BO93" s="135"/>
      <c r="BP93" s="135"/>
      <c r="BQ93" s="135"/>
      <c r="BR93" s="135"/>
      <c r="BS93" s="135"/>
      <c r="BT93" s="135"/>
      <c r="BU93" s="135"/>
      <c r="BV93" s="135"/>
      <c r="BW93" s="135"/>
      <c r="BX93" s="135"/>
      <c r="BY93" s="135"/>
      <c r="BZ93" s="135"/>
      <c r="CA93" s="132" t="str">
        <f>SUM(BO93:BZ93)</f>
        <v>0</v>
      </c>
      <c r="CB93" s="136"/>
      <c r="CC93" s="136"/>
      <c r="CD93" s="136"/>
      <c r="CE93" s="136"/>
      <c r="CF93" s="136"/>
      <c r="CG93" s="136"/>
      <c r="CH93" s="136"/>
      <c r="CI93" s="136"/>
      <c r="CJ93" s="136"/>
      <c r="CK93" s="136"/>
      <c r="CL93" s="136"/>
      <c r="CM93" s="136"/>
      <c r="CN93" s="132" t="str">
        <f>SUM(CB93:CM93)</f>
        <v>0</v>
      </c>
      <c r="CO93" s="137"/>
      <c r="CP93" s="137"/>
      <c r="CQ93" s="137"/>
      <c r="CR93" s="137"/>
      <c r="CS93" s="137"/>
      <c r="CT93" s="137"/>
      <c r="CU93" s="137"/>
      <c r="CV93" s="137"/>
      <c r="CW93" s="137"/>
      <c r="CX93" s="137"/>
      <c r="CY93" s="137"/>
      <c r="CZ93" s="137"/>
      <c r="DA93" s="132" t="str">
        <f>SUM(CO93:CZ93)</f>
        <v>0</v>
      </c>
      <c r="DB93" s="136"/>
      <c r="DC93" s="136"/>
      <c r="DD93" s="136"/>
      <c r="DE93" s="136"/>
      <c r="DF93" s="136"/>
      <c r="DG93" s="136"/>
      <c r="DH93" s="136"/>
      <c r="DI93" s="136"/>
      <c r="DJ93" s="136"/>
      <c r="DK93" s="136"/>
      <c r="DL93" s="136"/>
      <c r="DM93" s="136"/>
      <c r="DN93" s="132" t="str">
        <f>SUM(DB93:DM93)</f>
        <v>0</v>
      </c>
      <c r="DO93" s="137"/>
      <c r="DP93" s="137"/>
      <c r="DQ93" s="137"/>
      <c r="DR93" s="137"/>
      <c r="DS93" s="137"/>
      <c r="DT93" s="137"/>
      <c r="DU93" s="137"/>
      <c r="DV93" s="137"/>
      <c r="DW93" s="137"/>
      <c r="DX93" s="137"/>
      <c r="DY93" s="137"/>
      <c r="DZ93" s="137"/>
      <c r="EA93" s="132" t="str">
        <f>SUM(DO93:DZ93)</f>
        <v>0</v>
      </c>
      <c r="EB93" s="216"/>
      <c r="EC93" s="216"/>
      <c r="ED93" s="216"/>
      <c r="EE93" s="216"/>
      <c r="EF93" s="216"/>
      <c r="EG93" s="216"/>
      <c r="EH93" s="216"/>
      <c r="EI93" s="216"/>
      <c r="EJ93" s="216"/>
      <c r="EK93" s="216"/>
      <c r="EL93" s="216"/>
      <c r="EM93" s="216"/>
      <c r="EN93" s="132" t="str">
        <f>SUM(EB93:EM93)</f>
        <v>0</v>
      </c>
      <c r="EO93" s="132"/>
      <c r="EP93" s="132"/>
      <c r="EQ93" s="132"/>
      <c r="ER93" s="132"/>
      <c r="ES93" s="132"/>
      <c r="ET93" s="132"/>
      <c r="EU93" s="132"/>
      <c r="EV93" s="132"/>
      <c r="EW93" s="132"/>
      <c r="EX93" s="132"/>
      <c r="EY93" s="132"/>
      <c r="EZ93" s="132"/>
      <c r="FA93" s="132" t="str">
        <f>SUM(EO93:EZ93)</f>
        <v>0</v>
      </c>
      <c r="FB93" s="181"/>
      <c r="FC93" s="181"/>
      <c r="FD93" s="181"/>
      <c r="FE93" s="181"/>
      <c r="FF93" s="181"/>
      <c r="FG93" s="181"/>
      <c r="FH93" s="181"/>
      <c r="FI93" s="181"/>
      <c r="FJ93" s="181"/>
      <c r="FK93" s="181"/>
      <c r="FL93" s="181"/>
      <c r="FM93" s="181"/>
      <c r="FN93" s="132" t="str">
        <f>SUM(FB93:FM93)</f>
        <v>0</v>
      </c>
      <c r="FO93" s="132"/>
      <c r="FP93" s="132"/>
      <c r="FQ93" s="132"/>
      <c r="FR93" s="132"/>
      <c r="FS93" s="132"/>
      <c r="FT93" s="132"/>
      <c r="FU93" s="132"/>
      <c r="FV93" s="132"/>
      <c r="FW93" s="132"/>
      <c r="FX93" s="132"/>
      <c r="FY93" s="132"/>
      <c r="FZ93" s="132"/>
      <c r="GA93" s="132" t="str">
        <f>SUM(FO93:FZ93)</f>
        <v>0</v>
      </c>
      <c r="GB93" s="181"/>
      <c r="GC93" s="181"/>
      <c r="GD93" s="181"/>
      <c r="GE93" s="181"/>
      <c r="GF93" s="181"/>
      <c r="GG93" s="181"/>
      <c r="GH93" s="181"/>
      <c r="GI93" s="181"/>
      <c r="GJ93" s="181"/>
      <c r="GK93" s="181"/>
      <c r="GL93" s="181"/>
      <c r="GM93" s="181"/>
      <c r="GN93" s="181" t="str">
        <f>SUM(GB93:GM93)</f>
        <v>0</v>
      </c>
      <c r="GO93" s="137"/>
      <c r="GP93" s="137"/>
      <c r="GQ93" s="137"/>
      <c r="GR93" s="137"/>
      <c r="GS93" s="137"/>
      <c r="GT93" s="137"/>
      <c r="GU93" s="137"/>
      <c r="GV93" s="137"/>
      <c r="GW93" s="137"/>
      <c r="GX93" s="137"/>
      <c r="GY93" s="137"/>
      <c r="GZ93" s="137"/>
      <c r="HA93" s="132" t="str">
        <f>SUM(GO93:GZ93)</f>
        <v>0</v>
      </c>
      <c r="HB93" s="181"/>
      <c r="HC93" s="181"/>
      <c r="HD93" s="181"/>
      <c r="HE93" s="181"/>
      <c r="HF93" s="181"/>
      <c r="HG93" s="181"/>
      <c r="HH93" s="181"/>
      <c r="HI93" s="181"/>
      <c r="HJ93" s="181"/>
      <c r="HK93" s="181"/>
      <c r="HL93" s="181"/>
      <c r="HM93" s="181"/>
      <c r="HN93" s="181" t="str">
        <f>SUM(HB93:HM93)</f>
        <v>0</v>
      </c>
      <c r="HO93" s="132"/>
      <c r="HP93" s="132"/>
      <c r="HQ93" s="132"/>
      <c r="HR93" s="132"/>
      <c r="HS93" s="132"/>
      <c r="HT93" s="132"/>
      <c r="HU93" s="132"/>
      <c r="HV93" s="132"/>
      <c r="HW93" s="132"/>
      <c r="HX93" s="132"/>
      <c r="HY93" s="132"/>
      <c r="HZ93" s="132"/>
      <c r="IA93" s="132" t="str">
        <f>SUM(HO93:HZ93)</f>
        <v>0</v>
      </c>
      <c r="IB93" s="181"/>
      <c r="IC93" s="181"/>
      <c r="ID93" s="181"/>
      <c r="IE93" s="181"/>
      <c r="IF93" s="181"/>
      <c r="IG93" s="181"/>
      <c r="IH93" s="181"/>
      <c r="II93" s="181"/>
      <c r="IJ93" s="181"/>
      <c r="IK93" s="181"/>
      <c r="IL93" s="181"/>
      <c r="IM93" s="181"/>
      <c r="IN93" s="181" t="str">
        <f>SUM(IB93:IM93)</f>
        <v>0</v>
      </c>
      <c r="IO93" s="181"/>
      <c r="IP93" s="181"/>
      <c r="IQ93" s="181"/>
      <c r="IR93" s="181"/>
      <c r="IS93" s="181"/>
      <c r="IT93" s="181"/>
      <c r="IU93" s="181"/>
      <c r="IV93" s="181"/>
      <c r="IW93" s="181"/>
      <c r="IX93" s="181"/>
      <c r="IY93" s="181"/>
      <c r="IZ93" s="181"/>
      <c r="JA93" s="181" t="str">
        <f>SUM(IO93:IZ93)</f>
        <v>0</v>
      </c>
      <c r="JC93" s="135" t="str">
        <f>B93+O93+AB93+AO93+BB93+BO93+CB93+CO93+DB93+DO93+EB93+EO93+FB93+FO93+GB93+GO93+HB93+HO93+IB93+IO93</f>
        <v>0</v>
      </c>
      <c r="JD93" s="135" t="str">
        <f>C93+P93+AC93+AP93+BC93+BP93+CC93+CP93+DC93+DP93+EC93+EP93+FC93+FP93+GC93+GP93+HC93+HP93+IC93+IP93</f>
        <v>0</v>
      </c>
      <c r="JE93" s="135" t="str">
        <f>D93+Q93+AD93+AQ93+BD93+BQ93+CD93+CQ93+DD93+DQ93+ED93+EQ93+FD93+FQ93+GD93+GQ93+HD93+HQ93+ID93+IQ93</f>
        <v>0</v>
      </c>
      <c r="JF93" s="135" t="str">
        <f>E93+R93+AE93+AR93+BE93+BR93+CE93+CR93+DE93+DR93+EE93+ER93+FE93+FR93+GE93+GR93+HE93+HR93+IE93+IR93</f>
        <v>0</v>
      </c>
      <c r="JG93" s="135" t="str">
        <f>F93+S93+AF93+AS93+BF93+BS93+CF93+CS93+DF93+DS93+EF93+ES93+FF93+FS93+GF93+GS93+HF93+HS93+IF93+IS93</f>
        <v>0</v>
      </c>
      <c r="JH93" s="135" t="str">
        <f>G93+T93+AG93+AT93+BG93+BT93+CG93+CT93+DG93+DT93+EG93+ET93+FG93+FT93+GG93+GT93+HG93+HT93+IG93+IT93</f>
        <v>0</v>
      </c>
      <c r="JI93" s="135" t="str">
        <f>H93+U93+AH93+AU93+BH93+BU93+CH93+CU93+DH93+DU93+EH93+EU93+FH93+FU93+GH93+GU93+HH93+HU93+IH93+IU93</f>
        <v>0</v>
      </c>
      <c r="JJ93" s="135" t="str">
        <f>I93+V93+AI93+AV93+BI93+BV93+CI93+CV93+DI93+DV93+EI93+EV93+FI93+FV93+GI93+GV93+HI93+HV93+II93+IV93</f>
        <v>0</v>
      </c>
      <c r="JK93" s="135" t="str">
        <f>J93+W93+AJ93+AW93+BJ93+BW93+CJ93+CW93+DJ93+DW93+EJ93+EW93+FJ93+FW93+GJ93+GW93+HJ93+HW93+IJ93+IW93</f>
        <v>0</v>
      </c>
      <c r="JL93" s="135" t="str">
        <f>K93+X93+AK93+AX93+BK93+BX93+CK93+CX93+DK93+DX93+EK93+EX93+FK93+FX93+GK93+GX93+HK93+HX93+IK93+IX93</f>
        <v>0</v>
      </c>
      <c r="JM93" s="135" t="str">
        <f>L93+Y93+AL93+AY93+BL93+BY93+CL93+CY93+DL93+DY93+EL93+EY93+FL93+FY93+GL93+GY93+HL93+HY93+IL93+IY93</f>
        <v>0</v>
      </c>
      <c r="JN93" s="135" t="str">
        <f>M93+Z93+AM93+AZ93+BM93+BZ93+CM93+CZ93+DM93+DZ93+EM93+EZ93+FM93+FZ93+GM93+GZ93+HM93+HZ93+IM93+IZ93</f>
        <v>0</v>
      </c>
      <c r="JO93" s="132" t="str">
        <f>SUM(JC93:JN93)</f>
        <v>0</v>
      </c>
      <c r="JQ93" s="139" t="str">
        <f>N93+AA93+AN93+BA93+BN93+CA93+CN93+DA93+DN93+EA93+EN93+FA93+FN93+GA93+GN93+HA93+HN93+IA93+IN93+JA93</f>
        <v>0</v>
      </c>
    </row>
    <row r="94" spans="1:278">
      <c r="A94" s="130"/>
      <c r="B94" s="131"/>
      <c r="C94" s="131"/>
      <c r="D94" s="131"/>
      <c r="E94" s="131"/>
      <c r="F94" s="131"/>
      <c r="G94" s="131"/>
      <c r="H94" s="131"/>
      <c r="I94" s="131"/>
      <c r="J94" s="131"/>
      <c r="K94" s="131"/>
      <c r="L94" s="131"/>
      <c r="M94" s="131"/>
      <c r="N94" s="132" t="str">
        <f>SUM(B94:M94)</f>
        <v>0</v>
      </c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  <c r="AA94" s="132" t="str">
        <f>SUM(O94:Z94)</f>
        <v>0</v>
      </c>
      <c r="AB94" s="131"/>
      <c r="AC94" s="131"/>
      <c r="AD94" s="131"/>
      <c r="AE94" s="131"/>
      <c r="AF94" s="131"/>
      <c r="AG94" s="131"/>
      <c r="AH94" s="131"/>
      <c r="AI94" s="131"/>
      <c r="AJ94" s="131"/>
      <c r="AK94" s="131"/>
      <c r="AL94" s="131"/>
      <c r="AM94" s="131"/>
      <c r="AN94" s="132" t="str">
        <f>SUM(AB94:AM94)</f>
        <v>0</v>
      </c>
      <c r="AO94" s="133"/>
      <c r="AP94" s="133"/>
      <c r="AQ94" s="133"/>
      <c r="AR94" s="133"/>
      <c r="AS94" s="133"/>
      <c r="AT94" s="133"/>
      <c r="AU94" s="133"/>
      <c r="AV94" s="133"/>
      <c r="AW94" s="133"/>
      <c r="AX94" s="133"/>
      <c r="AY94" s="133"/>
      <c r="AZ94" s="133"/>
      <c r="BA94" s="132" t="str">
        <f>SUM(AO94:AZ94)</f>
        <v>0</v>
      </c>
      <c r="BB94" s="134"/>
      <c r="BC94" s="134"/>
      <c r="BD94" s="134"/>
      <c r="BE94" s="134"/>
      <c r="BF94" s="134"/>
      <c r="BG94" s="134"/>
      <c r="BH94" s="134"/>
      <c r="BI94" s="134"/>
      <c r="BJ94" s="134"/>
      <c r="BK94" s="134"/>
      <c r="BL94" s="134"/>
      <c r="BM94" s="134"/>
      <c r="BN94" s="132" t="str">
        <f>SUM(BB94:BM94)</f>
        <v>0</v>
      </c>
      <c r="BO94" s="135"/>
      <c r="BP94" s="135"/>
      <c r="BQ94" s="135"/>
      <c r="BR94" s="135"/>
      <c r="BS94" s="135"/>
      <c r="BT94" s="135"/>
      <c r="BU94" s="135"/>
      <c r="BV94" s="135"/>
      <c r="BW94" s="135"/>
      <c r="BX94" s="135"/>
      <c r="BY94" s="135"/>
      <c r="BZ94" s="135"/>
      <c r="CA94" s="132" t="str">
        <f>SUM(BO94:BZ94)</f>
        <v>0</v>
      </c>
      <c r="CB94" s="136"/>
      <c r="CC94" s="136"/>
      <c r="CD94" s="136"/>
      <c r="CE94" s="136"/>
      <c r="CF94" s="136"/>
      <c r="CG94" s="136"/>
      <c r="CH94" s="136"/>
      <c r="CI94" s="136"/>
      <c r="CJ94" s="136"/>
      <c r="CK94" s="136"/>
      <c r="CL94" s="136"/>
      <c r="CM94" s="136"/>
      <c r="CN94" s="132" t="str">
        <f>SUM(CB94:CM94)</f>
        <v>0</v>
      </c>
      <c r="CO94" s="137"/>
      <c r="CP94" s="137"/>
      <c r="CQ94" s="137"/>
      <c r="CR94" s="137"/>
      <c r="CS94" s="137"/>
      <c r="CT94" s="137"/>
      <c r="CU94" s="137"/>
      <c r="CV94" s="137"/>
      <c r="CW94" s="137"/>
      <c r="CX94" s="137"/>
      <c r="CY94" s="137"/>
      <c r="CZ94" s="137"/>
      <c r="DA94" s="132" t="str">
        <f>SUM(CO94:CZ94)</f>
        <v>0</v>
      </c>
      <c r="DB94" s="136"/>
      <c r="DC94" s="136"/>
      <c r="DD94" s="136"/>
      <c r="DE94" s="136"/>
      <c r="DF94" s="136"/>
      <c r="DG94" s="136"/>
      <c r="DH94" s="136"/>
      <c r="DI94" s="136"/>
      <c r="DJ94" s="136"/>
      <c r="DK94" s="136"/>
      <c r="DL94" s="136"/>
      <c r="DM94" s="136"/>
      <c r="DN94" s="132" t="str">
        <f>SUM(DB94:DM94)</f>
        <v>0</v>
      </c>
      <c r="DO94" s="137"/>
      <c r="DP94" s="137"/>
      <c r="DQ94" s="137"/>
      <c r="DR94" s="137"/>
      <c r="DS94" s="137"/>
      <c r="DT94" s="137"/>
      <c r="DU94" s="137"/>
      <c r="DV94" s="137"/>
      <c r="DW94" s="137"/>
      <c r="DX94" s="137"/>
      <c r="DY94" s="137"/>
      <c r="DZ94" s="137"/>
      <c r="EA94" s="132" t="str">
        <f>SUM(DO94:DZ94)</f>
        <v>0</v>
      </c>
      <c r="EB94" s="216"/>
      <c r="EC94" s="216"/>
      <c r="ED94" s="216"/>
      <c r="EE94" s="216"/>
      <c r="EF94" s="216"/>
      <c r="EG94" s="216"/>
      <c r="EH94" s="216"/>
      <c r="EI94" s="216"/>
      <c r="EJ94" s="216"/>
      <c r="EK94" s="216"/>
      <c r="EL94" s="216"/>
      <c r="EM94" s="216"/>
      <c r="EN94" s="132" t="str">
        <f>SUM(EB94:EM94)</f>
        <v>0</v>
      </c>
      <c r="EO94" s="132"/>
      <c r="EP94" s="132"/>
      <c r="EQ94" s="132"/>
      <c r="ER94" s="132"/>
      <c r="ES94" s="132"/>
      <c r="ET94" s="132"/>
      <c r="EU94" s="132"/>
      <c r="EV94" s="132"/>
      <c r="EW94" s="132"/>
      <c r="EX94" s="132"/>
      <c r="EY94" s="132"/>
      <c r="EZ94" s="132"/>
      <c r="FA94" s="132" t="str">
        <f>SUM(EO94:EZ94)</f>
        <v>0</v>
      </c>
      <c r="FB94" s="181"/>
      <c r="FC94" s="181"/>
      <c r="FD94" s="181"/>
      <c r="FE94" s="181"/>
      <c r="FF94" s="181"/>
      <c r="FG94" s="181"/>
      <c r="FH94" s="181"/>
      <c r="FI94" s="181"/>
      <c r="FJ94" s="181"/>
      <c r="FK94" s="181"/>
      <c r="FL94" s="181"/>
      <c r="FM94" s="181"/>
      <c r="FN94" s="132" t="str">
        <f>SUM(FB94:FM94)</f>
        <v>0</v>
      </c>
      <c r="FO94" s="132"/>
      <c r="FP94" s="132"/>
      <c r="FQ94" s="132"/>
      <c r="FR94" s="132"/>
      <c r="FS94" s="132"/>
      <c r="FT94" s="132"/>
      <c r="FU94" s="132"/>
      <c r="FV94" s="132"/>
      <c r="FW94" s="132"/>
      <c r="FX94" s="132"/>
      <c r="FY94" s="132"/>
      <c r="FZ94" s="132"/>
      <c r="GA94" s="132" t="str">
        <f>SUM(FO94:FZ94)</f>
        <v>0</v>
      </c>
      <c r="GB94" s="181"/>
      <c r="GC94" s="181"/>
      <c r="GD94" s="181"/>
      <c r="GE94" s="181"/>
      <c r="GF94" s="181"/>
      <c r="GG94" s="181"/>
      <c r="GH94" s="181"/>
      <c r="GI94" s="181"/>
      <c r="GJ94" s="181"/>
      <c r="GK94" s="181"/>
      <c r="GL94" s="181"/>
      <c r="GM94" s="181"/>
      <c r="GN94" s="181" t="str">
        <f>SUM(GB94:GM94)</f>
        <v>0</v>
      </c>
      <c r="GO94" s="137"/>
      <c r="GP94" s="137"/>
      <c r="GQ94" s="137"/>
      <c r="GR94" s="137"/>
      <c r="GS94" s="137"/>
      <c r="GT94" s="137"/>
      <c r="GU94" s="137"/>
      <c r="GV94" s="137"/>
      <c r="GW94" s="137"/>
      <c r="GX94" s="137"/>
      <c r="GY94" s="137"/>
      <c r="GZ94" s="137"/>
      <c r="HA94" s="132" t="str">
        <f>SUM(GO94:GZ94)</f>
        <v>0</v>
      </c>
      <c r="HB94" s="181"/>
      <c r="HC94" s="181"/>
      <c r="HD94" s="181"/>
      <c r="HE94" s="181"/>
      <c r="HF94" s="181"/>
      <c r="HG94" s="181"/>
      <c r="HH94" s="181"/>
      <c r="HI94" s="181"/>
      <c r="HJ94" s="181"/>
      <c r="HK94" s="181"/>
      <c r="HL94" s="181"/>
      <c r="HM94" s="181"/>
      <c r="HN94" s="181" t="str">
        <f>SUM(HB94:HM94)</f>
        <v>0</v>
      </c>
      <c r="HO94" s="132"/>
      <c r="HP94" s="132"/>
      <c r="HQ94" s="132"/>
      <c r="HR94" s="132"/>
      <c r="HS94" s="132"/>
      <c r="HT94" s="132"/>
      <c r="HU94" s="132"/>
      <c r="HV94" s="132"/>
      <c r="HW94" s="132"/>
      <c r="HX94" s="132"/>
      <c r="HY94" s="132"/>
      <c r="HZ94" s="132"/>
      <c r="IA94" s="132" t="str">
        <f>SUM(HO94:HZ94)</f>
        <v>0</v>
      </c>
      <c r="IB94" s="181"/>
      <c r="IC94" s="181"/>
      <c r="ID94" s="181"/>
      <c r="IE94" s="181"/>
      <c r="IF94" s="181"/>
      <c r="IG94" s="181"/>
      <c r="IH94" s="181"/>
      <c r="II94" s="181"/>
      <c r="IJ94" s="181"/>
      <c r="IK94" s="181"/>
      <c r="IL94" s="181"/>
      <c r="IM94" s="181"/>
      <c r="IN94" s="181" t="str">
        <f>SUM(IB94:IM94)</f>
        <v>0</v>
      </c>
      <c r="IO94" s="181"/>
      <c r="IP94" s="181"/>
      <c r="IQ94" s="181"/>
      <c r="IR94" s="181"/>
      <c r="IS94" s="181"/>
      <c r="IT94" s="181"/>
      <c r="IU94" s="181"/>
      <c r="IV94" s="181"/>
      <c r="IW94" s="181"/>
      <c r="IX94" s="181"/>
      <c r="IY94" s="181"/>
      <c r="IZ94" s="181"/>
      <c r="JA94" s="181" t="str">
        <f>SUM(IO94:IZ94)</f>
        <v>0</v>
      </c>
      <c r="JC94" s="135" t="str">
        <f>B94+O94+AB94+AO94+BB94+BO94+CB94+CO94+DB94+DO94+EB94+EO94+FB94+FO94+GB94+GO94+HB94+HO94+IB94+IO94</f>
        <v>0</v>
      </c>
      <c r="JD94" s="135" t="str">
        <f>C94+P94+AC94+AP94+BC94+BP94+CC94+CP94+DC94+DP94+EC94+EP94+FC94+FP94+GC94+GP94+HC94+HP94+IC94+IP94</f>
        <v>0</v>
      </c>
      <c r="JE94" s="135" t="str">
        <f>D94+Q94+AD94+AQ94+BD94+BQ94+CD94+CQ94+DD94+DQ94+ED94+EQ94+FD94+FQ94+GD94+GQ94+HD94+HQ94+ID94+IQ94</f>
        <v>0</v>
      </c>
      <c r="JF94" s="135" t="str">
        <f>E94+R94+AE94+AR94+BE94+BR94+CE94+CR94+DE94+DR94+EE94+ER94+FE94+FR94+GE94+GR94+HE94+HR94+IE94+IR94</f>
        <v>0</v>
      </c>
      <c r="JG94" s="135" t="str">
        <f>F94+S94+AF94+AS94+BF94+BS94+CF94+CS94+DF94+DS94+EF94+ES94+FF94+FS94+GF94+GS94+HF94+HS94+IF94+IS94</f>
        <v>0</v>
      </c>
      <c r="JH94" s="135" t="str">
        <f>G94+T94+AG94+AT94+BG94+BT94+CG94+CT94+DG94+DT94+EG94+ET94+FG94+FT94+GG94+GT94+HG94+HT94+IG94+IT94</f>
        <v>0</v>
      </c>
      <c r="JI94" s="135" t="str">
        <f>H94+U94+AH94+AU94+BH94+BU94+CH94+CU94+DH94+DU94+EH94+EU94+FH94+FU94+GH94+GU94+HH94+HU94+IH94+IU94</f>
        <v>0</v>
      </c>
      <c r="JJ94" s="135" t="str">
        <f>I94+V94+AI94+AV94+BI94+BV94+CI94+CV94+DI94+DV94+EI94+EV94+FI94+FV94+GI94+GV94+HI94+HV94+II94+IV94</f>
        <v>0</v>
      </c>
      <c r="JK94" s="135" t="str">
        <f>J94+W94+AJ94+AW94+BJ94+BW94+CJ94+CW94+DJ94+DW94+EJ94+EW94+FJ94+FW94+GJ94+GW94+HJ94+HW94+IJ94+IW94</f>
        <v>0</v>
      </c>
      <c r="JL94" s="135" t="str">
        <f>K94+X94+AK94+AX94+BK94+BX94+CK94+CX94+DK94+DX94+EK94+EX94+FK94+FX94+GK94+GX94+HK94+HX94+IK94+IX94</f>
        <v>0</v>
      </c>
      <c r="JM94" s="135" t="str">
        <f>L94+Y94+AL94+AY94+BL94+BY94+CL94+CY94+DL94+DY94+EL94+EY94+FL94+FY94+GL94+GY94+HL94+HY94+IL94+IY94</f>
        <v>0</v>
      </c>
      <c r="JN94" s="135" t="str">
        <f>M94+Z94+AM94+AZ94+BM94+BZ94+CM94+CZ94+DM94+DZ94+EM94+EZ94+FM94+FZ94+GM94+GZ94+HM94+HZ94+IM94+IZ94</f>
        <v>0</v>
      </c>
      <c r="JO94" s="132" t="str">
        <f>SUM(JC94:JN94)</f>
        <v>0</v>
      </c>
      <c r="JQ94" s="139" t="str">
        <f>N94+AA94+AN94+BA94+BN94+CA94+CN94+DA94+DN94+EA94+EN94+FA94+FN94+GA94+GN94+HA94+HN94+IA94+IN94+JA94</f>
        <v>0</v>
      </c>
    </row>
    <row r="95" spans="1:278">
      <c r="A95" s="130"/>
      <c r="B95" s="131"/>
      <c r="C95" s="131"/>
      <c r="D95" s="131"/>
      <c r="E95" s="131"/>
      <c r="F95" s="131"/>
      <c r="G95" s="131"/>
      <c r="H95" s="131"/>
      <c r="I95" s="131"/>
      <c r="J95" s="131"/>
      <c r="K95" s="131"/>
      <c r="L95" s="131"/>
      <c r="M95" s="131"/>
      <c r="N95" s="132" t="str">
        <f>SUM(B95:M95)</f>
        <v>0</v>
      </c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33"/>
      <c r="AA95" s="132" t="str">
        <f>SUM(O95:Z95)</f>
        <v>0</v>
      </c>
      <c r="AB95" s="131"/>
      <c r="AC95" s="131"/>
      <c r="AD95" s="131"/>
      <c r="AE95" s="131"/>
      <c r="AF95" s="131"/>
      <c r="AG95" s="131"/>
      <c r="AH95" s="131"/>
      <c r="AI95" s="131"/>
      <c r="AJ95" s="131"/>
      <c r="AK95" s="131"/>
      <c r="AL95" s="131"/>
      <c r="AM95" s="131"/>
      <c r="AN95" s="132" t="str">
        <f>SUM(AB95:AM95)</f>
        <v>0</v>
      </c>
      <c r="AO95" s="133"/>
      <c r="AP95" s="133"/>
      <c r="AQ95" s="133"/>
      <c r="AR95" s="133"/>
      <c r="AS95" s="133"/>
      <c r="AT95" s="133"/>
      <c r="AU95" s="133"/>
      <c r="AV95" s="133"/>
      <c r="AW95" s="133"/>
      <c r="AX95" s="133"/>
      <c r="AY95" s="133"/>
      <c r="AZ95" s="133"/>
      <c r="BA95" s="132" t="str">
        <f>SUM(AO95:AZ95)</f>
        <v>0</v>
      </c>
      <c r="BB95" s="134"/>
      <c r="BC95" s="134"/>
      <c r="BD95" s="134"/>
      <c r="BE95" s="134"/>
      <c r="BF95" s="134"/>
      <c r="BG95" s="134"/>
      <c r="BH95" s="134"/>
      <c r="BI95" s="134"/>
      <c r="BJ95" s="134"/>
      <c r="BK95" s="134"/>
      <c r="BL95" s="134"/>
      <c r="BM95" s="134"/>
      <c r="BN95" s="132" t="str">
        <f>SUM(BB95:BM95)</f>
        <v>0</v>
      </c>
      <c r="BO95" s="135"/>
      <c r="BP95" s="135"/>
      <c r="BQ95" s="135"/>
      <c r="BR95" s="135"/>
      <c r="BS95" s="135"/>
      <c r="BT95" s="135"/>
      <c r="BU95" s="135"/>
      <c r="BV95" s="135"/>
      <c r="BW95" s="135"/>
      <c r="BX95" s="135"/>
      <c r="BY95" s="135"/>
      <c r="BZ95" s="135"/>
      <c r="CA95" s="132" t="str">
        <f>SUM(BO95:BZ95)</f>
        <v>0</v>
      </c>
      <c r="CB95" s="136"/>
      <c r="CC95" s="136"/>
      <c r="CD95" s="136"/>
      <c r="CE95" s="136"/>
      <c r="CF95" s="136"/>
      <c r="CG95" s="136"/>
      <c r="CH95" s="136"/>
      <c r="CI95" s="136"/>
      <c r="CJ95" s="136"/>
      <c r="CK95" s="136"/>
      <c r="CL95" s="136"/>
      <c r="CM95" s="136"/>
      <c r="CN95" s="132" t="str">
        <f>SUM(CB95:CM95)</f>
        <v>0</v>
      </c>
      <c r="CO95" s="137"/>
      <c r="CP95" s="137"/>
      <c r="CQ95" s="137"/>
      <c r="CR95" s="137"/>
      <c r="CS95" s="137"/>
      <c r="CT95" s="137"/>
      <c r="CU95" s="137"/>
      <c r="CV95" s="137"/>
      <c r="CW95" s="137"/>
      <c r="CX95" s="137"/>
      <c r="CY95" s="137"/>
      <c r="CZ95" s="137"/>
      <c r="DA95" s="132" t="str">
        <f>SUM(CO95:CZ95)</f>
        <v>0</v>
      </c>
      <c r="DB95" s="136"/>
      <c r="DC95" s="136"/>
      <c r="DD95" s="136"/>
      <c r="DE95" s="136"/>
      <c r="DF95" s="136"/>
      <c r="DG95" s="136"/>
      <c r="DH95" s="136"/>
      <c r="DI95" s="136"/>
      <c r="DJ95" s="136"/>
      <c r="DK95" s="136"/>
      <c r="DL95" s="136"/>
      <c r="DM95" s="136"/>
      <c r="DN95" s="132" t="str">
        <f>SUM(DB95:DM95)</f>
        <v>0</v>
      </c>
      <c r="DO95" s="137"/>
      <c r="DP95" s="137"/>
      <c r="DQ95" s="137"/>
      <c r="DR95" s="137"/>
      <c r="DS95" s="137"/>
      <c r="DT95" s="137"/>
      <c r="DU95" s="137"/>
      <c r="DV95" s="137"/>
      <c r="DW95" s="137"/>
      <c r="DX95" s="137"/>
      <c r="DY95" s="137"/>
      <c r="DZ95" s="137"/>
      <c r="EA95" s="132" t="str">
        <f>SUM(DO95:DZ95)</f>
        <v>0</v>
      </c>
      <c r="EB95" s="216"/>
      <c r="EC95" s="216"/>
      <c r="ED95" s="216"/>
      <c r="EE95" s="216"/>
      <c r="EF95" s="216"/>
      <c r="EG95" s="216"/>
      <c r="EH95" s="216"/>
      <c r="EI95" s="216"/>
      <c r="EJ95" s="216"/>
      <c r="EK95" s="216"/>
      <c r="EL95" s="216"/>
      <c r="EM95" s="216"/>
      <c r="EN95" s="132" t="str">
        <f>SUM(EB95:EM95)</f>
        <v>0</v>
      </c>
      <c r="EO95" s="132"/>
      <c r="EP95" s="132"/>
      <c r="EQ95" s="132"/>
      <c r="ER95" s="132"/>
      <c r="ES95" s="132"/>
      <c r="ET95" s="132"/>
      <c r="EU95" s="132"/>
      <c r="EV95" s="132"/>
      <c r="EW95" s="132"/>
      <c r="EX95" s="132"/>
      <c r="EY95" s="132"/>
      <c r="EZ95" s="132"/>
      <c r="FA95" s="132" t="str">
        <f>SUM(EO95:EZ95)</f>
        <v>0</v>
      </c>
      <c r="FB95" s="181"/>
      <c r="FC95" s="181"/>
      <c r="FD95" s="181"/>
      <c r="FE95" s="181"/>
      <c r="FF95" s="181"/>
      <c r="FG95" s="181"/>
      <c r="FH95" s="181"/>
      <c r="FI95" s="181"/>
      <c r="FJ95" s="181"/>
      <c r="FK95" s="181"/>
      <c r="FL95" s="181"/>
      <c r="FM95" s="181"/>
      <c r="FN95" s="132" t="str">
        <f>SUM(FB95:FM95)</f>
        <v>0</v>
      </c>
      <c r="FO95" s="132"/>
      <c r="FP95" s="132"/>
      <c r="FQ95" s="132"/>
      <c r="FR95" s="132"/>
      <c r="FS95" s="132"/>
      <c r="FT95" s="132"/>
      <c r="FU95" s="132"/>
      <c r="FV95" s="132"/>
      <c r="FW95" s="132"/>
      <c r="FX95" s="132"/>
      <c r="FY95" s="132"/>
      <c r="FZ95" s="132"/>
      <c r="GA95" s="132" t="str">
        <f>SUM(FO95:FZ95)</f>
        <v>0</v>
      </c>
      <c r="GB95" s="181"/>
      <c r="GC95" s="181"/>
      <c r="GD95" s="181"/>
      <c r="GE95" s="181"/>
      <c r="GF95" s="181"/>
      <c r="GG95" s="181"/>
      <c r="GH95" s="181"/>
      <c r="GI95" s="181"/>
      <c r="GJ95" s="181"/>
      <c r="GK95" s="181"/>
      <c r="GL95" s="181"/>
      <c r="GM95" s="181"/>
      <c r="GN95" s="181" t="str">
        <f>SUM(GB95:GM95)</f>
        <v>0</v>
      </c>
      <c r="GO95" s="137"/>
      <c r="GP95" s="137"/>
      <c r="GQ95" s="137"/>
      <c r="GR95" s="137"/>
      <c r="GS95" s="137"/>
      <c r="GT95" s="137"/>
      <c r="GU95" s="137"/>
      <c r="GV95" s="137"/>
      <c r="GW95" s="137"/>
      <c r="GX95" s="137"/>
      <c r="GY95" s="137"/>
      <c r="GZ95" s="137"/>
      <c r="HA95" s="132" t="str">
        <f>SUM(GO95:GZ95)</f>
        <v>0</v>
      </c>
      <c r="HB95" s="181"/>
      <c r="HC95" s="181"/>
      <c r="HD95" s="181"/>
      <c r="HE95" s="181"/>
      <c r="HF95" s="181"/>
      <c r="HG95" s="181"/>
      <c r="HH95" s="181"/>
      <c r="HI95" s="181"/>
      <c r="HJ95" s="181"/>
      <c r="HK95" s="181"/>
      <c r="HL95" s="181"/>
      <c r="HM95" s="181"/>
      <c r="HN95" s="181" t="str">
        <f>SUM(HB95:HM95)</f>
        <v>0</v>
      </c>
      <c r="HO95" s="132"/>
      <c r="HP95" s="132"/>
      <c r="HQ95" s="132"/>
      <c r="HR95" s="132"/>
      <c r="HS95" s="132"/>
      <c r="HT95" s="132"/>
      <c r="HU95" s="132"/>
      <c r="HV95" s="132"/>
      <c r="HW95" s="132"/>
      <c r="HX95" s="132"/>
      <c r="HY95" s="132"/>
      <c r="HZ95" s="132"/>
      <c r="IA95" s="132" t="str">
        <f>SUM(HO95:HZ95)</f>
        <v>0</v>
      </c>
      <c r="IB95" s="181"/>
      <c r="IC95" s="181"/>
      <c r="ID95" s="181"/>
      <c r="IE95" s="181"/>
      <c r="IF95" s="181"/>
      <c r="IG95" s="181"/>
      <c r="IH95" s="181"/>
      <c r="II95" s="181"/>
      <c r="IJ95" s="181"/>
      <c r="IK95" s="181"/>
      <c r="IL95" s="181"/>
      <c r="IM95" s="181"/>
      <c r="IN95" s="181" t="str">
        <f>SUM(IB95:IM95)</f>
        <v>0</v>
      </c>
      <c r="IO95" s="181"/>
      <c r="IP95" s="181"/>
      <c r="IQ95" s="181"/>
      <c r="IR95" s="181"/>
      <c r="IS95" s="181"/>
      <c r="IT95" s="181"/>
      <c r="IU95" s="181"/>
      <c r="IV95" s="181"/>
      <c r="IW95" s="181"/>
      <c r="IX95" s="181"/>
      <c r="IY95" s="181"/>
      <c r="IZ95" s="181"/>
      <c r="JA95" s="181" t="str">
        <f>SUM(IO95:IZ95)</f>
        <v>0</v>
      </c>
      <c r="JC95" s="135" t="str">
        <f>B95+O95+AB95+AO95+BB95+BO95+CB95+CO95+DB95+DO95+EB95+EO95+FB95+FO95+GB95+GO95+HB95+HO95+IB95+IO95</f>
        <v>0</v>
      </c>
      <c r="JD95" s="135" t="str">
        <f>C95+P95+AC95+AP95+BC95+BP95+CC95+CP95+DC95+DP95+EC95+EP95+FC95+FP95+GC95+GP95+HC95+HP95+IC95+IP95</f>
        <v>0</v>
      </c>
      <c r="JE95" s="135" t="str">
        <f>D95+Q95+AD95+AQ95+BD95+BQ95+CD95+CQ95+DD95+DQ95+ED95+EQ95+FD95+FQ95+GD95+GQ95+HD95+HQ95+ID95+IQ95</f>
        <v>0</v>
      </c>
      <c r="JF95" s="135" t="str">
        <f>E95+R95+AE95+AR95+BE95+BR95+CE95+CR95+DE95+DR95+EE95+ER95+FE95+FR95+GE95+GR95+HE95+HR95+IE95+IR95</f>
        <v>0</v>
      </c>
      <c r="JG95" s="135" t="str">
        <f>F95+S95+AF95+AS95+BF95+BS95+CF95+CS95+DF95+DS95+EF95+ES95+FF95+FS95+GF95+GS95+HF95+HS95+IF95+IS95</f>
        <v>0</v>
      </c>
      <c r="JH95" s="135" t="str">
        <f>G95+T95+AG95+AT95+BG95+BT95+CG95+CT95+DG95+DT95+EG95+ET95+FG95+FT95+GG95+GT95+HG95+HT95+IG95+IT95</f>
        <v>0</v>
      </c>
      <c r="JI95" s="135" t="str">
        <f>H95+U95+AH95+AU95+BH95+BU95+CH95+CU95+DH95+DU95+EH95+EU95+FH95+FU95+GH95+GU95+HH95+HU95+IH95+IU95</f>
        <v>0</v>
      </c>
      <c r="JJ95" s="135" t="str">
        <f>I95+V95+AI95+AV95+BI95+BV95+CI95+CV95+DI95+DV95+EI95+EV95+FI95+FV95+GI95+GV95+HI95+HV95+II95+IV95</f>
        <v>0</v>
      </c>
      <c r="JK95" s="135" t="str">
        <f>J95+W95+AJ95+AW95+BJ95+BW95+CJ95+CW95+DJ95+DW95+EJ95+EW95+FJ95+FW95+GJ95+GW95+HJ95+HW95+IJ95+IW95</f>
        <v>0</v>
      </c>
      <c r="JL95" s="135" t="str">
        <f>K95+X95+AK95+AX95+BK95+BX95+CK95+CX95+DK95+DX95+EK95+EX95+FK95+FX95+GK95+GX95+HK95+HX95+IK95+IX95</f>
        <v>0</v>
      </c>
      <c r="JM95" s="135" t="str">
        <f>L95+Y95+AL95+AY95+BL95+BY95+CL95+CY95+DL95+DY95+EL95+EY95+FL95+FY95+GL95+GY95+HL95+HY95+IL95+IY95</f>
        <v>0</v>
      </c>
      <c r="JN95" s="135" t="str">
        <f>M95+Z95+AM95+AZ95+BM95+BZ95+CM95+CZ95+DM95+DZ95+EM95+EZ95+FM95+FZ95+GM95+GZ95+HM95+HZ95+IM95+IZ95</f>
        <v>0</v>
      </c>
      <c r="JO95" s="132" t="str">
        <f>SUM(JC95:JN95)</f>
        <v>0</v>
      </c>
      <c r="JQ95" s="139" t="str">
        <f>N95+AA95+AN95+BA95+BN95+CA95+CN95+DA95+DN95+EA95+EN95+FA95+FN95+GA95+GN95+HA95+HN95+IA95+IN95+JA95</f>
        <v>0</v>
      </c>
    </row>
    <row r="96" spans="1:278">
      <c r="A96" s="130"/>
      <c r="B96" s="131"/>
      <c r="C96" s="131"/>
      <c r="D96" s="131"/>
      <c r="E96" s="131"/>
      <c r="F96" s="131"/>
      <c r="G96" s="131"/>
      <c r="H96" s="131"/>
      <c r="I96" s="131"/>
      <c r="J96" s="131"/>
      <c r="K96" s="131"/>
      <c r="L96" s="131"/>
      <c r="M96" s="131"/>
      <c r="N96" s="132" t="str">
        <f>SUM(B96:M96)</f>
        <v>0</v>
      </c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  <c r="Z96" s="133"/>
      <c r="AA96" s="132" t="str">
        <f>SUM(O96:Z96)</f>
        <v>0</v>
      </c>
      <c r="AB96" s="131"/>
      <c r="AC96" s="131"/>
      <c r="AD96" s="131"/>
      <c r="AE96" s="131"/>
      <c r="AF96" s="131"/>
      <c r="AG96" s="131"/>
      <c r="AH96" s="131"/>
      <c r="AI96" s="131"/>
      <c r="AJ96" s="131"/>
      <c r="AK96" s="131"/>
      <c r="AL96" s="131"/>
      <c r="AM96" s="131"/>
      <c r="AN96" s="132" t="str">
        <f>SUM(AB96:AM96)</f>
        <v>0</v>
      </c>
      <c r="AO96" s="133"/>
      <c r="AP96" s="133"/>
      <c r="AQ96" s="133"/>
      <c r="AR96" s="133"/>
      <c r="AS96" s="133"/>
      <c r="AT96" s="133"/>
      <c r="AU96" s="133"/>
      <c r="AV96" s="133"/>
      <c r="AW96" s="133"/>
      <c r="AX96" s="133"/>
      <c r="AY96" s="133"/>
      <c r="AZ96" s="133"/>
      <c r="BA96" s="132" t="str">
        <f>SUM(AO96:AZ96)</f>
        <v>0</v>
      </c>
      <c r="BB96" s="134"/>
      <c r="BC96" s="134"/>
      <c r="BD96" s="134"/>
      <c r="BE96" s="134"/>
      <c r="BF96" s="134"/>
      <c r="BG96" s="134"/>
      <c r="BH96" s="134"/>
      <c r="BI96" s="134"/>
      <c r="BJ96" s="134"/>
      <c r="BK96" s="134"/>
      <c r="BL96" s="134"/>
      <c r="BM96" s="134"/>
      <c r="BN96" s="132" t="str">
        <f>SUM(BB96:BM96)</f>
        <v>0</v>
      </c>
      <c r="BO96" s="135"/>
      <c r="BP96" s="135"/>
      <c r="BQ96" s="135"/>
      <c r="BR96" s="135"/>
      <c r="BS96" s="135"/>
      <c r="BT96" s="135"/>
      <c r="BU96" s="135"/>
      <c r="BV96" s="135"/>
      <c r="BW96" s="135"/>
      <c r="BX96" s="135"/>
      <c r="BY96" s="135"/>
      <c r="BZ96" s="135"/>
      <c r="CA96" s="132" t="str">
        <f>SUM(BO96:BZ96)</f>
        <v>0</v>
      </c>
      <c r="CB96" s="136"/>
      <c r="CC96" s="136"/>
      <c r="CD96" s="136"/>
      <c r="CE96" s="136"/>
      <c r="CF96" s="136"/>
      <c r="CG96" s="136"/>
      <c r="CH96" s="136"/>
      <c r="CI96" s="136"/>
      <c r="CJ96" s="136"/>
      <c r="CK96" s="136"/>
      <c r="CL96" s="136"/>
      <c r="CM96" s="136"/>
      <c r="CN96" s="132" t="str">
        <f>SUM(CB96:CM96)</f>
        <v>0</v>
      </c>
      <c r="CO96" s="137"/>
      <c r="CP96" s="137"/>
      <c r="CQ96" s="137"/>
      <c r="CR96" s="137"/>
      <c r="CS96" s="137"/>
      <c r="CT96" s="137"/>
      <c r="CU96" s="137"/>
      <c r="CV96" s="137"/>
      <c r="CW96" s="137"/>
      <c r="CX96" s="137"/>
      <c r="CY96" s="137"/>
      <c r="CZ96" s="137"/>
      <c r="DA96" s="132" t="str">
        <f>SUM(CO96:CZ96)</f>
        <v>0</v>
      </c>
      <c r="DB96" s="136"/>
      <c r="DC96" s="136"/>
      <c r="DD96" s="136"/>
      <c r="DE96" s="136"/>
      <c r="DF96" s="136"/>
      <c r="DG96" s="136"/>
      <c r="DH96" s="136"/>
      <c r="DI96" s="136"/>
      <c r="DJ96" s="136"/>
      <c r="DK96" s="136"/>
      <c r="DL96" s="136"/>
      <c r="DM96" s="136"/>
      <c r="DN96" s="132" t="str">
        <f>SUM(DB96:DM96)</f>
        <v>0</v>
      </c>
      <c r="DO96" s="137"/>
      <c r="DP96" s="137"/>
      <c r="DQ96" s="137"/>
      <c r="DR96" s="137"/>
      <c r="DS96" s="137"/>
      <c r="DT96" s="137"/>
      <c r="DU96" s="137"/>
      <c r="DV96" s="137"/>
      <c r="DW96" s="137"/>
      <c r="DX96" s="137"/>
      <c r="DY96" s="137"/>
      <c r="DZ96" s="137"/>
      <c r="EA96" s="132" t="str">
        <f>SUM(DO96:DZ96)</f>
        <v>0</v>
      </c>
      <c r="EB96" s="216"/>
      <c r="EC96" s="216"/>
      <c r="ED96" s="216"/>
      <c r="EE96" s="216"/>
      <c r="EF96" s="216"/>
      <c r="EG96" s="216"/>
      <c r="EH96" s="216"/>
      <c r="EI96" s="216"/>
      <c r="EJ96" s="216"/>
      <c r="EK96" s="216"/>
      <c r="EL96" s="216"/>
      <c r="EM96" s="216"/>
      <c r="EN96" s="132" t="str">
        <f>SUM(EB96:EM96)</f>
        <v>0</v>
      </c>
      <c r="EO96" s="132"/>
      <c r="EP96" s="132"/>
      <c r="EQ96" s="132"/>
      <c r="ER96" s="132"/>
      <c r="ES96" s="132"/>
      <c r="ET96" s="132"/>
      <c r="EU96" s="132"/>
      <c r="EV96" s="132"/>
      <c r="EW96" s="132"/>
      <c r="EX96" s="132"/>
      <c r="EY96" s="132"/>
      <c r="EZ96" s="132"/>
      <c r="FA96" s="132" t="str">
        <f>SUM(EO96:EZ96)</f>
        <v>0</v>
      </c>
      <c r="FB96" s="181"/>
      <c r="FC96" s="181"/>
      <c r="FD96" s="181"/>
      <c r="FE96" s="181"/>
      <c r="FF96" s="181"/>
      <c r="FG96" s="181"/>
      <c r="FH96" s="181"/>
      <c r="FI96" s="181"/>
      <c r="FJ96" s="181"/>
      <c r="FK96" s="181"/>
      <c r="FL96" s="181"/>
      <c r="FM96" s="181"/>
      <c r="FN96" s="132" t="str">
        <f>SUM(FB96:FM96)</f>
        <v>0</v>
      </c>
      <c r="FO96" s="132"/>
      <c r="FP96" s="132"/>
      <c r="FQ96" s="132"/>
      <c r="FR96" s="132"/>
      <c r="FS96" s="132"/>
      <c r="FT96" s="132"/>
      <c r="FU96" s="132"/>
      <c r="FV96" s="132"/>
      <c r="FW96" s="132"/>
      <c r="FX96" s="132"/>
      <c r="FY96" s="132"/>
      <c r="FZ96" s="132"/>
      <c r="GA96" s="132" t="str">
        <f>SUM(FO96:FZ96)</f>
        <v>0</v>
      </c>
      <c r="GB96" s="181"/>
      <c r="GC96" s="181"/>
      <c r="GD96" s="181"/>
      <c r="GE96" s="181"/>
      <c r="GF96" s="181"/>
      <c r="GG96" s="181"/>
      <c r="GH96" s="181"/>
      <c r="GI96" s="181"/>
      <c r="GJ96" s="181"/>
      <c r="GK96" s="181"/>
      <c r="GL96" s="181"/>
      <c r="GM96" s="181"/>
      <c r="GN96" s="181" t="str">
        <f>SUM(GB96:GM96)</f>
        <v>0</v>
      </c>
      <c r="GO96" s="137"/>
      <c r="GP96" s="137"/>
      <c r="GQ96" s="137"/>
      <c r="GR96" s="137"/>
      <c r="GS96" s="137"/>
      <c r="GT96" s="137"/>
      <c r="GU96" s="137"/>
      <c r="GV96" s="137"/>
      <c r="GW96" s="137"/>
      <c r="GX96" s="137"/>
      <c r="GY96" s="137"/>
      <c r="GZ96" s="137"/>
      <c r="HA96" s="132" t="str">
        <f>SUM(GO96:GZ96)</f>
        <v>0</v>
      </c>
      <c r="HB96" s="181"/>
      <c r="HC96" s="181"/>
      <c r="HD96" s="181"/>
      <c r="HE96" s="181"/>
      <c r="HF96" s="181"/>
      <c r="HG96" s="181"/>
      <c r="HH96" s="181"/>
      <c r="HI96" s="181"/>
      <c r="HJ96" s="181"/>
      <c r="HK96" s="181"/>
      <c r="HL96" s="181"/>
      <c r="HM96" s="181"/>
      <c r="HN96" s="181" t="str">
        <f>SUM(HB96:HM96)</f>
        <v>0</v>
      </c>
      <c r="HO96" s="132"/>
      <c r="HP96" s="132"/>
      <c r="HQ96" s="132"/>
      <c r="HR96" s="132"/>
      <c r="HS96" s="132"/>
      <c r="HT96" s="132"/>
      <c r="HU96" s="132"/>
      <c r="HV96" s="132"/>
      <c r="HW96" s="132"/>
      <c r="HX96" s="132"/>
      <c r="HY96" s="132"/>
      <c r="HZ96" s="132"/>
      <c r="IA96" s="132" t="str">
        <f>SUM(HO96:HZ96)</f>
        <v>0</v>
      </c>
      <c r="IB96" s="181"/>
      <c r="IC96" s="181"/>
      <c r="ID96" s="181"/>
      <c r="IE96" s="181"/>
      <c r="IF96" s="181"/>
      <c r="IG96" s="181"/>
      <c r="IH96" s="181"/>
      <c r="II96" s="181"/>
      <c r="IJ96" s="181"/>
      <c r="IK96" s="181"/>
      <c r="IL96" s="181"/>
      <c r="IM96" s="181"/>
      <c r="IN96" s="181" t="str">
        <f>SUM(IB96:IM96)</f>
        <v>0</v>
      </c>
      <c r="IO96" s="181"/>
      <c r="IP96" s="181"/>
      <c r="IQ96" s="181"/>
      <c r="IR96" s="181"/>
      <c r="IS96" s="181"/>
      <c r="IT96" s="181"/>
      <c r="IU96" s="181"/>
      <c r="IV96" s="181"/>
      <c r="IW96" s="181"/>
      <c r="IX96" s="181"/>
      <c r="IY96" s="181"/>
      <c r="IZ96" s="181"/>
      <c r="JA96" s="181" t="str">
        <f>SUM(IO96:IZ96)</f>
        <v>0</v>
      </c>
      <c r="JC96" s="135" t="str">
        <f>B96+O96+AB96+AO96+BB96+BO96+CB96+CO96+DB96+DO96+EB96+EO96+FB96+FO96+GB96+GO96+HB96+HO96+IB96+IO96</f>
        <v>0</v>
      </c>
      <c r="JD96" s="135" t="str">
        <f>C96+P96+AC96+AP96+BC96+BP96+CC96+CP96+DC96+DP96+EC96+EP96+FC96+FP96+GC96+GP96+HC96+HP96+IC96+IP96</f>
        <v>0</v>
      </c>
      <c r="JE96" s="135" t="str">
        <f>D96+Q96+AD96+AQ96+BD96+BQ96+CD96+CQ96+DD96+DQ96+ED96+EQ96+FD96+FQ96+GD96+GQ96+HD96+HQ96+ID96+IQ96</f>
        <v>0</v>
      </c>
      <c r="JF96" s="135" t="str">
        <f>E96+R96+AE96+AR96+BE96+BR96+CE96+CR96+DE96+DR96+EE96+ER96+FE96+FR96+GE96+GR96+HE96+HR96+IE96+IR96</f>
        <v>0</v>
      </c>
      <c r="JG96" s="135" t="str">
        <f>F96+S96+AF96+AS96+BF96+BS96+CF96+CS96+DF96+DS96+EF96+ES96+FF96+FS96+GF96+GS96+HF96+HS96+IF96+IS96</f>
        <v>0</v>
      </c>
      <c r="JH96" s="135" t="str">
        <f>G96+T96+AG96+AT96+BG96+BT96+CG96+CT96+DG96+DT96+EG96+ET96+FG96+FT96+GG96+GT96+HG96+HT96+IG96+IT96</f>
        <v>0</v>
      </c>
      <c r="JI96" s="135" t="str">
        <f>H96+U96+AH96+AU96+BH96+BU96+CH96+CU96+DH96+DU96+EH96+EU96+FH96+FU96+GH96+GU96+HH96+HU96+IH96+IU96</f>
        <v>0</v>
      </c>
      <c r="JJ96" s="135" t="str">
        <f>I96+V96+AI96+AV96+BI96+BV96+CI96+CV96+DI96+DV96+EI96+EV96+FI96+FV96+GI96+GV96+HI96+HV96+II96+IV96</f>
        <v>0</v>
      </c>
      <c r="JK96" s="135" t="str">
        <f>J96+W96+AJ96+AW96+BJ96+BW96+CJ96+CW96+DJ96+DW96+EJ96+EW96+FJ96+FW96+GJ96+GW96+HJ96+HW96+IJ96+IW96</f>
        <v>0</v>
      </c>
      <c r="JL96" s="135" t="str">
        <f>K96+X96+AK96+AX96+BK96+BX96+CK96+CX96+DK96+DX96+EK96+EX96+FK96+FX96+GK96+GX96+HK96+HX96+IK96+IX96</f>
        <v>0</v>
      </c>
      <c r="JM96" s="135" t="str">
        <f>L96+Y96+AL96+AY96+BL96+BY96+CL96+CY96+DL96+DY96+EL96+EY96+FL96+FY96+GL96+GY96+HL96+HY96+IL96+IY96</f>
        <v>0</v>
      </c>
      <c r="JN96" s="135" t="str">
        <f>M96+Z96+AM96+AZ96+BM96+BZ96+CM96+CZ96+DM96+DZ96+EM96+EZ96+FM96+FZ96+GM96+GZ96+HM96+HZ96+IM96+IZ96</f>
        <v>0</v>
      </c>
      <c r="JO96" s="132" t="str">
        <f>SUM(JC96:JN96)</f>
        <v>0</v>
      </c>
      <c r="JQ96" s="139" t="str">
        <f>N96+AA96+AN96+BA96+BN96+CA96+CN96+DA96+DN96+EA96+EN96+FA96+FN96+GA96+GN96+HA96+HN96+IA96+IN96+JA96</f>
        <v>0</v>
      </c>
    </row>
    <row r="97" spans="1:278">
      <c r="A97" s="130"/>
      <c r="B97" s="131"/>
      <c r="C97" s="131"/>
      <c r="D97" s="131"/>
      <c r="E97" s="131"/>
      <c r="F97" s="131"/>
      <c r="G97" s="131"/>
      <c r="H97" s="131"/>
      <c r="I97" s="131"/>
      <c r="J97" s="131"/>
      <c r="K97" s="131"/>
      <c r="L97" s="131"/>
      <c r="M97" s="131"/>
      <c r="N97" s="132" t="str">
        <f>SUM(B97:M97)</f>
        <v>0</v>
      </c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  <c r="Z97" s="133"/>
      <c r="AA97" s="132" t="str">
        <f>SUM(O97:Z97)</f>
        <v>0</v>
      </c>
      <c r="AB97" s="131"/>
      <c r="AC97" s="131"/>
      <c r="AD97" s="131"/>
      <c r="AE97" s="131"/>
      <c r="AF97" s="131"/>
      <c r="AG97" s="131"/>
      <c r="AH97" s="131"/>
      <c r="AI97" s="131"/>
      <c r="AJ97" s="131"/>
      <c r="AK97" s="131"/>
      <c r="AL97" s="131"/>
      <c r="AM97" s="131"/>
      <c r="AN97" s="132" t="str">
        <f>SUM(AB97:AM97)</f>
        <v>0</v>
      </c>
      <c r="AO97" s="133"/>
      <c r="AP97" s="133"/>
      <c r="AQ97" s="133"/>
      <c r="AR97" s="133"/>
      <c r="AS97" s="133"/>
      <c r="AT97" s="133"/>
      <c r="AU97" s="133"/>
      <c r="AV97" s="133"/>
      <c r="AW97" s="133"/>
      <c r="AX97" s="133"/>
      <c r="AY97" s="133"/>
      <c r="AZ97" s="133"/>
      <c r="BA97" s="132" t="str">
        <f>SUM(AO97:AZ97)</f>
        <v>0</v>
      </c>
      <c r="BB97" s="134"/>
      <c r="BC97" s="134"/>
      <c r="BD97" s="134"/>
      <c r="BE97" s="134"/>
      <c r="BF97" s="134"/>
      <c r="BG97" s="134"/>
      <c r="BH97" s="134"/>
      <c r="BI97" s="134"/>
      <c r="BJ97" s="134"/>
      <c r="BK97" s="134"/>
      <c r="BL97" s="134"/>
      <c r="BM97" s="134"/>
      <c r="BN97" s="132" t="str">
        <f>SUM(BB97:BM97)</f>
        <v>0</v>
      </c>
      <c r="BO97" s="135"/>
      <c r="BP97" s="135"/>
      <c r="BQ97" s="135"/>
      <c r="BR97" s="135"/>
      <c r="BS97" s="135"/>
      <c r="BT97" s="135"/>
      <c r="BU97" s="135"/>
      <c r="BV97" s="135"/>
      <c r="BW97" s="135"/>
      <c r="BX97" s="135"/>
      <c r="BY97" s="135"/>
      <c r="BZ97" s="135"/>
      <c r="CA97" s="132" t="str">
        <f>SUM(BO97:BZ97)</f>
        <v>0</v>
      </c>
      <c r="CB97" s="136"/>
      <c r="CC97" s="136"/>
      <c r="CD97" s="136"/>
      <c r="CE97" s="136"/>
      <c r="CF97" s="136"/>
      <c r="CG97" s="136"/>
      <c r="CH97" s="136"/>
      <c r="CI97" s="136"/>
      <c r="CJ97" s="136"/>
      <c r="CK97" s="136"/>
      <c r="CL97" s="136"/>
      <c r="CM97" s="136"/>
      <c r="CN97" s="132" t="str">
        <f>SUM(CB97:CM97)</f>
        <v>0</v>
      </c>
      <c r="CO97" s="137"/>
      <c r="CP97" s="137"/>
      <c r="CQ97" s="137"/>
      <c r="CR97" s="137"/>
      <c r="CS97" s="137"/>
      <c r="CT97" s="137"/>
      <c r="CU97" s="137"/>
      <c r="CV97" s="137"/>
      <c r="CW97" s="137"/>
      <c r="CX97" s="137"/>
      <c r="CY97" s="137"/>
      <c r="CZ97" s="137"/>
      <c r="DA97" s="132" t="str">
        <f>SUM(CO97:CZ97)</f>
        <v>0</v>
      </c>
      <c r="DB97" s="136"/>
      <c r="DC97" s="136"/>
      <c r="DD97" s="136"/>
      <c r="DE97" s="136"/>
      <c r="DF97" s="136"/>
      <c r="DG97" s="136"/>
      <c r="DH97" s="136"/>
      <c r="DI97" s="136"/>
      <c r="DJ97" s="136"/>
      <c r="DK97" s="136"/>
      <c r="DL97" s="136"/>
      <c r="DM97" s="136"/>
      <c r="DN97" s="132" t="str">
        <f>SUM(DB97:DM97)</f>
        <v>0</v>
      </c>
      <c r="DO97" s="137"/>
      <c r="DP97" s="137"/>
      <c r="DQ97" s="137"/>
      <c r="DR97" s="137"/>
      <c r="DS97" s="137"/>
      <c r="DT97" s="137"/>
      <c r="DU97" s="137"/>
      <c r="DV97" s="137"/>
      <c r="DW97" s="137"/>
      <c r="DX97" s="137"/>
      <c r="DY97" s="137"/>
      <c r="DZ97" s="137"/>
      <c r="EA97" s="132" t="str">
        <f>SUM(DO97:DZ97)</f>
        <v>0</v>
      </c>
      <c r="EB97" s="216"/>
      <c r="EC97" s="216"/>
      <c r="ED97" s="216"/>
      <c r="EE97" s="216"/>
      <c r="EF97" s="216"/>
      <c r="EG97" s="216"/>
      <c r="EH97" s="216"/>
      <c r="EI97" s="216"/>
      <c r="EJ97" s="216"/>
      <c r="EK97" s="216"/>
      <c r="EL97" s="216"/>
      <c r="EM97" s="216"/>
      <c r="EN97" s="132" t="str">
        <f>SUM(EB97:EM97)</f>
        <v>0</v>
      </c>
      <c r="EO97" s="132"/>
      <c r="EP97" s="132"/>
      <c r="EQ97" s="132"/>
      <c r="ER97" s="132"/>
      <c r="ES97" s="132"/>
      <c r="ET97" s="132"/>
      <c r="EU97" s="132"/>
      <c r="EV97" s="132"/>
      <c r="EW97" s="132"/>
      <c r="EX97" s="132"/>
      <c r="EY97" s="132"/>
      <c r="EZ97" s="132"/>
      <c r="FA97" s="132" t="str">
        <f>SUM(EO97:EZ97)</f>
        <v>0</v>
      </c>
      <c r="FB97" s="181"/>
      <c r="FC97" s="181"/>
      <c r="FD97" s="181"/>
      <c r="FE97" s="181"/>
      <c r="FF97" s="181"/>
      <c r="FG97" s="181"/>
      <c r="FH97" s="181"/>
      <c r="FI97" s="181"/>
      <c r="FJ97" s="181"/>
      <c r="FK97" s="181"/>
      <c r="FL97" s="181"/>
      <c r="FM97" s="181"/>
      <c r="FN97" s="132" t="str">
        <f>SUM(FB97:FM97)</f>
        <v>0</v>
      </c>
      <c r="FO97" s="132"/>
      <c r="FP97" s="132"/>
      <c r="FQ97" s="132"/>
      <c r="FR97" s="132"/>
      <c r="FS97" s="132"/>
      <c r="FT97" s="132"/>
      <c r="FU97" s="132"/>
      <c r="FV97" s="132"/>
      <c r="FW97" s="132"/>
      <c r="FX97" s="132"/>
      <c r="FY97" s="132"/>
      <c r="FZ97" s="132"/>
      <c r="GA97" s="132" t="str">
        <f>SUM(FO97:FZ97)</f>
        <v>0</v>
      </c>
      <c r="GB97" s="181"/>
      <c r="GC97" s="181"/>
      <c r="GD97" s="181"/>
      <c r="GE97" s="181"/>
      <c r="GF97" s="181"/>
      <c r="GG97" s="181"/>
      <c r="GH97" s="181"/>
      <c r="GI97" s="181"/>
      <c r="GJ97" s="181"/>
      <c r="GK97" s="181"/>
      <c r="GL97" s="181"/>
      <c r="GM97" s="181"/>
      <c r="GN97" s="181" t="str">
        <f>SUM(GB97:GM97)</f>
        <v>0</v>
      </c>
      <c r="GO97" s="137"/>
      <c r="GP97" s="137"/>
      <c r="GQ97" s="137"/>
      <c r="GR97" s="137"/>
      <c r="GS97" s="137"/>
      <c r="GT97" s="137"/>
      <c r="GU97" s="137"/>
      <c r="GV97" s="137"/>
      <c r="GW97" s="137"/>
      <c r="GX97" s="137"/>
      <c r="GY97" s="137"/>
      <c r="GZ97" s="137"/>
      <c r="HA97" s="132" t="str">
        <f>SUM(GO97:GZ97)</f>
        <v>0</v>
      </c>
      <c r="HB97" s="181"/>
      <c r="HC97" s="181"/>
      <c r="HD97" s="181"/>
      <c r="HE97" s="181"/>
      <c r="HF97" s="181"/>
      <c r="HG97" s="181"/>
      <c r="HH97" s="181"/>
      <c r="HI97" s="181"/>
      <c r="HJ97" s="181"/>
      <c r="HK97" s="181"/>
      <c r="HL97" s="181"/>
      <c r="HM97" s="181"/>
      <c r="HN97" s="181" t="str">
        <f>SUM(HB97:HM97)</f>
        <v>0</v>
      </c>
      <c r="HO97" s="132"/>
      <c r="HP97" s="132"/>
      <c r="HQ97" s="132"/>
      <c r="HR97" s="132"/>
      <c r="HS97" s="132"/>
      <c r="HT97" s="132"/>
      <c r="HU97" s="132"/>
      <c r="HV97" s="132"/>
      <c r="HW97" s="132"/>
      <c r="HX97" s="132"/>
      <c r="HY97" s="132"/>
      <c r="HZ97" s="132"/>
      <c r="IA97" s="132" t="str">
        <f>SUM(HO97:HZ97)</f>
        <v>0</v>
      </c>
      <c r="IB97" s="181"/>
      <c r="IC97" s="181"/>
      <c r="ID97" s="181"/>
      <c r="IE97" s="181"/>
      <c r="IF97" s="181"/>
      <c r="IG97" s="181"/>
      <c r="IH97" s="181"/>
      <c r="II97" s="181"/>
      <c r="IJ97" s="181"/>
      <c r="IK97" s="181"/>
      <c r="IL97" s="181"/>
      <c r="IM97" s="181"/>
      <c r="IN97" s="181" t="str">
        <f>SUM(IB97:IM97)</f>
        <v>0</v>
      </c>
      <c r="IO97" s="181"/>
      <c r="IP97" s="181"/>
      <c r="IQ97" s="181"/>
      <c r="IR97" s="181"/>
      <c r="IS97" s="181"/>
      <c r="IT97" s="181"/>
      <c r="IU97" s="181"/>
      <c r="IV97" s="181"/>
      <c r="IW97" s="181"/>
      <c r="IX97" s="181"/>
      <c r="IY97" s="181"/>
      <c r="IZ97" s="181"/>
      <c r="JA97" s="181" t="str">
        <f>SUM(IO97:IZ97)</f>
        <v>0</v>
      </c>
      <c r="JC97" s="135" t="str">
        <f>B97+O97+AB97+AO97+BB97+BO97+CB97+CO97+DB97+DO97+EB97+EO97+FB97+FO97+GB97+GO97+HB97+HO97+IB97+IO97</f>
        <v>0</v>
      </c>
      <c r="JD97" s="135" t="str">
        <f>C97+P97+AC97+AP97+BC97+BP97+CC97+CP97+DC97+DP97+EC97+EP97+FC97+FP97+GC97+GP97+HC97+HP97+IC97+IP97</f>
        <v>0</v>
      </c>
      <c r="JE97" s="135" t="str">
        <f>D97+Q97+AD97+AQ97+BD97+BQ97+CD97+CQ97+DD97+DQ97+ED97+EQ97+FD97+FQ97+GD97+GQ97+HD97+HQ97+ID97+IQ97</f>
        <v>0</v>
      </c>
      <c r="JF97" s="135" t="str">
        <f>E97+R97+AE97+AR97+BE97+BR97+CE97+CR97+DE97+DR97+EE97+ER97+FE97+FR97+GE97+GR97+HE97+HR97+IE97+IR97</f>
        <v>0</v>
      </c>
      <c r="JG97" s="135" t="str">
        <f>F97+S97+AF97+AS97+BF97+BS97+CF97+CS97+DF97+DS97+EF97+ES97+FF97+FS97+GF97+GS97+HF97+HS97+IF97+IS97</f>
        <v>0</v>
      </c>
      <c r="JH97" s="135" t="str">
        <f>G97+T97+AG97+AT97+BG97+BT97+CG97+CT97+DG97+DT97+EG97+ET97+FG97+FT97+GG97+GT97+HG97+HT97+IG97+IT97</f>
        <v>0</v>
      </c>
      <c r="JI97" s="135" t="str">
        <f>H97+U97+AH97+AU97+BH97+BU97+CH97+CU97+DH97+DU97+EH97+EU97+FH97+FU97+GH97+GU97+HH97+HU97+IH97+IU97</f>
        <v>0</v>
      </c>
      <c r="JJ97" s="135" t="str">
        <f>I97+V97+AI97+AV97+BI97+BV97+CI97+CV97+DI97+DV97+EI97+EV97+FI97+FV97+GI97+GV97+HI97+HV97+II97+IV97</f>
        <v>0</v>
      </c>
      <c r="JK97" s="135" t="str">
        <f>J97+W97+AJ97+AW97+BJ97+BW97+CJ97+CW97+DJ97+DW97+EJ97+EW97+FJ97+FW97+GJ97+GW97+HJ97+HW97+IJ97+IW97</f>
        <v>0</v>
      </c>
      <c r="JL97" s="135" t="str">
        <f>K97+X97+AK97+AX97+BK97+BX97+CK97+CX97+DK97+DX97+EK97+EX97+FK97+FX97+GK97+GX97+HK97+HX97+IK97+IX97</f>
        <v>0</v>
      </c>
      <c r="JM97" s="135" t="str">
        <f>L97+Y97+AL97+AY97+BL97+BY97+CL97+CY97+DL97+DY97+EL97+EY97+FL97+FY97+GL97+GY97+HL97+HY97+IL97+IY97</f>
        <v>0</v>
      </c>
      <c r="JN97" s="135" t="str">
        <f>M97+Z97+AM97+AZ97+BM97+BZ97+CM97+CZ97+DM97+DZ97+EM97+EZ97+FM97+FZ97+GM97+GZ97+HM97+HZ97+IM97+IZ97</f>
        <v>0</v>
      </c>
      <c r="JO97" s="132" t="str">
        <f>SUM(JC97:JN97)</f>
        <v>0</v>
      </c>
      <c r="JQ97" s="139" t="str">
        <f>N97+AA97+AN97+BA97+BN97+CA97+CN97+DA97+DN97+EA97+EN97+FA97+FN97+GA97+GN97+HA97+HN97+IA97+IN97+JA97</f>
        <v>0</v>
      </c>
    </row>
    <row r="98" spans="1:278">
      <c r="A98" s="130"/>
      <c r="B98" s="131"/>
      <c r="C98" s="131"/>
      <c r="D98" s="131"/>
      <c r="E98" s="131"/>
      <c r="F98" s="131"/>
      <c r="G98" s="131"/>
      <c r="H98" s="131"/>
      <c r="I98" s="131"/>
      <c r="J98" s="131"/>
      <c r="K98" s="131"/>
      <c r="L98" s="131"/>
      <c r="M98" s="131"/>
      <c r="N98" s="132" t="str">
        <f>SUM(B98:M98)</f>
        <v>0</v>
      </c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  <c r="AA98" s="132" t="str">
        <f>SUM(O98:Z98)</f>
        <v>0</v>
      </c>
      <c r="AB98" s="131"/>
      <c r="AC98" s="131"/>
      <c r="AD98" s="131"/>
      <c r="AE98" s="131"/>
      <c r="AF98" s="131"/>
      <c r="AG98" s="131"/>
      <c r="AH98" s="131"/>
      <c r="AI98" s="131"/>
      <c r="AJ98" s="131"/>
      <c r="AK98" s="131"/>
      <c r="AL98" s="131"/>
      <c r="AM98" s="131"/>
      <c r="AN98" s="132" t="str">
        <f>SUM(AB98:AM98)</f>
        <v>0</v>
      </c>
      <c r="AO98" s="133"/>
      <c r="AP98" s="133"/>
      <c r="AQ98" s="133"/>
      <c r="AR98" s="133"/>
      <c r="AS98" s="133"/>
      <c r="AT98" s="133"/>
      <c r="AU98" s="133"/>
      <c r="AV98" s="133"/>
      <c r="AW98" s="133"/>
      <c r="AX98" s="133"/>
      <c r="AY98" s="133"/>
      <c r="AZ98" s="133"/>
      <c r="BA98" s="132" t="str">
        <f>SUM(AO98:AZ98)</f>
        <v>0</v>
      </c>
      <c r="BB98" s="134"/>
      <c r="BC98" s="134"/>
      <c r="BD98" s="134"/>
      <c r="BE98" s="134"/>
      <c r="BF98" s="134"/>
      <c r="BG98" s="134"/>
      <c r="BH98" s="134"/>
      <c r="BI98" s="134"/>
      <c r="BJ98" s="134"/>
      <c r="BK98" s="134"/>
      <c r="BL98" s="134"/>
      <c r="BM98" s="134"/>
      <c r="BN98" s="132" t="str">
        <f>SUM(BB98:BM98)</f>
        <v>0</v>
      </c>
      <c r="BO98" s="135"/>
      <c r="BP98" s="135"/>
      <c r="BQ98" s="135"/>
      <c r="BR98" s="135"/>
      <c r="BS98" s="135"/>
      <c r="BT98" s="135"/>
      <c r="BU98" s="135"/>
      <c r="BV98" s="135"/>
      <c r="BW98" s="135"/>
      <c r="BX98" s="135"/>
      <c r="BY98" s="135"/>
      <c r="BZ98" s="135"/>
      <c r="CA98" s="132" t="str">
        <f>SUM(BO98:BZ98)</f>
        <v>0</v>
      </c>
      <c r="CB98" s="136"/>
      <c r="CC98" s="136"/>
      <c r="CD98" s="136"/>
      <c r="CE98" s="136"/>
      <c r="CF98" s="136"/>
      <c r="CG98" s="136"/>
      <c r="CH98" s="136"/>
      <c r="CI98" s="136"/>
      <c r="CJ98" s="136"/>
      <c r="CK98" s="136"/>
      <c r="CL98" s="136"/>
      <c r="CM98" s="136"/>
      <c r="CN98" s="132" t="str">
        <f>SUM(CB98:CM98)</f>
        <v>0</v>
      </c>
      <c r="CO98" s="137"/>
      <c r="CP98" s="137"/>
      <c r="CQ98" s="137"/>
      <c r="CR98" s="137"/>
      <c r="CS98" s="137"/>
      <c r="CT98" s="137"/>
      <c r="CU98" s="137"/>
      <c r="CV98" s="137"/>
      <c r="CW98" s="137"/>
      <c r="CX98" s="137"/>
      <c r="CY98" s="137"/>
      <c r="CZ98" s="137"/>
      <c r="DA98" s="132" t="str">
        <f>SUM(CO98:CZ98)</f>
        <v>0</v>
      </c>
      <c r="DB98" s="136"/>
      <c r="DC98" s="136"/>
      <c r="DD98" s="136"/>
      <c r="DE98" s="136"/>
      <c r="DF98" s="136"/>
      <c r="DG98" s="136"/>
      <c r="DH98" s="136"/>
      <c r="DI98" s="136"/>
      <c r="DJ98" s="136"/>
      <c r="DK98" s="136"/>
      <c r="DL98" s="136"/>
      <c r="DM98" s="136"/>
      <c r="DN98" s="132" t="str">
        <f>SUM(DB98:DM98)</f>
        <v>0</v>
      </c>
      <c r="DO98" s="137"/>
      <c r="DP98" s="137"/>
      <c r="DQ98" s="137"/>
      <c r="DR98" s="137"/>
      <c r="DS98" s="137"/>
      <c r="DT98" s="137"/>
      <c r="DU98" s="137"/>
      <c r="DV98" s="137"/>
      <c r="DW98" s="137"/>
      <c r="DX98" s="137"/>
      <c r="DY98" s="137"/>
      <c r="DZ98" s="137"/>
      <c r="EA98" s="132" t="str">
        <f>SUM(DO98:DZ98)</f>
        <v>0</v>
      </c>
      <c r="EB98" s="216"/>
      <c r="EC98" s="216"/>
      <c r="ED98" s="216"/>
      <c r="EE98" s="216"/>
      <c r="EF98" s="216"/>
      <c r="EG98" s="216"/>
      <c r="EH98" s="216"/>
      <c r="EI98" s="216"/>
      <c r="EJ98" s="216"/>
      <c r="EK98" s="216"/>
      <c r="EL98" s="216"/>
      <c r="EM98" s="216"/>
      <c r="EN98" s="132" t="str">
        <f>SUM(EB98:EM98)</f>
        <v>0</v>
      </c>
      <c r="EO98" s="132"/>
      <c r="EP98" s="132"/>
      <c r="EQ98" s="132"/>
      <c r="ER98" s="132"/>
      <c r="ES98" s="132"/>
      <c r="ET98" s="132"/>
      <c r="EU98" s="132"/>
      <c r="EV98" s="132"/>
      <c r="EW98" s="132"/>
      <c r="EX98" s="132"/>
      <c r="EY98" s="132"/>
      <c r="EZ98" s="132"/>
      <c r="FA98" s="132" t="str">
        <f>SUM(EO98:EZ98)</f>
        <v>0</v>
      </c>
      <c r="FB98" s="181"/>
      <c r="FC98" s="181"/>
      <c r="FD98" s="181"/>
      <c r="FE98" s="181"/>
      <c r="FF98" s="181"/>
      <c r="FG98" s="181"/>
      <c r="FH98" s="181"/>
      <c r="FI98" s="181"/>
      <c r="FJ98" s="181"/>
      <c r="FK98" s="181"/>
      <c r="FL98" s="181"/>
      <c r="FM98" s="181"/>
      <c r="FN98" s="132" t="str">
        <f>SUM(FB98:FM98)</f>
        <v>0</v>
      </c>
      <c r="FO98" s="132"/>
      <c r="FP98" s="132"/>
      <c r="FQ98" s="132"/>
      <c r="FR98" s="132"/>
      <c r="FS98" s="132"/>
      <c r="FT98" s="132"/>
      <c r="FU98" s="132"/>
      <c r="FV98" s="132"/>
      <c r="FW98" s="132"/>
      <c r="FX98" s="132"/>
      <c r="FY98" s="132"/>
      <c r="FZ98" s="132"/>
      <c r="GA98" s="132" t="str">
        <f>SUM(FO98:FZ98)</f>
        <v>0</v>
      </c>
      <c r="GB98" s="181"/>
      <c r="GC98" s="181"/>
      <c r="GD98" s="181"/>
      <c r="GE98" s="181"/>
      <c r="GF98" s="181"/>
      <c r="GG98" s="181"/>
      <c r="GH98" s="181"/>
      <c r="GI98" s="181"/>
      <c r="GJ98" s="181"/>
      <c r="GK98" s="181"/>
      <c r="GL98" s="181"/>
      <c r="GM98" s="181"/>
      <c r="GN98" s="181" t="str">
        <f>SUM(GB98:GM98)</f>
        <v>0</v>
      </c>
      <c r="GO98" s="137"/>
      <c r="GP98" s="137"/>
      <c r="GQ98" s="137"/>
      <c r="GR98" s="137"/>
      <c r="GS98" s="137"/>
      <c r="GT98" s="137"/>
      <c r="GU98" s="137"/>
      <c r="GV98" s="137"/>
      <c r="GW98" s="137"/>
      <c r="GX98" s="137"/>
      <c r="GY98" s="137"/>
      <c r="GZ98" s="137"/>
      <c r="HA98" s="132" t="str">
        <f>SUM(GO98:GZ98)</f>
        <v>0</v>
      </c>
      <c r="HB98" s="181"/>
      <c r="HC98" s="181"/>
      <c r="HD98" s="181"/>
      <c r="HE98" s="181"/>
      <c r="HF98" s="181"/>
      <c r="HG98" s="181"/>
      <c r="HH98" s="181"/>
      <c r="HI98" s="181"/>
      <c r="HJ98" s="181"/>
      <c r="HK98" s="181"/>
      <c r="HL98" s="181"/>
      <c r="HM98" s="181"/>
      <c r="HN98" s="181" t="str">
        <f>SUM(HB98:HM98)</f>
        <v>0</v>
      </c>
      <c r="HO98" s="132"/>
      <c r="HP98" s="132"/>
      <c r="HQ98" s="132"/>
      <c r="HR98" s="132"/>
      <c r="HS98" s="132"/>
      <c r="HT98" s="132"/>
      <c r="HU98" s="132"/>
      <c r="HV98" s="132"/>
      <c r="HW98" s="132"/>
      <c r="HX98" s="132"/>
      <c r="HY98" s="132"/>
      <c r="HZ98" s="132"/>
      <c r="IA98" s="132" t="str">
        <f>SUM(HO98:HZ98)</f>
        <v>0</v>
      </c>
      <c r="IB98" s="181"/>
      <c r="IC98" s="181"/>
      <c r="ID98" s="181"/>
      <c r="IE98" s="181"/>
      <c r="IF98" s="181"/>
      <c r="IG98" s="181"/>
      <c r="IH98" s="181"/>
      <c r="II98" s="181"/>
      <c r="IJ98" s="181"/>
      <c r="IK98" s="181"/>
      <c r="IL98" s="181"/>
      <c r="IM98" s="181"/>
      <c r="IN98" s="181" t="str">
        <f>SUM(IB98:IM98)</f>
        <v>0</v>
      </c>
      <c r="IO98" s="181"/>
      <c r="IP98" s="181"/>
      <c r="IQ98" s="181"/>
      <c r="IR98" s="181"/>
      <c r="IS98" s="181"/>
      <c r="IT98" s="181"/>
      <c r="IU98" s="181"/>
      <c r="IV98" s="181"/>
      <c r="IW98" s="181"/>
      <c r="IX98" s="181"/>
      <c r="IY98" s="181"/>
      <c r="IZ98" s="181"/>
      <c r="JA98" s="181" t="str">
        <f>SUM(IO98:IZ98)</f>
        <v>0</v>
      </c>
      <c r="JC98" s="135" t="str">
        <f>B98+O98+AB98+AO98+BB98+BO98+CB98+CO98+DB98+DO98+EB98+EO98+FB98+FO98+GB98+GO98+HB98+HO98+IB98+IO98</f>
        <v>0</v>
      </c>
      <c r="JD98" s="135" t="str">
        <f>C98+P98+AC98+AP98+BC98+BP98+CC98+CP98+DC98+DP98+EC98+EP98+FC98+FP98+GC98+GP98+HC98+HP98+IC98+IP98</f>
        <v>0</v>
      </c>
      <c r="JE98" s="135" t="str">
        <f>D98+Q98+AD98+AQ98+BD98+BQ98+CD98+CQ98+DD98+DQ98+ED98+EQ98+FD98+FQ98+GD98+GQ98+HD98+HQ98+ID98+IQ98</f>
        <v>0</v>
      </c>
      <c r="JF98" s="135" t="str">
        <f>E98+R98+AE98+AR98+BE98+BR98+CE98+CR98+DE98+DR98+EE98+ER98+FE98+FR98+GE98+GR98+HE98+HR98+IE98+IR98</f>
        <v>0</v>
      </c>
      <c r="JG98" s="135" t="str">
        <f>F98+S98+AF98+AS98+BF98+BS98+CF98+CS98+DF98+DS98+EF98+ES98+FF98+FS98+GF98+GS98+HF98+HS98+IF98+IS98</f>
        <v>0</v>
      </c>
      <c r="JH98" s="135" t="str">
        <f>G98+T98+AG98+AT98+BG98+BT98+CG98+CT98+DG98+DT98+EG98+ET98+FG98+FT98+GG98+GT98+HG98+HT98+IG98+IT98</f>
        <v>0</v>
      </c>
      <c r="JI98" s="135" t="str">
        <f>H98+U98+AH98+AU98+BH98+BU98+CH98+CU98+DH98+DU98+EH98+EU98+FH98+FU98+GH98+GU98+HH98+HU98+IH98+IU98</f>
        <v>0</v>
      </c>
      <c r="JJ98" s="135" t="str">
        <f>I98+V98+AI98+AV98+BI98+BV98+CI98+CV98+DI98+DV98+EI98+EV98+FI98+FV98+GI98+GV98+HI98+HV98+II98+IV98</f>
        <v>0</v>
      </c>
      <c r="JK98" s="135" t="str">
        <f>J98+W98+AJ98+AW98+BJ98+BW98+CJ98+CW98+DJ98+DW98+EJ98+EW98+FJ98+FW98+GJ98+GW98+HJ98+HW98+IJ98+IW98</f>
        <v>0</v>
      </c>
      <c r="JL98" s="135" t="str">
        <f>K98+X98+AK98+AX98+BK98+BX98+CK98+CX98+DK98+DX98+EK98+EX98+FK98+FX98+GK98+GX98+HK98+HX98+IK98+IX98</f>
        <v>0</v>
      </c>
      <c r="JM98" s="135" t="str">
        <f>L98+Y98+AL98+AY98+BL98+BY98+CL98+CY98+DL98+DY98+EL98+EY98+FL98+FY98+GL98+GY98+HL98+HY98+IL98+IY98</f>
        <v>0</v>
      </c>
      <c r="JN98" s="135" t="str">
        <f>M98+Z98+AM98+AZ98+BM98+BZ98+CM98+CZ98+DM98+DZ98+EM98+EZ98+FM98+FZ98+GM98+GZ98+HM98+HZ98+IM98+IZ98</f>
        <v>0</v>
      </c>
      <c r="JO98" s="132" t="str">
        <f>SUM(JC98:JN98)</f>
        <v>0</v>
      </c>
      <c r="JQ98" s="139" t="str">
        <f>N98+AA98+AN98+BA98+BN98+CA98+CN98+DA98+DN98+EA98+EN98+FA98+FN98+GA98+GN98+HA98+HN98+IA98+IN98+JA98</f>
        <v>0</v>
      </c>
    </row>
    <row r="99" spans="1:278">
      <c r="A99" s="130"/>
      <c r="B99" s="131"/>
      <c r="C99" s="131"/>
      <c r="D99" s="131"/>
      <c r="E99" s="131"/>
      <c r="F99" s="131"/>
      <c r="G99" s="131"/>
      <c r="H99" s="131"/>
      <c r="I99" s="131"/>
      <c r="J99" s="131"/>
      <c r="K99" s="131"/>
      <c r="L99" s="131"/>
      <c r="M99" s="131"/>
      <c r="N99" s="132" t="str">
        <f>SUM(B99:M99)</f>
        <v>0</v>
      </c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  <c r="AA99" s="132" t="str">
        <f>SUM(O99:Z99)</f>
        <v>0</v>
      </c>
      <c r="AB99" s="131"/>
      <c r="AC99" s="131"/>
      <c r="AD99" s="131"/>
      <c r="AE99" s="131"/>
      <c r="AF99" s="131"/>
      <c r="AG99" s="131"/>
      <c r="AH99" s="131"/>
      <c r="AI99" s="131"/>
      <c r="AJ99" s="131"/>
      <c r="AK99" s="131"/>
      <c r="AL99" s="131"/>
      <c r="AM99" s="131"/>
      <c r="AN99" s="132" t="str">
        <f>SUM(AB99:AM99)</f>
        <v>0</v>
      </c>
      <c r="AO99" s="133"/>
      <c r="AP99" s="133"/>
      <c r="AQ99" s="133"/>
      <c r="AR99" s="133"/>
      <c r="AS99" s="133"/>
      <c r="AT99" s="133"/>
      <c r="AU99" s="133"/>
      <c r="AV99" s="133"/>
      <c r="AW99" s="133"/>
      <c r="AX99" s="133"/>
      <c r="AY99" s="133"/>
      <c r="AZ99" s="133"/>
      <c r="BA99" s="132" t="str">
        <f>SUM(AO99:AZ99)</f>
        <v>0</v>
      </c>
      <c r="BB99" s="134"/>
      <c r="BC99" s="134"/>
      <c r="BD99" s="134"/>
      <c r="BE99" s="134"/>
      <c r="BF99" s="134"/>
      <c r="BG99" s="134"/>
      <c r="BH99" s="134"/>
      <c r="BI99" s="134"/>
      <c r="BJ99" s="134"/>
      <c r="BK99" s="134"/>
      <c r="BL99" s="134"/>
      <c r="BM99" s="134"/>
      <c r="BN99" s="132" t="str">
        <f>SUM(BB99:BM99)</f>
        <v>0</v>
      </c>
      <c r="BO99" s="135"/>
      <c r="BP99" s="135"/>
      <c r="BQ99" s="135"/>
      <c r="BR99" s="135"/>
      <c r="BS99" s="135"/>
      <c r="BT99" s="135"/>
      <c r="BU99" s="135"/>
      <c r="BV99" s="135"/>
      <c r="BW99" s="135"/>
      <c r="BX99" s="135"/>
      <c r="BY99" s="135"/>
      <c r="BZ99" s="135"/>
      <c r="CA99" s="132" t="str">
        <f>SUM(BO99:BZ99)</f>
        <v>0</v>
      </c>
      <c r="CB99" s="136"/>
      <c r="CC99" s="136"/>
      <c r="CD99" s="136"/>
      <c r="CE99" s="136"/>
      <c r="CF99" s="136"/>
      <c r="CG99" s="136"/>
      <c r="CH99" s="136"/>
      <c r="CI99" s="136"/>
      <c r="CJ99" s="136"/>
      <c r="CK99" s="136"/>
      <c r="CL99" s="136"/>
      <c r="CM99" s="136"/>
      <c r="CN99" s="132" t="str">
        <f>SUM(CB99:CM99)</f>
        <v>0</v>
      </c>
      <c r="CO99" s="137"/>
      <c r="CP99" s="137"/>
      <c r="CQ99" s="137"/>
      <c r="CR99" s="137"/>
      <c r="CS99" s="137"/>
      <c r="CT99" s="137"/>
      <c r="CU99" s="137"/>
      <c r="CV99" s="137"/>
      <c r="CW99" s="137"/>
      <c r="CX99" s="137"/>
      <c r="CY99" s="137"/>
      <c r="CZ99" s="137"/>
      <c r="DA99" s="132" t="str">
        <f>SUM(CO99:CZ99)</f>
        <v>0</v>
      </c>
      <c r="DB99" s="136"/>
      <c r="DC99" s="136"/>
      <c r="DD99" s="136"/>
      <c r="DE99" s="136"/>
      <c r="DF99" s="136"/>
      <c r="DG99" s="136"/>
      <c r="DH99" s="136"/>
      <c r="DI99" s="136"/>
      <c r="DJ99" s="136"/>
      <c r="DK99" s="136"/>
      <c r="DL99" s="136"/>
      <c r="DM99" s="136"/>
      <c r="DN99" s="132" t="str">
        <f>SUM(DB99:DM99)</f>
        <v>0</v>
      </c>
      <c r="DO99" s="137"/>
      <c r="DP99" s="137"/>
      <c r="DQ99" s="137"/>
      <c r="DR99" s="137"/>
      <c r="DS99" s="137"/>
      <c r="DT99" s="137"/>
      <c r="DU99" s="137"/>
      <c r="DV99" s="137"/>
      <c r="DW99" s="137"/>
      <c r="DX99" s="137"/>
      <c r="DY99" s="137"/>
      <c r="DZ99" s="137"/>
      <c r="EA99" s="132" t="str">
        <f>SUM(DO99:DZ99)</f>
        <v>0</v>
      </c>
      <c r="EB99" s="216"/>
      <c r="EC99" s="216"/>
      <c r="ED99" s="216"/>
      <c r="EE99" s="216"/>
      <c r="EF99" s="216"/>
      <c r="EG99" s="216"/>
      <c r="EH99" s="216"/>
      <c r="EI99" s="216"/>
      <c r="EJ99" s="216"/>
      <c r="EK99" s="216"/>
      <c r="EL99" s="216"/>
      <c r="EM99" s="216"/>
      <c r="EN99" s="132" t="str">
        <f>SUM(EB99:EM99)</f>
        <v>0</v>
      </c>
      <c r="EO99" s="132"/>
      <c r="EP99" s="132"/>
      <c r="EQ99" s="132"/>
      <c r="ER99" s="132"/>
      <c r="ES99" s="132"/>
      <c r="ET99" s="132"/>
      <c r="EU99" s="132"/>
      <c r="EV99" s="132"/>
      <c r="EW99" s="132"/>
      <c r="EX99" s="132"/>
      <c r="EY99" s="132"/>
      <c r="EZ99" s="132"/>
      <c r="FA99" s="132" t="str">
        <f>SUM(EO99:EZ99)</f>
        <v>0</v>
      </c>
      <c r="FB99" s="181"/>
      <c r="FC99" s="181"/>
      <c r="FD99" s="181"/>
      <c r="FE99" s="181"/>
      <c r="FF99" s="181"/>
      <c r="FG99" s="181"/>
      <c r="FH99" s="181"/>
      <c r="FI99" s="181"/>
      <c r="FJ99" s="181"/>
      <c r="FK99" s="181"/>
      <c r="FL99" s="181"/>
      <c r="FM99" s="181"/>
      <c r="FN99" s="132" t="str">
        <f>SUM(FB99:FM99)</f>
        <v>0</v>
      </c>
      <c r="FO99" s="132"/>
      <c r="FP99" s="132"/>
      <c r="FQ99" s="132"/>
      <c r="FR99" s="132"/>
      <c r="FS99" s="132"/>
      <c r="FT99" s="132"/>
      <c r="FU99" s="132"/>
      <c r="FV99" s="132"/>
      <c r="FW99" s="132"/>
      <c r="FX99" s="132"/>
      <c r="FY99" s="132"/>
      <c r="FZ99" s="132"/>
      <c r="GA99" s="132" t="str">
        <f>SUM(FO99:FZ99)</f>
        <v>0</v>
      </c>
      <c r="GB99" s="181"/>
      <c r="GC99" s="181"/>
      <c r="GD99" s="181"/>
      <c r="GE99" s="181"/>
      <c r="GF99" s="181"/>
      <c r="GG99" s="181"/>
      <c r="GH99" s="181"/>
      <c r="GI99" s="181"/>
      <c r="GJ99" s="181"/>
      <c r="GK99" s="181"/>
      <c r="GL99" s="181"/>
      <c r="GM99" s="181"/>
      <c r="GN99" s="181" t="str">
        <f>SUM(GB99:GM99)</f>
        <v>0</v>
      </c>
      <c r="GO99" s="137"/>
      <c r="GP99" s="137"/>
      <c r="GQ99" s="137"/>
      <c r="GR99" s="137"/>
      <c r="GS99" s="137"/>
      <c r="GT99" s="137"/>
      <c r="GU99" s="137"/>
      <c r="GV99" s="137"/>
      <c r="GW99" s="137"/>
      <c r="GX99" s="137"/>
      <c r="GY99" s="137"/>
      <c r="GZ99" s="137"/>
      <c r="HA99" s="132" t="str">
        <f>SUM(GO99:GZ99)</f>
        <v>0</v>
      </c>
      <c r="HB99" s="181"/>
      <c r="HC99" s="181"/>
      <c r="HD99" s="181"/>
      <c r="HE99" s="181"/>
      <c r="HF99" s="181"/>
      <c r="HG99" s="181"/>
      <c r="HH99" s="181"/>
      <c r="HI99" s="181"/>
      <c r="HJ99" s="181"/>
      <c r="HK99" s="181"/>
      <c r="HL99" s="181"/>
      <c r="HM99" s="181"/>
      <c r="HN99" s="181" t="str">
        <f>SUM(HB99:HM99)</f>
        <v>0</v>
      </c>
      <c r="HO99" s="132"/>
      <c r="HP99" s="132"/>
      <c r="HQ99" s="132"/>
      <c r="HR99" s="132"/>
      <c r="HS99" s="132"/>
      <c r="HT99" s="132"/>
      <c r="HU99" s="132"/>
      <c r="HV99" s="132"/>
      <c r="HW99" s="132"/>
      <c r="HX99" s="132"/>
      <c r="HY99" s="132"/>
      <c r="HZ99" s="132"/>
      <c r="IA99" s="132" t="str">
        <f>SUM(HO99:HZ99)</f>
        <v>0</v>
      </c>
      <c r="IB99" s="181"/>
      <c r="IC99" s="181"/>
      <c r="ID99" s="181"/>
      <c r="IE99" s="181"/>
      <c r="IF99" s="181"/>
      <c r="IG99" s="181"/>
      <c r="IH99" s="181"/>
      <c r="II99" s="181"/>
      <c r="IJ99" s="181"/>
      <c r="IK99" s="181"/>
      <c r="IL99" s="181"/>
      <c r="IM99" s="181"/>
      <c r="IN99" s="181" t="str">
        <f>SUM(IB99:IM99)</f>
        <v>0</v>
      </c>
      <c r="IO99" s="181"/>
      <c r="IP99" s="181"/>
      <c r="IQ99" s="181"/>
      <c r="IR99" s="181"/>
      <c r="IS99" s="181"/>
      <c r="IT99" s="181"/>
      <c r="IU99" s="181"/>
      <c r="IV99" s="181"/>
      <c r="IW99" s="181"/>
      <c r="IX99" s="181"/>
      <c r="IY99" s="181"/>
      <c r="IZ99" s="181"/>
      <c r="JA99" s="181" t="str">
        <f>SUM(IO99:IZ99)</f>
        <v>0</v>
      </c>
      <c r="JC99" s="135" t="str">
        <f>B99+O99+AB99+AO99+BB99+BO99+CB99+CO99+DB99+DO99+EB99+EO99+FB99+FO99+GB99+GO99+HB99+HO99+IB99+IO99</f>
        <v>0</v>
      </c>
      <c r="JD99" s="135" t="str">
        <f>C99+P99+AC99+AP99+BC99+BP99+CC99+CP99+DC99+DP99+EC99+EP99+FC99+FP99+GC99+GP99+HC99+HP99+IC99+IP99</f>
        <v>0</v>
      </c>
      <c r="JE99" s="135" t="str">
        <f>D99+Q99+AD99+AQ99+BD99+BQ99+CD99+CQ99+DD99+DQ99+ED99+EQ99+FD99+FQ99+GD99+GQ99+HD99+HQ99+ID99+IQ99</f>
        <v>0</v>
      </c>
      <c r="JF99" s="135" t="str">
        <f>E99+R99+AE99+AR99+BE99+BR99+CE99+CR99+DE99+DR99+EE99+ER99+FE99+FR99+GE99+GR99+HE99+HR99+IE99+IR99</f>
        <v>0</v>
      </c>
      <c r="JG99" s="135" t="str">
        <f>F99+S99+AF99+AS99+BF99+BS99+CF99+CS99+DF99+DS99+EF99+ES99+FF99+FS99+GF99+GS99+HF99+HS99+IF99+IS99</f>
        <v>0</v>
      </c>
      <c r="JH99" s="135" t="str">
        <f>G99+T99+AG99+AT99+BG99+BT99+CG99+CT99+DG99+DT99+EG99+ET99+FG99+FT99+GG99+GT99+HG99+HT99+IG99+IT99</f>
        <v>0</v>
      </c>
      <c r="JI99" s="135" t="str">
        <f>H99+U99+AH99+AU99+BH99+BU99+CH99+CU99+DH99+DU99+EH99+EU99+FH99+FU99+GH99+GU99+HH99+HU99+IH99+IU99</f>
        <v>0</v>
      </c>
      <c r="JJ99" s="135" t="str">
        <f>I99+V99+AI99+AV99+BI99+BV99+CI99+CV99+DI99+DV99+EI99+EV99+FI99+FV99+GI99+GV99+HI99+HV99+II99+IV99</f>
        <v>0</v>
      </c>
      <c r="JK99" s="135" t="str">
        <f>J99+W99+AJ99+AW99+BJ99+BW99+CJ99+CW99+DJ99+DW99+EJ99+EW99+FJ99+FW99+GJ99+GW99+HJ99+HW99+IJ99+IW99</f>
        <v>0</v>
      </c>
      <c r="JL99" s="135" t="str">
        <f>K99+X99+AK99+AX99+BK99+BX99+CK99+CX99+DK99+DX99+EK99+EX99+FK99+FX99+GK99+GX99+HK99+HX99+IK99+IX99</f>
        <v>0</v>
      </c>
      <c r="JM99" s="135" t="str">
        <f>L99+Y99+AL99+AY99+BL99+BY99+CL99+CY99+DL99+DY99+EL99+EY99+FL99+FY99+GL99+GY99+HL99+HY99+IL99+IY99</f>
        <v>0</v>
      </c>
      <c r="JN99" s="135" t="str">
        <f>M99+Z99+AM99+AZ99+BM99+BZ99+CM99+CZ99+DM99+DZ99+EM99+EZ99+FM99+FZ99+GM99+GZ99+HM99+HZ99+IM99+IZ99</f>
        <v>0</v>
      </c>
      <c r="JO99" s="132" t="str">
        <f>SUM(JC99:JN99)</f>
        <v>0</v>
      </c>
      <c r="JQ99" s="139" t="str">
        <f>N99+AA99+AN99+BA99+BN99+CA99+CN99+DA99+DN99+EA99+EN99+FA99+FN99+GA99+GN99+HA99+HN99+IA99+IN99+JA99</f>
        <v>0</v>
      </c>
    </row>
    <row r="100" spans="1:278">
      <c r="A100" s="130"/>
      <c r="B100" s="131"/>
      <c r="C100" s="131"/>
      <c r="D100" s="131"/>
      <c r="E100" s="131"/>
      <c r="F100" s="131"/>
      <c r="G100" s="131"/>
      <c r="H100" s="131"/>
      <c r="I100" s="131"/>
      <c r="J100" s="131"/>
      <c r="K100" s="131"/>
      <c r="L100" s="131"/>
      <c r="M100" s="131"/>
      <c r="N100" s="132" t="str">
        <f>SUM(B100:M100)</f>
        <v>0</v>
      </c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  <c r="AA100" s="132" t="str">
        <f>SUM(O100:Z100)</f>
        <v>0</v>
      </c>
      <c r="AB100" s="131"/>
      <c r="AC100" s="131"/>
      <c r="AD100" s="131"/>
      <c r="AE100" s="131"/>
      <c r="AF100" s="131"/>
      <c r="AG100" s="131"/>
      <c r="AH100" s="131"/>
      <c r="AI100" s="131"/>
      <c r="AJ100" s="131"/>
      <c r="AK100" s="131"/>
      <c r="AL100" s="131"/>
      <c r="AM100" s="131"/>
      <c r="AN100" s="132" t="str">
        <f>SUM(AB100:AM100)</f>
        <v>0</v>
      </c>
      <c r="AO100" s="133"/>
      <c r="AP100" s="133"/>
      <c r="AQ100" s="133"/>
      <c r="AR100" s="133"/>
      <c r="AS100" s="133"/>
      <c r="AT100" s="133"/>
      <c r="AU100" s="133"/>
      <c r="AV100" s="133"/>
      <c r="AW100" s="133"/>
      <c r="AX100" s="133"/>
      <c r="AY100" s="133"/>
      <c r="AZ100" s="133"/>
      <c r="BA100" s="132" t="str">
        <f>SUM(AO100:AZ100)</f>
        <v>0</v>
      </c>
      <c r="BB100" s="134"/>
      <c r="BC100" s="134"/>
      <c r="BD100" s="134"/>
      <c r="BE100" s="134"/>
      <c r="BF100" s="134"/>
      <c r="BG100" s="134"/>
      <c r="BH100" s="134"/>
      <c r="BI100" s="134"/>
      <c r="BJ100" s="134"/>
      <c r="BK100" s="134"/>
      <c r="BL100" s="134"/>
      <c r="BM100" s="134"/>
      <c r="BN100" s="132" t="str">
        <f>SUM(BB100:BM100)</f>
        <v>0</v>
      </c>
      <c r="BO100" s="135"/>
      <c r="BP100" s="135"/>
      <c r="BQ100" s="135"/>
      <c r="BR100" s="135"/>
      <c r="BS100" s="135"/>
      <c r="BT100" s="135"/>
      <c r="BU100" s="135"/>
      <c r="BV100" s="135"/>
      <c r="BW100" s="135"/>
      <c r="BX100" s="135"/>
      <c r="BY100" s="135"/>
      <c r="BZ100" s="135"/>
      <c r="CA100" s="132" t="str">
        <f>SUM(BO100:BZ100)</f>
        <v>0</v>
      </c>
      <c r="CB100" s="136"/>
      <c r="CC100" s="136"/>
      <c r="CD100" s="136"/>
      <c r="CE100" s="136"/>
      <c r="CF100" s="136"/>
      <c r="CG100" s="136"/>
      <c r="CH100" s="136"/>
      <c r="CI100" s="136"/>
      <c r="CJ100" s="136"/>
      <c r="CK100" s="136"/>
      <c r="CL100" s="136"/>
      <c r="CM100" s="136"/>
      <c r="CN100" s="132" t="str">
        <f>SUM(CB100:CM100)</f>
        <v>0</v>
      </c>
      <c r="CO100" s="137"/>
      <c r="CP100" s="137"/>
      <c r="CQ100" s="137"/>
      <c r="CR100" s="137"/>
      <c r="CS100" s="137"/>
      <c r="CT100" s="137"/>
      <c r="CU100" s="137"/>
      <c r="CV100" s="137"/>
      <c r="CW100" s="137"/>
      <c r="CX100" s="137"/>
      <c r="CY100" s="137"/>
      <c r="CZ100" s="137"/>
      <c r="DA100" s="132" t="str">
        <f>SUM(CO100:CZ100)</f>
        <v>0</v>
      </c>
      <c r="DB100" s="136"/>
      <c r="DC100" s="136"/>
      <c r="DD100" s="136"/>
      <c r="DE100" s="136"/>
      <c r="DF100" s="136"/>
      <c r="DG100" s="136"/>
      <c r="DH100" s="136"/>
      <c r="DI100" s="136"/>
      <c r="DJ100" s="136"/>
      <c r="DK100" s="136"/>
      <c r="DL100" s="136"/>
      <c r="DM100" s="136"/>
      <c r="DN100" s="132" t="str">
        <f>SUM(DB100:DM100)</f>
        <v>0</v>
      </c>
      <c r="DO100" s="137"/>
      <c r="DP100" s="137"/>
      <c r="DQ100" s="137"/>
      <c r="DR100" s="137"/>
      <c r="DS100" s="137"/>
      <c r="DT100" s="137"/>
      <c r="DU100" s="137"/>
      <c r="DV100" s="137"/>
      <c r="DW100" s="137"/>
      <c r="DX100" s="137"/>
      <c r="DY100" s="137"/>
      <c r="DZ100" s="137"/>
      <c r="EA100" s="132" t="str">
        <f>SUM(DO100:DZ100)</f>
        <v>0</v>
      </c>
      <c r="EB100" s="216"/>
      <c r="EC100" s="216"/>
      <c r="ED100" s="216"/>
      <c r="EE100" s="216"/>
      <c r="EF100" s="216"/>
      <c r="EG100" s="216"/>
      <c r="EH100" s="216"/>
      <c r="EI100" s="216"/>
      <c r="EJ100" s="216"/>
      <c r="EK100" s="216"/>
      <c r="EL100" s="216"/>
      <c r="EM100" s="216"/>
      <c r="EN100" s="132" t="str">
        <f>SUM(EB100:EM100)</f>
        <v>0</v>
      </c>
      <c r="EO100" s="132"/>
      <c r="EP100" s="132"/>
      <c r="EQ100" s="132"/>
      <c r="ER100" s="132"/>
      <c r="ES100" s="132"/>
      <c r="ET100" s="132"/>
      <c r="EU100" s="132"/>
      <c r="EV100" s="132"/>
      <c r="EW100" s="132"/>
      <c r="EX100" s="132"/>
      <c r="EY100" s="132"/>
      <c r="EZ100" s="132"/>
      <c r="FA100" s="132" t="str">
        <f>SUM(EO100:EZ100)</f>
        <v>0</v>
      </c>
      <c r="FB100" s="181"/>
      <c r="FC100" s="181"/>
      <c r="FD100" s="181"/>
      <c r="FE100" s="181"/>
      <c r="FF100" s="181"/>
      <c r="FG100" s="181"/>
      <c r="FH100" s="181"/>
      <c r="FI100" s="181"/>
      <c r="FJ100" s="181"/>
      <c r="FK100" s="181"/>
      <c r="FL100" s="181"/>
      <c r="FM100" s="181"/>
      <c r="FN100" s="132" t="str">
        <f>SUM(FB100:FM100)</f>
        <v>0</v>
      </c>
      <c r="FO100" s="132"/>
      <c r="FP100" s="132"/>
      <c r="FQ100" s="132"/>
      <c r="FR100" s="132"/>
      <c r="FS100" s="132"/>
      <c r="FT100" s="132"/>
      <c r="FU100" s="132"/>
      <c r="FV100" s="132"/>
      <c r="FW100" s="132"/>
      <c r="FX100" s="132"/>
      <c r="FY100" s="132"/>
      <c r="FZ100" s="132"/>
      <c r="GA100" s="132" t="str">
        <f>SUM(FO100:FZ100)</f>
        <v>0</v>
      </c>
      <c r="GB100" s="181"/>
      <c r="GC100" s="181"/>
      <c r="GD100" s="181"/>
      <c r="GE100" s="181"/>
      <c r="GF100" s="181"/>
      <c r="GG100" s="181"/>
      <c r="GH100" s="181"/>
      <c r="GI100" s="181"/>
      <c r="GJ100" s="181"/>
      <c r="GK100" s="181"/>
      <c r="GL100" s="181"/>
      <c r="GM100" s="181"/>
      <c r="GN100" s="181" t="str">
        <f>SUM(GB100:GM100)</f>
        <v>0</v>
      </c>
      <c r="GO100" s="137"/>
      <c r="GP100" s="137"/>
      <c r="GQ100" s="137"/>
      <c r="GR100" s="137"/>
      <c r="GS100" s="137"/>
      <c r="GT100" s="137"/>
      <c r="GU100" s="137"/>
      <c r="GV100" s="137"/>
      <c r="GW100" s="137"/>
      <c r="GX100" s="137"/>
      <c r="GY100" s="137"/>
      <c r="GZ100" s="137"/>
      <c r="HA100" s="132" t="str">
        <f>SUM(GO100:GZ100)</f>
        <v>0</v>
      </c>
      <c r="HB100" s="181"/>
      <c r="HC100" s="181"/>
      <c r="HD100" s="181"/>
      <c r="HE100" s="181"/>
      <c r="HF100" s="181"/>
      <c r="HG100" s="181"/>
      <c r="HH100" s="181"/>
      <c r="HI100" s="181"/>
      <c r="HJ100" s="181"/>
      <c r="HK100" s="181"/>
      <c r="HL100" s="181"/>
      <c r="HM100" s="181"/>
      <c r="HN100" s="181" t="str">
        <f>SUM(HB100:HM100)</f>
        <v>0</v>
      </c>
      <c r="HO100" s="132"/>
      <c r="HP100" s="132"/>
      <c r="HQ100" s="132"/>
      <c r="HR100" s="132"/>
      <c r="HS100" s="132"/>
      <c r="HT100" s="132"/>
      <c r="HU100" s="132"/>
      <c r="HV100" s="132"/>
      <c r="HW100" s="132"/>
      <c r="HX100" s="132"/>
      <c r="HY100" s="132"/>
      <c r="HZ100" s="132"/>
      <c r="IA100" s="132" t="str">
        <f>SUM(HO100:HZ100)</f>
        <v>0</v>
      </c>
      <c r="IB100" s="181"/>
      <c r="IC100" s="181"/>
      <c r="ID100" s="181"/>
      <c r="IE100" s="181"/>
      <c r="IF100" s="181"/>
      <c r="IG100" s="181"/>
      <c r="IH100" s="181"/>
      <c r="II100" s="181"/>
      <c r="IJ100" s="181"/>
      <c r="IK100" s="181"/>
      <c r="IL100" s="181"/>
      <c r="IM100" s="181"/>
      <c r="IN100" s="181" t="str">
        <f>SUM(IB100:IM100)</f>
        <v>0</v>
      </c>
      <c r="IO100" s="181"/>
      <c r="IP100" s="181"/>
      <c r="IQ100" s="181"/>
      <c r="IR100" s="181"/>
      <c r="IS100" s="181"/>
      <c r="IT100" s="181"/>
      <c r="IU100" s="181"/>
      <c r="IV100" s="181"/>
      <c r="IW100" s="181"/>
      <c r="IX100" s="181"/>
      <c r="IY100" s="181"/>
      <c r="IZ100" s="181"/>
      <c r="JA100" s="181" t="str">
        <f>SUM(IO100:IZ100)</f>
        <v>0</v>
      </c>
      <c r="JC100" s="135" t="str">
        <f>B100+O100+AB100+AO100+BB100+BO100+CB100+CO100+DB100+DO100+EB100+EO100+FB100+FO100+GB100+GO100+HB100+HO100+IB100+IO100</f>
        <v>0</v>
      </c>
      <c r="JD100" s="135" t="str">
        <f>C100+P100+AC100+AP100+BC100+BP100+CC100+CP100+DC100+DP100+EC100+EP100+FC100+FP100+GC100+GP100+HC100+HP100+IC100+IP100</f>
        <v>0</v>
      </c>
      <c r="JE100" s="135" t="str">
        <f>D100+Q100+AD100+AQ100+BD100+BQ100+CD100+CQ100+DD100+DQ100+ED100+EQ100+FD100+FQ100+GD100+GQ100+HD100+HQ100+ID100+IQ100</f>
        <v>0</v>
      </c>
      <c r="JF100" s="135" t="str">
        <f>E100+R100+AE100+AR100+BE100+BR100+CE100+CR100+DE100+DR100+EE100+ER100+FE100+FR100+GE100+GR100+HE100+HR100+IE100+IR100</f>
        <v>0</v>
      </c>
      <c r="JG100" s="135" t="str">
        <f>F100+S100+AF100+AS100+BF100+BS100+CF100+CS100+DF100+DS100+EF100+ES100+FF100+FS100+GF100+GS100+HF100+HS100+IF100+IS100</f>
        <v>0</v>
      </c>
      <c r="JH100" s="135" t="str">
        <f>G100+T100+AG100+AT100+BG100+BT100+CG100+CT100+DG100+DT100+EG100+ET100+FG100+FT100+GG100+GT100+HG100+HT100+IG100+IT100</f>
        <v>0</v>
      </c>
      <c r="JI100" s="135" t="str">
        <f>H100+U100+AH100+AU100+BH100+BU100+CH100+CU100+DH100+DU100+EH100+EU100+FH100+FU100+GH100+GU100+HH100+HU100+IH100+IU100</f>
        <v>0</v>
      </c>
      <c r="JJ100" s="135" t="str">
        <f>I100+V100+AI100+AV100+BI100+BV100+CI100+CV100+DI100+DV100+EI100+EV100+FI100+FV100+GI100+GV100+HI100+HV100+II100+IV100</f>
        <v>0</v>
      </c>
      <c r="JK100" s="135" t="str">
        <f>J100+W100+AJ100+AW100+BJ100+BW100+CJ100+CW100+DJ100+DW100+EJ100+EW100+FJ100+FW100+GJ100+GW100+HJ100+HW100+IJ100+IW100</f>
        <v>0</v>
      </c>
      <c r="JL100" s="135" t="str">
        <f>K100+X100+AK100+AX100+BK100+BX100+CK100+CX100+DK100+DX100+EK100+EX100+FK100+FX100+GK100+GX100+HK100+HX100+IK100+IX100</f>
        <v>0</v>
      </c>
      <c r="JM100" s="135" t="str">
        <f>L100+Y100+AL100+AY100+BL100+BY100+CL100+CY100+DL100+DY100+EL100+EY100+FL100+FY100+GL100+GY100+HL100+HY100+IL100+IY100</f>
        <v>0</v>
      </c>
      <c r="JN100" s="135" t="str">
        <f>M100+Z100+AM100+AZ100+BM100+BZ100+CM100+CZ100+DM100+DZ100+EM100+EZ100+FM100+FZ100+GM100+GZ100+HM100+HZ100+IM100+IZ100</f>
        <v>0</v>
      </c>
      <c r="JO100" s="132" t="str">
        <f>SUM(JC100:JN100)</f>
        <v>0</v>
      </c>
      <c r="JQ100" s="139" t="str">
        <f>N100+AA100+AN100+BA100+BN100+CA100+CN100+DA100+DN100+EA100+EN100+FA100+FN100+GA100+GN100+HA100+HN100+IA100+IN100+JA100</f>
        <v>0</v>
      </c>
    </row>
    <row r="101" spans="1:278">
      <c r="A101" s="130"/>
      <c r="B101" s="131"/>
      <c r="C101" s="131"/>
      <c r="D101" s="131"/>
      <c r="E101" s="131"/>
      <c r="F101" s="131"/>
      <c r="G101" s="131"/>
      <c r="H101" s="131"/>
      <c r="I101" s="131"/>
      <c r="J101" s="131"/>
      <c r="K101" s="131"/>
      <c r="L101" s="131"/>
      <c r="M101" s="131"/>
      <c r="N101" s="132" t="str">
        <f>SUM(B101:M101)</f>
        <v>0</v>
      </c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  <c r="AA101" s="132" t="str">
        <f>SUM(O101:Z101)</f>
        <v>0</v>
      </c>
      <c r="AB101" s="131"/>
      <c r="AC101" s="131"/>
      <c r="AD101" s="131"/>
      <c r="AE101" s="131"/>
      <c r="AF101" s="131"/>
      <c r="AG101" s="131"/>
      <c r="AH101" s="131"/>
      <c r="AI101" s="131"/>
      <c r="AJ101" s="131"/>
      <c r="AK101" s="131"/>
      <c r="AL101" s="131"/>
      <c r="AM101" s="131"/>
      <c r="AN101" s="132" t="str">
        <f>SUM(AB101:AM101)</f>
        <v>0</v>
      </c>
      <c r="AO101" s="133"/>
      <c r="AP101" s="133"/>
      <c r="AQ101" s="133"/>
      <c r="AR101" s="133"/>
      <c r="AS101" s="133"/>
      <c r="AT101" s="133"/>
      <c r="AU101" s="133"/>
      <c r="AV101" s="133"/>
      <c r="AW101" s="133"/>
      <c r="AX101" s="133"/>
      <c r="AY101" s="133"/>
      <c r="AZ101" s="133"/>
      <c r="BA101" s="132" t="str">
        <f>SUM(AO101:AZ101)</f>
        <v>0</v>
      </c>
      <c r="BB101" s="134"/>
      <c r="BC101" s="134"/>
      <c r="BD101" s="134"/>
      <c r="BE101" s="134"/>
      <c r="BF101" s="134"/>
      <c r="BG101" s="134"/>
      <c r="BH101" s="134"/>
      <c r="BI101" s="134"/>
      <c r="BJ101" s="134"/>
      <c r="BK101" s="134"/>
      <c r="BL101" s="134"/>
      <c r="BM101" s="134"/>
      <c r="BN101" s="132" t="str">
        <f>SUM(BB101:BM101)</f>
        <v>0</v>
      </c>
      <c r="BO101" s="135"/>
      <c r="BP101" s="135"/>
      <c r="BQ101" s="135"/>
      <c r="BR101" s="135"/>
      <c r="BS101" s="135"/>
      <c r="BT101" s="135"/>
      <c r="BU101" s="135"/>
      <c r="BV101" s="135"/>
      <c r="BW101" s="135"/>
      <c r="BX101" s="135"/>
      <c r="BY101" s="135"/>
      <c r="BZ101" s="135"/>
      <c r="CA101" s="132" t="str">
        <f>SUM(BO101:BZ101)</f>
        <v>0</v>
      </c>
      <c r="CB101" s="136"/>
      <c r="CC101" s="136"/>
      <c r="CD101" s="136"/>
      <c r="CE101" s="136"/>
      <c r="CF101" s="136"/>
      <c r="CG101" s="136"/>
      <c r="CH101" s="136"/>
      <c r="CI101" s="136"/>
      <c r="CJ101" s="136"/>
      <c r="CK101" s="136"/>
      <c r="CL101" s="136"/>
      <c r="CM101" s="136"/>
      <c r="CN101" s="132" t="str">
        <f>SUM(CB101:CM101)</f>
        <v>0</v>
      </c>
      <c r="CO101" s="137"/>
      <c r="CP101" s="137"/>
      <c r="CQ101" s="137"/>
      <c r="CR101" s="137"/>
      <c r="CS101" s="137"/>
      <c r="CT101" s="137"/>
      <c r="CU101" s="137"/>
      <c r="CV101" s="137"/>
      <c r="CW101" s="137"/>
      <c r="CX101" s="137"/>
      <c r="CY101" s="137"/>
      <c r="CZ101" s="137"/>
      <c r="DA101" s="132" t="str">
        <f>SUM(CO101:CZ101)</f>
        <v>0</v>
      </c>
      <c r="DB101" s="136"/>
      <c r="DC101" s="136"/>
      <c r="DD101" s="136"/>
      <c r="DE101" s="136"/>
      <c r="DF101" s="136"/>
      <c r="DG101" s="136"/>
      <c r="DH101" s="136"/>
      <c r="DI101" s="136"/>
      <c r="DJ101" s="136"/>
      <c r="DK101" s="136"/>
      <c r="DL101" s="136"/>
      <c r="DM101" s="136"/>
      <c r="DN101" s="132" t="str">
        <f>SUM(DB101:DM101)</f>
        <v>0</v>
      </c>
      <c r="DO101" s="137"/>
      <c r="DP101" s="137"/>
      <c r="DQ101" s="137"/>
      <c r="DR101" s="137"/>
      <c r="DS101" s="137"/>
      <c r="DT101" s="137"/>
      <c r="DU101" s="137"/>
      <c r="DV101" s="137"/>
      <c r="DW101" s="137"/>
      <c r="DX101" s="137"/>
      <c r="DY101" s="137"/>
      <c r="DZ101" s="137"/>
      <c r="EA101" s="132" t="str">
        <f>SUM(DO101:DZ101)</f>
        <v>0</v>
      </c>
      <c r="EB101" s="216"/>
      <c r="EC101" s="216"/>
      <c r="ED101" s="216"/>
      <c r="EE101" s="216"/>
      <c r="EF101" s="216"/>
      <c r="EG101" s="216"/>
      <c r="EH101" s="216"/>
      <c r="EI101" s="216"/>
      <c r="EJ101" s="216"/>
      <c r="EK101" s="216"/>
      <c r="EL101" s="216"/>
      <c r="EM101" s="216"/>
      <c r="EN101" s="132" t="str">
        <f>SUM(EB101:EM101)</f>
        <v>0</v>
      </c>
      <c r="EO101" s="132"/>
      <c r="EP101" s="132"/>
      <c r="EQ101" s="132"/>
      <c r="ER101" s="132"/>
      <c r="ES101" s="132"/>
      <c r="ET101" s="132"/>
      <c r="EU101" s="132"/>
      <c r="EV101" s="132"/>
      <c r="EW101" s="132"/>
      <c r="EX101" s="132"/>
      <c r="EY101" s="132"/>
      <c r="EZ101" s="132"/>
      <c r="FA101" s="132" t="str">
        <f>SUM(EO101:EZ101)</f>
        <v>0</v>
      </c>
      <c r="FB101" s="181"/>
      <c r="FC101" s="181"/>
      <c r="FD101" s="181"/>
      <c r="FE101" s="181"/>
      <c r="FF101" s="181"/>
      <c r="FG101" s="181"/>
      <c r="FH101" s="181"/>
      <c r="FI101" s="181"/>
      <c r="FJ101" s="181"/>
      <c r="FK101" s="181"/>
      <c r="FL101" s="181"/>
      <c r="FM101" s="181"/>
      <c r="FN101" s="132" t="str">
        <f>SUM(FB101:FM101)</f>
        <v>0</v>
      </c>
      <c r="FO101" s="132"/>
      <c r="FP101" s="132"/>
      <c r="FQ101" s="132"/>
      <c r="FR101" s="132"/>
      <c r="FS101" s="132"/>
      <c r="FT101" s="132"/>
      <c r="FU101" s="132"/>
      <c r="FV101" s="132"/>
      <c r="FW101" s="132"/>
      <c r="FX101" s="132"/>
      <c r="FY101" s="132"/>
      <c r="FZ101" s="132"/>
      <c r="GA101" s="132" t="str">
        <f>SUM(FO101:FZ101)</f>
        <v>0</v>
      </c>
      <c r="GB101" s="181"/>
      <c r="GC101" s="181"/>
      <c r="GD101" s="181"/>
      <c r="GE101" s="181"/>
      <c r="GF101" s="181"/>
      <c r="GG101" s="181"/>
      <c r="GH101" s="181"/>
      <c r="GI101" s="181"/>
      <c r="GJ101" s="181"/>
      <c r="GK101" s="181"/>
      <c r="GL101" s="181"/>
      <c r="GM101" s="181"/>
      <c r="GN101" s="181" t="str">
        <f>SUM(GB101:GM101)</f>
        <v>0</v>
      </c>
      <c r="GO101" s="137"/>
      <c r="GP101" s="137"/>
      <c r="GQ101" s="137"/>
      <c r="GR101" s="137"/>
      <c r="GS101" s="137"/>
      <c r="GT101" s="137"/>
      <c r="GU101" s="137"/>
      <c r="GV101" s="137"/>
      <c r="GW101" s="137"/>
      <c r="GX101" s="137"/>
      <c r="GY101" s="137"/>
      <c r="GZ101" s="137"/>
      <c r="HA101" s="132" t="str">
        <f>SUM(GO101:GZ101)</f>
        <v>0</v>
      </c>
      <c r="HB101" s="181"/>
      <c r="HC101" s="181"/>
      <c r="HD101" s="181"/>
      <c r="HE101" s="181"/>
      <c r="HF101" s="181"/>
      <c r="HG101" s="181"/>
      <c r="HH101" s="181"/>
      <c r="HI101" s="181"/>
      <c r="HJ101" s="181"/>
      <c r="HK101" s="181"/>
      <c r="HL101" s="181"/>
      <c r="HM101" s="181"/>
      <c r="HN101" s="181" t="str">
        <f>SUM(HB101:HM101)</f>
        <v>0</v>
      </c>
      <c r="HO101" s="132"/>
      <c r="HP101" s="132"/>
      <c r="HQ101" s="132"/>
      <c r="HR101" s="132"/>
      <c r="HS101" s="132"/>
      <c r="HT101" s="132"/>
      <c r="HU101" s="132"/>
      <c r="HV101" s="132"/>
      <c r="HW101" s="132"/>
      <c r="HX101" s="132"/>
      <c r="HY101" s="132"/>
      <c r="HZ101" s="132"/>
      <c r="IA101" s="132" t="str">
        <f>SUM(HO101:HZ101)</f>
        <v>0</v>
      </c>
      <c r="IB101" s="181"/>
      <c r="IC101" s="181"/>
      <c r="ID101" s="181"/>
      <c r="IE101" s="181"/>
      <c r="IF101" s="181"/>
      <c r="IG101" s="181"/>
      <c r="IH101" s="181"/>
      <c r="II101" s="181"/>
      <c r="IJ101" s="181"/>
      <c r="IK101" s="181"/>
      <c r="IL101" s="181"/>
      <c r="IM101" s="181"/>
      <c r="IN101" s="181" t="str">
        <f>SUM(IB101:IM101)</f>
        <v>0</v>
      </c>
      <c r="IO101" s="181"/>
      <c r="IP101" s="181"/>
      <c r="IQ101" s="181"/>
      <c r="IR101" s="181"/>
      <c r="IS101" s="181"/>
      <c r="IT101" s="181"/>
      <c r="IU101" s="181"/>
      <c r="IV101" s="181"/>
      <c r="IW101" s="181"/>
      <c r="IX101" s="181"/>
      <c r="IY101" s="181"/>
      <c r="IZ101" s="181"/>
      <c r="JA101" s="181" t="str">
        <f>SUM(IO101:IZ101)</f>
        <v>0</v>
      </c>
      <c r="JC101" s="135" t="str">
        <f>B101+O101+AB101+AO101+BB101+BO101+CB101+CO101+DB101+DO101+EB101+EO101+FB101+FO101+GB101+GO101+HB101+HO101+IB101+IO101</f>
        <v>0</v>
      </c>
      <c r="JD101" s="135" t="str">
        <f>C101+P101+AC101+AP101+BC101+BP101+CC101+CP101+DC101+DP101+EC101+EP101+FC101+FP101+GC101+GP101+HC101+HP101+IC101+IP101</f>
        <v>0</v>
      </c>
      <c r="JE101" s="135" t="str">
        <f>D101+Q101+AD101+AQ101+BD101+BQ101+CD101+CQ101+DD101+DQ101+ED101+EQ101+FD101+FQ101+GD101+GQ101+HD101+HQ101+ID101+IQ101</f>
        <v>0</v>
      </c>
      <c r="JF101" s="135" t="str">
        <f>E101+R101+AE101+AR101+BE101+BR101+CE101+CR101+DE101+DR101+EE101+ER101+FE101+FR101+GE101+GR101+HE101+HR101+IE101+IR101</f>
        <v>0</v>
      </c>
      <c r="JG101" s="135" t="str">
        <f>F101+S101+AF101+AS101+BF101+BS101+CF101+CS101+DF101+DS101+EF101+ES101+FF101+FS101+GF101+GS101+HF101+HS101+IF101+IS101</f>
        <v>0</v>
      </c>
      <c r="JH101" s="135" t="str">
        <f>G101+T101+AG101+AT101+BG101+BT101+CG101+CT101+DG101+DT101+EG101+ET101+FG101+FT101+GG101+GT101+HG101+HT101+IG101+IT101</f>
        <v>0</v>
      </c>
      <c r="JI101" s="135" t="str">
        <f>H101+U101+AH101+AU101+BH101+BU101+CH101+CU101+DH101+DU101+EH101+EU101+FH101+FU101+GH101+GU101+HH101+HU101+IH101+IU101</f>
        <v>0</v>
      </c>
      <c r="JJ101" s="135" t="str">
        <f>I101+V101+AI101+AV101+BI101+BV101+CI101+CV101+DI101+DV101+EI101+EV101+FI101+FV101+GI101+GV101+HI101+HV101+II101+IV101</f>
        <v>0</v>
      </c>
      <c r="JK101" s="135" t="str">
        <f>J101+W101+AJ101+AW101+BJ101+BW101+CJ101+CW101+DJ101+DW101+EJ101+EW101+FJ101+FW101+GJ101+GW101+HJ101+HW101+IJ101+IW101</f>
        <v>0</v>
      </c>
      <c r="JL101" s="135" t="str">
        <f>K101+X101+AK101+AX101+BK101+BX101+CK101+CX101+DK101+DX101+EK101+EX101+FK101+FX101+GK101+GX101+HK101+HX101+IK101+IX101</f>
        <v>0</v>
      </c>
      <c r="JM101" s="135" t="str">
        <f>L101+Y101+AL101+AY101+BL101+BY101+CL101+CY101+DL101+DY101+EL101+EY101+FL101+FY101+GL101+GY101+HL101+HY101+IL101+IY101</f>
        <v>0</v>
      </c>
      <c r="JN101" s="135" t="str">
        <f>M101+Z101+AM101+AZ101+BM101+BZ101+CM101+CZ101+DM101+DZ101+EM101+EZ101+FM101+FZ101+GM101+GZ101+HM101+HZ101+IM101+IZ101</f>
        <v>0</v>
      </c>
      <c r="JO101" s="132" t="str">
        <f>SUM(JC101:JN101)</f>
        <v>0</v>
      </c>
      <c r="JQ101" s="139" t="str">
        <f>N101+AA101+AN101+BA101+BN101+CA101+CN101+DA101+DN101+EA101+EN101+FA101+FN101+GA101+GN101+HA101+HN101+IA101+IN101+JA101</f>
        <v>0</v>
      </c>
    </row>
    <row r="102" spans="1:278">
      <c r="A102" s="130"/>
      <c r="B102" s="131"/>
      <c r="C102" s="131"/>
      <c r="D102" s="131"/>
      <c r="E102" s="131"/>
      <c r="F102" s="131"/>
      <c r="G102" s="131"/>
      <c r="H102" s="131"/>
      <c r="I102" s="131"/>
      <c r="J102" s="131"/>
      <c r="K102" s="131"/>
      <c r="L102" s="131"/>
      <c r="M102" s="131"/>
      <c r="N102" s="132" t="str">
        <f>SUM(B102:M102)</f>
        <v>0</v>
      </c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  <c r="AA102" s="132" t="str">
        <f>SUM(O102:Z102)</f>
        <v>0</v>
      </c>
      <c r="AB102" s="131"/>
      <c r="AC102" s="131"/>
      <c r="AD102" s="131"/>
      <c r="AE102" s="131"/>
      <c r="AF102" s="131"/>
      <c r="AG102" s="131"/>
      <c r="AH102" s="131"/>
      <c r="AI102" s="131"/>
      <c r="AJ102" s="131"/>
      <c r="AK102" s="131"/>
      <c r="AL102" s="131"/>
      <c r="AM102" s="131"/>
      <c r="AN102" s="132" t="str">
        <f>SUM(AB102:AM102)</f>
        <v>0</v>
      </c>
      <c r="AO102" s="133"/>
      <c r="AP102" s="133"/>
      <c r="AQ102" s="133"/>
      <c r="AR102" s="133"/>
      <c r="AS102" s="133"/>
      <c r="AT102" s="133"/>
      <c r="AU102" s="133"/>
      <c r="AV102" s="133"/>
      <c r="AW102" s="133"/>
      <c r="AX102" s="133"/>
      <c r="AY102" s="133"/>
      <c r="AZ102" s="133"/>
      <c r="BA102" s="132" t="str">
        <f>SUM(AO102:AZ102)</f>
        <v>0</v>
      </c>
      <c r="BB102" s="134"/>
      <c r="BC102" s="134"/>
      <c r="BD102" s="134"/>
      <c r="BE102" s="134"/>
      <c r="BF102" s="134"/>
      <c r="BG102" s="134"/>
      <c r="BH102" s="134"/>
      <c r="BI102" s="134"/>
      <c r="BJ102" s="134"/>
      <c r="BK102" s="134"/>
      <c r="BL102" s="134"/>
      <c r="BM102" s="134"/>
      <c r="BN102" s="132" t="str">
        <f>SUM(BB102:BM102)</f>
        <v>0</v>
      </c>
      <c r="BO102" s="135"/>
      <c r="BP102" s="135"/>
      <c r="BQ102" s="135"/>
      <c r="BR102" s="135"/>
      <c r="BS102" s="135"/>
      <c r="BT102" s="135"/>
      <c r="BU102" s="135"/>
      <c r="BV102" s="135"/>
      <c r="BW102" s="135"/>
      <c r="BX102" s="135"/>
      <c r="BY102" s="135"/>
      <c r="BZ102" s="135"/>
      <c r="CA102" s="132" t="str">
        <f>SUM(BO102:BZ102)</f>
        <v>0</v>
      </c>
      <c r="CB102" s="136"/>
      <c r="CC102" s="136"/>
      <c r="CD102" s="136"/>
      <c r="CE102" s="136"/>
      <c r="CF102" s="136"/>
      <c r="CG102" s="136"/>
      <c r="CH102" s="136"/>
      <c r="CI102" s="136"/>
      <c r="CJ102" s="136"/>
      <c r="CK102" s="136"/>
      <c r="CL102" s="136"/>
      <c r="CM102" s="136"/>
      <c r="CN102" s="132" t="str">
        <f>SUM(CB102:CM102)</f>
        <v>0</v>
      </c>
      <c r="CO102" s="137"/>
      <c r="CP102" s="137"/>
      <c r="CQ102" s="137"/>
      <c r="CR102" s="137"/>
      <c r="CS102" s="137"/>
      <c r="CT102" s="137"/>
      <c r="CU102" s="137"/>
      <c r="CV102" s="137"/>
      <c r="CW102" s="137"/>
      <c r="CX102" s="137"/>
      <c r="CY102" s="137"/>
      <c r="CZ102" s="137"/>
      <c r="DA102" s="132" t="str">
        <f>SUM(CO102:CZ102)</f>
        <v>0</v>
      </c>
      <c r="DB102" s="136"/>
      <c r="DC102" s="136"/>
      <c r="DD102" s="136"/>
      <c r="DE102" s="136"/>
      <c r="DF102" s="136"/>
      <c r="DG102" s="136"/>
      <c r="DH102" s="136"/>
      <c r="DI102" s="136"/>
      <c r="DJ102" s="136"/>
      <c r="DK102" s="136"/>
      <c r="DL102" s="136"/>
      <c r="DM102" s="136"/>
      <c r="DN102" s="132" t="str">
        <f>SUM(DB102:DM102)</f>
        <v>0</v>
      </c>
      <c r="DO102" s="137"/>
      <c r="DP102" s="137"/>
      <c r="DQ102" s="137"/>
      <c r="DR102" s="137"/>
      <c r="DS102" s="137"/>
      <c r="DT102" s="137"/>
      <c r="DU102" s="137"/>
      <c r="DV102" s="137"/>
      <c r="DW102" s="137"/>
      <c r="DX102" s="137"/>
      <c r="DY102" s="137"/>
      <c r="DZ102" s="137"/>
      <c r="EA102" s="132" t="str">
        <f>SUM(DO102:DZ102)</f>
        <v>0</v>
      </c>
      <c r="EB102" s="216"/>
      <c r="EC102" s="216"/>
      <c r="ED102" s="216"/>
      <c r="EE102" s="216"/>
      <c r="EF102" s="216"/>
      <c r="EG102" s="216"/>
      <c r="EH102" s="216"/>
      <c r="EI102" s="216"/>
      <c r="EJ102" s="216"/>
      <c r="EK102" s="216"/>
      <c r="EL102" s="216"/>
      <c r="EM102" s="216"/>
      <c r="EN102" s="132" t="str">
        <f>SUM(EB102:EM102)</f>
        <v>0</v>
      </c>
      <c r="EO102" s="132"/>
      <c r="EP102" s="132"/>
      <c r="EQ102" s="132"/>
      <c r="ER102" s="132"/>
      <c r="ES102" s="132"/>
      <c r="ET102" s="132"/>
      <c r="EU102" s="132"/>
      <c r="EV102" s="132"/>
      <c r="EW102" s="132"/>
      <c r="EX102" s="132"/>
      <c r="EY102" s="132"/>
      <c r="EZ102" s="132"/>
      <c r="FA102" s="132" t="str">
        <f>SUM(EO102:EZ102)</f>
        <v>0</v>
      </c>
      <c r="FB102" s="181"/>
      <c r="FC102" s="181"/>
      <c r="FD102" s="181"/>
      <c r="FE102" s="181"/>
      <c r="FF102" s="181"/>
      <c r="FG102" s="181"/>
      <c r="FH102" s="181"/>
      <c r="FI102" s="181"/>
      <c r="FJ102" s="181"/>
      <c r="FK102" s="181"/>
      <c r="FL102" s="181"/>
      <c r="FM102" s="181"/>
      <c r="FN102" s="132" t="str">
        <f>SUM(FB102:FM102)</f>
        <v>0</v>
      </c>
      <c r="FO102" s="132"/>
      <c r="FP102" s="132"/>
      <c r="FQ102" s="132"/>
      <c r="FR102" s="132"/>
      <c r="FS102" s="132"/>
      <c r="FT102" s="132"/>
      <c r="FU102" s="132"/>
      <c r="FV102" s="132"/>
      <c r="FW102" s="132"/>
      <c r="FX102" s="132"/>
      <c r="FY102" s="132"/>
      <c r="FZ102" s="132"/>
      <c r="GA102" s="132" t="str">
        <f>SUM(FO102:FZ102)</f>
        <v>0</v>
      </c>
      <c r="GB102" s="181"/>
      <c r="GC102" s="181"/>
      <c r="GD102" s="181"/>
      <c r="GE102" s="181"/>
      <c r="GF102" s="181"/>
      <c r="GG102" s="181"/>
      <c r="GH102" s="181"/>
      <c r="GI102" s="181"/>
      <c r="GJ102" s="181"/>
      <c r="GK102" s="181"/>
      <c r="GL102" s="181"/>
      <c r="GM102" s="181"/>
      <c r="GN102" s="181" t="str">
        <f>SUM(GB102:GM102)</f>
        <v>0</v>
      </c>
      <c r="GO102" s="137"/>
      <c r="GP102" s="137"/>
      <c r="GQ102" s="137"/>
      <c r="GR102" s="137"/>
      <c r="GS102" s="137"/>
      <c r="GT102" s="137"/>
      <c r="GU102" s="137"/>
      <c r="GV102" s="137"/>
      <c r="GW102" s="137"/>
      <c r="GX102" s="137"/>
      <c r="GY102" s="137"/>
      <c r="GZ102" s="137"/>
      <c r="HA102" s="132" t="str">
        <f>SUM(GO102:GZ102)</f>
        <v>0</v>
      </c>
      <c r="HB102" s="181"/>
      <c r="HC102" s="181"/>
      <c r="HD102" s="181"/>
      <c r="HE102" s="181"/>
      <c r="HF102" s="181"/>
      <c r="HG102" s="181"/>
      <c r="HH102" s="181"/>
      <c r="HI102" s="181"/>
      <c r="HJ102" s="181"/>
      <c r="HK102" s="181"/>
      <c r="HL102" s="181"/>
      <c r="HM102" s="181"/>
      <c r="HN102" s="181" t="str">
        <f>SUM(HB102:HM102)</f>
        <v>0</v>
      </c>
      <c r="HO102" s="132"/>
      <c r="HP102" s="132"/>
      <c r="HQ102" s="132"/>
      <c r="HR102" s="132"/>
      <c r="HS102" s="132"/>
      <c r="HT102" s="132"/>
      <c r="HU102" s="132"/>
      <c r="HV102" s="132"/>
      <c r="HW102" s="132"/>
      <c r="HX102" s="132"/>
      <c r="HY102" s="132"/>
      <c r="HZ102" s="132"/>
      <c r="IA102" s="132" t="str">
        <f>SUM(HO102:HZ102)</f>
        <v>0</v>
      </c>
      <c r="IB102" s="181"/>
      <c r="IC102" s="181"/>
      <c r="ID102" s="181"/>
      <c r="IE102" s="181"/>
      <c r="IF102" s="181"/>
      <c r="IG102" s="181"/>
      <c r="IH102" s="181"/>
      <c r="II102" s="181"/>
      <c r="IJ102" s="181"/>
      <c r="IK102" s="181"/>
      <c r="IL102" s="181"/>
      <c r="IM102" s="181"/>
      <c r="IN102" s="181" t="str">
        <f>SUM(IB102:IM102)</f>
        <v>0</v>
      </c>
      <c r="IO102" s="181"/>
      <c r="IP102" s="181"/>
      <c r="IQ102" s="181"/>
      <c r="IR102" s="181"/>
      <c r="IS102" s="181"/>
      <c r="IT102" s="181"/>
      <c r="IU102" s="181"/>
      <c r="IV102" s="181"/>
      <c r="IW102" s="181"/>
      <c r="IX102" s="181"/>
      <c r="IY102" s="181"/>
      <c r="IZ102" s="181"/>
      <c r="JA102" s="181" t="str">
        <f>SUM(IO102:IZ102)</f>
        <v>0</v>
      </c>
      <c r="JC102" s="135" t="str">
        <f>B102+O102+AB102+AO102+BB102+BO102+CB102+CO102+DB102+DO102+EB102+EO102+FB102+FO102+GB102+GO102+HB102+HO102+IB102+IO102</f>
        <v>0</v>
      </c>
      <c r="JD102" s="135" t="str">
        <f>C102+P102+AC102+AP102+BC102+BP102+CC102+CP102+DC102+DP102+EC102+EP102+FC102+FP102+GC102+GP102+HC102+HP102+IC102+IP102</f>
        <v>0</v>
      </c>
      <c r="JE102" s="135" t="str">
        <f>D102+Q102+AD102+AQ102+BD102+BQ102+CD102+CQ102+DD102+DQ102+ED102+EQ102+FD102+FQ102+GD102+GQ102+HD102+HQ102+ID102+IQ102</f>
        <v>0</v>
      </c>
      <c r="JF102" s="135" t="str">
        <f>E102+R102+AE102+AR102+BE102+BR102+CE102+CR102+DE102+DR102+EE102+ER102+FE102+FR102+GE102+GR102+HE102+HR102+IE102+IR102</f>
        <v>0</v>
      </c>
      <c r="JG102" s="135" t="str">
        <f>F102+S102+AF102+AS102+BF102+BS102+CF102+CS102+DF102+DS102+EF102+ES102+FF102+FS102+GF102+GS102+HF102+HS102+IF102+IS102</f>
        <v>0</v>
      </c>
      <c r="JH102" s="135" t="str">
        <f>G102+T102+AG102+AT102+BG102+BT102+CG102+CT102+DG102+DT102+EG102+ET102+FG102+FT102+GG102+GT102+HG102+HT102+IG102+IT102</f>
        <v>0</v>
      </c>
      <c r="JI102" s="135" t="str">
        <f>H102+U102+AH102+AU102+BH102+BU102+CH102+CU102+DH102+DU102+EH102+EU102+FH102+FU102+GH102+GU102+HH102+HU102+IH102+IU102</f>
        <v>0</v>
      </c>
      <c r="JJ102" s="135" t="str">
        <f>I102+V102+AI102+AV102+BI102+BV102+CI102+CV102+DI102+DV102+EI102+EV102+FI102+FV102+GI102+GV102+HI102+HV102+II102+IV102</f>
        <v>0</v>
      </c>
      <c r="JK102" s="135" t="str">
        <f>J102+W102+AJ102+AW102+BJ102+BW102+CJ102+CW102+DJ102+DW102+EJ102+EW102+FJ102+FW102+GJ102+GW102+HJ102+HW102+IJ102+IW102</f>
        <v>0</v>
      </c>
      <c r="JL102" s="135" t="str">
        <f>K102+X102+AK102+AX102+BK102+BX102+CK102+CX102+DK102+DX102+EK102+EX102+FK102+FX102+GK102+GX102+HK102+HX102+IK102+IX102</f>
        <v>0</v>
      </c>
      <c r="JM102" s="135" t="str">
        <f>L102+Y102+AL102+AY102+BL102+BY102+CL102+CY102+DL102+DY102+EL102+EY102+FL102+FY102+GL102+GY102+HL102+HY102+IL102+IY102</f>
        <v>0</v>
      </c>
      <c r="JN102" s="135" t="str">
        <f>M102+Z102+AM102+AZ102+BM102+BZ102+CM102+CZ102+DM102+DZ102+EM102+EZ102+FM102+FZ102+GM102+GZ102+HM102+HZ102+IM102+IZ102</f>
        <v>0</v>
      </c>
      <c r="JO102" s="132" t="str">
        <f>SUM(JC102:JN102)</f>
        <v>0</v>
      </c>
      <c r="JQ102" s="139" t="str">
        <f>N102+AA102+AN102+BA102+BN102+CA102+CN102+DA102+DN102+EA102+EN102+FA102+FN102+GA102+GN102+HA102+HN102+IA102+IN102+JA102</f>
        <v>0</v>
      </c>
    </row>
    <row r="103" spans="1:278" customHeight="1" ht="15.95" s="148" customFormat="1">
      <c r="A103" s="140"/>
      <c r="B103" s="141"/>
      <c r="C103" s="141"/>
      <c r="D103" s="141"/>
      <c r="E103" s="141"/>
      <c r="F103" s="141"/>
      <c r="G103" s="141"/>
      <c r="H103" s="141"/>
      <c r="I103" s="141"/>
      <c r="J103" s="141"/>
      <c r="K103" s="141"/>
      <c r="L103" s="141"/>
      <c r="M103" s="141"/>
      <c r="N103" s="142" t="str">
        <f>SUM(B103:M103)</f>
        <v>0</v>
      </c>
      <c r="O103" s="143"/>
      <c r="P103" s="143"/>
      <c r="Q103" s="143"/>
      <c r="R103" s="143"/>
      <c r="S103" s="143"/>
      <c r="T103" s="143"/>
      <c r="U103" s="143"/>
      <c r="V103" s="143"/>
      <c r="W103" s="143"/>
      <c r="X103" s="143"/>
      <c r="Y103" s="143"/>
      <c r="Z103" s="143"/>
      <c r="AA103" s="142" t="str">
        <f>SUM(O103:Z103)</f>
        <v>0</v>
      </c>
      <c r="AB103" s="141"/>
      <c r="AC103" s="141"/>
      <c r="AD103" s="141"/>
      <c r="AE103" s="141"/>
      <c r="AF103" s="141"/>
      <c r="AG103" s="141"/>
      <c r="AH103" s="141"/>
      <c r="AI103" s="141"/>
      <c r="AJ103" s="141"/>
      <c r="AK103" s="141"/>
      <c r="AL103" s="141"/>
      <c r="AM103" s="141"/>
      <c r="AN103" s="142" t="str">
        <f>SUM(AB103:AM103)</f>
        <v>0</v>
      </c>
      <c r="AO103" s="143"/>
      <c r="AP103" s="143"/>
      <c r="AQ103" s="143"/>
      <c r="AR103" s="143"/>
      <c r="AS103" s="143"/>
      <c r="AT103" s="143"/>
      <c r="AU103" s="143"/>
      <c r="AV103" s="143"/>
      <c r="AW103" s="143"/>
      <c r="AX103" s="143"/>
      <c r="AY103" s="143"/>
      <c r="AZ103" s="143"/>
      <c r="BA103" s="142" t="str">
        <f>SUM(AO103:AZ103)</f>
        <v>0</v>
      </c>
      <c r="BB103" s="144"/>
      <c r="BC103" s="144"/>
      <c r="BD103" s="144"/>
      <c r="BE103" s="144"/>
      <c r="BF103" s="144"/>
      <c r="BG103" s="144"/>
      <c r="BH103" s="144"/>
      <c r="BI103" s="144"/>
      <c r="BJ103" s="144"/>
      <c r="BK103" s="144"/>
      <c r="BL103" s="144"/>
      <c r="BM103" s="144"/>
      <c r="BN103" s="142" t="str">
        <f>SUM(BB103:BM103)</f>
        <v>0</v>
      </c>
      <c r="BO103" s="145"/>
      <c r="BP103" s="145"/>
      <c r="BQ103" s="145"/>
      <c r="BR103" s="145"/>
      <c r="BS103" s="145"/>
      <c r="BT103" s="145"/>
      <c r="BU103" s="145"/>
      <c r="BV103" s="145"/>
      <c r="BW103" s="145"/>
      <c r="BX103" s="145"/>
      <c r="BY103" s="145"/>
      <c r="BZ103" s="145"/>
      <c r="CA103" s="142" t="str">
        <f>SUM(BO103:BZ103)</f>
        <v>0</v>
      </c>
      <c r="CB103" s="146"/>
      <c r="CC103" s="146"/>
      <c r="CD103" s="146"/>
      <c r="CE103" s="146"/>
      <c r="CF103" s="146"/>
      <c r="CG103" s="146"/>
      <c r="CH103" s="146"/>
      <c r="CI103" s="146"/>
      <c r="CJ103" s="146"/>
      <c r="CK103" s="146"/>
      <c r="CL103" s="146"/>
      <c r="CM103" s="146"/>
      <c r="CN103" s="142" t="str">
        <f>SUM(CB103:CM103)</f>
        <v>0</v>
      </c>
      <c r="CO103" s="147"/>
      <c r="CP103" s="147"/>
      <c r="CQ103" s="147"/>
      <c r="CR103" s="147"/>
      <c r="CS103" s="147"/>
      <c r="CT103" s="147"/>
      <c r="CU103" s="147"/>
      <c r="CV103" s="147"/>
      <c r="CW103" s="147"/>
      <c r="CX103" s="147"/>
      <c r="CY103" s="147"/>
      <c r="CZ103" s="147"/>
      <c r="DA103" s="142" t="str">
        <f>SUM(CO103:CZ103)</f>
        <v>0</v>
      </c>
      <c r="DB103" s="146"/>
      <c r="DC103" s="146"/>
      <c r="DD103" s="146"/>
      <c r="DE103" s="146"/>
      <c r="DF103" s="146"/>
      <c r="DG103" s="146"/>
      <c r="DH103" s="146"/>
      <c r="DI103" s="146"/>
      <c r="DJ103" s="146"/>
      <c r="DK103" s="146"/>
      <c r="DL103" s="146"/>
      <c r="DM103" s="146"/>
      <c r="DN103" s="142" t="str">
        <f>SUM(DB103:DM103)</f>
        <v>0</v>
      </c>
      <c r="DO103" s="147"/>
      <c r="DP103" s="147"/>
      <c r="DQ103" s="147"/>
      <c r="DR103" s="147"/>
      <c r="DS103" s="147"/>
      <c r="DT103" s="147"/>
      <c r="DU103" s="147"/>
      <c r="DV103" s="147"/>
      <c r="DW103" s="147"/>
      <c r="DX103" s="147"/>
      <c r="DY103" s="147"/>
      <c r="DZ103" s="147"/>
      <c r="EA103" s="142" t="str">
        <f>SUM(DO103:DZ103)</f>
        <v>0</v>
      </c>
      <c r="EB103" s="217"/>
      <c r="EC103" s="217"/>
      <c r="ED103" s="217"/>
      <c r="EE103" s="217"/>
      <c r="EF103" s="217"/>
      <c r="EG103" s="217"/>
      <c r="EH103" s="217"/>
      <c r="EI103" s="217"/>
      <c r="EJ103" s="217"/>
      <c r="EK103" s="217"/>
      <c r="EL103" s="217"/>
      <c r="EM103" s="217"/>
      <c r="EN103" s="142" t="str">
        <f>SUM(EB103:EM103)</f>
        <v>0</v>
      </c>
      <c r="EO103" s="142"/>
      <c r="EP103" s="142"/>
      <c r="EQ103" s="142"/>
      <c r="ER103" s="142"/>
      <c r="ES103" s="142"/>
      <c r="ET103" s="142"/>
      <c r="EU103" s="142"/>
      <c r="EV103" s="142"/>
      <c r="EW103" s="142"/>
      <c r="EX103" s="142"/>
      <c r="EY103" s="142"/>
      <c r="EZ103" s="142"/>
      <c r="FA103" s="142" t="str">
        <f>SUM(EO103:EZ103)</f>
        <v>0</v>
      </c>
      <c r="FB103" s="182"/>
      <c r="FC103" s="182"/>
      <c r="FD103" s="182"/>
      <c r="FE103" s="182"/>
      <c r="FF103" s="182"/>
      <c r="FG103" s="182"/>
      <c r="FH103" s="182"/>
      <c r="FI103" s="182"/>
      <c r="FJ103" s="182"/>
      <c r="FK103" s="182"/>
      <c r="FL103" s="182"/>
      <c r="FM103" s="182"/>
      <c r="FN103" s="142" t="str">
        <f>SUM(FB103:FM103)</f>
        <v>0</v>
      </c>
      <c r="FO103" s="142"/>
      <c r="FP103" s="142"/>
      <c r="FQ103" s="142"/>
      <c r="FR103" s="142"/>
      <c r="FS103" s="142"/>
      <c r="FT103" s="142"/>
      <c r="FU103" s="142"/>
      <c r="FV103" s="142"/>
      <c r="FW103" s="142"/>
      <c r="FX103" s="142"/>
      <c r="FY103" s="142"/>
      <c r="FZ103" s="142"/>
      <c r="GA103" s="142" t="str">
        <f>SUM(FO103:FZ103)</f>
        <v>0</v>
      </c>
      <c r="GB103" s="182"/>
      <c r="GC103" s="182"/>
      <c r="GD103" s="182"/>
      <c r="GE103" s="182"/>
      <c r="GF103" s="182"/>
      <c r="GG103" s="182"/>
      <c r="GH103" s="182"/>
      <c r="GI103" s="182"/>
      <c r="GJ103" s="182"/>
      <c r="GK103" s="182"/>
      <c r="GL103" s="182"/>
      <c r="GM103" s="182"/>
      <c r="GN103" s="182" t="str">
        <f>SUM(GB103:GM103)</f>
        <v>0</v>
      </c>
      <c r="GO103" s="147"/>
      <c r="GP103" s="147"/>
      <c r="GQ103" s="147"/>
      <c r="GR103" s="147"/>
      <c r="GS103" s="147"/>
      <c r="GT103" s="147"/>
      <c r="GU103" s="147"/>
      <c r="GV103" s="147"/>
      <c r="GW103" s="147"/>
      <c r="GX103" s="147"/>
      <c r="GY103" s="147"/>
      <c r="GZ103" s="147"/>
      <c r="HA103" s="142" t="str">
        <f>SUM(GO103:GZ103)</f>
        <v>0</v>
      </c>
      <c r="HB103" s="182"/>
      <c r="HC103" s="182"/>
      <c r="HD103" s="182"/>
      <c r="HE103" s="182"/>
      <c r="HF103" s="182"/>
      <c r="HG103" s="182"/>
      <c r="HH103" s="182"/>
      <c r="HI103" s="182"/>
      <c r="HJ103" s="182"/>
      <c r="HK103" s="182"/>
      <c r="HL103" s="182"/>
      <c r="HM103" s="182"/>
      <c r="HN103" s="182" t="str">
        <f>SUM(HB103:HM103)</f>
        <v>0</v>
      </c>
      <c r="HO103" s="142"/>
      <c r="HP103" s="142"/>
      <c r="HQ103" s="142"/>
      <c r="HR103" s="142"/>
      <c r="HS103" s="142"/>
      <c r="HT103" s="142"/>
      <c r="HU103" s="142"/>
      <c r="HV103" s="142"/>
      <c r="HW103" s="142"/>
      <c r="HX103" s="142"/>
      <c r="HY103" s="142"/>
      <c r="HZ103" s="142"/>
      <c r="IA103" s="142" t="str">
        <f>SUM(HO103:HZ103)</f>
        <v>0</v>
      </c>
      <c r="IB103" s="182"/>
      <c r="IC103" s="182"/>
      <c r="ID103" s="182"/>
      <c r="IE103" s="182"/>
      <c r="IF103" s="182"/>
      <c r="IG103" s="182"/>
      <c r="IH103" s="182"/>
      <c r="II103" s="182"/>
      <c r="IJ103" s="182"/>
      <c r="IK103" s="182"/>
      <c r="IL103" s="182"/>
      <c r="IM103" s="182"/>
      <c r="IN103" s="182" t="str">
        <f>SUM(IB103:IM103)</f>
        <v>0</v>
      </c>
      <c r="IO103" s="182"/>
      <c r="IP103" s="182"/>
      <c r="IQ103" s="182"/>
      <c r="IR103" s="182"/>
      <c r="IS103" s="182"/>
      <c r="IT103" s="182"/>
      <c r="IU103" s="182"/>
      <c r="IV103" s="182"/>
      <c r="IW103" s="182"/>
      <c r="IX103" s="182"/>
      <c r="IY103" s="182"/>
      <c r="IZ103" s="182"/>
      <c r="JA103" s="182" t="str">
        <f>SUM(IO103:IZ103)</f>
        <v>0</v>
      </c>
      <c r="JC103" s="135" t="str">
        <f>B103+O103+AB103+AO103+BB103+BO103+CB103+CO103+DB103+DO103+EB103+EO103+FB103+FO103+GB103+GO103+HB103+HO103+IB103+IO103</f>
        <v>0</v>
      </c>
      <c r="JD103" s="135" t="str">
        <f>C103+P103+AC103+AP103+BC103+BP103+CC103+CP103+DC103+DP103+EC103+EP103+FC103+FP103+GC103+GP103+HC103+HP103+IC103+IP103</f>
        <v>0</v>
      </c>
      <c r="JE103" s="135" t="str">
        <f>D103+Q103+AD103+AQ103+BD103+BQ103+CD103+CQ103+DD103+DQ103+ED103+EQ103+FD103+FQ103+GD103+GQ103+HD103+HQ103+ID103+IQ103</f>
        <v>0</v>
      </c>
      <c r="JF103" s="135" t="str">
        <f>E103+R103+AE103+AR103+BE103+BR103+CE103+CR103+DE103+DR103+EE103+ER103+FE103+FR103+GE103+GR103+HE103+HR103+IE103+IR103</f>
        <v>0</v>
      </c>
      <c r="JG103" s="135" t="str">
        <f>F103+S103+AF103+AS103+BF103+BS103+CF103+CS103+DF103+DS103+EF103+ES103+FF103+FS103+GF103+GS103+HF103+HS103+IF103+IS103</f>
        <v>0</v>
      </c>
      <c r="JH103" s="135" t="str">
        <f>G103+T103+AG103+AT103+BG103+BT103+CG103+CT103+DG103+DT103+EG103+ET103+FG103+FT103+GG103+GT103+HG103+HT103+IG103+IT103</f>
        <v>0</v>
      </c>
      <c r="JI103" s="135" t="str">
        <f>H103+U103+AH103+AU103+BH103+BU103+CH103+CU103+DH103+DU103+EH103+EU103+FH103+FU103+GH103+GU103+HH103+HU103+IH103+IU103</f>
        <v>0</v>
      </c>
      <c r="JJ103" s="135" t="str">
        <f>I103+V103+AI103+AV103+BI103+BV103+CI103+CV103+DI103+DV103+EI103+EV103+FI103+FV103+GI103+GV103+HI103+HV103+II103+IV103</f>
        <v>0</v>
      </c>
      <c r="JK103" s="135" t="str">
        <f>J103+W103+AJ103+AW103+BJ103+BW103+CJ103+CW103+DJ103+DW103+EJ103+EW103+FJ103+FW103+GJ103+GW103+HJ103+HW103+IJ103+IW103</f>
        <v>0</v>
      </c>
      <c r="JL103" s="135" t="str">
        <f>K103+X103+AK103+AX103+BK103+BX103+CK103+CX103+DK103+DX103+EK103+EX103+FK103+FX103+GK103+GX103+HK103+HX103+IK103+IX103</f>
        <v>0</v>
      </c>
      <c r="JM103" s="135" t="str">
        <f>L103+Y103+AL103+AY103+BL103+BY103+CL103+CY103+DL103+DY103+EL103+EY103+FL103+FY103+GL103+GY103+HL103+HY103+IL103+IY103</f>
        <v>0</v>
      </c>
      <c r="JN103" s="135" t="str">
        <f>M103+Z103+AM103+AZ103+BM103+BZ103+CM103+CZ103+DM103+DZ103+EM103+EZ103+FM103+FZ103+GM103+GZ103+HM103+HZ103+IM103+IZ103</f>
        <v>0</v>
      </c>
      <c r="JO103" s="142" t="str">
        <f>SUM(JC103:JN103)</f>
        <v>0</v>
      </c>
      <c r="JP103" s="149"/>
      <c r="JQ103" s="139" t="str">
        <f>N103+AA103+AN103+BA103+BN103+CA103+CN103+DA103+DN103+EA103+EN103+FA103+FN103+GA103+GN103+HA103+HN103+IA103+IN103+JA103</f>
        <v>0</v>
      </c>
    </row>
    <row r="104" spans="1:278" customHeight="1" ht="15.95" s="150" customFormat="1">
      <c r="N104" s="151" t="str">
        <f>SUM(N3:N103)</f>
        <v>0</v>
      </c>
      <c r="AA104" s="151" t="str">
        <f>SUM(AA3:AA103)</f>
        <v>0</v>
      </c>
      <c r="AN104" s="151" t="str">
        <f>SUM(AN3:AN103)</f>
        <v>0</v>
      </c>
      <c r="BA104" s="151" t="str">
        <f>SUM(BA3:BA103)</f>
        <v>0</v>
      </c>
      <c r="BN104" s="151" t="str">
        <f>SUM(BN3:BN103)</f>
        <v>0</v>
      </c>
      <c r="CA104" s="151" t="str">
        <f>SUM(CA3:CA103)</f>
        <v>0</v>
      </c>
      <c r="CN104" s="151" t="str">
        <f>SUM(CN3:CN103)</f>
        <v>0</v>
      </c>
      <c r="CO104" s="152"/>
      <c r="CP104" s="152"/>
      <c r="CQ104" s="152"/>
      <c r="CR104" s="152"/>
      <c r="CS104" s="152"/>
      <c r="CT104" s="152"/>
      <c r="CU104" s="152"/>
      <c r="CV104" s="152"/>
      <c r="CW104" s="152"/>
      <c r="CX104" s="152"/>
      <c r="CY104" s="152"/>
      <c r="CZ104" s="152"/>
      <c r="DA104" s="151" t="str">
        <f>SUM(DA3:DA103)</f>
        <v>0</v>
      </c>
      <c r="DB104" s="152"/>
      <c r="DC104" s="152"/>
      <c r="DD104" s="152"/>
      <c r="DE104" s="152"/>
      <c r="DF104" s="152"/>
      <c r="DG104" s="152"/>
      <c r="DH104" s="152"/>
      <c r="DI104" s="152"/>
      <c r="DJ104" s="152"/>
      <c r="DK104" s="152"/>
      <c r="DL104" s="152"/>
      <c r="DM104" s="152"/>
      <c r="DN104" s="151" t="str">
        <f>SUM(DN3:DN103)</f>
        <v>0</v>
      </c>
      <c r="DO104" s="152"/>
      <c r="DP104" s="152"/>
      <c r="DQ104" s="152"/>
      <c r="DR104" s="152"/>
      <c r="DS104" s="152"/>
      <c r="DT104" s="152"/>
      <c r="DU104" s="152"/>
      <c r="DV104" s="152"/>
      <c r="DW104" s="152"/>
      <c r="DX104" s="152"/>
      <c r="DY104" s="152"/>
      <c r="DZ104" s="152"/>
      <c r="EA104" s="151" t="str">
        <f>SUM(EA3:EA103)</f>
        <v>0</v>
      </c>
      <c r="EB104" s="152"/>
      <c r="EC104" s="152"/>
      <c r="EN104" s="151" t="str">
        <f>SUM(EN3:EN103)</f>
        <v>0</v>
      </c>
      <c r="EO104" s="151"/>
      <c r="EP104" s="151"/>
      <c r="EQ104" s="151"/>
      <c r="ER104" s="151"/>
      <c r="ES104" s="151"/>
      <c r="ET104" s="151"/>
      <c r="EU104" s="151"/>
      <c r="EV104" s="151"/>
      <c r="EW104" s="151"/>
      <c r="EX104" s="151"/>
      <c r="EY104" s="151"/>
      <c r="EZ104" s="151"/>
      <c r="FA104" s="151" t="str">
        <f>SUM(FA3:FA103)</f>
        <v>0</v>
      </c>
      <c r="FB104" s="183"/>
      <c r="FC104" s="183"/>
      <c r="FD104" s="183"/>
      <c r="FE104" s="183"/>
      <c r="FF104" s="183"/>
      <c r="FG104" s="183"/>
      <c r="FH104" s="183"/>
      <c r="FI104" s="183"/>
      <c r="FJ104" s="183"/>
      <c r="FK104" s="183"/>
      <c r="FL104" s="183"/>
      <c r="FM104" s="183"/>
      <c r="FN104" s="151" t="str">
        <f>SUM(FN3:FN103)</f>
        <v>0</v>
      </c>
      <c r="FO104" s="151"/>
      <c r="FP104" s="151"/>
      <c r="FQ104" s="151"/>
      <c r="FR104" s="151"/>
      <c r="FS104" s="151"/>
      <c r="FT104" s="151"/>
      <c r="FU104" s="151"/>
      <c r="FV104" s="151"/>
      <c r="FW104" s="151"/>
      <c r="FX104" s="151"/>
      <c r="FY104" s="151"/>
      <c r="FZ104" s="151"/>
      <c r="GA104" s="151" t="str">
        <f>SUM(GA3:GA103)</f>
        <v>0</v>
      </c>
      <c r="GB104" s="183"/>
      <c r="GC104" s="183"/>
      <c r="GD104" s="183"/>
      <c r="GE104" s="183"/>
      <c r="GF104" s="183"/>
      <c r="GG104" s="183"/>
      <c r="GH104" s="183"/>
      <c r="GI104" s="183"/>
      <c r="GJ104" s="183"/>
      <c r="GK104" s="183"/>
      <c r="GL104" s="183"/>
      <c r="GM104" s="183"/>
      <c r="GN104" s="183" t="str">
        <f>SUM(GN3:GN103)</f>
        <v>0</v>
      </c>
      <c r="HA104" s="151" t="str">
        <f>SUM(HA3:HA103)</f>
        <v>0</v>
      </c>
      <c r="HB104" s="183"/>
      <c r="HC104" s="183"/>
      <c r="HD104" s="183"/>
      <c r="HE104" s="183"/>
      <c r="HF104" s="183"/>
      <c r="HG104" s="183"/>
      <c r="HH104" s="183"/>
      <c r="HI104" s="183"/>
      <c r="HJ104" s="183"/>
      <c r="HK104" s="183"/>
      <c r="HL104" s="183"/>
      <c r="HM104" s="183"/>
      <c r="HN104" s="183" t="str">
        <f>SUM(HN3:HN103)</f>
        <v>0</v>
      </c>
      <c r="HO104" s="151"/>
      <c r="HP104" s="151"/>
      <c r="HQ104" s="151"/>
      <c r="HR104" s="151"/>
      <c r="HS104" s="151"/>
      <c r="HT104" s="151"/>
      <c r="HU104" s="151"/>
      <c r="HV104" s="151"/>
      <c r="HW104" s="151"/>
      <c r="HX104" s="151"/>
      <c r="HY104" s="151"/>
      <c r="HZ104" s="151"/>
      <c r="IA104" s="151" t="str">
        <f>SUM(IA3:IA103)</f>
        <v>0</v>
      </c>
      <c r="IB104" s="183"/>
      <c r="IC104" s="183"/>
      <c r="ID104" s="183"/>
      <c r="IE104" s="183"/>
      <c r="IF104" s="183"/>
      <c r="IG104" s="183"/>
      <c r="IH104" s="183"/>
      <c r="II104" s="183"/>
      <c r="IJ104" s="183"/>
      <c r="IK104" s="183"/>
      <c r="IL104" s="183"/>
      <c r="IM104" s="183"/>
      <c r="IN104" s="183" t="str">
        <f>SUM(IN3:IN103)</f>
        <v>0</v>
      </c>
      <c r="IO104" s="183"/>
      <c r="IP104" s="183"/>
      <c r="IQ104" s="183"/>
      <c r="IR104" s="183"/>
      <c r="IS104" s="183"/>
      <c r="IT104" s="183"/>
      <c r="IU104" s="183"/>
      <c r="IV104" s="183"/>
      <c r="IW104" s="183"/>
      <c r="IX104" s="183"/>
      <c r="IY104" s="183"/>
      <c r="IZ104" s="183"/>
      <c r="JA104" s="183" t="str">
        <f>SUM(JA3:JA103)</f>
        <v>0</v>
      </c>
      <c r="JO104" s="151" t="str">
        <f>SUM(JO3:JO103)</f>
        <v>0</v>
      </c>
      <c r="JQ104" s="151"/>
    </row>
    <row r="105" spans="1:278">
      <c r="A105" s="138">
        <v>1</v>
      </c>
      <c r="B105" s="138">
        <v>2</v>
      </c>
      <c r="C105" s="138">
        <v>3</v>
      </c>
      <c r="D105" s="138">
        <v>4</v>
      </c>
      <c r="E105" s="138">
        <v>5</v>
      </c>
      <c r="F105" s="138">
        <v>6</v>
      </c>
      <c r="G105" s="138">
        <v>7</v>
      </c>
      <c r="H105" s="138">
        <v>8</v>
      </c>
      <c r="I105" s="138">
        <v>9</v>
      </c>
      <c r="J105" s="138">
        <v>10</v>
      </c>
      <c r="K105" s="138">
        <v>11</v>
      </c>
      <c r="L105" s="138">
        <v>12</v>
      </c>
      <c r="M105" s="138">
        <v>13</v>
      </c>
      <c r="N105" s="138">
        <v>14</v>
      </c>
      <c r="O105" s="138">
        <v>15</v>
      </c>
      <c r="P105" s="138">
        <v>16</v>
      </c>
      <c r="Q105" s="138">
        <v>17</v>
      </c>
      <c r="R105" s="138">
        <v>18</v>
      </c>
      <c r="S105" s="138">
        <v>19</v>
      </c>
      <c r="T105" s="138">
        <v>20</v>
      </c>
      <c r="U105" s="138">
        <v>21</v>
      </c>
      <c r="V105" s="138">
        <v>22</v>
      </c>
      <c r="W105" s="138">
        <v>23</v>
      </c>
      <c r="X105" s="138">
        <v>24</v>
      </c>
      <c r="Y105" s="138">
        <v>25</v>
      </c>
      <c r="Z105" s="138">
        <v>26</v>
      </c>
      <c r="AA105" s="138">
        <v>27</v>
      </c>
      <c r="AB105" s="138">
        <v>28</v>
      </c>
      <c r="AC105" s="138">
        <v>29</v>
      </c>
      <c r="AD105" s="138">
        <v>30</v>
      </c>
      <c r="AE105" s="138">
        <v>31</v>
      </c>
      <c r="AF105" s="138">
        <v>32</v>
      </c>
      <c r="AG105" s="138">
        <v>33</v>
      </c>
      <c r="AH105" s="138">
        <v>34</v>
      </c>
      <c r="AI105" s="138">
        <v>35</v>
      </c>
      <c r="AJ105" s="138">
        <v>36</v>
      </c>
      <c r="AK105" s="138">
        <v>37</v>
      </c>
      <c r="AL105" s="138">
        <v>38</v>
      </c>
      <c r="AM105" s="138">
        <v>39</v>
      </c>
      <c r="AN105" s="138">
        <v>40</v>
      </c>
      <c r="AO105" s="138">
        <v>41</v>
      </c>
      <c r="AP105" s="138">
        <v>42</v>
      </c>
      <c r="AQ105" s="138">
        <v>43</v>
      </c>
      <c r="AR105" s="138">
        <v>44</v>
      </c>
      <c r="AS105" s="138">
        <v>45</v>
      </c>
      <c r="AT105" s="138">
        <v>46</v>
      </c>
      <c r="AU105" s="138">
        <v>47</v>
      </c>
      <c r="AV105" s="138">
        <v>48</v>
      </c>
      <c r="AW105" s="138">
        <v>49</v>
      </c>
      <c r="AX105" s="138">
        <v>50</v>
      </c>
      <c r="AY105" s="138">
        <v>51</v>
      </c>
      <c r="AZ105" s="138">
        <v>52</v>
      </c>
      <c r="BA105" s="138">
        <v>53</v>
      </c>
      <c r="BB105" s="138">
        <v>54</v>
      </c>
      <c r="BC105" s="138">
        <v>55</v>
      </c>
      <c r="BD105" s="138">
        <v>56</v>
      </c>
      <c r="BE105" s="138">
        <v>57</v>
      </c>
      <c r="BF105" s="138">
        <v>58</v>
      </c>
      <c r="BG105" s="138">
        <v>59</v>
      </c>
      <c r="BH105" s="138">
        <v>60</v>
      </c>
      <c r="BI105" s="138">
        <v>61</v>
      </c>
      <c r="BJ105" s="138">
        <v>62</v>
      </c>
      <c r="BK105" s="138">
        <v>63</v>
      </c>
      <c r="BL105" s="138">
        <v>64</v>
      </c>
      <c r="BM105" s="138">
        <v>65</v>
      </c>
      <c r="BN105" s="138">
        <v>66</v>
      </c>
      <c r="BO105" s="138">
        <v>67</v>
      </c>
      <c r="BP105" s="138">
        <v>68</v>
      </c>
      <c r="BQ105" s="138">
        <v>69</v>
      </c>
      <c r="BR105" s="138">
        <v>70</v>
      </c>
      <c r="BS105" s="138">
        <v>71</v>
      </c>
      <c r="BT105" s="138">
        <v>72</v>
      </c>
      <c r="BU105" s="138">
        <v>73</v>
      </c>
      <c r="BV105" s="138">
        <v>74</v>
      </c>
      <c r="BW105" s="138">
        <v>75</v>
      </c>
      <c r="BX105" s="138">
        <v>76</v>
      </c>
      <c r="BY105" s="138">
        <v>77</v>
      </c>
      <c r="BZ105" s="138">
        <v>78</v>
      </c>
      <c r="CA105" s="138">
        <v>79</v>
      </c>
      <c r="CB105" s="138">
        <v>80</v>
      </c>
      <c r="CC105" s="138">
        <v>81</v>
      </c>
      <c r="CD105" s="138">
        <v>82</v>
      </c>
      <c r="CE105" s="138">
        <v>83</v>
      </c>
      <c r="CF105" s="138">
        <v>84</v>
      </c>
      <c r="CG105" s="138">
        <v>85</v>
      </c>
      <c r="CH105" s="138">
        <v>86</v>
      </c>
      <c r="CI105" s="138">
        <v>87</v>
      </c>
      <c r="CJ105" s="138">
        <v>88</v>
      </c>
      <c r="CK105" s="138">
        <v>89</v>
      </c>
      <c r="CL105" s="138">
        <v>90</v>
      </c>
      <c r="CM105" s="138">
        <v>91</v>
      </c>
      <c r="CN105" s="138">
        <v>92</v>
      </c>
      <c r="CO105" s="138">
        <v>93</v>
      </c>
      <c r="CP105" s="138">
        <v>94</v>
      </c>
      <c r="CQ105" s="138">
        <v>95</v>
      </c>
      <c r="CR105" s="138">
        <v>96</v>
      </c>
      <c r="CS105" s="138">
        <v>97</v>
      </c>
      <c r="CT105" s="138">
        <v>98</v>
      </c>
      <c r="CU105" s="138">
        <v>99</v>
      </c>
      <c r="CV105" s="138">
        <v>100</v>
      </c>
      <c r="CW105" s="138">
        <v>101</v>
      </c>
      <c r="CX105" s="138">
        <v>102</v>
      </c>
      <c r="CY105" s="138">
        <v>103</v>
      </c>
      <c r="CZ105" s="138">
        <v>104</v>
      </c>
      <c r="DA105" s="138">
        <v>105</v>
      </c>
      <c r="DB105" s="138">
        <v>106</v>
      </c>
      <c r="DC105" s="138">
        <v>107</v>
      </c>
      <c r="DD105" s="138">
        <v>108</v>
      </c>
      <c r="DE105" s="138">
        <v>109</v>
      </c>
      <c r="DF105" s="138">
        <v>110</v>
      </c>
      <c r="DG105" s="138">
        <v>111</v>
      </c>
      <c r="DH105" s="138">
        <v>112</v>
      </c>
      <c r="DI105" s="138">
        <v>113</v>
      </c>
      <c r="DJ105" s="138">
        <v>114</v>
      </c>
      <c r="DK105" s="138">
        <v>115</v>
      </c>
      <c r="DL105" s="138">
        <v>116</v>
      </c>
      <c r="DM105" s="138">
        <v>117</v>
      </c>
      <c r="DN105" s="138">
        <v>118</v>
      </c>
      <c r="DO105" s="138">
        <v>119</v>
      </c>
      <c r="DP105" s="138">
        <v>120</v>
      </c>
      <c r="DQ105" s="138">
        <v>121</v>
      </c>
      <c r="DR105" s="138">
        <v>122</v>
      </c>
      <c r="DS105" s="138">
        <v>123</v>
      </c>
      <c r="DT105" s="138">
        <v>124</v>
      </c>
      <c r="DU105" s="138">
        <v>125</v>
      </c>
      <c r="DV105" s="138">
        <v>126</v>
      </c>
      <c r="DW105" s="138">
        <v>127</v>
      </c>
      <c r="DX105" s="138">
        <v>128</v>
      </c>
      <c r="DY105" s="138">
        <v>129</v>
      </c>
      <c r="DZ105" s="138">
        <v>130</v>
      </c>
      <c r="EA105" s="138">
        <v>131</v>
      </c>
      <c r="EB105" s="138">
        <v>132</v>
      </c>
      <c r="EC105" s="138">
        <v>133</v>
      </c>
      <c r="ED105" s="138">
        <v>134</v>
      </c>
      <c r="EE105" s="138">
        <v>135</v>
      </c>
      <c r="EF105" s="138">
        <v>136</v>
      </c>
      <c r="EG105" s="138">
        <v>137</v>
      </c>
      <c r="EH105" s="138">
        <v>138</v>
      </c>
      <c r="EI105" s="138">
        <v>139</v>
      </c>
      <c r="EJ105" s="138">
        <v>140</v>
      </c>
      <c r="EK105" s="138">
        <v>141</v>
      </c>
      <c r="EL105" s="138">
        <v>142</v>
      </c>
      <c r="EM105" s="138">
        <v>143</v>
      </c>
      <c r="EN105" s="138">
        <v>144</v>
      </c>
      <c r="EO105" s="138">
        <v>145</v>
      </c>
      <c r="EP105" s="138">
        <v>146</v>
      </c>
      <c r="EQ105" s="138">
        <v>147</v>
      </c>
      <c r="ER105" s="138">
        <v>148</v>
      </c>
      <c r="ES105" s="138">
        <v>149</v>
      </c>
      <c r="ET105" s="138">
        <v>150</v>
      </c>
      <c r="EU105" s="138">
        <v>151</v>
      </c>
      <c r="EV105" s="138">
        <v>152</v>
      </c>
      <c r="EW105" s="138">
        <v>153</v>
      </c>
      <c r="EX105" s="138">
        <v>154</v>
      </c>
      <c r="EY105" s="138">
        <v>155</v>
      </c>
      <c r="EZ105" s="138">
        <v>156</v>
      </c>
      <c r="FA105" s="138">
        <v>157</v>
      </c>
      <c r="FB105" s="138">
        <v>158</v>
      </c>
      <c r="FC105" s="138">
        <v>159</v>
      </c>
      <c r="FD105" s="138">
        <v>160</v>
      </c>
      <c r="FE105" s="138">
        <v>161</v>
      </c>
      <c r="FF105" s="138">
        <v>162</v>
      </c>
      <c r="FG105" s="138">
        <v>163</v>
      </c>
      <c r="FH105" s="138">
        <v>164</v>
      </c>
      <c r="FI105" s="138">
        <v>165</v>
      </c>
      <c r="FJ105" s="138">
        <v>166</v>
      </c>
      <c r="FK105" s="138">
        <v>167</v>
      </c>
      <c r="FL105" s="138">
        <v>168</v>
      </c>
      <c r="FM105" s="138">
        <v>169</v>
      </c>
      <c r="FN105" s="138">
        <v>170</v>
      </c>
      <c r="FO105" s="138">
        <v>171</v>
      </c>
      <c r="FP105" s="138">
        <v>172</v>
      </c>
      <c r="FQ105" s="138">
        <v>173</v>
      </c>
      <c r="FR105" s="138">
        <v>174</v>
      </c>
      <c r="FS105" s="138">
        <v>175</v>
      </c>
      <c r="FT105" s="138">
        <v>176</v>
      </c>
      <c r="FU105" s="138">
        <v>177</v>
      </c>
      <c r="FV105" s="138">
        <v>178</v>
      </c>
      <c r="FW105" s="138">
        <v>179</v>
      </c>
      <c r="FX105" s="138">
        <v>180</v>
      </c>
      <c r="FY105" s="138">
        <v>181</v>
      </c>
      <c r="FZ105" s="138">
        <v>182</v>
      </c>
      <c r="GA105" s="138">
        <v>183</v>
      </c>
      <c r="GB105" s="138">
        <v>184</v>
      </c>
      <c r="GC105" s="138">
        <v>185</v>
      </c>
      <c r="GD105" s="138">
        <v>186</v>
      </c>
      <c r="GE105" s="138">
        <v>187</v>
      </c>
      <c r="GF105" s="138">
        <v>188</v>
      </c>
      <c r="GG105" s="138">
        <v>189</v>
      </c>
      <c r="GH105" s="138">
        <v>190</v>
      </c>
      <c r="GI105" s="138">
        <v>191</v>
      </c>
      <c r="GJ105" s="138">
        <v>192</v>
      </c>
      <c r="GK105" s="138">
        <v>193</v>
      </c>
      <c r="GL105" s="138">
        <v>194</v>
      </c>
      <c r="GM105" s="138">
        <v>195</v>
      </c>
      <c r="GN105" s="138">
        <v>196</v>
      </c>
      <c r="GO105" s="138">
        <v>197</v>
      </c>
      <c r="GP105" s="138">
        <v>198</v>
      </c>
      <c r="GQ105" s="138">
        <v>199</v>
      </c>
      <c r="GR105" s="138">
        <v>200</v>
      </c>
      <c r="GS105" s="138">
        <v>201</v>
      </c>
      <c r="GT105" s="138">
        <v>202</v>
      </c>
      <c r="GU105" s="138">
        <v>203</v>
      </c>
      <c r="GV105" s="138">
        <v>204</v>
      </c>
      <c r="GW105" s="138">
        <v>205</v>
      </c>
      <c r="GX105" s="138">
        <v>206</v>
      </c>
      <c r="GY105" s="138">
        <v>207</v>
      </c>
      <c r="GZ105" s="138">
        <v>208</v>
      </c>
      <c r="HA105" s="138">
        <v>209</v>
      </c>
      <c r="HB105" s="138">
        <v>210</v>
      </c>
      <c r="HC105" s="138">
        <v>211</v>
      </c>
      <c r="HD105" s="138">
        <v>212</v>
      </c>
      <c r="HE105" s="138">
        <v>213</v>
      </c>
      <c r="HF105" s="138">
        <v>214</v>
      </c>
      <c r="HG105" s="138">
        <v>215</v>
      </c>
      <c r="HH105" s="138">
        <v>216</v>
      </c>
      <c r="HI105" s="138">
        <v>217</v>
      </c>
      <c r="HJ105" s="138">
        <v>218</v>
      </c>
      <c r="HK105" s="138">
        <v>219</v>
      </c>
      <c r="HL105" s="138">
        <v>220</v>
      </c>
      <c r="HM105" s="138">
        <v>221</v>
      </c>
      <c r="HN105" s="138">
        <v>222</v>
      </c>
      <c r="HO105" s="138">
        <v>223</v>
      </c>
      <c r="HP105" s="138">
        <v>224</v>
      </c>
      <c r="HQ105" s="138">
        <v>225</v>
      </c>
      <c r="HR105" s="138">
        <v>226</v>
      </c>
      <c r="HS105" s="138">
        <v>227</v>
      </c>
      <c r="HT105" s="138">
        <v>228</v>
      </c>
      <c r="HU105" s="138">
        <v>229</v>
      </c>
      <c r="HV105" s="138">
        <v>230</v>
      </c>
      <c r="HW105" s="138">
        <v>231</v>
      </c>
      <c r="HX105" s="138">
        <v>232</v>
      </c>
      <c r="HY105" s="138">
        <v>233</v>
      </c>
      <c r="HZ105" s="138">
        <v>234</v>
      </c>
      <c r="IA105" s="138">
        <v>235</v>
      </c>
      <c r="IB105" s="138">
        <v>236</v>
      </c>
      <c r="IC105" s="138">
        <v>237</v>
      </c>
      <c r="ID105" s="138">
        <v>238</v>
      </c>
      <c r="IE105" s="138">
        <v>239</v>
      </c>
      <c r="IF105" s="138">
        <v>240</v>
      </c>
      <c r="IG105" s="138">
        <v>241</v>
      </c>
      <c r="IH105" s="138">
        <v>242</v>
      </c>
      <c r="II105" s="138">
        <v>243</v>
      </c>
      <c r="IJ105" s="138">
        <v>244</v>
      </c>
      <c r="IK105" s="138">
        <v>245</v>
      </c>
      <c r="IL105" s="138">
        <v>246</v>
      </c>
      <c r="IM105" s="138">
        <v>247</v>
      </c>
      <c r="IN105" s="138">
        <v>248</v>
      </c>
      <c r="IO105" s="138">
        <v>236</v>
      </c>
      <c r="IP105" s="138">
        <v>237</v>
      </c>
      <c r="IQ105" s="138">
        <v>238</v>
      </c>
      <c r="IR105" s="138">
        <v>239</v>
      </c>
      <c r="IS105" s="138">
        <v>240</v>
      </c>
      <c r="IT105" s="138">
        <v>241</v>
      </c>
      <c r="IU105" s="138">
        <v>242</v>
      </c>
      <c r="IV105" s="138">
        <v>243</v>
      </c>
      <c r="IW105" s="138">
        <v>244</v>
      </c>
      <c r="IX105" s="138">
        <v>245</v>
      </c>
      <c r="IY105" s="138">
        <v>246</v>
      </c>
      <c r="IZ105" s="138">
        <v>247</v>
      </c>
      <c r="JA105" s="138">
        <v>248</v>
      </c>
      <c r="JC105" s="138">
        <v>263</v>
      </c>
      <c r="JD105" s="138">
        <v>264</v>
      </c>
      <c r="JE105" s="138">
        <v>265</v>
      </c>
      <c r="JF105" s="138">
        <v>266</v>
      </c>
      <c r="JG105" s="138">
        <v>267</v>
      </c>
      <c r="JH105" s="138">
        <v>268</v>
      </c>
      <c r="JI105" s="138">
        <v>269</v>
      </c>
      <c r="JJ105" s="138">
        <v>270</v>
      </c>
      <c r="JK105" s="138">
        <v>271</v>
      </c>
      <c r="JL105" s="138">
        <v>272</v>
      </c>
      <c r="JM105" s="138">
        <v>273</v>
      </c>
      <c r="JN105" s="138">
        <v>274</v>
      </c>
      <c r="JO105" s="138">
        <v>275</v>
      </c>
      <c r="JP105" s="138">
        <v>276</v>
      </c>
      <c r="JQ105" s="138">
        <v>277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JC1:JO1"/>
    <mergeCell ref="IB1:IM1"/>
    <mergeCell ref="FB1:FM1"/>
    <mergeCell ref="EO1:EZ1"/>
    <mergeCell ref="HB1:HM1"/>
    <mergeCell ref="HO1:HZ1"/>
    <mergeCell ref="IO1:IZ1"/>
    <mergeCell ref="EB1:EM1"/>
    <mergeCell ref="GO1:GZ1"/>
    <mergeCell ref="GB1:GM1"/>
    <mergeCell ref="FO1:FZ1"/>
    <mergeCell ref="B1:M1"/>
    <mergeCell ref="O1:Z1"/>
    <mergeCell ref="AB1:AM1"/>
    <mergeCell ref="AO1:AZ1"/>
    <mergeCell ref="BB1:BM1"/>
    <mergeCell ref="BO1:BZ1"/>
    <mergeCell ref="CB1:CM1"/>
    <mergeCell ref="CO1:CZ1"/>
    <mergeCell ref="DB1:DM1"/>
    <mergeCell ref="DO1:DZ1"/>
  </mergeCells>
  <hyperlinks>
    <hyperlink ref="A1" location="Seznam!A1"/>
  </hyperlinks>
  <printOptions gridLines="false" gridLinesSet="true"/>
  <pageMargins left="0.7" right="0.7" top="0.787401575" bottom="0.787401575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02"/>
  <sheetViews>
    <sheetView tabSelected="0" workbookViewId="0" showGridLines="true" showRowColHeaders="1">
      <selection activeCell="A1" sqref="A1"/>
    </sheetView>
  </sheetViews>
  <sheetFormatPr defaultRowHeight="14.4" defaultColWidth="9.1328125" outlineLevelRow="0" outlineLevelCol="0"/>
  <cols>
    <col min="1" max="1" width="23.265625" customWidth="true" style="0"/>
    <col min="2" max="2" width="17" customWidth="true" style="0"/>
    <col min="3" max="3" width="13.73046875" customWidth="true" style="0"/>
    <col min="4" max="4" width="13.3984375" customWidth="true" style="0"/>
    <col min="5" max="5" width="22.1328125" customWidth="true" style="332"/>
    <col min="6" max="6" width="21.1328125" customWidth="true" style="0"/>
    <col min="8" max="8" width="14.59765625" customWidth="true" style="0"/>
    <col min="13" max="13" width="9.1328125" style="332"/>
  </cols>
  <sheetData>
    <row r="1" spans="1:16">
      <c r="A1" s="262" t="s">
        <v>68</v>
      </c>
      <c r="B1" s="214" t="s">
        <v>573</v>
      </c>
      <c r="C1" s="214" t="s">
        <v>574</v>
      </c>
      <c r="D1" s="214" t="s">
        <v>575</v>
      </c>
      <c r="E1" s="334" t="s">
        <v>576</v>
      </c>
      <c r="F1" s="263" t="s">
        <v>68</v>
      </c>
      <c r="G1" s="0" t="s">
        <v>577</v>
      </c>
      <c r="H1" s="0" t="s">
        <v>578</v>
      </c>
      <c r="K1" s="0" t="s">
        <v>579</v>
      </c>
      <c r="L1" s="0" t="s">
        <v>580</v>
      </c>
      <c r="M1" s="334" t="s">
        <v>581</v>
      </c>
    </row>
    <row r="2" spans="1:16">
      <c r="A2" s="259" t="str">
        <f>Evidence!A2</f>
        <v>0</v>
      </c>
      <c r="B2" s="259" t="s">
        <v>582</v>
      </c>
      <c r="C2" s="0" t="str">
        <f>Evidence!G2</f>
        <v>0</v>
      </c>
      <c r="D2" s="0" t="str">
        <f>Evidence!G2</f>
        <v>0</v>
      </c>
      <c r="E2" s="332">
        <v>0</v>
      </c>
      <c r="F2" s="0" t="s">
        <v>331</v>
      </c>
      <c r="G2" s="0" t="s">
        <v>398</v>
      </c>
      <c r="H2" s="0" t="s">
        <v>583</v>
      </c>
      <c r="J2" s="0"/>
      <c r="K2" s="0"/>
      <c r="L2" s="0"/>
      <c r="M2" s="332"/>
      <c r="O2" s="0"/>
      <c r="P2" s="0"/>
    </row>
    <row r="3" spans="1:16">
      <c r="A3" s="259" t="str">
        <f>Evidence!A3</f>
        <v>0</v>
      </c>
      <c r="B3" s="259" t="s">
        <v>582</v>
      </c>
      <c r="C3" s="0" t="str">
        <f>Evidence!G3</f>
        <v>0</v>
      </c>
      <c r="D3" s="0" t="str">
        <f>Evidence!G3</f>
        <v>0</v>
      </c>
      <c r="E3" s="332">
        <v>0</v>
      </c>
      <c r="F3" s="0" t="s">
        <v>337</v>
      </c>
      <c r="G3" s="0" t="s">
        <v>338</v>
      </c>
      <c r="H3" s="0" t="s">
        <v>583</v>
      </c>
      <c r="J3" s="0"/>
      <c r="K3" s="0"/>
      <c r="L3" s="0"/>
      <c r="M3" s="332"/>
      <c r="O3" s="0"/>
      <c r="P3" s="0"/>
    </row>
    <row r="4" spans="1:16">
      <c r="A4" s="259" t="str">
        <f>Evidence!A4</f>
        <v>0</v>
      </c>
      <c r="B4" s="259" t="s">
        <v>582</v>
      </c>
      <c r="C4" s="0" t="str">
        <f>Evidence!G4</f>
        <v>0</v>
      </c>
      <c r="D4" s="0" t="str">
        <f>Evidence!G4</f>
        <v>0</v>
      </c>
      <c r="E4" s="332">
        <v>0</v>
      </c>
      <c r="F4" s="0" t="s">
        <v>346</v>
      </c>
      <c r="G4" s="0" t="s">
        <v>558</v>
      </c>
      <c r="H4" s="0" t="s">
        <v>583</v>
      </c>
      <c r="J4" s="0"/>
      <c r="K4" s="0"/>
      <c r="L4" s="0"/>
      <c r="M4" s="332"/>
      <c r="O4" s="0"/>
      <c r="P4" s="0"/>
    </row>
    <row r="5" spans="1:16">
      <c r="A5" s="259" t="str">
        <f>Evidence!A5</f>
        <v>0</v>
      </c>
      <c r="B5" s="259" t="s">
        <v>582</v>
      </c>
      <c r="C5" s="0" t="str">
        <f>Evidence!G5</f>
        <v>0</v>
      </c>
      <c r="D5" s="0" t="str">
        <f>Evidence!G5</f>
        <v>0</v>
      </c>
      <c r="E5" s="332">
        <v>0</v>
      </c>
      <c r="F5" s="0" t="s">
        <v>353</v>
      </c>
      <c r="G5" s="0" t="s">
        <v>354</v>
      </c>
      <c r="H5" s="0" t="s">
        <v>583</v>
      </c>
      <c r="J5" s="0"/>
      <c r="K5" s="0"/>
      <c r="L5" s="0"/>
      <c r="M5" s="332"/>
      <c r="O5" s="0"/>
      <c r="P5" s="0"/>
    </row>
    <row r="6" spans="1:16">
      <c r="A6" s="259" t="str">
        <f>Evidence!A6</f>
        <v>0</v>
      </c>
      <c r="B6" s="259" t="s">
        <v>582</v>
      </c>
      <c r="C6" s="0" t="str">
        <f>Evidence!G6</f>
        <v>0</v>
      </c>
      <c r="D6" s="0" t="str">
        <f>Evidence!G6</f>
        <v>0</v>
      </c>
      <c r="E6" s="332">
        <v>0</v>
      </c>
      <c r="F6" s="0" t="s">
        <v>359</v>
      </c>
      <c r="G6" s="0" t="s">
        <v>559</v>
      </c>
      <c r="H6" s="0" t="s">
        <v>583</v>
      </c>
      <c r="J6" s="0"/>
      <c r="K6" s="0"/>
      <c r="L6" s="0"/>
      <c r="M6" s="332"/>
      <c r="O6" s="0"/>
      <c r="P6" s="0"/>
    </row>
    <row r="7" spans="1:16">
      <c r="A7" s="259" t="str">
        <f>Evidence!A7</f>
        <v>0</v>
      </c>
      <c r="B7" s="259" t="s">
        <v>582</v>
      </c>
      <c r="C7" s="0" t="str">
        <f>Evidence!G7</f>
        <v>0</v>
      </c>
      <c r="D7" s="0" t="str">
        <f>Evidence!G7</f>
        <v>0</v>
      </c>
      <c r="E7" s="332">
        <v>0</v>
      </c>
      <c r="F7" s="0" t="s">
        <v>365</v>
      </c>
      <c r="G7" s="0" t="s">
        <v>560</v>
      </c>
      <c r="H7" s="0" t="s">
        <v>583</v>
      </c>
      <c r="J7" s="0"/>
      <c r="K7" s="0"/>
      <c r="L7" s="0"/>
      <c r="M7" s="332"/>
      <c r="O7" s="0"/>
      <c r="P7" s="0"/>
    </row>
    <row r="8" spans="1:16">
      <c r="A8" s="259" t="str">
        <f>Evidence!A8</f>
        <v>0</v>
      </c>
      <c r="B8" s="259" t="s">
        <v>582</v>
      </c>
      <c r="C8" s="0" t="str">
        <f>Evidence!G8</f>
        <v>0</v>
      </c>
      <c r="D8" s="0" t="str">
        <f>Evidence!G8</f>
        <v>0</v>
      </c>
      <c r="E8" s="332">
        <v>0</v>
      </c>
      <c r="F8" s="0" t="s">
        <v>371</v>
      </c>
      <c r="G8" s="0" t="s">
        <v>372</v>
      </c>
      <c r="H8" s="0" t="s">
        <v>583</v>
      </c>
      <c r="J8" s="0"/>
      <c r="K8" s="0"/>
      <c r="L8" s="0"/>
      <c r="M8" s="332"/>
      <c r="O8" s="0"/>
      <c r="P8" s="0"/>
    </row>
    <row r="9" spans="1:16">
      <c r="A9" s="259" t="str">
        <f>Evidence!A9</f>
        <v>0</v>
      </c>
      <c r="B9" s="259" t="s">
        <v>582</v>
      </c>
      <c r="C9" s="0" t="str">
        <f>Evidence!G9</f>
        <v>0</v>
      </c>
      <c r="D9" s="0" t="str">
        <f>Evidence!G9</f>
        <v>0</v>
      </c>
      <c r="E9" s="332">
        <v>0</v>
      </c>
      <c r="F9" s="0" t="s">
        <v>377</v>
      </c>
      <c r="G9" s="0" t="s">
        <v>354</v>
      </c>
      <c r="H9" s="0" t="s">
        <v>583</v>
      </c>
      <c r="J9" s="0"/>
      <c r="K9" s="0"/>
      <c r="L9" s="0"/>
      <c r="M9" s="332"/>
      <c r="O9" s="0"/>
      <c r="P9" s="0"/>
    </row>
    <row r="10" spans="1:16">
      <c r="A10" s="259" t="str">
        <f>Evidence!A10</f>
        <v>0</v>
      </c>
      <c r="B10" s="259" t="s">
        <v>582</v>
      </c>
      <c r="C10" s="0" t="str">
        <f>Evidence!G10</f>
        <v>0</v>
      </c>
      <c r="D10" s="0" t="str">
        <f>Evidence!G10</f>
        <v>0</v>
      </c>
      <c r="E10" s="332">
        <v>0</v>
      </c>
      <c r="F10" s="0" t="s">
        <v>379</v>
      </c>
      <c r="G10" s="0" t="s">
        <v>380</v>
      </c>
      <c r="H10" s="0" t="s">
        <v>583</v>
      </c>
      <c r="J10" s="0"/>
      <c r="K10" s="0"/>
      <c r="L10" s="0"/>
      <c r="M10" s="332"/>
      <c r="O10" s="0"/>
      <c r="P10" s="0"/>
    </row>
    <row r="11" spans="1:16">
      <c r="A11" s="259" t="str">
        <f>Evidence!A11</f>
        <v>0</v>
      </c>
      <c r="B11" s="259" t="s">
        <v>582</v>
      </c>
      <c r="C11" s="0" t="str">
        <f>Evidence!G11</f>
        <v>0</v>
      </c>
      <c r="D11" s="0" t="str">
        <f>Evidence!G11</f>
        <v>0</v>
      </c>
      <c r="E11" s="332">
        <v>0</v>
      </c>
      <c r="F11" s="0" t="s">
        <v>385</v>
      </c>
      <c r="G11" s="0" t="s">
        <v>386</v>
      </c>
      <c r="H11" s="0" t="s">
        <v>583</v>
      </c>
      <c r="J11" s="0"/>
      <c r="K11" s="0"/>
      <c r="L11" s="0"/>
      <c r="M11" s="332"/>
      <c r="O11" s="0"/>
      <c r="P11" s="0"/>
    </row>
    <row r="12" spans="1:16">
      <c r="A12" s="259" t="str">
        <f>Evidence!A12</f>
        <v>0</v>
      </c>
      <c r="B12" s="259" t="s">
        <v>582</v>
      </c>
      <c r="C12" s="0" t="str">
        <f>Evidence!G12</f>
        <v>0</v>
      </c>
      <c r="D12" s="0" t="str">
        <f>Evidence!G12</f>
        <v>0</v>
      </c>
      <c r="E12" s="332">
        <v>0</v>
      </c>
      <c r="F12" s="0" t="s">
        <v>391</v>
      </c>
      <c r="G12" s="0" t="s">
        <v>392</v>
      </c>
      <c r="H12" s="0" t="s">
        <v>583</v>
      </c>
      <c r="J12" s="0"/>
      <c r="K12" s="0"/>
      <c r="L12" s="0"/>
      <c r="M12" s="332"/>
      <c r="O12" s="0"/>
      <c r="P12" s="0"/>
    </row>
    <row r="13" spans="1:16">
      <c r="A13" s="259" t="str">
        <f>Evidence!A13</f>
        <v>0</v>
      </c>
      <c r="B13" s="259" t="s">
        <v>582</v>
      </c>
      <c r="C13" s="0" t="str">
        <f>Evidence!G13</f>
        <v>0</v>
      </c>
      <c r="D13" s="0" t="str">
        <f>Evidence!G13</f>
        <v>0</v>
      </c>
      <c r="E13" s="332">
        <v>0</v>
      </c>
      <c r="F13" s="0" t="s">
        <v>397</v>
      </c>
      <c r="G13" s="0" t="s">
        <v>398</v>
      </c>
      <c r="H13" s="0" t="s">
        <v>583</v>
      </c>
      <c r="J13" s="0"/>
      <c r="K13" s="0"/>
      <c r="L13" s="0"/>
      <c r="M13" s="332"/>
      <c r="O13" s="0"/>
      <c r="P13" s="0"/>
    </row>
    <row r="14" spans="1:16">
      <c r="A14" s="259" t="str">
        <f>Evidence!A14</f>
        <v>0</v>
      </c>
      <c r="B14" s="259" t="s">
        <v>582</v>
      </c>
      <c r="C14" s="0" t="str">
        <f>Evidence!G14</f>
        <v>0</v>
      </c>
      <c r="D14" s="0" t="str">
        <f>Evidence!G14</f>
        <v>0</v>
      </c>
      <c r="E14" s="332">
        <v>0</v>
      </c>
      <c r="F14" s="0" t="s">
        <v>402</v>
      </c>
      <c r="G14" s="0" t="s">
        <v>403</v>
      </c>
      <c r="H14" s="0" t="s">
        <v>583</v>
      </c>
      <c r="J14" s="0"/>
      <c r="K14" s="0"/>
      <c r="L14" s="0"/>
      <c r="M14" s="332"/>
      <c r="O14" s="0"/>
      <c r="P14" s="0"/>
    </row>
    <row r="15" spans="1:16">
      <c r="A15" s="259" t="str">
        <f>Evidence!A15</f>
        <v>0</v>
      </c>
      <c r="B15" s="259" t="s">
        <v>582</v>
      </c>
      <c r="C15" s="0" t="str">
        <f>Evidence!G15</f>
        <v>0</v>
      </c>
      <c r="D15" s="0" t="str">
        <f>Evidence!G15</f>
        <v>0</v>
      </c>
      <c r="E15" s="332">
        <v>0</v>
      </c>
      <c r="F15" s="0" t="s">
        <v>408</v>
      </c>
      <c r="G15" s="0" t="s">
        <v>561</v>
      </c>
      <c r="H15" s="0" t="s">
        <v>583</v>
      </c>
      <c r="J15" s="0"/>
      <c r="K15" s="0"/>
      <c r="L15" s="0"/>
      <c r="M15" s="332"/>
      <c r="O15" s="0"/>
      <c r="P15" s="0"/>
    </row>
    <row r="16" spans="1:16">
      <c r="A16" s="259" t="str">
        <f>Evidence!A16</f>
        <v>0</v>
      </c>
      <c r="B16" s="259" t="s">
        <v>582</v>
      </c>
      <c r="C16" s="0" t="str">
        <f>Evidence!G16</f>
        <v>0</v>
      </c>
      <c r="D16" s="0" t="str">
        <f>Evidence!G16</f>
        <v>0</v>
      </c>
      <c r="E16" s="332">
        <v>0</v>
      </c>
      <c r="F16" s="0" t="s">
        <v>414</v>
      </c>
      <c r="G16" s="0" t="s">
        <v>562</v>
      </c>
      <c r="H16" s="0" t="s">
        <v>583</v>
      </c>
      <c r="J16" s="0"/>
      <c r="K16" s="0"/>
      <c r="L16" s="0"/>
      <c r="M16" s="332"/>
      <c r="O16" s="0"/>
      <c r="P16" s="0"/>
    </row>
    <row r="17" spans="1:16">
      <c r="A17" s="259" t="str">
        <f>Evidence!A17</f>
        <v>0</v>
      </c>
      <c r="B17" s="259" t="s">
        <v>582</v>
      </c>
      <c r="C17" s="0" t="str">
        <f>Evidence!G17</f>
        <v>0</v>
      </c>
      <c r="D17" s="0" t="str">
        <f>Evidence!G17</f>
        <v>0</v>
      </c>
      <c r="E17" s="332">
        <v>0</v>
      </c>
      <c r="F17" s="0" t="s">
        <v>420</v>
      </c>
      <c r="G17" s="0" t="s">
        <v>563</v>
      </c>
      <c r="H17" s="0" t="s">
        <v>583</v>
      </c>
      <c r="J17" s="0"/>
      <c r="K17" s="0"/>
      <c r="L17" s="0"/>
      <c r="M17" s="332"/>
      <c r="O17" s="0"/>
      <c r="P17" s="0"/>
    </row>
    <row r="18" spans="1:16">
      <c r="A18" s="259" t="str">
        <f>Evidence!A18</f>
        <v>0</v>
      </c>
      <c r="B18" s="259" t="s">
        <v>582</v>
      </c>
      <c r="C18" s="0" t="str">
        <f>Evidence!G18</f>
        <v>0</v>
      </c>
      <c r="D18" s="0" t="str">
        <f>Evidence!G18</f>
        <v>0</v>
      </c>
      <c r="E18" s="332">
        <v>0</v>
      </c>
      <c r="F18" s="0" t="s">
        <v>425</v>
      </c>
      <c r="G18" s="0" t="s">
        <v>564</v>
      </c>
      <c r="H18" s="0" t="s">
        <v>583</v>
      </c>
      <c r="J18" s="0"/>
      <c r="K18" s="0"/>
      <c r="L18" s="0"/>
      <c r="M18" s="332"/>
      <c r="O18" s="0"/>
      <c r="P18" s="0"/>
    </row>
    <row r="19" spans="1:16">
      <c r="A19" s="259" t="str">
        <f>Evidence!A19</f>
        <v>0</v>
      </c>
      <c r="B19" s="259" t="s">
        <v>582</v>
      </c>
      <c r="C19" s="0" t="str">
        <f>Evidence!G19</f>
        <v>0</v>
      </c>
      <c r="D19" s="0" t="str">
        <f>Evidence!G19</f>
        <v>0</v>
      </c>
      <c r="E19" s="332">
        <v>0</v>
      </c>
      <c r="F19" s="0" t="s">
        <v>430</v>
      </c>
      <c r="G19" s="0" t="s">
        <v>565</v>
      </c>
      <c r="H19" s="0" t="s">
        <v>583</v>
      </c>
      <c r="J19" s="0"/>
      <c r="K19" s="0"/>
      <c r="L19" s="0"/>
      <c r="M19" s="332"/>
      <c r="O19" s="0"/>
      <c r="P19" s="0"/>
    </row>
    <row r="20" spans="1:16">
      <c r="A20" s="259" t="str">
        <f>Evidence!A20</f>
        <v>0</v>
      </c>
      <c r="B20" s="259" t="s">
        <v>582</v>
      </c>
      <c r="C20" s="0" t="str">
        <f>Evidence!G20</f>
        <v>0</v>
      </c>
      <c r="D20" s="0" t="str">
        <f>Evidence!G20</f>
        <v>0</v>
      </c>
      <c r="E20" s="332">
        <v>0</v>
      </c>
      <c r="F20" s="0" t="s">
        <v>435</v>
      </c>
      <c r="G20" s="0" t="s">
        <v>565</v>
      </c>
      <c r="H20" s="0" t="s">
        <v>583</v>
      </c>
      <c r="J20" s="0"/>
      <c r="K20" s="0"/>
      <c r="L20" s="0"/>
      <c r="M20" s="332"/>
      <c r="O20" s="0"/>
      <c r="P20" s="0"/>
    </row>
    <row r="21" spans="1:16">
      <c r="A21" s="259" t="str">
        <f>Evidence!A21</f>
        <v>0</v>
      </c>
      <c r="B21" s="259" t="s">
        <v>582</v>
      </c>
      <c r="C21" s="0" t="str">
        <f>Evidence!G21</f>
        <v>0</v>
      </c>
      <c r="D21" s="0" t="str">
        <f>Evidence!G21</f>
        <v>0</v>
      </c>
      <c r="E21" s="332">
        <v>0</v>
      </c>
      <c r="F21" s="0" t="s">
        <v>437</v>
      </c>
      <c r="G21" s="0" t="s">
        <v>566</v>
      </c>
      <c r="H21" s="0" t="s">
        <v>583</v>
      </c>
      <c r="J21" s="0"/>
      <c r="K21" s="0"/>
      <c r="L21" s="0"/>
      <c r="M21" s="332"/>
      <c r="O21" s="0"/>
      <c r="P21" s="0"/>
    </row>
    <row r="22" spans="1:16">
      <c r="A22" s="259" t="str">
        <f>Evidence!A22</f>
        <v>0</v>
      </c>
      <c r="B22" s="259" t="s">
        <v>582</v>
      </c>
      <c r="C22" s="0" t="str">
        <f>Evidence!G22</f>
        <v>0</v>
      </c>
      <c r="D22" s="0" t="str">
        <f>Evidence!G22</f>
        <v>0</v>
      </c>
      <c r="E22" s="332">
        <v>0</v>
      </c>
      <c r="F22" s="0" t="s">
        <v>442</v>
      </c>
      <c r="G22" s="0" t="s">
        <v>567</v>
      </c>
      <c r="H22" s="0" t="s">
        <v>583</v>
      </c>
      <c r="J22" s="0"/>
      <c r="K22" s="0"/>
      <c r="L22" s="0"/>
      <c r="M22" s="332"/>
      <c r="O22" s="0"/>
      <c r="P22" s="0"/>
    </row>
    <row r="23" spans="1:16">
      <c r="A23" s="259" t="str">
        <f>Evidence!A23</f>
        <v>0</v>
      </c>
      <c r="B23" s="259" t="s">
        <v>582</v>
      </c>
      <c r="C23" s="0" t="str">
        <f>Evidence!G23</f>
        <v>0</v>
      </c>
      <c r="D23" s="0" t="str">
        <f>Evidence!G23</f>
        <v>0</v>
      </c>
      <c r="E23" s="332">
        <v>0</v>
      </c>
      <c r="F23" s="0" t="s">
        <v>448</v>
      </c>
      <c r="G23" s="0" t="s">
        <v>568</v>
      </c>
      <c r="H23" s="0" t="s">
        <v>583</v>
      </c>
      <c r="J23" s="0"/>
      <c r="K23" s="0"/>
      <c r="L23" s="0"/>
      <c r="M23" s="332"/>
      <c r="O23" s="0"/>
      <c r="P23" s="0"/>
    </row>
    <row r="24" spans="1:16">
      <c r="A24" s="259" t="str">
        <f>Evidence!A24</f>
        <v>0</v>
      </c>
      <c r="B24" s="259" t="s">
        <v>582</v>
      </c>
      <c r="C24" s="0" t="str">
        <f>Evidence!G24</f>
        <v>0</v>
      </c>
      <c r="D24" s="0" t="str">
        <f>Evidence!G24</f>
        <v>0</v>
      </c>
      <c r="E24" s="332">
        <v>0</v>
      </c>
      <c r="F24" s="0" t="s">
        <v>454</v>
      </c>
      <c r="G24" s="0" t="s">
        <v>569</v>
      </c>
      <c r="H24" s="0" t="s">
        <v>583</v>
      </c>
      <c r="J24" s="0"/>
      <c r="K24" s="0"/>
      <c r="L24" s="0"/>
      <c r="M24" s="332"/>
      <c r="O24" s="0"/>
      <c r="P24" s="0"/>
    </row>
    <row r="25" spans="1:16">
      <c r="A25" s="259" t="str">
        <f>Evidence!A25</f>
        <v>0</v>
      </c>
      <c r="B25" s="259" t="s">
        <v>582</v>
      </c>
      <c r="C25" s="0" t="str">
        <f>Evidence!G25</f>
        <v>0</v>
      </c>
      <c r="D25" s="0" t="str">
        <f>Evidence!G25</f>
        <v>0</v>
      </c>
      <c r="E25" s="332">
        <v>0</v>
      </c>
      <c r="F25" s="0" t="s">
        <v>459</v>
      </c>
      <c r="G25" s="0" t="s">
        <v>460</v>
      </c>
      <c r="H25" s="0" t="s">
        <v>583</v>
      </c>
      <c r="J25" s="0"/>
      <c r="K25" s="0"/>
      <c r="L25" s="0"/>
      <c r="M25" s="332"/>
      <c r="O25" s="0"/>
      <c r="P25" s="0"/>
    </row>
    <row r="26" spans="1:16">
      <c r="A26" s="259" t="str">
        <f>Evidence!A26</f>
        <v>0</v>
      </c>
      <c r="B26" s="259"/>
      <c r="C26" s="0" t="str">
        <f>Evidence!G26</f>
        <v>0</v>
      </c>
      <c r="D26" s="0" t="str">
        <f>Evidence!G26</f>
        <v>0</v>
      </c>
      <c r="H26" s="0" t="s">
        <v>583</v>
      </c>
    </row>
    <row r="27" spans="1:16">
      <c r="A27" s="259" t="str">
        <f>Evidence!A27</f>
        <v>0</v>
      </c>
      <c r="B27" s="259"/>
      <c r="C27" s="0" t="str">
        <f>Evidence!G27</f>
        <v>0</v>
      </c>
      <c r="D27" s="0" t="str">
        <f>Evidence!G27</f>
        <v>0</v>
      </c>
      <c r="H27" s="0" t="s">
        <v>583</v>
      </c>
    </row>
    <row r="28" spans="1:16">
      <c r="A28" s="259" t="str">
        <f>Evidence!A28</f>
        <v>0</v>
      </c>
      <c r="B28" s="259"/>
      <c r="C28" s="0" t="str">
        <f>Evidence!G28</f>
        <v>0</v>
      </c>
      <c r="D28" s="0" t="str">
        <f>Evidence!G28</f>
        <v>0</v>
      </c>
      <c r="H28" s="0" t="s">
        <v>583</v>
      </c>
    </row>
    <row r="29" spans="1:16">
      <c r="A29" s="259" t="str">
        <f>Evidence!A29</f>
        <v>0</v>
      </c>
      <c r="B29" s="259"/>
      <c r="C29" s="0" t="str">
        <f>Evidence!G29</f>
        <v>0</v>
      </c>
      <c r="D29" s="0" t="str">
        <f>Evidence!G29</f>
        <v>0</v>
      </c>
      <c r="H29" s="0" t="s">
        <v>583</v>
      </c>
    </row>
    <row r="30" spans="1:16">
      <c r="A30" s="259" t="str">
        <f>Evidence!A30</f>
        <v>0</v>
      </c>
      <c r="B30" s="259"/>
      <c r="C30" s="0" t="str">
        <f>Evidence!G30</f>
        <v>0</v>
      </c>
      <c r="D30" s="0" t="str">
        <f>Evidence!G30</f>
        <v>0</v>
      </c>
      <c r="H30" s="0" t="s">
        <v>583</v>
      </c>
    </row>
    <row r="31" spans="1:16">
      <c r="A31" s="259" t="str">
        <f>Evidence!A31</f>
        <v>0</v>
      </c>
      <c r="B31" s="259"/>
      <c r="C31" s="0" t="str">
        <f>Evidence!G31</f>
        <v>0</v>
      </c>
      <c r="D31" s="0" t="str">
        <f>Evidence!G31</f>
        <v>0</v>
      </c>
      <c r="H31" s="0" t="s">
        <v>583</v>
      </c>
    </row>
    <row r="32" spans="1:16">
      <c r="A32" s="259" t="str">
        <f>Evidence!A32</f>
        <v>0</v>
      </c>
      <c r="B32" s="259"/>
      <c r="C32" s="0" t="str">
        <f>Evidence!G32</f>
        <v>0</v>
      </c>
      <c r="D32" s="0" t="str">
        <f>Evidence!G32</f>
        <v>0</v>
      </c>
      <c r="H32" s="0" t="s">
        <v>583</v>
      </c>
    </row>
    <row r="33" spans="1:16">
      <c r="A33" s="259" t="str">
        <f>Evidence!A33</f>
        <v>0</v>
      </c>
      <c r="B33" s="259"/>
      <c r="C33" s="0" t="str">
        <f>Evidence!G33</f>
        <v>0</v>
      </c>
      <c r="D33" s="0" t="str">
        <f>Evidence!G33</f>
        <v>0</v>
      </c>
      <c r="H33" s="0" t="s">
        <v>583</v>
      </c>
    </row>
    <row r="34" spans="1:16">
      <c r="A34" s="259" t="str">
        <f>Evidence!A34</f>
        <v>0</v>
      </c>
      <c r="B34" s="259"/>
      <c r="C34" s="0" t="str">
        <f>Evidence!G34</f>
        <v>0</v>
      </c>
      <c r="D34" s="0" t="str">
        <f>Evidence!G34</f>
        <v>0</v>
      </c>
      <c r="H34" s="0" t="s">
        <v>583</v>
      </c>
    </row>
    <row r="35" spans="1:16">
      <c r="A35" s="259" t="str">
        <f>Evidence!A35</f>
        <v>0</v>
      </c>
      <c r="B35" s="259"/>
      <c r="C35" s="0" t="str">
        <f>Evidence!G35</f>
        <v>0</v>
      </c>
      <c r="D35" s="0" t="str">
        <f>Evidence!G35</f>
        <v>0</v>
      </c>
      <c r="H35" s="0" t="s">
        <v>583</v>
      </c>
    </row>
    <row r="36" spans="1:16">
      <c r="A36" s="259" t="str">
        <f>Evidence!A36</f>
        <v>0</v>
      </c>
      <c r="B36" s="259"/>
      <c r="C36" s="0" t="str">
        <f>Evidence!G36</f>
        <v>0</v>
      </c>
      <c r="D36" s="0" t="str">
        <f>Evidence!G36</f>
        <v>0</v>
      </c>
      <c r="H36" s="0" t="s">
        <v>583</v>
      </c>
    </row>
    <row r="37" spans="1:16">
      <c r="A37" s="259" t="str">
        <f>Evidence!A37</f>
        <v>0</v>
      </c>
      <c r="B37" s="259"/>
      <c r="C37" s="0" t="str">
        <f>Evidence!G37</f>
        <v>0</v>
      </c>
      <c r="D37" s="0" t="str">
        <f>Evidence!G37</f>
        <v>0</v>
      </c>
      <c r="H37" s="0" t="s">
        <v>583</v>
      </c>
    </row>
    <row r="38" spans="1:16">
      <c r="A38" s="259" t="str">
        <f>Evidence!A38</f>
        <v>0</v>
      </c>
      <c r="B38" s="259"/>
      <c r="C38" s="0" t="str">
        <f>Evidence!G38</f>
        <v>0</v>
      </c>
      <c r="D38" s="0" t="str">
        <f>Evidence!G38</f>
        <v>0</v>
      </c>
      <c r="H38" s="0" t="s">
        <v>583</v>
      </c>
    </row>
    <row r="39" spans="1:16">
      <c r="A39" s="259" t="str">
        <f>Evidence!A39</f>
        <v>0</v>
      </c>
      <c r="B39" s="259"/>
      <c r="C39" s="0" t="str">
        <f>Evidence!G39</f>
        <v>0</v>
      </c>
      <c r="D39" s="0" t="str">
        <f>Evidence!G39</f>
        <v>0</v>
      </c>
      <c r="H39" s="0" t="s">
        <v>583</v>
      </c>
    </row>
    <row r="40" spans="1:16">
      <c r="A40" s="259" t="str">
        <f>Evidence!A40</f>
        <v>0</v>
      </c>
      <c r="B40" s="259"/>
      <c r="C40" s="0" t="str">
        <f>Evidence!G40</f>
        <v>0</v>
      </c>
      <c r="D40" s="0" t="str">
        <f>Evidence!G40</f>
        <v>0</v>
      </c>
      <c r="H40" s="0" t="s">
        <v>583</v>
      </c>
    </row>
    <row r="41" spans="1:16">
      <c r="A41" s="259" t="str">
        <f>Evidence!A41</f>
        <v>0</v>
      </c>
      <c r="B41" s="259"/>
      <c r="C41" s="0" t="str">
        <f>Evidence!G41</f>
        <v>0</v>
      </c>
      <c r="D41" s="0" t="str">
        <f>Evidence!G41</f>
        <v>0</v>
      </c>
      <c r="H41" s="0" t="s">
        <v>583</v>
      </c>
    </row>
    <row r="42" spans="1:16">
      <c r="A42" s="259" t="str">
        <f>Evidence!A42</f>
        <v>0</v>
      </c>
      <c r="B42" s="259"/>
      <c r="C42" s="0" t="str">
        <f>Evidence!G42</f>
        <v>0</v>
      </c>
      <c r="D42" s="0" t="str">
        <f>Evidence!G42</f>
        <v>0</v>
      </c>
      <c r="H42" s="0" t="s">
        <v>583</v>
      </c>
    </row>
    <row r="43" spans="1:16">
      <c r="A43" s="259" t="str">
        <f>Evidence!A43</f>
        <v>0</v>
      </c>
      <c r="B43" s="259"/>
      <c r="C43" s="0" t="str">
        <f>Evidence!G43</f>
        <v>0</v>
      </c>
      <c r="D43" s="0" t="str">
        <f>Evidence!G43</f>
        <v>0</v>
      </c>
      <c r="H43" s="0" t="s">
        <v>583</v>
      </c>
    </row>
    <row r="44" spans="1:16">
      <c r="A44" s="259" t="str">
        <f>Evidence!A44</f>
        <v>0</v>
      </c>
      <c r="B44" s="259"/>
      <c r="C44" s="0" t="str">
        <f>Evidence!G44</f>
        <v>0</v>
      </c>
      <c r="D44" s="0" t="str">
        <f>Evidence!G44</f>
        <v>0</v>
      </c>
      <c r="H44" s="0" t="s">
        <v>583</v>
      </c>
    </row>
    <row r="45" spans="1:16">
      <c r="A45" s="259" t="str">
        <f>Evidence!A45</f>
        <v>0</v>
      </c>
      <c r="B45" s="259"/>
      <c r="C45" s="0" t="str">
        <f>Evidence!G45</f>
        <v>0</v>
      </c>
      <c r="D45" s="0" t="str">
        <f>Evidence!G45</f>
        <v>0</v>
      </c>
      <c r="H45" s="0" t="s">
        <v>583</v>
      </c>
    </row>
    <row r="46" spans="1:16">
      <c r="A46" s="259" t="str">
        <f>Evidence!A46</f>
        <v>0</v>
      </c>
      <c r="B46" s="259"/>
      <c r="C46" s="0" t="str">
        <f>Evidence!G46</f>
        <v>0</v>
      </c>
      <c r="D46" s="0" t="str">
        <f>Evidence!G46</f>
        <v>0</v>
      </c>
      <c r="H46" s="0" t="s">
        <v>583</v>
      </c>
    </row>
    <row r="47" spans="1:16">
      <c r="A47" s="259" t="str">
        <f>Evidence!A47</f>
        <v>0</v>
      </c>
      <c r="B47" s="259"/>
      <c r="C47" s="0" t="str">
        <f>Evidence!G47</f>
        <v>0</v>
      </c>
      <c r="D47" s="0" t="str">
        <f>Evidence!G47</f>
        <v>0</v>
      </c>
      <c r="H47" s="0" t="s">
        <v>583</v>
      </c>
    </row>
    <row r="48" spans="1:16">
      <c r="A48" s="259" t="str">
        <f>Evidence!A48</f>
        <v>0</v>
      </c>
      <c r="B48" s="259"/>
      <c r="C48" s="0" t="str">
        <f>Evidence!G48</f>
        <v>0</v>
      </c>
      <c r="D48" s="0" t="str">
        <f>Evidence!G48</f>
        <v>0</v>
      </c>
      <c r="H48" s="0" t="s">
        <v>583</v>
      </c>
    </row>
    <row r="49" spans="1:16">
      <c r="A49" s="259" t="str">
        <f>Evidence!A49</f>
        <v>0</v>
      </c>
      <c r="B49" s="259"/>
      <c r="C49" s="0" t="str">
        <f>Evidence!G49</f>
        <v>0</v>
      </c>
      <c r="D49" s="0" t="str">
        <f>Evidence!G49</f>
        <v>0</v>
      </c>
      <c r="H49" s="0" t="s">
        <v>583</v>
      </c>
    </row>
    <row r="50" spans="1:16">
      <c r="A50" s="259" t="str">
        <f>Evidence!A50</f>
        <v>0</v>
      </c>
      <c r="B50" s="259"/>
      <c r="C50" s="0" t="str">
        <f>Evidence!G50</f>
        <v>0</v>
      </c>
      <c r="D50" s="0" t="str">
        <f>Evidence!G50</f>
        <v>0</v>
      </c>
      <c r="H50" s="0" t="s">
        <v>583</v>
      </c>
    </row>
    <row r="51" spans="1:16">
      <c r="A51" s="259" t="str">
        <f>Evidence!A51</f>
        <v>0</v>
      </c>
      <c r="B51" s="259"/>
      <c r="C51" s="0" t="str">
        <f>Evidence!G51</f>
        <v>0</v>
      </c>
      <c r="D51" s="0" t="str">
        <f>Evidence!G51</f>
        <v>0</v>
      </c>
      <c r="H51" s="0" t="s">
        <v>583</v>
      </c>
    </row>
    <row r="52" spans="1:16">
      <c r="A52" s="259" t="str">
        <f>Evidence!A52</f>
        <v>0</v>
      </c>
      <c r="B52" s="259"/>
      <c r="C52" s="0" t="str">
        <f>Evidence!G52</f>
        <v>0</v>
      </c>
      <c r="D52" s="0" t="str">
        <f>Evidence!G52</f>
        <v>0</v>
      </c>
      <c r="H52" s="0" t="s">
        <v>583</v>
      </c>
    </row>
    <row r="53" spans="1:16">
      <c r="A53" s="259" t="str">
        <f>Evidence!A53</f>
        <v>0</v>
      </c>
      <c r="B53" s="259"/>
      <c r="C53" s="0" t="str">
        <f>Evidence!G53</f>
        <v>0</v>
      </c>
      <c r="D53" s="0" t="str">
        <f>Evidence!G53</f>
        <v>0</v>
      </c>
      <c r="H53" s="0" t="s">
        <v>583</v>
      </c>
    </row>
    <row r="54" spans="1:16">
      <c r="A54" s="259" t="str">
        <f>Evidence!A54</f>
        <v>0</v>
      </c>
      <c r="B54" s="259"/>
      <c r="C54" s="0" t="str">
        <f>Evidence!G54</f>
        <v>0</v>
      </c>
      <c r="D54" s="0" t="str">
        <f>Evidence!G54</f>
        <v>0</v>
      </c>
      <c r="H54" s="0" t="s">
        <v>583</v>
      </c>
    </row>
    <row r="55" spans="1:16">
      <c r="A55" s="259" t="str">
        <f>Evidence!A55</f>
        <v>0</v>
      </c>
      <c r="B55" s="259"/>
      <c r="C55" s="0" t="str">
        <f>Evidence!G55</f>
        <v>0</v>
      </c>
      <c r="D55" s="0" t="str">
        <f>Evidence!G55</f>
        <v>0</v>
      </c>
      <c r="H55" s="0" t="s">
        <v>583</v>
      </c>
    </row>
    <row r="56" spans="1:16">
      <c r="A56" s="259" t="str">
        <f>Evidence!A56</f>
        <v>0</v>
      </c>
      <c r="B56" s="259"/>
      <c r="C56" s="0" t="str">
        <f>Evidence!G56</f>
        <v>0</v>
      </c>
      <c r="D56" s="0" t="str">
        <f>Evidence!G56</f>
        <v>0</v>
      </c>
      <c r="H56" s="0" t="s">
        <v>583</v>
      </c>
    </row>
    <row r="57" spans="1:16">
      <c r="A57" s="259" t="str">
        <f>Evidence!A57</f>
        <v>0</v>
      </c>
      <c r="B57" s="259"/>
      <c r="C57" s="0" t="str">
        <f>Evidence!G57</f>
        <v>0</v>
      </c>
      <c r="D57" s="0" t="str">
        <f>Evidence!G57</f>
        <v>0</v>
      </c>
      <c r="H57" s="0" t="s">
        <v>583</v>
      </c>
    </row>
    <row r="58" spans="1:16">
      <c r="A58" s="259" t="str">
        <f>Evidence!A58</f>
        <v>0</v>
      </c>
      <c r="B58" s="259"/>
      <c r="C58" s="0" t="str">
        <f>Evidence!G58</f>
        <v>0</v>
      </c>
      <c r="D58" s="0" t="str">
        <f>Evidence!G58</f>
        <v>0</v>
      </c>
      <c r="H58" s="0" t="s">
        <v>583</v>
      </c>
    </row>
    <row r="59" spans="1:16">
      <c r="A59" s="259" t="str">
        <f>Evidence!A59</f>
        <v>0</v>
      </c>
      <c r="B59" s="259"/>
      <c r="C59" s="0" t="str">
        <f>Evidence!G59</f>
        <v>0</v>
      </c>
      <c r="D59" s="0" t="str">
        <f>Evidence!G59</f>
        <v>0</v>
      </c>
      <c r="H59" s="0" t="s">
        <v>583</v>
      </c>
    </row>
    <row r="60" spans="1:16">
      <c r="A60" s="259" t="str">
        <f>Evidence!A60</f>
        <v>0</v>
      </c>
      <c r="B60" s="259"/>
      <c r="C60" s="0" t="str">
        <f>Evidence!G60</f>
        <v>0</v>
      </c>
      <c r="D60" s="0" t="str">
        <f>Evidence!G60</f>
        <v>0</v>
      </c>
    </row>
    <row r="61" spans="1:16">
      <c r="A61" s="259" t="str">
        <f>Evidence!A61</f>
        <v>0</v>
      </c>
      <c r="B61" s="259"/>
      <c r="C61" s="0" t="str">
        <f>Evidence!G61</f>
        <v>0</v>
      </c>
      <c r="D61" s="0" t="str">
        <f>Evidence!G61</f>
        <v>0</v>
      </c>
    </row>
    <row r="62" spans="1:16">
      <c r="A62" s="259" t="str">
        <f>Evidence!A62</f>
        <v>0</v>
      </c>
      <c r="B62" s="259"/>
      <c r="C62" s="0" t="str">
        <f>Evidence!G62</f>
        <v>0</v>
      </c>
      <c r="D62" s="0" t="str">
        <f>Evidence!G62</f>
        <v>0</v>
      </c>
    </row>
    <row r="63" spans="1:16">
      <c r="A63" s="259" t="str">
        <f>Evidence!A63</f>
        <v>0</v>
      </c>
      <c r="B63" s="259"/>
      <c r="C63" s="0" t="str">
        <f>Evidence!G63</f>
        <v>0</v>
      </c>
      <c r="D63" s="0" t="str">
        <f>Evidence!G63</f>
        <v>0</v>
      </c>
    </row>
    <row r="64" spans="1:16">
      <c r="A64" s="259" t="str">
        <f>Evidence!A64</f>
        <v>0</v>
      </c>
      <c r="B64" s="259"/>
      <c r="C64" s="0" t="str">
        <f>Evidence!G64</f>
        <v>0</v>
      </c>
      <c r="D64" s="0" t="str">
        <f>Evidence!G64</f>
        <v>0</v>
      </c>
    </row>
    <row r="65" spans="1:16">
      <c r="A65" s="259" t="str">
        <f>Evidence!A65</f>
        <v>0</v>
      </c>
      <c r="B65" s="259"/>
      <c r="C65" s="0" t="str">
        <f>Evidence!G65</f>
        <v>0</v>
      </c>
      <c r="D65" s="0" t="str">
        <f>Evidence!G65</f>
        <v>0</v>
      </c>
    </row>
    <row r="66" spans="1:16">
      <c r="A66" s="259" t="str">
        <f>Evidence!A66</f>
        <v>0</v>
      </c>
      <c r="B66" s="259"/>
      <c r="C66" s="0" t="str">
        <f>Evidence!G66</f>
        <v>0</v>
      </c>
      <c r="D66" s="0" t="str">
        <f>Evidence!G66</f>
        <v>0</v>
      </c>
    </row>
    <row r="67" spans="1:16">
      <c r="A67" s="259" t="str">
        <f>Evidence!A67</f>
        <v>0</v>
      </c>
      <c r="B67" s="259"/>
      <c r="C67" s="0" t="str">
        <f>Evidence!G67</f>
        <v>0</v>
      </c>
      <c r="D67" s="0" t="str">
        <f>Evidence!G67</f>
        <v>0</v>
      </c>
    </row>
    <row r="68" spans="1:16">
      <c r="A68" s="259" t="str">
        <f>Evidence!A68</f>
        <v>0</v>
      </c>
      <c r="B68" s="259"/>
      <c r="C68" s="0" t="str">
        <f>Evidence!G68</f>
        <v>0</v>
      </c>
      <c r="D68" s="0" t="str">
        <f>Evidence!G68</f>
        <v>0</v>
      </c>
    </row>
    <row r="69" spans="1:16">
      <c r="A69" s="259" t="str">
        <f>Evidence!A69</f>
        <v>0</v>
      </c>
      <c r="B69" s="259"/>
      <c r="C69" s="0" t="str">
        <f>Evidence!G69</f>
        <v>0</v>
      </c>
      <c r="D69" s="0" t="str">
        <f>Evidence!G69</f>
        <v>0</v>
      </c>
    </row>
    <row r="70" spans="1:16">
      <c r="A70" s="259" t="str">
        <f>Evidence!A70</f>
        <v>0</v>
      </c>
      <c r="B70" s="259"/>
      <c r="C70" s="0" t="str">
        <f>Evidence!G70</f>
        <v>0</v>
      </c>
      <c r="D70" s="0" t="str">
        <f>Evidence!G70</f>
        <v>0</v>
      </c>
    </row>
    <row r="71" spans="1:16">
      <c r="A71" s="259" t="str">
        <f>Evidence!A71</f>
        <v>0</v>
      </c>
      <c r="B71" s="259"/>
      <c r="C71" s="0" t="str">
        <f>Evidence!G71</f>
        <v>0</v>
      </c>
      <c r="D71" s="0" t="str">
        <f>Evidence!G71</f>
        <v>0</v>
      </c>
    </row>
    <row r="72" spans="1:16">
      <c r="A72" s="259" t="str">
        <f>Evidence!A72</f>
        <v>0</v>
      </c>
      <c r="B72" s="259"/>
      <c r="C72" s="0" t="str">
        <f>Evidence!G72</f>
        <v>0</v>
      </c>
      <c r="D72" s="0" t="str">
        <f>Evidence!G72</f>
        <v>0</v>
      </c>
    </row>
    <row r="73" spans="1:16">
      <c r="A73" s="259" t="str">
        <f>Evidence!A73</f>
        <v>0</v>
      </c>
      <c r="B73" s="259"/>
      <c r="C73" s="0" t="str">
        <f>Evidence!G73</f>
        <v>0</v>
      </c>
      <c r="D73" s="0" t="str">
        <f>Evidence!G73</f>
        <v>0</v>
      </c>
    </row>
    <row r="74" spans="1:16">
      <c r="A74" s="259" t="str">
        <f>Evidence!A74</f>
        <v>0</v>
      </c>
      <c r="B74" s="259"/>
      <c r="C74" s="0" t="str">
        <f>Evidence!G74</f>
        <v>0</v>
      </c>
      <c r="D74" s="0" t="str">
        <f>Evidence!G74</f>
        <v>0</v>
      </c>
    </row>
    <row r="75" spans="1:16">
      <c r="A75" s="259" t="str">
        <f>Evidence!A75</f>
        <v>0</v>
      </c>
      <c r="B75" s="259"/>
      <c r="C75" s="0" t="str">
        <f>Evidence!G75</f>
        <v>0</v>
      </c>
      <c r="D75" s="0" t="str">
        <f>Evidence!G75</f>
        <v>0</v>
      </c>
    </row>
    <row r="76" spans="1:16">
      <c r="A76" s="259" t="str">
        <f>Evidence!A76</f>
        <v>0</v>
      </c>
      <c r="B76" s="259"/>
      <c r="C76" s="0" t="str">
        <f>Evidence!G76</f>
        <v>0</v>
      </c>
      <c r="D76" s="0" t="str">
        <f>Evidence!G76</f>
        <v>0</v>
      </c>
    </row>
    <row r="77" spans="1:16">
      <c r="A77" s="259" t="str">
        <f>Evidence!A77</f>
        <v>0</v>
      </c>
      <c r="B77" s="259"/>
      <c r="C77" s="0" t="str">
        <f>Evidence!G77</f>
        <v>0</v>
      </c>
      <c r="D77" s="0" t="str">
        <f>Evidence!G77</f>
        <v>0</v>
      </c>
    </row>
    <row r="78" spans="1:16">
      <c r="A78" s="259" t="str">
        <f>Evidence!A78</f>
        <v>0</v>
      </c>
      <c r="B78" s="259"/>
      <c r="C78" s="0" t="str">
        <f>Evidence!G78</f>
        <v>0</v>
      </c>
      <c r="D78" s="0" t="str">
        <f>Evidence!G78</f>
        <v>0</v>
      </c>
    </row>
    <row r="79" spans="1:16">
      <c r="A79" s="259" t="str">
        <f>Evidence!A79</f>
        <v>0</v>
      </c>
      <c r="B79" s="259"/>
      <c r="C79" s="0" t="str">
        <f>Evidence!G79</f>
        <v>0</v>
      </c>
      <c r="D79" s="0" t="str">
        <f>Evidence!G79</f>
        <v>0</v>
      </c>
    </row>
    <row r="80" spans="1:16">
      <c r="A80" s="259" t="str">
        <f>Evidence!A80</f>
        <v>0</v>
      </c>
      <c r="B80" s="259"/>
      <c r="C80" s="0" t="str">
        <f>Evidence!G80</f>
        <v>0</v>
      </c>
      <c r="D80" s="0" t="str">
        <f>Evidence!G80</f>
        <v>0</v>
      </c>
    </row>
    <row r="81" spans="1:16">
      <c r="A81" s="259" t="str">
        <f>Evidence!A81</f>
        <v>0</v>
      </c>
      <c r="B81" s="259"/>
      <c r="C81" s="0" t="str">
        <f>Evidence!G81</f>
        <v>0</v>
      </c>
      <c r="D81" s="0" t="str">
        <f>Evidence!G81</f>
        <v>0</v>
      </c>
    </row>
    <row r="82" spans="1:16">
      <c r="A82" s="259" t="str">
        <f>Evidence!A82</f>
        <v>0</v>
      </c>
      <c r="B82" s="259"/>
      <c r="C82" s="0" t="str">
        <f>Evidence!G82</f>
        <v>0</v>
      </c>
      <c r="D82" s="0" t="str">
        <f>Evidence!G82</f>
        <v>0</v>
      </c>
    </row>
    <row r="83" spans="1:16">
      <c r="A83" s="259" t="str">
        <f>Evidence!A83</f>
        <v>0</v>
      </c>
      <c r="B83" s="259"/>
      <c r="C83" s="0" t="str">
        <f>Evidence!G83</f>
        <v>0</v>
      </c>
      <c r="D83" s="0" t="str">
        <f>Evidence!G83</f>
        <v>0</v>
      </c>
    </row>
    <row r="84" spans="1:16">
      <c r="A84" s="259" t="str">
        <f>Evidence!A84</f>
        <v>0</v>
      </c>
      <c r="B84" s="259"/>
      <c r="C84" s="0" t="str">
        <f>Evidence!G84</f>
        <v>0</v>
      </c>
      <c r="D84" s="0" t="str">
        <f>Evidence!G84</f>
        <v>0</v>
      </c>
    </row>
    <row r="85" spans="1:16">
      <c r="A85" s="259" t="str">
        <f>Evidence!A85</f>
        <v>0</v>
      </c>
      <c r="B85" s="259"/>
      <c r="C85" s="0" t="str">
        <f>Evidence!G85</f>
        <v>0</v>
      </c>
      <c r="D85" s="0" t="str">
        <f>Evidence!G85</f>
        <v>0</v>
      </c>
    </row>
    <row r="86" spans="1:16">
      <c r="A86" s="259" t="str">
        <f>Evidence!A86</f>
        <v>0</v>
      </c>
      <c r="B86" s="259"/>
      <c r="C86" s="0" t="str">
        <f>Evidence!G86</f>
        <v>0</v>
      </c>
      <c r="D86" s="0" t="str">
        <f>Evidence!G86</f>
        <v>0</v>
      </c>
    </row>
    <row r="87" spans="1:16">
      <c r="A87" s="259" t="str">
        <f>Evidence!A87</f>
        <v>0</v>
      </c>
      <c r="B87" s="259"/>
      <c r="C87" s="0" t="str">
        <f>Evidence!G87</f>
        <v>0</v>
      </c>
      <c r="D87" s="0" t="str">
        <f>Evidence!G87</f>
        <v>0</v>
      </c>
    </row>
    <row r="88" spans="1:16">
      <c r="A88" s="259" t="str">
        <f>Evidence!A88</f>
        <v>0</v>
      </c>
      <c r="B88" s="259"/>
      <c r="C88" s="0" t="str">
        <f>Evidence!G88</f>
        <v>0</v>
      </c>
      <c r="D88" s="0" t="str">
        <f>Evidence!G88</f>
        <v>0</v>
      </c>
    </row>
    <row r="89" spans="1:16">
      <c r="A89" s="259" t="str">
        <f>Evidence!A89</f>
        <v>0</v>
      </c>
      <c r="B89" s="259"/>
      <c r="C89" s="0" t="str">
        <f>Evidence!G89</f>
        <v>0</v>
      </c>
      <c r="D89" s="0" t="str">
        <f>Evidence!G89</f>
        <v>0</v>
      </c>
    </row>
    <row r="90" spans="1:16">
      <c r="A90" s="259" t="str">
        <f>Evidence!A90</f>
        <v>0</v>
      </c>
      <c r="B90" s="259"/>
      <c r="C90" s="0" t="str">
        <f>Evidence!G90</f>
        <v>0</v>
      </c>
      <c r="D90" s="0" t="str">
        <f>Evidence!G90</f>
        <v>0</v>
      </c>
    </row>
    <row r="91" spans="1:16">
      <c r="A91" s="259" t="str">
        <f>Evidence!A91</f>
        <v>0</v>
      </c>
      <c r="B91" s="259"/>
      <c r="C91" s="0" t="str">
        <f>Evidence!G91</f>
        <v>0</v>
      </c>
      <c r="D91" s="0" t="str">
        <f>Evidence!G91</f>
        <v>0</v>
      </c>
    </row>
    <row r="92" spans="1:16">
      <c r="A92" s="259" t="str">
        <f>Evidence!A92</f>
        <v>0</v>
      </c>
      <c r="B92" s="259"/>
      <c r="C92" s="0" t="str">
        <f>Evidence!G92</f>
        <v>0</v>
      </c>
      <c r="D92" s="0" t="str">
        <f>Evidence!G92</f>
        <v>0</v>
      </c>
    </row>
    <row r="93" spans="1:16">
      <c r="A93" s="259" t="str">
        <f>Evidence!A93</f>
        <v>0</v>
      </c>
      <c r="B93" s="259"/>
      <c r="C93" s="0" t="str">
        <f>Evidence!G93</f>
        <v>0</v>
      </c>
      <c r="D93" s="0" t="str">
        <f>Evidence!G93</f>
        <v>0</v>
      </c>
    </row>
    <row r="94" spans="1:16">
      <c r="A94" s="259" t="str">
        <f>Evidence!A94</f>
        <v>0</v>
      </c>
      <c r="B94" s="259"/>
      <c r="C94" s="0" t="str">
        <f>Evidence!G94</f>
        <v>0</v>
      </c>
      <c r="D94" s="0" t="str">
        <f>Evidence!G94</f>
        <v>0</v>
      </c>
    </row>
    <row r="95" spans="1:16">
      <c r="A95" s="259" t="str">
        <f>Evidence!A95</f>
        <v>0</v>
      </c>
      <c r="B95" s="259"/>
      <c r="C95" s="0" t="str">
        <f>Evidence!G95</f>
        <v>0</v>
      </c>
      <c r="D95" s="0" t="str">
        <f>Evidence!G95</f>
        <v>0</v>
      </c>
    </row>
    <row r="96" spans="1:16">
      <c r="A96" s="259" t="str">
        <f>Evidence!A96</f>
        <v>0</v>
      </c>
      <c r="B96" s="259"/>
      <c r="C96" s="0" t="str">
        <f>Evidence!G96</f>
        <v>0</v>
      </c>
      <c r="D96" s="0" t="str">
        <f>Evidence!G96</f>
        <v>0</v>
      </c>
    </row>
    <row r="97" spans="1:16">
      <c r="A97" s="259" t="str">
        <f>Evidence!A97</f>
        <v>0</v>
      </c>
      <c r="B97" s="259"/>
      <c r="C97" s="0" t="str">
        <f>Evidence!G97</f>
        <v>0</v>
      </c>
      <c r="D97" s="0" t="str">
        <f>Evidence!G97</f>
        <v>0</v>
      </c>
    </row>
    <row r="98" spans="1:16">
      <c r="A98" s="259" t="str">
        <f>Evidence!A98</f>
        <v>0</v>
      </c>
      <c r="B98" s="259"/>
      <c r="C98" s="0" t="str">
        <f>Evidence!G98</f>
        <v>0</v>
      </c>
      <c r="D98" s="0" t="str">
        <f>Evidence!G98</f>
        <v>0</v>
      </c>
    </row>
    <row r="99" spans="1:16">
      <c r="A99" s="259" t="str">
        <f>Evidence!A99</f>
        <v>0</v>
      </c>
      <c r="B99" s="259"/>
      <c r="C99" s="0" t="str">
        <f>Evidence!G99</f>
        <v>0</v>
      </c>
      <c r="D99" s="0" t="str">
        <f>Evidence!G99</f>
        <v>0</v>
      </c>
    </row>
    <row r="100" spans="1:16">
      <c r="A100" s="259" t="str">
        <f>Evidence!A100</f>
        <v>0</v>
      </c>
      <c r="B100" s="259"/>
      <c r="C100" s="0" t="str">
        <f>Evidence!G100</f>
        <v>0</v>
      </c>
      <c r="D100" s="0" t="str">
        <f>Evidence!G100</f>
        <v>0</v>
      </c>
    </row>
    <row r="101" spans="1:16">
      <c r="A101" s="259" t="str">
        <f>Evidence!A101</f>
        <v>0</v>
      </c>
      <c r="B101" s="259"/>
      <c r="C101" s="0" t="str">
        <f>Evidence!G101</f>
        <v>0</v>
      </c>
      <c r="D101" s="0" t="str">
        <f>Evidence!G101</f>
        <v>0</v>
      </c>
    </row>
    <row r="102" spans="1:16">
      <c r="A102" s="259" t="str">
        <f>Evidence!A102</f>
        <v>0</v>
      </c>
      <c r="B102" s="259"/>
      <c r="C102" s="0" t="str">
        <f>Evidence!G102</f>
        <v>0</v>
      </c>
      <c r="D102" s="0" t="str">
        <f>Evidence!G102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A1" location="Seznam!A1"/>
  </hyperlinks>
  <printOptions gridLines="false" gridLinesSet="true"/>
  <pageMargins left="0.7" right="0.7" top="0.787401575" bottom="0.787401575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MK115"/>
  <sheetViews>
    <sheetView tabSelected="0" workbookViewId="0" showGridLines="true" showRowColHeaders="1">
      <selection activeCell="A1" sqref="A1"/>
    </sheetView>
  </sheetViews>
  <sheetFormatPr defaultRowHeight="14.4" defaultColWidth="9.1328125" outlineLevelRow="0" outlineLevelCol="0"/>
  <cols>
    <col min="1" max="1" width="24.3984375" customWidth="true" style="27"/>
    <col min="2" max="2" width="18.3984375" customWidth="true" style="2"/>
    <col min="3" max="3" width="9.265625" customWidth="true" style="2"/>
    <col min="4" max="4" width="12.1328125" customWidth="true" style="2"/>
    <col min="5" max="5" width="15.59765625" customWidth="true" style="2"/>
    <col min="6" max="6" width="10.265625" customWidth="true" style="242"/>
    <col min="7" max="7" width="24" customWidth="true" style="114"/>
    <col min="8" max="8" width="24" customWidth="true" style="114"/>
    <col min="9" max="9" width="24.59765625" customWidth="true" style="2"/>
    <col min="10" max="10" width="15.86328125" customWidth="true" style="2"/>
    <col min="11" max="11" width="22.3984375" customWidth="true" style="2"/>
    <col min="12" max="12" width="14.73046875" customWidth="true" style="2"/>
    <col min="13" max="13" width="9.1328125" style="2"/>
    <col min="14" max="14" width="9.1328125" style="2"/>
    <col min="15" max="15" width="9.1328125" style="2"/>
    <col min="16" max="16" width="9.1328125" style="2"/>
    <col min="17" max="17" width="9.1328125" style="2"/>
    <col min="18" max="18" width="9.1328125" style="2"/>
    <col min="19" max="19" width="9.1328125" style="2"/>
    <col min="20" max="20" width="9.1328125" style="2"/>
    <col min="21" max="21" width="9.1328125" style="2"/>
    <col min="22" max="22" width="9.1328125" style="2"/>
    <col min="23" max="23" width="9.1328125" style="2"/>
    <col min="24" max="24" width="9.1328125" style="2"/>
    <col min="25" max="25" width="9.1328125" style="2"/>
    <col min="26" max="26" width="9.1328125" style="2"/>
    <col min="27" max="27" width="9.1328125" style="2"/>
    <col min="28" max="28" width="9.1328125" style="2"/>
    <col min="29" max="29" width="9.1328125" style="2"/>
    <col min="30" max="30" width="9.1328125" style="2"/>
    <col min="31" max="31" width="9.1328125" style="2"/>
    <col min="32" max="32" width="9.1328125" style="2"/>
    <col min="33" max="33" width="9.1328125" style="2"/>
    <col min="34" max="34" width="9.1328125" style="2"/>
    <col min="35" max="35" width="9.1328125" style="2"/>
    <col min="36" max="36" width="9.1328125" style="2"/>
    <col min="37" max="37" width="9.1328125" style="2"/>
    <col min="38" max="38" width="9.1328125" style="2"/>
    <col min="39" max="39" width="9.1328125" style="2"/>
    <col min="40" max="40" width="9.1328125" style="2"/>
    <col min="41" max="41" width="9.1328125" style="2"/>
    <col min="42" max="42" width="9.1328125" style="2"/>
    <col min="43" max="43" width="9.1328125" style="2"/>
    <col min="44" max="44" width="9.1328125" style="2"/>
    <col min="45" max="45" width="9.1328125" style="2"/>
    <col min="46" max="46" width="9.1328125" style="2"/>
    <col min="47" max="47" width="9.1328125" style="2"/>
    <col min="48" max="48" width="9.1328125" style="2"/>
    <col min="49" max="49" width="9.1328125" style="2"/>
    <col min="50" max="50" width="9.1328125" style="2"/>
    <col min="51" max="51" width="9.1328125" style="2"/>
    <col min="52" max="52" width="9.1328125" style="2"/>
    <col min="53" max="53" width="9.1328125" style="2"/>
    <col min="54" max="54" width="9.1328125" style="2"/>
    <col min="55" max="55" width="9.1328125" style="2"/>
    <col min="56" max="56" width="9.1328125" style="2"/>
    <col min="57" max="57" width="9.1328125" style="2"/>
    <col min="58" max="58" width="9.1328125" style="2"/>
    <col min="59" max="59" width="9.1328125" style="2"/>
    <col min="60" max="60" width="9.1328125" style="2"/>
    <col min="61" max="61" width="9.1328125" style="2"/>
    <col min="62" max="62" width="9.1328125" style="2"/>
    <col min="63" max="63" width="9.1328125" style="2"/>
    <col min="64" max="64" width="9.1328125" style="2"/>
    <col min="65" max="65" width="9.1328125" style="2"/>
    <col min="66" max="66" width="9.1328125" style="2"/>
    <col min="67" max="67" width="9.1328125" style="2"/>
    <col min="68" max="68" width="9.1328125" style="2"/>
    <col min="69" max="69" width="9.1328125" style="2"/>
    <col min="70" max="70" width="9.1328125" style="2"/>
    <col min="71" max="71" width="9.1328125" style="2"/>
    <col min="72" max="72" width="9.1328125" style="2"/>
    <col min="73" max="73" width="9.1328125" style="2"/>
    <col min="74" max="74" width="9.1328125" style="2"/>
    <col min="75" max="75" width="9.1328125" style="2"/>
    <col min="76" max="76" width="9.1328125" style="2"/>
    <col min="77" max="77" width="9.1328125" style="2"/>
    <col min="78" max="78" width="9.1328125" style="2"/>
    <col min="79" max="79" width="9.1328125" style="2"/>
    <col min="80" max="80" width="9.1328125" style="2"/>
    <col min="81" max="81" width="9.1328125" style="2"/>
    <col min="82" max="82" width="9.1328125" style="2"/>
    <col min="83" max="83" width="9.1328125" style="2"/>
    <col min="84" max="84" width="9.1328125" style="2"/>
    <col min="85" max="85" width="9.1328125" style="2"/>
    <col min="86" max="86" width="9.1328125" style="2"/>
    <col min="87" max="87" width="9.1328125" style="2"/>
    <col min="88" max="88" width="9.1328125" style="2"/>
    <col min="89" max="89" width="9.1328125" style="2"/>
    <col min="90" max="90" width="9.1328125" style="2"/>
    <col min="91" max="91" width="9.1328125" style="2"/>
    <col min="92" max="92" width="9.1328125" style="2"/>
    <col min="93" max="93" width="9.1328125" style="2"/>
    <col min="94" max="94" width="9.1328125" style="2"/>
    <col min="95" max="95" width="9.1328125" style="2"/>
    <col min="96" max="96" width="9.1328125" style="2"/>
    <col min="97" max="97" width="9.1328125" style="2"/>
    <col min="98" max="98" width="9.1328125" style="2"/>
    <col min="99" max="99" width="9.1328125" style="2"/>
    <col min="100" max="100" width="9.1328125" style="2"/>
    <col min="101" max="101" width="9.1328125" style="2"/>
    <col min="102" max="102" width="9.1328125" style="2"/>
    <col min="103" max="103" width="9.1328125" style="2"/>
    <col min="104" max="104" width="9.1328125" style="2"/>
    <col min="105" max="105" width="9.1328125" style="2"/>
    <col min="106" max="106" width="9.1328125" style="2"/>
    <col min="107" max="107" width="9.1328125" style="2"/>
    <col min="108" max="108" width="9.1328125" style="2"/>
    <col min="109" max="109" width="9.1328125" style="2"/>
    <col min="110" max="110" width="9.1328125" style="2"/>
    <col min="111" max="111" width="9.1328125" style="2"/>
    <col min="112" max="112" width="9.1328125" style="2"/>
    <col min="113" max="113" width="9.1328125" style="2"/>
    <col min="114" max="114" width="9.1328125" style="2"/>
    <col min="115" max="115" width="9.1328125" style="2"/>
    <col min="116" max="116" width="9.1328125" style="2"/>
    <col min="117" max="117" width="9.1328125" style="2"/>
    <col min="118" max="118" width="9.1328125" style="2"/>
    <col min="119" max="119" width="9.1328125" style="2"/>
    <col min="120" max="120" width="9.1328125" style="2"/>
    <col min="121" max="121" width="9.1328125" style="2"/>
    <col min="122" max="122" width="9.1328125" style="2"/>
    <col min="123" max="123" width="9.1328125" style="2"/>
    <col min="124" max="124" width="9.1328125" style="2"/>
    <col min="125" max="125" width="9.1328125" style="2"/>
    <col min="126" max="126" width="9.1328125" style="2"/>
    <col min="127" max="127" width="9.1328125" style="2"/>
    <col min="128" max="128" width="9.1328125" style="2"/>
    <col min="129" max="129" width="9.1328125" style="2"/>
    <col min="130" max="130" width="9.1328125" style="2"/>
    <col min="131" max="131" width="9.1328125" style="2"/>
    <col min="132" max="132" width="9.1328125" style="2"/>
    <col min="133" max="133" width="9.1328125" style="2"/>
    <col min="134" max="134" width="9.1328125" style="2"/>
    <col min="135" max="135" width="9.1328125" style="2"/>
    <col min="136" max="136" width="9.1328125" style="2"/>
    <col min="137" max="137" width="9.1328125" style="2"/>
    <col min="138" max="138" width="9.1328125" style="2"/>
    <col min="139" max="139" width="9.1328125" style="2"/>
    <col min="140" max="140" width="9.1328125" style="2"/>
    <col min="141" max="141" width="9.1328125" style="2"/>
    <col min="142" max="142" width="9.1328125" style="2"/>
    <col min="143" max="143" width="9.1328125" style="2"/>
    <col min="144" max="144" width="9.1328125" style="2"/>
    <col min="145" max="145" width="9.1328125" style="2"/>
    <col min="146" max="146" width="9.1328125" style="2"/>
    <col min="147" max="147" width="9.1328125" style="2"/>
    <col min="148" max="148" width="9.1328125" style="2"/>
    <col min="149" max="149" width="9.1328125" style="2"/>
    <col min="150" max="150" width="9.1328125" style="2"/>
    <col min="151" max="151" width="9.1328125" style="2"/>
    <col min="152" max="152" width="9.1328125" style="2"/>
    <col min="153" max="153" width="9.1328125" style="2"/>
    <col min="154" max="154" width="9.1328125" style="2"/>
    <col min="155" max="155" width="9.1328125" style="2"/>
    <col min="156" max="156" width="9.1328125" style="2"/>
    <col min="157" max="157" width="9.1328125" style="2"/>
    <col min="158" max="158" width="9.1328125" style="2"/>
    <col min="159" max="159" width="9.1328125" style="2"/>
    <col min="160" max="160" width="9.1328125" style="2"/>
    <col min="161" max="161" width="9.1328125" style="2"/>
    <col min="162" max="162" width="9.1328125" style="2"/>
    <col min="163" max="163" width="9.1328125" style="2"/>
    <col min="164" max="164" width="9.1328125" style="2"/>
    <col min="165" max="165" width="9.1328125" style="2"/>
    <col min="166" max="166" width="9.1328125" style="2"/>
    <col min="167" max="167" width="9.1328125" style="2"/>
    <col min="168" max="168" width="9.1328125" style="2"/>
    <col min="169" max="169" width="9.1328125" style="2"/>
    <col min="170" max="170" width="9.1328125" style="2"/>
    <col min="171" max="171" width="9.1328125" style="2"/>
    <col min="172" max="172" width="9.1328125" style="2"/>
    <col min="173" max="173" width="9.1328125" style="2"/>
    <col min="174" max="174" width="9.1328125" style="2"/>
    <col min="175" max="175" width="9.1328125" style="2"/>
    <col min="176" max="176" width="9.1328125" style="2"/>
    <col min="177" max="177" width="9.1328125" style="2"/>
    <col min="178" max="178" width="9.1328125" style="2"/>
    <col min="179" max="179" width="9.1328125" style="2"/>
    <col min="180" max="180" width="9.1328125" style="2"/>
    <col min="181" max="181" width="9.1328125" style="2"/>
    <col min="182" max="182" width="9.1328125" style="2"/>
    <col min="183" max="183" width="9.1328125" style="2"/>
    <col min="184" max="184" width="9.1328125" style="2"/>
    <col min="185" max="185" width="9.1328125" style="2"/>
    <col min="186" max="186" width="9.1328125" style="2"/>
    <col min="187" max="187" width="9.1328125" style="2"/>
    <col min="188" max="188" width="9.1328125" style="2"/>
    <col min="189" max="189" width="9.1328125" style="2"/>
    <col min="190" max="190" width="9.1328125" style="2"/>
    <col min="191" max="191" width="9.1328125" style="2"/>
    <col min="192" max="192" width="9.1328125" style="2"/>
    <col min="193" max="193" width="9.1328125" style="2"/>
    <col min="194" max="194" width="9.1328125" style="2"/>
    <col min="195" max="195" width="9.1328125" style="2"/>
    <col min="196" max="196" width="9.1328125" style="2"/>
    <col min="197" max="197" width="9.1328125" style="2"/>
    <col min="198" max="198" width="9.1328125" style="2"/>
    <col min="199" max="199" width="9.1328125" style="2"/>
    <col min="200" max="200" width="9.1328125" style="2"/>
    <col min="201" max="201" width="9.1328125" style="2"/>
    <col min="202" max="202" width="9.1328125" style="2"/>
    <col min="203" max="203" width="9.1328125" style="2"/>
    <col min="204" max="204" width="9.1328125" style="2"/>
    <col min="205" max="205" width="9.1328125" style="2"/>
    <col min="206" max="206" width="9.1328125" style="2"/>
    <col min="207" max="207" width="9.1328125" style="2"/>
    <col min="208" max="208" width="9.1328125" style="2"/>
    <col min="209" max="209" width="9.1328125" style="2"/>
    <col min="210" max="210" width="9.1328125" style="2"/>
    <col min="211" max="211" width="9.1328125" style="2"/>
    <col min="212" max="212" width="9.1328125" style="2"/>
    <col min="213" max="213" width="9.1328125" style="2"/>
    <col min="214" max="214" width="9.1328125" style="2"/>
    <col min="215" max="215" width="9.1328125" style="2"/>
    <col min="216" max="216" width="9.1328125" style="2"/>
    <col min="217" max="217" width="9.1328125" style="2"/>
    <col min="218" max="218" width="9.1328125" style="2"/>
    <col min="219" max="219" width="9.1328125" style="2"/>
    <col min="220" max="220" width="9.1328125" style="2"/>
    <col min="221" max="221" width="9.1328125" style="2"/>
    <col min="222" max="222" width="9.1328125" style="2"/>
    <col min="223" max="223" width="9.1328125" style="2"/>
    <col min="224" max="224" width="9.1328125" style="2"/>
    <col min="225" max="225" width="9.1328125" style="2"/>
    <col min="226" max="226" width="9.1328125" style="2"/>
    <col min="227" max="227" width="9.1328125" style="2"/>
    <col min="228" max="228" width="9.1328125" style="2"/>
    <col min="229" max="229" width="9.1328125" style="2"/>
    <col min="230" max="230" width="9.1328125" style="2"/>
    <col min="231" max="231" width="9.1328125" style="2"/>
    <col min="232" max="232" width="9.1328125" style="2"/>
    <col min="233" max="233" width="9.1328125" style="2"/>
    <col min="234" max="234" width="9.1328125" style="2"/>
    <col min="235" max="235" width="9.1328125" style="2"/>
    <col min="236" max="236" width="9.1328125" style="2"/>
    <col min="237" max="237" width="9.1328125" style="2"/>
    <col min="238" max="238" width="9.1328125" style="2"/>
    <col min="239" max="239" width="9.1328125" style="2"/>
    <col min="240" max="240" width="9.1328125" style="2"/>
    <col min="241" max="241" width="9.1328125" style="2"/>
    <col min="242" max="242" width="9.1328125" style="2"/>
    <col min="243" max="243" width="9.1328125" style="2"/>
    <col min="244" max="244" width="9.1328125" style="2"/>
    <col min="245" max="245" width="9.1328125" style="2"/>
    <col min="246" max="246" width="9.1328125" style="2"/>
    <col min="247" max="247" width="9.1328125" style="2"/>
    <col min="248" max="248" width="9.1328125" style="2"/>
    <col min="249" max="249" width="9.1328125" style="2"/>
    <col min="250" max="250" width="9.1328125" style="2"/>
    <col min="251" max="251" width="9.1328125" style="2"/>
    <col min="252" max="252" width="9.1328125" style="2"/>
    <col min="253" max="253" width="9.1328125" style="2"/>
    <col min="254" max="254" width="9.1328125" style="2"/>
    <col min="255" max="255" width="9.1328125" style="2"/>
    <col min="256" max="256" width="9.1328125" style="2"/>
    <col min="257" max="257" width="9.1328125" style="2"/>
    <col min="258" max="258" width="9.1328125" style="2"/>
    <col min="259" max="259" width="9.1328125" style="2"/>
    <col min="260" max="260" width="9.1328125" style="2"/>
    <col min="261" max="261" width="9.1328125" style="2"/>
    <col min="262" max="262" width="9.1328125" style="2"/>
    <col min="263" max="263" width="9.1328125" style="2"/>
    <col min="264" max="264" width="9.1328125" style="2"/>
    <col min="265" max="265" width="9.1328125" style="2"/>
    <col min="266" max="266" width="9.1328125" style="2"/>
    <col min="267" max="267" width="9.1328125" style="2"/>
    <col min="268" max="268" width="9.1328125" style="2"/>
    <col min="269" max="269" width="9.1328125" style="2"/>
    <col min="270" max="270" width="9.1328125" style="2"/>
    <col min="271" max="271" width="9.1328125" style="2"/>
    <col min="272" max="272" width="9.1328125" style="2"/>
    <col min="273" max="273" width="9.1328125" style="2"/>
    <col min="274" max="274" width="9.1328125" style="2"/>
    <col min="275" max="275" width="9.1328125" style="2"/>
    <col min="276" max="276" width="9.1328125" style="2"/>
    <col min="277" max="277" width="9.1328125" style="2"/>
    <col min="278" max="278" width="9.1328125" style="2"/>
    <col min="279" max="279" width="9.1328125" style="2"/>
    <col min="280" max="280" width="9.1328125" style="2"/>
    <col min="281" max="281" width="9.1328125" style="2"/>
    <col min="282" max="282" width="9.1328125" style="2"/>
    <col min="283" max="283" width="9.1328125" style="2"/>
    <col min="284" max="284" width="9.1328125" style="2"/>
    <col min="285" max="285" width="9.1328125" style="2"/>
    <col min="286" max="286" width="9.1328125" style="2"/>
    <col min="287" max="287" width="9.1328125" style="2"/>
    <col min="288" max="288" width="9.1328125" style="2"/>
    <col min="289" max="289" width="9.1328125" style="2"/>
    <col min="290" max="290" width="9.1328125" style="2"/>
    <col min="291" max="291" width="9.1328125" style="2"/>
    <col min="292" max="292" width="9.1328125" style="2"/>
    <col min="293" max="293" width="9.1328125" style="2"/>
    <col min="294" max="294" width="9.1328125" style="2"/>
    <col min="295" max="295" width="9.1328125" style="2"/>
    <col min="296" max="296" width="9.1328125" style="2"/>
    <col min="297" max="297" width="9.1328125" style="2"/>
    <col min="298" max="298" width="9.1328125" style="2"/>
    <col min="299" max="299" width="9.1328125" style="2"/>
    <col min="300" max="300" width="9.1328125" style="2"/>
    <col min="301" max="301" width="9.1328125" style="2"/>
    <col min="302" max="302" width="9.1328125" style="2"/>
    <col min="303" max="303" width="9.1328125" style="2"/>
    <col min="304" max="304" width="9.1328125" style="2"/>
    <col min="305" max="305" width="9.1328125" style="2"/>
    <col min="306" max="306" width="9.1328125" style="2"/>
    <col min="307" max="307" width="9.1328125" style="2"/>
    <col min="308" max="308" width="9.1328125" style="2"/>
    <col min="309" max="309" width="9.1328125" style="2"/>
    <col min="310" max="310" width="9.1328125" style="2"/>
    <col min="311" max="311" width="9.1328125" style="2"/>
    <col min="312" max="312" width="9.1328125" style="2"/>
    <col min="313" max="313" width="9.1328125" style="2"/>
    <col min="314" max="314" width="9.1328125" style="2"/>
    <col min="315" max="315" width="9.1328125" style="2"/>
    <col min="316" max="316" width="9.1328125" style="2"/>
    <col min="317" max="317" width="9.1328125" style="2"/>
    <col min="318" max="318" width="9.1328125" style="2"/>
    <col min="319" max="319" width="9.1328125" style="2"/>
    <col min="320" max="320" width="9.1328125" style="2"/>
    <col min="321" max="321" width="9.1328125" style="2"/>
    <col min="322" max="322" width="9.1328125" style="2"/>
    <col min="323" max="323" width="9.1328125" style="2"/>
    <col min="324" max="324" width="9.1328125" style="2"/>
    <col min="325" max="325" width="9.1328125" style="2"/>
    <col min="326" max="326" width="9.1328125" style="2"/>
    <col min="327" max="327" width="9.1328125" style="2"/>
    <col min="328" max="328" width="9.1328125" style="2"/>
    <col min="329" max="329" width="9.1328125" style="2"/>
    <col min="330" max="330" width="9.1328125" style="2"/>
    <col min="331" max="331" width="9.1328125" style="2"/>
    <col min="332" max="332" width="9.1328125" style="2"/>
    <col min="333" max="333" width="9.1328125" style="2"/>
    <col min="334" max="334" width="9.1328125" style="2"/>
    <col min="335" max="335" width="9.1328125" style="2"/>
    <col min="336" max="336" width="9.1328125" style="2"/>
    <col min="337" max="337" width="9.1328125" style="2"/>
    <col min="338" max="338" width="9.1328125" style="2"/>
    <col min="339" max="339" width="9.1328125" style="2"/>
    <col min="340" max="340" width="9.1328125" style="2"/>
    <col min="341" max="341" width="9.1328125" style="2"/>
    <col min="342" max="342" width="9.1328125" style="2"/>
    <col min="343" max="343" width="9.1328125" style="2"/>
    <col min="344" max="344" width="9.1328125" style="2"/>
    <col min="345" max="345" width="9.1328125" style="2"/>
    <col min="346" max="346" width="9.1328125" style="2"/>
    <col min="347" max="347" width="9.1328125" style="2"/>
    <col min="348" max="348" width="9.1328125" style="2"/>
    <col min="349" max="349" width="9.1328125" style="2"/>
    <col min="350" max="350" width="9.1328125" style="2"/>
    <col min="351" max="351" width="9.1328125" style="2"/>
    <col min="352" max="352" width="9.1328125" style="2"/>
    <col min="353" max="353" width="9.1328125" style="2"/>
    <col min="354" max="354" width="9.1328125" style="2"/>
    <col min="355" max="355" width="9.1328125" style="2"/>
    <col min="356" max="356" width="9.1328125" style="2"/>
    <col min="357" max="357" width="9.1328125" style="2"/>
    <col min="358" max="358" width="9.1328125" style="2"/>
    <col min="359" max="359" width="9.1328125" style="2"/>
    <col min="360" max="360" width="9.1328125" style="2"/>
    <col min="361" max="361" width="9.1328125" style="2"/>
    <col min="362" max="362" width="9.1328125" style="2"/>
    <col min="363" max="363" width="9.1328125" style="2"/>
    <col min="364" max="364" width="9.1328125" style="2"/>
    <col min="365" max="365" width="9.1328125" style="2"/>
    <col min="366" max="366" width="9.1328125" style="2"/>
    <col min="367" max="367" width="9.1328125" style="2"/>
    <col min="368" max="368" width="9.1328125" style="2"/>
    <col min="369" max="369" width="9.1328125" style="2"/>
    <col min="370" max="370" width="9.1328125" style="2"/>
    <col min="371" max="371" width="9.1328125" style="2"/>
    <col min="372" max="372" width="9.1328125" style="2"/>
    <col min="373" max="373" width="9.1328125" style="2"/>
    <col min="374" max="374" width="9.1328125" style="2"/>
    <col min="375" max="375" width="9.1328125" style="2"/>
    <col min="376" max="376" width="9.1328125" style="2"/>
    <col min="377" max="377" width="9.1328125" style="2"/>
    <col min="378" max="378" width="9.1328125" style="2"/>
    <col min="379" max="379" width="9.1328125" style="2"/>
    <col min="380" max="380" width="9.1328125" style="2"/>
    <col min="381" max="381" width="9.1328125" style="2"/>
    <col min="382" max="382" width="9.1328125" style="2"/>
    <col min="383" max="383" width="9.1328125" style="2"/>
    <col min="384" max="384" width="9.1328125" style="2"/>
    <col min="385" max="385" width="9.1328125" style="2"/>
    <col min="386" max="386" width="9.1328125" style="2"/>
    <col min="387" max="387" width="9.1328125" style="2"/>
    <col min="388" max="388" width="9.1328125" style="2"/>
    <col min="389" max="389" width="9.1328125" style="2"/>
    <col min="390" max="390" width="9.1328125" style="2"/>
    <col min="391" max="391" width="9.1328125" style="2"/>
    <col min="392" max="392" width="9.1328125" style="2"/>
    <col min="393" max="393" width="9.1328125" style="2"/>
    <col min="394" max="394" width="9.1328125" style="2"/>
    <col min="395" max="395" width="9.1328125" style="2"/>
    <col min="396" max="396" width="9.1328125" style="2"/>
    <col min="397" max="397" width="9.1328125" style="2"/>
    <col min="398" max="398" width="9.1328125" style="2"/>
    <col min="399" max="399" width="9.1328125" style="2"/>
    <col min="400" max="400" width="9.1328125" style="2"/>
    <col min="401" max="401" width="9.1328125" style="2"/>
    <col min="402" max="402" width="9.1328125" style="2"/>
    <col min="403" max="403" width="9.1328125" style="2"/>
    <col min="404" max="404" width="9.1328125" style="2"/>
    <col min="405" max="405" width="9.1328125" style="2"/>
    <col min="406" max="406" width="9.1328125" style="2"/>
    <col min="407" max="407" width="9.1328125" style="2"/>
    <col min="408" max="408" width="9.1328125" style="2"/>
    <col min="409" max="409" width="9.1328125" style="2"/>
    <col min="410" max="410" width="9.1328125" style="2"/>
    <col min="411" max="411" width="9.1328125" style="2"/>
    <col min="412" max="412" width="9.1328125" style="2"/>
    <col min="413" max="413" width="9.1328125" style="2"/>
    <col min="414" max="414" width="9.1328125" style="2"/>
    <col min="415" max="415" width="9.1328125" style="2"/>
    <col min="416" max="416" width="9.1328125" style="2"/>
    <col min="417" max="417" width="9.1328125" style="2"/>
    <col min="418" max="418" width="9.1328125" style="2"/>
    <col min="419" max="419" width="9.1328125" style="2"/>
    <col min="420" max="420" width="9.1328125" style="2"/>
    <col min="421" max="421" width="9.1328125" style="2"/>
    <col min="422" max="422" width="9.1328125" style="2"/>
    <col min="423" max="423" width="9.1328125" style="2"/>
    <col min="424" max="424" width="9.1328125" style="2"/>
    <col min="425" max="425" width="9.1328125" style="2"/>
    <col min="426" max="426" width="9.1328125" style="2"/>
    <col min="427" max="427" width="9.1328125" style="2"/>
    <col min="428" max="428" width="9.1328125" style="2"/>
    <col min="429" max="429" width="9.1328125" style="2"/>
    <col min="430" max="430" width="9.1328125" style="2"/>
    <col min="431" max="431" width="9.1328125" style="2"/>
    <col min="432" max="432" width="9.1328125" style="2"/>
    <col min="433" max="433" width="9.1328125" style="2"/>
    <col min="434" max="434" width="9.1328125" style="2"/>
    <col min="435" max="435" width="9.1328125" style="2"/>
    <col min="436" max="436" width="9.1328125" style="2"/>
    <col min="437" max="437" width="9.1328125" style="2"/>
    <col min="438" max="438" width="9.1328125" style="2"/>
    <col min="439" max="439" width="9.1328125" style="2"/>
    <col min="440" max="440" width="9.1328125" style="2"/>
    <col min="441" max="441" width="9.1328125" style="2"/>
    <col min="442" max="442" width="9.1328125" style="2"/>
    <col min="443" max="443" width="9.1328125" style="2"/>
    <col min="444" max="444" width="9.1328125" style="2"/>
    <col min="445" max="445" width="9.1328125" style="2"/>
    <col min="446" max="446" width="9.1328125" style="2"/>
    <col min="447" max="447" width="9.1328125" style="2"/>
    <col min="448" max="448" width="9.1328125" style="2"/>
    <col min="449" max="449" width="9.1328125" style="2"/>
    <col min="450" max="450" width="9.1328125" style="2"/>
    <col min="451" max="451" width="9.1328125" style="2"/>
    <col min="452" max="452" width="9.1328125" style="2"/>
    <col min="453" max="453" width="9.1328125" style="2"/>
    <col min="454" max="454" width="9.1328125" style="2"/>
    <col min="455" max="455" width="9.1328125" style="2"/>
    <col min="456" max="456" width="9.1328125" style="2"/>
    <col min="457" max="457" width="9.1328125" style="2"/>
    <col min="458" max="458" width="9.1328125" style="2"/>
    <col min="459" max="459" width="9.1328125" style="2"/>
    <col min="460" max="460" width="9.1328125" style="2"/>
    <col min="461" max="461" width="9.1328125" style="2"/>
    <col min="462" max="462" width="9.1328125" style="2"/>
    <col min="463" max="463" width="9.1328125" style="2"/>
    <col min="464" max="464" width="9.1328125" style="2"/>
    <col min="465" max="465" width="9.1328125" style="2"/>
    <col min="466" max="466" width="9.1328125" style="2"/>
    <col min="467" max="467" width="9.1328125" style="2"/>
    <col min="468" max="468" width="9.1328125" style="2"/>
    <col min="469" max="469" width="9.1328125" style="2"/>
    <col min="470" max="470" width="9.1328125" style="2"/>
    <col min="471" max="471" width="9.1328125" style="2"/>
    <col min="472" max="472" width="9.1328125" style="2"/>
    <col min="473" max="473" width="9.1328125" style="2"/>
    <col min="474" max="474" width="9.1328125" style="2"/>
    <col min="475" max="475" width="9.1328125" style="2"/>
    <col min="476" max="476" width="9.1328125" style="2"/>
    <col min="477" max="477" width="9.1328125" style="2"/>
    <col min="478" max="478" width="9.1328125" style="2"/>
    <col min="479" max="479" width="9.1328125" style="2"/>
    <col min="480" max="480" width="9.1328125" style="2"/>
    <col min="481" max="481" width="9.1328125" style="2"/>
    <col min="482" max="482" width="9.1328125" style="2"/>
    <col min="483" max="483" width="9.1328125" style="2"/>
    <col min="484" max="484" width="9.1328125" style="2"/>
    <col min="485" max="485" width="9.1328125" style="2"/>
    <col min="486" max="486" width="9.1328125" style="2"/>
    <col min="487" max="487" width="9.1328125" style="2"/>
    <col min="488" max="488" width="9.1328125" style="2"/>
    <col min="489" max="489" width="9.1328125" style="2"/>
    <col min="490" max="490" width="9.1328125" style="2"/>
    <col min="491" max="491" width="9.1328125" style="2"/>
    <col min="492" max="492" width="9.1328125" style="2"/>
    <col min="493" max="493" width="9.1328125" style="2"/>
    <col min="494" max="494" width="9.1328125" style="2"/>
    <col min="495" max="495" width="9.1328125" style="2"/>
    <col min="496" max="496" width="9.1328125" style="2"/>
    <col min="497" max="497" width="9.1328125" style="2"/>
    <col min="498" max="498" width="9.1328125" style="2"/>
    <col min="499" max="499" width="9.1328125" style="2"/>
    <col min="500" max="500" width="9.1328125" style="2"/>
    <col min="501" max="501" width="9.1328125" style="2"/>
    <col min="502" max="502" width="9.1328125" style="2"/>
    <col min="503" max="503" width="9.1328125" style="2"/>
    <col min="504" max="504" width="9.1328125" style="2"/>
    <col min="505" max="505" width="9.1328125" style="2"/>
    <col min="506" max="506" width="9.1328125" style="2"/>
    <col min="507" max="507" width="9.1328125" style="2"/>
    <col min="508" max="508" width="9.1328125" style="2"/>
    <col min="509" max="509" width="9.1328125" style="2"/>
    <col min="510" max="510" width="9.1328125" style="2"/>
    <col min="511" max="511" width="9.1328125" style="2"/>
    <col min="512" max="512" width="9.1328125" style="2"/>
    <col min="513" max="513" width="9.1328125" style="2"/>
    <col min="514" max="514" width="9.1328125" style="2"/>
    <col min="515" max="515" width="9.1328125" style="2"/>
    <col min="516" max="516" width="9.1328125" style="2"/>
    <col min="517" max="517" width="9.1328125" style="2"/>
    <col min="518" max="518" width="9.1328125" style="2"/>
    <col min="519" max="519" width="9.1328125" style="2"/>
    <col min="520" max="520" width="9.1328125" style="2"/>
    <col min="521" max="521" width="9.1328125" style="2"/>
    <col min="522" max="522" width="9.1328125" style="2"/>
    <col min="523" max="523" width="9.1328125" style="2"/>
    <col min="524" max="524" width="9.1328125" style="2"/>
    <col min="525" max="525" width="9.1328125" style="2"/>
    <col min="526" max="526" width="9.1328125" style="2"/>
    <col min="527" max="527" width="9.1328125" style="2"/>
    <col min="528" max="528" width="9.1328125" style="2"/>
    <col min="529" max="529" width="9.1328125" style="2"/>
    <col min="530" max="530" width="9.1328125" style="2"/>
    <col min="531" max="531" width="9.1328125" style="2"/>
    <col min="532" max="532" width="9.1328125" style="2"/>
    <col min="533" max="533" width="9.1328125" style="2"/>
    <col min="534" max="534" width="9.1328125" style="2"/>
    <col min="535" max="535" width="9.1328125" style="2"/>
    <col min="536" max="536" width="9.1328125" style="2"/>
    <col min="537" max="537" width="9.1328125" style="2"/>
    <col min="538" max="538" width="9.1328125" style="2"/>
    <col min="539" max="539" width="9.1328125" style="2"/>
    <col min="540" max="540" width="9.1328125" style="2"/>
    <col min="541" max="541" width="9.1328125" style="2"/>
    <col min="542" max="542" width="9.1328125" style="2"/>
    <col min="543" max="543" width="9.1328125" style="2"/>
    <col min="544" max="544" width="9.1328125" style="2"/>
    <col min="545" max="545" width="9.1328125" style="2"/>
    <col min="546" max="546" width="9.1328125" style="2"/>
    <col min="547" max="547" width="9.1328125" style="2"/>
    <col min="548" max="548" width="9.1328125" style="2"/>
    <col min="549" max="549" width="9.1328125" style="2"/>
    <col min="550" max="550" width="9.1328125" style="2"/>
    <col min="551" max="551" width="9.1328125" style="2"/>
    <col min="552" max="552" width="9.1328125" style="2"/>
    <col min="553" max="553" width="9.1328125" style="2"/>
    <col min="554" max="554" width="9.1328125" style="2"/>
    <col min="555" max="555" width="9.1328125" style="2"/>
    <col min="556" max="556" width="9.1328125" style="2"/>
    <col min="557" max="557" width="9.1328125" style="2"/>
    <col min="558" max="558" width="9.1328125" style="2"/>
    <col min="559" max="559" width="9.1328125" style="2"/>
    <col min="560" max="560" width="9.1328125" style="2"/>
    <col min="561" max="561" width="9.1328125" style="2"/>
    <col min="562" max="562" width="9.1328125" style="2"/>
    <col min="563" max="563" width="9.1328125" style="2"/>
    <col min="564" max="564" width="9.1328125" style="2"/>
    <col min="565" max="565" width="9.1328125" style="2"/>
    <col min="566" max="566" width="9.1328125" style="2"/>
    <col min="567" max="567" width="9.1328125" style="2"/>
    <col min="568" max="568" width="9.1328125" style="2"/>
    <col min="569" max="569" width="9.1328125" style="2"/>
    <col min="570" max="570" width="9.1328125" style="2"/>
    <col min="571" max="571" width="9.1328125" style="2"/>
    <col min="572" max="572" width="9.1328125" style="2"/>
    <col min="573" max="573" width="9.1328125" style="2"/>
    <col min="574" max="574" width="9.1328125" style="2"/>
    <col min="575" max="575" width="9.1328125" style="2"/>
    <col min="576" max="576" width="9.1328125" style="2"/>
    <col min="577" max="577" width="9.1328125" style="2"/>
    <col min="578" max="578" width="9.1328125" style="2"/>
    <col min="579" max="579" width="9.1328125" style="2"/>
    <col min="580" max="580" width="9.1328125" style="2"/>
    <col min="581" max="581" width="9.1328125" style="2"/>
    <col min="582" max="582" width="9.1328125" style="2"/>
    <col min="583" max="583" width="9.1328125" style="2"/>
    <col min="584" max="584" width="9.1328125" style="2"/>
    <col min="585" max="585" width="9.1328125" style="2"/>
    <col min="586" max="586" width="9.1328125" style="2"/>
    <col min="587" max="587" width="9.1328125" style="2"/>
    <col min="588" max="588" width="9.1328125" style="2"/>
    <col min="589" max="589" width="9.1328125" style="2"/>
    <col min="590" max="590" width="9.1328125" style="2"/>
    <col min="591" max="591" width="9.1328125" style="2"/>
    <col min="592" max="592" width="9.1328125" style="2"/>
    <col min="593" max="593" width="9.1328125" style="2"/>
    <col min="594" max="594" width="9.1328125" style="2"/>
    <col min="595" max="595" width="9.1328125" style="2"/>
    <col min="596" max="596" width="9.1328125" style="2"/>
    <col min="597" max="597" width="9.1328125" style="2"/>
    <col min="598" max="598" width="9.1328125" style="2"/>
    <col min="599" max="599" width="9.1328125" style="2"/>
    <col min="600" max="600" width="9.1328125" style="2"/>
    <col min="601" max="601" width="9.1328125" style="2"/>
    <col min="602" max="602" width="9.1328125" style="2"/>
    <col min="603" max="603" width="9.1328125" style="2"/>
    <col min="604" max="604" width="9.1328125" style="2"/>
    <col min="605" max="605" width="9.1328125" style="2"/>
    <col min="606" max="606" width="9.1328125" style="2"/>
    <col min="607" max="607" width="9.1328125" style="2"/>
    <col min="608" max="608" width="9.1328125" style="2"/>
    <col min="609" max="609" width="9.1328125" style="2"/>
    <col min="610" max="610" width="9.1328125" style="2"/>
    <col min="611" max="611" width="9.1328125" style="2"/>
    <col min="612" max="612" width="9.1328125" style="2"/>
    <col min="613" max="613" width="9.1328125" style="2"/>
    <col min="614" max="614" width="9.1328125" style="2"/>
    <col min="615" max="615" width="9.1328125" style="2"/>
    <col min="616" max="616" width="9.1328125" style="2"/>
    <col min="617" max="617" width="9.1328125" style="2"/>
    <col min="618" max="618" width="9.1328125" style="2"/>
    <col min="619" max="619" width="9.1328125" style="2"/>
    <col min="620" max="620" width="9.1328125" style="2"/>
    <col min="621" max="621" width="9.1328125" style="2"/>
    <col min="622" max="622" width="9.1328125" style="2"/>
    <col min="623" max="623" width="9.1328125" style="2"/>
    <col min="624" max="624" width="9.1328125" style="2"/>
    <col min="625" max="625" width="9.1328125" style="2"/>
    <col min="626" max="626" width="9.1328125" style="2"/>
    <col min="627" max="627" width="9.1328125" style="2"/>
    <col min="628" max="628" width="9.1328125" style="2"/>
    <col min="629" max="629" width="9.1328125" style="2"/>
    <col min="630" max="630" width="9.1328125" style="2"/>
    <col min="631" max="631" width="9.1328125" style="2"/>
    <col min="632" max="632" width="9.1328125" style="2"/>
    <col min="633" max="633" width="9.1328125" style="2"/>
    <col min="634" max="634" width="9.1328125" style="2"/>
    <col min="635" max="635" width="9.1328125" style="2"/>
    <col min="636" max="636" width="9.1328125" style="2"/>
    <col min="637" max="637" width="9.1328125" style="2"/>
    <col min="638" max="638" width="9.1328125" style="2"/>
    <col min="639" max="639" width="9.1328125" style="2"/>
    <col min="640" max="640" width="9.1328125" style="2"/>
    <col min="641" max="641" width="9.1328125" style="2"/>
    <col min="642" max="642" width="9.1328125" style="2"/>
    <col min="643" max="643" width="9.1328125" style="2"/>
    <col min="644" max="644" width="9.1328125" style="2"/>
    <col min="645" max="645" width="9.1328125" style="2"/>
    <col min="646" max="646" width="9.1328125" style="2"/>
    <col min="647" max="647" width="9.1328125" style="2"/>
    <col min="648" max="648" width="9.1328125" style="2"/>
    <col min="649" max="649" width="9.1328125" style="2"/>
    <col min="650" max="650" width="9.1328125" style="2"/>
    <col min="651" max="651" width="9.1328125" style="2"/>
    <col min="652" max="652" width="9.1328125" style="2"/>
    <col min="653" max="653" width="9.1328125" style="2"/>
    <col min="654" max="654" width="9.1328125" style="2"/>
    <col min="655" max="655" width="9.1328125" style="2"/>
    <col min="656" max="656" width="9.1328125" style="2"/>
    <col min="657" max="657" width="9.1328125" style="2"/>
    <col min="658" max="658" width="9.1328125" style="2"/>
    <col min="659" max="659" width="9.1328125" style="2"/>
    <col min="660" max="660" width="9.1328125" style="2"/>
    <col min="661" max="661" width="9.1328125" style="2"/>
    <col min="662" max="662" width="9.1328125" style="2"/>
    <col min="663" max="663" width="9.1328125" style="2"/>
    <col min="664" max="664" width="9.1328125" style="2"/>
    <col min="665" max="665" width="9.1328125" style="2"/>
    <col min="666" max="666" width="9.1328125" style="2"/>
    <col min="667" max="667" width="9.1328125" style="2"/>
    <col min="668" max="668" width="9.1328125" style="2"/>
    <col min="669" max="669" width="9.1328125" style="2"/>
    <col min="670" max="670" width="9.1328125" style="2"/>
    <col min="671" max="671" width="9.1328125" style="2"/>
    <col min="672" max="672" width="9.1328125" style="2"/>
    <col min="673" max="673" width="9.1328125" style="2"/>
    <col min="674" max="674" width="9.1328125" style="2"/>
    <col min="675" max="675" width="9.1328125" style="2"/>
    <col min="676" max="676" width="9.1328125" style="2"/>
    <col min="677" max="677" width="9.1328125" style="2"/>
    <col min="678" max="678" width="9.1328125" style="2"/>
    <col min="679" max="679" width="9.1328125" style="2"/>
    <col min="680" max="680" width="9.1328125" style="2"/>
    <col min="681" max="681" width="9.1328125" style="2"/>
    <col min="682" max="682" width="9.1328125" style="2"/>
    <col min="683" max="683" width="9.1328125" style="2"/>
    <col min="684" max="684" width="9.1328125" style="2"/>
    <col min="685" max="685" width="9.1328125" style="2"/>
    <col min="686" max="686" width="9.1328125" style="2"/>
    <col min="687" max="687" width="9.1328125" style="2"/>
    <col min="688" max="688" width="9.1328125" style="2"/>
    <col min="689" max="689" width="9.1328125" style="2"/>
    <col min="690" max="690" width="9.1328125" style="2"/>
    <col min="691" max="691" width="9.1328125" style="2"/>
    <col min="692" max="692" width="9.1328125" style="2"/>
    <col min="693" max="693" width="9.1328125" style="2"/>
    <col min="694" max="694" width="9.1328125" style="2"/>
    <col min="695" max="695" width="9.1328125" style="2"/>
    <col min="696" max="696" width="9.1328125" style="2"/>
    <col min="697" max="697" width="9.1328125" style="2"/>
    <col min="698" max="698" width="9.1328125" style="2"/>
    <col min="699" max="699" width="9.1328125" style="2"/>
    <col min="700" max="700" width="9.1328125" style="2"/>
    <col min="701" max="701" width="9.1328125" style="2"/>
    <col min="702" max="702" width="9.1328125" style="2"/>
    <col min="703" max="703" width="9.1328125" style="2"/>
    <col min="704" max="704" width="9.1328125" style="2"/>
    <col min="705" max="705" width="9.1328125" style="2"/>
    <col min="706" max="706" width="9.1328125" style="2"/>
    <col min="707" max="707" width="9.1328125" style="2"/>
    <col min="708" max="708" width="9.1328125" style="2"/>
    <col min="709" max="709" width="9.1328125" style="2"/>
    <col min="710" max="710" width="9.1328125" style="2"/>
    <col min="711" max="711" width="9.1328125" style="2"/>
    <col min="712" max="712" width="9.1328125" style="2"/>
    <col min="713" max="713" width="9.1328125" style="2"/>
    <col min="714" max="714" width="9.1328125" style="2"/>
    <col min="715" max="715" width="9.1328125" style="2"/>
    <col min="716" max="716" width="9.1328125" style="2"/>
    <col min="717" max="717" width="9.1328125" style="2"/>
    <col min="718" max="718" width="9.1328125" style="2"/>
    <col min="719" max="719" width="9.1328125" style="2"/>
    <col min="720" max="720" width="9.1328125" style="2"/>
    <col min="721" max="721" width="9.1328125" style="2"/>
    <col min="722" max="722" width="9.1328125" style="2"/>
    <col min="723" max="723" width="9.1328125" style="2"/>
    <col min="724" max="724" width="9.1328125" style="2"/>
    <col min="725" max="725" width="9.1328125" style="2"/>
    <col min="726" max="726" width="9.1328125" style="2"/>
    <col min="727" max="727" width="9.1328125" style="2"/>
    <col min="728" max="728" width="9.1328125" style="2"/>
    <col min="729" max="729" width="9.1328125" style="2"/>
    <col min="730" max="730" width="9.1328125" style="2"/>
    <col min="731" max="731" width="9.1328125" style="2"/>
    <col min="732" max="732" width="9.1328125" style="2"/>
    <col min="733" max="733" width="9.1328125" style="2"/>
    <col min="734" max="734" width="9.1328125" style="2"/>
    <col min="735" max="735" width="9.1328125" style="2"/>
    <col min="736" max="736" width="9.1328125" style="2"/>
    <col min="737" max="737" width="9.1328125" style="2"/>
    <col min="738" max="738" width="9.1328125" style="2"/>
    <col min="739" max="739" width="9.1328125" style="2"/>
    <col min="740" max="740" width="9.1328125" style="2"/>
    <col min="741" max="741" width="9.1328125" style="2"/>
    <col min="742" max="742" width="9.1328125" style="2"/>
    <col min="743" max="743" width="9.1328125" style="2"/>
    <col min="744" max="744" width="9.1328125" style="2"/>
    <col min="745" max="745" width="9.1328125" style="2"/>
    <col min="746" max="746" width="9.1328125" style="2"/>
    <col min="747" max="747" width="9.1328125" style="2"/>
    <col min="748" max="748" width="9.1328125" style="2"/>
    <col min="749" max="749" width="9.1328125" style="2"/>
    <col min="750" max="750" width="9.1328125" style="2"/>
    <col min="751" max="751" width="9.1328125" style="2"/>
    <col min="752" max="752" width="9.1328125" style="2"/>
    <col min="753" max="753" width="9.1328125" style="2"/>
    <col min="754" max="754" width="9.1328125" style="2"/>
    <col min="755" max="755" width="9.1328125" style="2"/>
    <col min="756" max="756" width="9.1328125" style="2"/>
    <col min="757" max="757" width="9.1328125" style="2"/>
    <col min="758" max="758" width="9.1328125" style="2"/>
    <col min="759" max="759" width="9.1328125" style="2"/>
    <col min="760" max="760" width="9.1328125" style="2"/>
    <col min="761" max="761" width="9.1328125" style="2"/>
    <col min="762" max="762" width="9.1328125" style="2"/>
    <col min="763" max="763" width="9.1328125" style="2"/>
    <col min="764" max="764" width="9.1328125" style="2"/>
    <col min="765" max="765" width="9.1328125" style="2"/>
    <col min="766" max="766" width="9.1328125" style="2"/>
    <col min="767" max="767" width="9.1328125" style="2"/>
    <col min="768" max="768" width="9.1328125" style="2"/>
    <col min="769" max="769" width="9.1328125" style="2"/>
    <col min="770" max="770" width="9.1328125" style="2"/>
    <col min="771" max="771" width="9.1328125" style="2"/>
    <col min="772" max="772" width="9.1328125" style="2"/>
    <col min="773" max="773" width="9.1328125" style="2"/>
    <col min="774" max="774" width="9.1328125" style="2"/>
    <col min="775" max="775" width="9.1328125" style="2"/>
    <col min="776" max="776" width="9.1328125" style="2"/>
    <col min="777" max="777" width="9.1328125" style="2"/>
    <col min="778" max="778" width="9.1328125" style="2"/>
    <col min="779" max="779" width="9.1328125" style="2"/>
    <col min="780" max="780" width="9.1328125" style="2"/>
    <col min="781" max="781" width="9.1328125" style="2"/>
    <col min="782" max="782" width="9.1328125" style="2"/>
    <col min="783" max="783" width="9.1328125" style="2"/>
    <col min="784" max="784" width="9.1328125" style="2"/>
    <col min="785" max="785" width="9.1328125" style="2"/>
    <col min="786" max="786" width="9.1328125" style="2"/>
    <col min="787" max="787" width="9.1328125" style="2"/>
    <col min="788" max="788" width="9.1328125" style="2"/>
    <col min="789" max="789" width="9.1328125" style="2"/>
    <col min="790" max="790" width="9.1328125" style="2"/>
    <col min="791" max="791" width="9.1328125" style="2"/>
    <col min="792" max="792" width="9.1328125" style="2"/>
    <col min="793" max="793" width="9.1328125" style="2"/>
    <col min="794" max="794" width="9.1328125" style="2"/>
    <col min="795" max="795" width="9.1328125" style="2"/>
    <col min="796" max="796" width="9.1328125" style="2"/>
    <col min="797" max="797" width="9.1328125" style="2"/>
    <col min="798" max="798" width="9.1328125" style="2"/>
    <col min="799" max="799" width="9.1328125" style="2"/>
    <col min="800" max="800" width="9.1328125" style="2"/>
    <col min="801" max="801" width="9.1328125" style="2"/>
    <col min="802" max="802" width="9.1328125" style="2"/>
    <col min="803" max="803" width="9.1328125" style="2"/>
    <col min="804" max="804" width="9.1328125" style="2"/>
    <col min="805" max="805" width="9.1328125" style="2"/>
    <col min="806" max="806" width="9.1328125" style="2"/>
    <col min="807" max="807" width="9.1328125" style="2"/>
    <col min="808" max="808" width="9.1328125" style="2"/>
    <col min="809" max="809" width="9.1328125" style="2"/>
    <col min="810" max="810" width="9.1328125" style="2"/>
    <col min="811" max="811" width="9.1328125" style="2"/>
    <col min="812" max="812" width="9.1328125" style="2"/>
    <col min="813" max="813" width="9.1328125" style="2"/>
    <col min="814" max="814" width="9.1328125" style="2"/>
    <col min="815" max="815" width="9.1328125" style="2"/>
    <col min="816" max="816" width="9.1328125" style="2"/>
    <col min="817" max="817" width="9.1328125" style="2"/>
    <col min="818" max="818" width="9.1328125" style="2"/>
    <col min="819" max="819" width="9.1328125" style="2"/>
    <col min="820" max="820" width="9.1328125" style="2"/>
    <col min="821" max="821" width="9.1328125" style="2"/>
    <col min="822" max="822" width="9.1328125" style="2"/>
    <col min="823" max="823" width="9.1328125" style="2"/>
    <col min="824" max="824" width="9.1328125" style="2"/>
    <col min="825" max="825" width="9.1328125" style="2"/>
    <col min="826" max="826" width="9.1328125" style="2"/>
    <col min="827" max="827" width="9.1328125" style="2"/>
    <col min="828" max="828" width="9.1328125" style="2"/>
    <col min="829" max="829" width="9.1328125" style="2"/>
    <col min="830" max="830" width="9.1328125" style="2"/>
    <col min="831" max="831" width="9.1328125" style="2"/>
    <col min="832" max="832" width="9.1328125" style="2"/>
    <col min="833" max="833" width="9.1328125" style="2"/>
    <col min="834" max="834" width="9.1328125" style="2"/>
    <col min="835" max="835" width="9.1328125" style="2"/>
    <col min="836" max="836" width="9.1328125" style="2"/>
    <col min="837" max="837" width="9.1328125" style="2"/>
    <col min="838" max="838" width="9.1328125" style="2"/>
    <col min="839" max="839" width="9.1328125" style="2"/>
    <col min="840" max="840" width="9.1328125" style="2"/>
    <col min="841" max="841" width="9.1328125" style="2"/>
    <col min="842" max="842" width="9.1328125" style="2"/>
    <col min="843" max="843" width="9.1328125" style="2"/>
    <col min="844" max="844" width="9.1328125" style="2"/>
    <col min="845" max="845" width="9.1328125" style="2"/>
    <col min="846" max="846" width="9.1328125" style="2"/>
    <col min="847" max="847" width="9.1328125" style="2"/>
    <col min="848" max="848" width="9.1328125" style="2"/>
    <col min="849" max="849" width="9.1328125" style="2"/>
    <col min="850" max="850" width="9.1328125" style="2"/>
    <col min="851" max="851" width="9.1328125" style="2"/>
    <col min="852" max="852" width="9.1328125" style="2"/>
    <col min="853" max="853" width="9.1328125" style="2"/>
    <col min="854" max="854" width="9.1328125" style="2"/>
    <col min="855" max="855" width="9.1328125" style="2"/>
    <col min="856" max="856" width="9.1328125" style="2"/>
    <col min="857" max="857" width="9.1328125" style="2"/>
    <col min="858" max="858" width="9.1328125" style="2"/>
    <col min="859" max="859" width="9.1328125" style="2"/>
    <col min="860" max="860" width="9.1328125" style="2"/>
    <col min="861" max="861" width="9.1328125" style="2"/>
    <col min="862" max="862" width="9.1328125" style="2"/>
    <col min="863" max="863" width="9.1328125" style="2"/>
    <col min="864" max="864" width="9.1328125" style="2"/>
    <col min="865" max="865" width="9.1328125" style="2"/>
    <col min="866" max="866" width="9.1328125" style="2"/>
    <col min="867" max="867" width="9.1328125" style="2"/>
    <col min="868" max="868" width="9.1328125" style="2"/>
    <col min="869" max="869" width="9.1328125" style="2"/>
    <col min="870" max="870" width="9.1328125" style="2"/>
    <col min="871" max="871" width="9.1328125" style="2"/>
    <col min="872" max="872" width="9.1328125" style="2"/>
    <col min="873" max="873" width="9.1328125" style="2"/>
    <col min="874" max="874" width="9.1328125" style="2"/>
    <col min="875" max="875" width="9.1328125" style="2"/>
    <col min="876" max="876" width="9.1328125" style="2"/>
    <col min="877" max="877" width="9.1328125" style="2"/>
    <col min="878" max="878" width="9.1328125" style="2"/>
    <col min="879" max="879" width="9.1328125" style="2"/>
    <col min="880" max="880" width="9.1328125" style="2"/>
    <col min="881" max="881" width="9.1328125" style="2"/>
    <col min="882" max="882" width="9.1328125" style="2"/>
    <col min="883" max="883" width="9.1328125" style="2"/>
    <col min="884" max="884" width="9.1328125" style="2"/>
    <col min="885" max="885" width="9.1328125" style="2"/>
    <col min="886" max="886" width="9.1328125" style="2"/>
    <col min="887" max="887" width="9.1328125" style="2"/>
    <col min="888" max="888" width="9.1328125" style="2"/>
    <col min="889" max="889" width="9.1328125" style="2"/>
    <col min="890" max="890" width="9.1328125" style="2"/>
    <col min="891" max="891" width="9.1328125" style="2"/>
    <col min="892" max="892" width="9.1328125" style="2"/>
    <col min="893" max="893" width="9.1328125" style="2"/>
    <col min="894" max="894" width="9.1328125" style="2"/>
    <col min="895" max="895" width="9.1328125" style="2"/>
    <col min="896" max="896" width="9.1328125" style="2"/>
    <col min="897" max="897" width="9.1328125" style="2"/>
    <col min="898" max="898" width="9.1328125" style="2"/>
    <col min="899" max="899" width="9.1328125" style="2"/>
    <col min="900" max="900" width="9.1328125" style="2"/>
    <col min="901" max="901" width="9.1328125" style="2"/>
    <col min="902" max="902" width="9.1328125" style="2"/>
    <col min="903" max="903" width="9.1328125" style="2"/>
    <col min="904" max="904" width="9.1328125" style="2"/>
    <col min="905" max="905" width="9.1328125" style="2"/>
    <col min="906" max="906" width="9.1328125" style="2"/>
    <col min="907" max="907" width="9.1328125" style="2"/>
    <col min="908" max="908" width="9.1328125" style="2"/>
    <col min="909" max="909" width="9.1328125" style="2"/>
    <col min="910" max="910" width="9.1328125" style="2"/>
    <col min="911" max="911" width="9.1328125" style="2"/>
    <col min="912" max="912" width="9.1328125" style="2"/>
    <col min="913" max="913" width="9.1328125" style="2"/>
    <col min="914" max="914" width="9.1328125" style="2"/>
    <col min="915" max="915" width="9.1328125" style="2"/>
    <col min="916" max="916" width="9.1328125" style="2"/>
    <col min="917" max="917" width="9.1328125" style="2"/>
    <col min="918" max="918" width="9.1328125" style="2"/>
    <col min="919" max="919" width="9.1328125" style="2"/>
    <col min="920" max="920" width="9.1328125" style="2"/>
    <col min="921" max="921" width="9.1328125" style="2"/>
    <col min="922" max="922" width="9.1328125" style="2"/>
    <col min="923" max="923" width="9.1328125" style="2"/>
    <col min="924" max="924" width="9.1328125" style="2"/>
    <col min="925" max="925" width="9.1328125" style="2"/>
    <col min="926" max="926" width="9.1328125" style="2"/>
    <col min="927" max="927" width="9.1328125" style="2"/>
    <col min="928" max="928" width="9.1328125" style="2"/>
    <col min="929" max="929" width="9.1328125" style="2"/>
    <col min="930" max="930" width="9.1328125" style="2"/>
    <col min="931" max="931" width="9.1328125" style="2"/>
    <col min="932" max="932" width="9.1328125" style="2"/>
    <col min="933" max="933" width="9.1328125" style="2"/>
    <col min="934" max="934" width="9.1328125" style="2"/>
    <col min="935" max="935" width="9.1328125" style="2"/>
    <col min="936" max="936" width="9.1328125" style="2"/>
    <col min="937" max="937" width="9.1328125" style="2"/>
    <col min="938" max="938" width="9.1328125" style="2"/>
    <col min="939" max="939" width="9.1328125" style="2"/>
    <col min="940" max="940" width="9.1328125" style="2"/>
    <col min="941" max="941" width="9.1328125" style="2"/>
    <col min="942" max="942" width="9.1328125" style="2"/>
    <col min="943" max="943" width="9.1328125" style="2"/>
    <col min="944" max="944" width="9.1328125" style="2"/>
    <col min="945" max="945" width="9.1328125" style="2"/>
    <col min="946" max="946" width="9.1328125" style="2"/>
    <col min="947" max="947" width="9.1328125" style="2"/>
    <col min="948" max="948" width="9.1328125" style="2"/>
    <col min="949" max="949" width="9.1328125" style="2"/>
    <col min="950" max="950" width="9.1328125" style="2"/>
    <col min="951" max="951" width="9.1328125" style="2"/>
    <col min="952" max="952" width="9.1328125" style="2"/>
    <col min="953" max="953" width="9.1328125" style="2"/>
    <col min="954" max="954" width="9.1328125" style="2"/>
    <col min="955" max="955" width="9.1328125" style="2"/>
    <col min="956" max="956" width="9.1328125" style="2"/>
    <col min="957" max="957" width="9.1328125" style="2"/>
    <col min="958" max="958" width="9.1328125" style="2"/>
    <col min="959" max="959" width="9.1328125" style="2"/>
    <col min="960" max="960" width="9.1328125" style="2"/>
    <col min="961" max="961" width="9.1328125" style="2"/>
    <col min="962" max="962" width="9.1328125" style="2"/>
    <col min="963" max="963" width="9.1328125" style="2"/>
    <col min="964" max="964" width="9.1328125" style="2"/>
    <col min="965" max="965" width="9.1328125" style="2"/>
    <col min="966" max="966" width="9.1328125" style="2"/>
    <col min="967" max="967" width="9.1328125" style="2"/>
    <col min="968" max="968" width="9.1328125" style="2"/>
    <col min="969" max="969" width="9.1328125" style="2"/>
    <col min="970" max="970" width="9.1328125" style="2"/>
    <col min="971" max="971" width="9.1328125" style="2"/>
    <col min="972" max="972" width="9.1328125" style="2"/>
    <col min="973" max="973" width="9.1328125" style="2"/>
    <col min="974" max="974" width="9.1328125" style="2"/>
    <col min="975" max="975" width="9.1328125" style="2"/>
    <col min="976" max="976" width="9.1328125" style="2"/>
    <col min="977" max="977" width="9.1328125" style="2"/>
    <col min="978" max="978" width="9.1328125" style="2"/>
    <col min="979" max="979" width="9.1328125" style="2"/>
    <col min="980" max="980" width="9.1328125" style="2"/>
    <col min="981" max="981" width="9.1328125" style="2"/>
    <col min="982" max="982" width="9.1328125" style="2"/>
    <col min="983" max="983" width="9.1328125" style="2"/>
    <col min="984" max="984" width="9.1328125" style="2"/>
    <col min="985" max="985" width="9.1328125" style="2"/>
    <col min="986" max="986" width="9.1328125" style="2"/>
    <col min="987" max="987" width="9.1328125" style="2"/>
    <col min="988" max="988" width="9.1328125" style="2"/>
    <col min="989" max="989" width="9.1328125" style="2"/>
    <col min="990" max="990" width="9.1328125" style="2"/>
    <col min="991" max="991" width="9.1328125" style="2"/>
    <col min="992" max="992" width="9.1328125" style="2"/>
    <col min="993" max="993" width="9.1328125" style="2"/>
    <col min="994" max="994" width="9.1328125" style="2"/>
    <col min="995" max="995" width="9.1328125" style="2"/>
    <col min="996" max="996" width="9.1328125" style="2"/>
    <col min="997" max="997" width="9.1328125" style="2"/>
    <col min="998" max="998" width="9.1328125" style="2"/>
    <col min="999" max="999" width="9.1328125" style="2"/>
    <col min="1000" max="1000" width="9.1328125" style="2"/>
    <col min="1001" max="1001" width="9.1328125" style="2"/>
    <col min="1002" max="1002" width="9.1328125" style="2"/>
    <col min="1003" max="1003" width="9.1328125" style="2"/>
    <col min="1004" max="1004" width="9.1328125" style="2"/>
    <col min="1005" max="1005" width="9.1328125" style="2"/>
    <col min="1006" max="1006" width="9.1328125" style="2"/>
    <col min="1007" max="1007" width="9.1328125" style="2"/>
    <col min="1008" max="1008" width="9.1328125" style="2"/>
    <col min="1009" max="1009" width="9.1328125" style="2"/>
    <col min="1010" max="1010" width="9.1328125" style="2"/>
    <col min="1011" max="1011" width="9.1328125" style="2"/>
    <col min="1012" max="1012" width="9.1328125" style="2"/>
    <col min="1013" max="1013" width="9.1328125" style="2"/>
    <col min="1014" max="1014" width="9.1328125" style="2"/>
    <col min="1015" max="1015" width="9.1328125" style="2"/>
    <col min="1016" max="1016" width="9.1328125" style="2"/>
    <col min="1017" max="1017" width="9.1328125" style="2"/>
    <col min="1018" max="1018" width="9.1328125" style="2"/>
    <col min="1019" max="1019" width="9.1328125" style="2"/>
    <col min="1020" max="1020" width="9.1328125" style="2"/>
    <col min="1021" max="1021" width="9.1328125" style="2"/>
    <col min="1022" max="1022" width="9.1328125" style="2"/>
    <col min="1023" max="1023" width="9.1328125" style="2"/>
    <col min="1024" max="1024" width="9.1328125" style="2"/>
    <col min="1025" max="1025" width="9.1328125" style="27"/>
  </cols>
  <sheetData>
    <row r="1" spans="1:1025" customHeight="1" ht="15.95" s="5" customFormat="1">
      <c r="A1" s="593" t="s">
        <v>584</v>
      </c>
      <c r="B1" s="575" t="s">
        <v>65</v>
      </c>
      <c r="C1" s="575" t="s">
        <v>585</v>
      </c>
      <c r="D1" s="575" t="s">
        <v>586</v>
      </c>
      <c r="E1" s="575" t="s">
        <v>587</v>
      </c>
      <c r="F1" s="576" t="s">
        <v>136</v>
      </c>
      <c r="G1" s="577" t="s">
        <v>588</v>
      </c>
      <c r="H1" s="577" t="s">
        <v>478</v>
      </c>
      <c r="I1" s="578" t="s">
        <v>589</v>
      </c>
      <c r="J1" s="579" t="s">
        <v>75</v>
      </c>
      <c r="K1" s="579" t="s">
        <v>590</v>
      </c>
      <c r="L1" s="579" t="s">
        <v>7</v>
      </c>
    </row>
    <row r="2" spans="1:1025" customHeight="1" ht="15.95">
      <c r="A2" s="116" t="s">
        <v>331</v>
      </c>
      <c r="B2" s="2" t="s">
        <v>398</v>
      </c>
      <c r="C2" s="16" t="s">
        <v>591</v>
      </c>
      <c r="D2" s="5"/>
      <c r="E2" s="100"/>
      <c r="F2" s="239"/>
      <c r="G2" s="102"/>
      <c r="H2" s="102"/>
      <c r="I2" s="117" t="str">
        <f>H2-G2</f>
        <v>0</v>
      </c>
      <c r="J2" s="102"/>
      <c r="K2" s="29"/>
      <c r="L2" s="29"/>
    </row>
    <row r="3" spans="1:1025">
      <c r="A3" s="116" t="s">
        <v>337</v>
      </c>
      <c r="B3" s="29" t="s">
        <v>338</v>
      </c>
      <c r="C3" s="20" t="s">
        <v>591</v>
      </c>
      <c r="D3" s="20"/>
      <c r="E3" s="104" t="s">
        <v>592</v>
      </c>
      <c r="F3" s="240">
        <v>76884887</v>
      </c>
      <c r="G3" s="106">
        <v>25.441</v>
      </c>
      <c r="H3" s="106">
        <v>70.832</v>
      </c>
      <c r="I3" s="107" t="str">
        <f>H3-G3</f>
        <v>0</v>
      </c>
      <c r="J3" s="106">
        <v>0</v>
      </c>
      <c r="K3" s="29"/>
      <c r="L3" s="29" t="s">
        <v>593</v>
      </c>
    </row>
    <row r="4" spans="1:1025">
      <c r="A4" s="116" t="s">
        <v>346</v>
      </c>
      <c r="B4" s="29" t="s">
        <v>558</v>
      </c>
      <c r="C4" s="20" t="s">
        <v>591</v>
      </c>
      <c r="D4" s="20"/>
      <c r="E4" s="104" t="s">
        <v>594</v>
      </c>
      <c r="F4" s="240">
        <v>76884887</v>
      </c>
      <c r="G4" s="106">
        <v>17.568</v>
      </c>
      <c r="H4" s="106">
        <v>25.441</v>
      </c>
      <c r="I4" s="107" t="str">
        <f>H4-G4</f>
        <v>0</v>
      </c>
      <c r="J4" s="106">
        <v>0</v>
      </c>
      <c r="K4" s="29"/>
      <c r="L4" s="29" t="s">
        <v>595</v>
      </c>
    </row>
    <row r="5" spans="1:1025">
      <c r="A5" s="116" t="s">
        <v>353</v>
      </c>
      <c r="B5" s="29" t="s">
        <v>354</v>
      </c>
      <c r="C5" s="20" t="s">
        <v>591</v>
      </c>
      <c r="D5" s="20"/>
      <c r="E5" s="104" t="s">
        <v>596</v>
      </c>
      <c r="F5" s="240">
        <v>76888144</v>
      </c>
      <c r="G5" s="106">
        <v>8.789</v>
      </c>
      <c r="H5" s="106">
        <v>14.432</v>
      </c>
      <c r="I5" s="107" t="str">
        <f>H5-G5</f>
        <v>0</v>
      </c>
      <c r="J5" s="106">
        <v>0</v>
      </c>
      <c r="K5" s="29"/>
      <c r="L5" s="29" t="s">
        <v>597</v>
      </c>
    </row>
    <row r="6" spans="1:1025">
      <c r="A6" s="116" t="s">
        <v>359</v>
      </c>
      <c r="B6" s="29" t="s">
        <v>559</v>
      </c>
      <c r="C6" s="20" t="s">
        <v>591</v>
      </c>
      <c r="D6" s="20"/>
      <c r="E6" s="104" t="s">
        <v>598</v>
      </c>
      <c r="F6" s="240">
        <v>76884839</v>
      </c>
      <c r="G6" s="106">
        <v>28.354</v>
      </c>
      <c r="H6" s="106">
        <v>35.474</v>
      </c>
      <c r="I6" s="107" t="str">
        <f>H6-G6</f>
        <v>0</v>
      </c>
      <c r="J6" s="106">
        <v>0</v>
      </c>
      <c r="K6" s="29"/>
      <c r="L6" s="29" t="s">
        <v>599</v>
      </c>
    </row>
    <row r="7" spans="1:1025">
      <c r="A7" s="116" t="s">
        <v>365</v>
      </c>
      <c r="B7" s="29" t="s">
        <v>560</v>
      </c>
      <c r="C7" s="20" t="s">
        <v>591</v>
      </c>
      <c r="D7" s="20"/>
      <c r="E7" s="104" t="s">
        <v>596</v>
      </c>
      <c r="F7" s="240">
        <v>76884863</v>
      </c>
      <c r="G7" s="106">
        <v>23.421</v>
      </c>
      <c r="H7" s="106">
        <v>45.701</v>
      </c>
      <c r="I7" s="107" t="str">
        <f>H7-G7</f>
        <v>0</v>
      </c>
      <c r="J7" s="106">
        <v>0</v>
      </c>
      <c r="K7" s="29"/>
      <c r="L7" s="29" t="s">
        <v>600</v>
      </c>
    </row>
    <row r="8" spans="1:1025">
      <c r="A8" s="116" t="s">
        <v>371</v>
      </c>
      <c r="B8" s="29" t="s">
        <v>372</v>
      </c>
      <c r="C8" s="20" t="s">
        <v>591</v>
      </c>
      <c r="D8" s="20"/>
      <c r="E8" s="104" t="s">
        <v>601</v>
      </c>
      <c r="F8" s="240">
        <v>76884913</v>
      </c>
      <c r="G8" s="106">
        <v>11.034</v>
      </c>
      <c r="H8" s="106">
        <v>17.345</v>
      </c>
      <c r="I8" s="107" t="str">
        <f>H8-G8</f>
        <v>0</v>
      </c>
      <c r="J8" s="106">
        <v>0</v>
      </c>
      <c r="K8" s="29"/>
      <c r="L8" s="29" t="s">
        <v>602</v>
      </c>
    </row>
    <row r="9" spans="1:1025">
      <c r="A9" s="116" t="s">
        <v>377</v>
      </c>
      <c r="B9" s="29" t="s">
        <v>354</v>
      </c>
      <c r="C9" s="20" t="s">
        <v>591</v>
      </c>
      <c r="D9" s="20"/>
      <c r="E9" s="104" t="s">
        <v>603</v>
      </c>
      <c r="F9" s="240">
        <v>76884844</v>
      </c>
      <c r="G9" s="106">
        <v>1.74</v>
      </c>
      <c r="H9" s="106">
        <v>5.143</v>
      </c>
      <c r="I9" s="107" t="str">
        <f>H9-G9</f>
        <v>0</v>
      </c>
      <c r="J9" s="106">
        <v>0</v>
      </c>
      <c r="K9" s="29"/>
      <c r="L9" s="29" t="s">
        <v>604</v>
      </c>
    </row>
    <row r="10" spans="1:1025">
      <c r="A10" s="116" t="s">
        <v>379</v>
      </c>
      <c r="B10" s="29" t="s">
        <v>380</v>
      </c>
      <c r="C10" s="20" t="s">
        <v>591</v>
      </c>
      <c r="D10" s="20"/>
      <c r="E10" s="104" t="s">
        <v>596</v>
      </c>
      <c r="F10" s="240">
        <v>77050479</v>
      </c>
      <c r="G10" s="106">
        <v>38.538</v>
      </c>
      <c r="H10" s="106">
        <v>63.644</v>
      </c>
      <c r="I10" s="107" t="str">
        <f>H10-G10</f>
        <v>0</v>
      </c>
      <c r="J10" s="106">
        <v>0</v>
      </c>
      <c r="K10" s="29"/>
      <c r="L10" s="29" t="s">
        <v>605</v>
      </c>
    </row>
    <row r="11" spans="1:1025">
      <c r="A11" s="116" t="s">
        <v>385</v>
      </c>
      <c r="B11" s="29" t="s">
        <v>386</v>
      </c>
      <c r="C11" s="20" t="s">
        <v>591</v>
      </c>
      <c r="D11" s="20"/>
      <c r="E11" s="104" t="s">
        <v>606</v>
      </c>
      <c r="F11" s="240">
        <v>76888101</v>
      </c>
      <c r="G11" s="106">
        <v>54.254</v>
      </c>
      <c r="H11" s="106">
        <v>102.97</v>
      </c>
      <c r="I11" s="107" t="str">
        <f>H11-G11</f>
        <v>0</v>
      </c>
      <c r="J11" s="106">
        <v>0</v>
      </c>
      <c r="K11" s="29"/>
      <c r="L11" s="29" t="s">
        <v>607</v>
      </c>
    </row>
    <row r="12" spans="1:1025">
      <c r="A12" s="116" t="s">
        <v>391</v>
      </c>
      <c r="B12" s="29" t="s">
        <v>392</v>
      </c>
      <c r="C12" s="20" t="s">
        <v>591</v>
      </c>
      <c r="D12" s="20"/>
      <c r="E12" s="104" t="s">
        <v>603</v>
      </c>
      <c r="F12" s="240">
        <v>76884866</v>
      </c>
      <c r="G12" s="106">
        <v>1.494</v>
      </c>
      <c r="H12" s="106">
        <v>2.507</v>
      </c>
      <c r="I12" s="107" t="str">
        <f>H12-G12</f>
        <v>0</v>
      </c>
      <c r="J12" s="106">
        <v>0</v>
      </c>
      <c r="K12" s="29"/>
      <c r="L12" s="29" t="s">
        <v>608</v>
      </c>
    </row>
    <row r="13" spans="1:1025">
      <c r="A13" s="116" t="s">
        <v>397</v>
      </c>
      <c r="B13" s="29" t="s">
        <v>398</v>
      </c>
      <c r="C13" s="20" t="s">
        <v>591</v>
      </c>
      <c r="D13" s="20"/>
      <c r="E13" s="104" t="s">
        <v>609</v>
      </c>
      <c r="F13" s="240">
        <v>76884884</v>
      </c>
      <c r="G13" s="106">
        <v>21.81</v>
      </c>
      <c r="H13" s="106">
        <v>31.012</v>
      </c>
      <c r="I13" s="107" t="str">
        <f>H13-G13</f>
        <v>0</v>
      </c>
      <c r="J13" s="106">
        <v>0</v>
      </c>
      <c r="K13" s="29"/>
      <c r="L13" s="29" t="s">
        <v>608</v>
      </c>
    </row>
    <row r="14" spans="1:1025">
      <c r="A14" s="116" t="s">
        <v>402</v>
      </c>
      <c r="B14" s="29" t="s">
        <v>403</v>
      </c>
      <c r="C14" s="20" t="s">
        <v>591</v>
      </c>
      <c r="D14" s="20"/>
      <c r="E14" s="104" t="s">
        <v>610</v>
      </c>
      <c r="F14" s="240">
        <v>76884860</v>
      </c>
      <c r="G14" s="106">
        <v>85.509</v>
      </c>
      <c r="H14" s="106">
        <v>121.356</v>
      </c>
      <c r="I14" s="107" t="str">
        <f>H14-G14</f>
        <v>0</v>
      </c>
      <c r="J14" s="106">
        <v>0</v>
      </c>
      <c r="K14" s="29"/>
      <c r="L14" s="29" t="s">
        <v>611</v>
      </c>
    </row>
    <row r="15" spans="1:1025">
      <c r="A15" s="116" t="s">
        <v>408</v>
      </c>
      <c r="B15" s="29" t="s">
        <v>561</v>
      </c>
      <c r="C15" s="20" t="s">
        <v>591</v>
      </c>
      <c r="D15" s="20"/>
      <c r="E15" s="104" t="s">
        <v>603</v>
      </c>
      <c r="F15" s="240">
        <v>76884829</v>
      </c>
      <c r="G15" s="106">
        <v>58.161</v>
      </c>
      <c r="H15" s="106">
        <v>98.212</v>
      </c>
      <c r="I15" s="107" t="str">
        <f>H15-G15</f>
        <v>0</v>
      </c>
      <c r="J15" s="106">
        <v>0</v>
      </c>
      <c r="K15" s="29"/>
      <c r="L15" s="29" t="s">
        <v>612</v>
      </c>
    </row>
    <row r="16" spans="1:1025">
      <c r="A16" s="116" t="s">
        <v>414</v>
      </c>
      <c r="B16" s="29" t="s">
        <v>562</v>
      </c>
      <c r="C16" s="20" t="s">
        <v>591</v>
      </c>
      <c r="D16" s="20"/>
      <c r="E16" s="104" t="s">
        <v>603</v>
      </c>
      <c r="F16" s="240">
        <v>76884842</v>
      </c>
      <c r="G16" s="106">
        <v>42.429</v>
      </c>
      <c r="H16" s="106">
        <v>75.047</v>
      </c>
      <c r="I16" s="107" t="str">
        <f>H16-G16</f>
        <v>0</v>
      </c>
      <c r="J16" s="106">
        <v>0</v>
      </c>
      <c r="K16" s="29"/>
      <c r="L16" s="29" t="s">
        <v>613</v>
      </c>
    </row>
    <row r="17" spans="1:1025">
      <c r="A17" s="116" t="s">
        <v>420</v>
      </c>
      <c r="B17" s="29" t="s">
        <v>563</v>
      </c>
      <c r="C17" s="20" t="s">
        <v>591</v>
      </c>
      <c r="D17" s="20"/>
      <c r="E17" s="104" t="s">
        <v>614</v>
      </c>
      <c r="F17" s="240">
        <v>76884865</v>
      </c>
      <c r="G17" s="106">
        <v>39.682</v>
      </c>
      <c r="H17" s="106">
        <v>69.779</v>
      </c>
      <c r="I17" s="107" t="str">
        <f>H17-G17</f>
        <v>0</v>
      </c>
      <c r="J17" s="106">
        <v>0</v>
      </c>
      <c r="K17" s="29"/>
      <c r="L17" s="29" t="s">
        <v>615</v>
      </c>
    </row>
    <row r="18" spans="1:1025">
      <c r="A18" s="116" t="s">
        <v>425</v>
      </c>
      <c r="B18" s="29" t="s">
        <v>564</v>
      </c>
      <c r="C18" s="20" t="s">
        <v>591</v>
      </c>
      <c r="D18" s="20"/>
      <c r="E18" s="104" t="s">
        <v>616</v>
      </c>
      <c r="F18" s="240">
        <v>76884899</v>
      </c>
      <c r="G18" s="106">
        <v>45.343</v>
      </c>
      <c r="H18" s="106">
        <v>80.254</v>
      </c>
      <c r="I18" s="107" t="str">
        <f>H18-G18</f>
        <v>0</v>
      </c>
      <c r="J18" s="106">
        <v>0</v>
      </c>
      <c r="K18" s="29"/>
      <c r="L18" s="29" t="s">
        <v>617</v>
      </c>
    </row>
    <row r="19" spans="1:1025">
      <c r="A19" s="116" t="s">
        <v>430</v>
      </c>
      <c r="B19" s="29" t="s">
        <v>565</v>
      </c>
      <c r="C19" s="20" t="s">
        <v>591</v>
      </c>
      <c r="D19" s="20"/>
      <c r="E19" s="104" t="s">
        <v>601</v>
      </c>
      <c r="F19" s="240">
        <v>76884836</v>
      </c>
      <c r="G19" s="106">
        <v>60.203</v>
      </c>
      <c r="H19" s="106">
        <v>108.6</v>
      </c>
      <c r="I19" s="107" t="str">
        <f>H19-G19</f>
        <v>0</v>
      </c>
      <c r="J19" s="106">
        <v>0</v>
      </c>
      <c r="K19" s="29"/>
      <c r="L19" s="29" t="s">
        <v>618</v>
      </c>
    </row>
    <row r="20" spans="1:1025">
      <c r="A20" s="116" t="s">
        <v>435</v>
      </c>
      <c r="B20" s="29" t="s">
        <v>565</v>
      </c>
      <c r="C20" s="20" t="s">
        <v>591</v>
      </c>
      <c r="D20" s="20"/>
      <c r="E20" s="104" t="s">
        <v>601</v>
      </c>
      <c r="F20" s="240">
        <v>76884835</v>
      </c>
      <c r="G20" s="106">
        <v>13.068</v>
      </c>
      <c r="H20" s="106">
        <v>23.489</v>
      </c>
      <c r="I20" s="107" t="str">
        <f>H20-G20</f>
        <v>0</v>
      </c>
      <c r="J20" s="106">
        <v>0</v>
      </c>
      <c r="K20" s="29"/>
      <c r="L20" s="29" t="s">
        <v>619</v>
      </c>
    </row>
    <row r="21" spans="1:1025">
      <c r="A21" s="116" t="s">
        <v>437</v>
      </c>
      <c r="B21" s="29" t="s">
        <v>566</v>
      </c>
      <c r="C21" s="20" t="s">
        <v>591</v>
      </c>
      <c r="D21" s="20"/>
      <c r="E21" s="104" t="s">
        <v>620</v>
      </c>
      <c r="F21" s="240">
        <v>76884837</v>
      </c>
      <c r="G21" s="106">
        <v>28.46</v>
      </c>
      <c r="H21" s="106">
        <v>51.72</v>
      </c>
      <c r="I21" s="107" t="str">
        <f>H21-G21</f>
        <v>0</v>
      </c>
      <c r="J21" s="106">
        <v>0</v>
      </c>
      <c r="K21" s="29"/>
      <c r="L21" s="29" t="s">
        <v>621</v>
      </c>
    </row>
    <row r="22" spans="1:1025">
      <c r="A22" s="116" t="s">
        <v>442</v>
      </c>
      <c r="B22" s="29" t="s">
        <v>567</v>
      </c>
      <c r="C22" s="20" t="s">
        <v>591</v>
      </c>
      <c r="D22" s="20"/>
      <c r="E22" s="104" t="s">
        <v>596</v>
      </c>
      <c r="F22" s="240">
        <v>76884827</v>
      </c>
      <c r="G22" s="106">
        <v>31.575</v>
      </c>
      <c r="H22" s="106">
        <v>51.543</v>
      </c>
      <c r="I22" s="107" t="str">
        <f>H22-G22</f>
        <v>0</v>
      </c>
      <c r="J22" s="106">
        <v>0</v>
      </c>
      <c r="K22" s="29"/>
      <c r="L22" s="29" t="s">
        <v>622</v>
      </c>
    </row>
    <row r="23" spans="1:1025">
      <c r="A23" s="116" t="s">
        <v>448</v>
      </c>
      <c r="B23" s="29" t="s">
        <v>568</v>
      </c>
      <c r="C23" s="20" t="s">
        <v>591</v>
      </c>
      <c r="D23" s="20"/>
      <c r="E23" s="104" t="s">
        <v>596</v>
      </c>
      <c r="F23" s="240">
        <v>76884830</v>
      </c>
      <c r="G23" s="106">
        <v>41.879</v>
      </c>
      <c r="H23" s="106">
        <v>63.988</v>
      </c>
      <c r="I23" s="107" t="str">
        <f>H23-G23</f>
        <v>0</v>
      </c>
      <c r="J23" s="106">
        <v>0</v>
      </c>
      <c r="K23" s="29"/>
      <c r="L23" s="29" t="s">
        <v>623</v>
      </c>
    </row>
    <row r="24" spans="1:1025">
      <c r="A24" s="116" t="s">
        <v>454</v>
      </c>
      <c r="B24" s="29" t="s">
        <v>569</v>
      </c>
      <c r="C24" s="20" t="s">
        <v>591</v>
      </c>
      <c r="D24" s="20"/>
      <c r="E24" s="104" t="s">
        <v>592</v>
      </c>
      <c r="F24" s="240">
        <v>76884895</v>
      </c>
      <c r="G24" s="106">
        <v>26.001</v>
      </c>
      <c r="H24" s="106">
        <v>43.58</v>
      </c>
      <c r="I24" s="107" t="str">
        <f>H24-G24</f>
        <v>0</v>
      </c>
      <c r="J24" s="106">
        <v>0</v>
      </c>
      <c r="K24" s="29"/>
      <c r="L24" s="29" t="s">
        <v>624</v>
      </c>
    </row>
    <row r="25" spans="1:1025">
      <c r="A25" s="116" t="s">
        <v>459</v>
      </c>
      <c r="B25" s="29" t="s">
        <v>460</v>
      </c>
      <c r="C25" s="20" t="s">
        <v>591</v>
      </c>
      <c r="D25" s="20"/>
      <c r="E25" s="104" t="s">
        <v>609</v>
      </c>
      <c r="F25" s="240">
        <v>76884847</v>
      </c>
      <c r="G25" s="106">
        <v>6.098</v>
      </c>
      <c r="H25" s="106">
        <v>9.139</v>
      </c>
      <c r="I25" s="107" t="str">
        <f>H25-G25</f>
        <v>0</v>
      </c>
      <c r="J25" s="106">
        <v>0</v>
      </c>
      <c r="K25" s="29"/>
      <c r="L25" s="29" t="s">
        <v>625</v>
      </c>
    </row>
    <row r="26" spans="1:1025">
      <c r="A26" s="116"/>
      <c r="B26" s="29"/>
      <c r="C26" s="20"/>
      <c r="D26" s="20"/>
      <c r="E26" s="104"/>
      <c r="F26" s="240"/>
      <c r="G26" s="106"/>
      <c r="H26" s="106"/>
      <c r="I26" s="107" t="str">
        <f>H26-G26</f>
        <v>0</v>
      </c>
      <c r="J26" s="106"/>
      <c r="K26" s="29"/>
      <c r="L26" s="29"/>
    </row>
    <row r="27" spans="1:1025">
      <c r="A27" s="116"/>
      <c r="B27" s="29"/>
      <c r="C27" s="20"/>
      <c r="D27" s="20"/>
      <c r="E27" s="179"/>
      <c r="F27" s="240"/>
      <c r="G27" s="106"/>
      <c r="H27" s="106"/>
      <c r="I27" s="180" t="str">
        <f>H27-G27</f>
        <v>0</v>
      </c>
      <c r="J27" s="106"/>
      <c r="K27" s="29"/>
      <c r="L27" s="29"/>
    </row>
    <row r="28" spans="1:1025">
      <c r="A28" s="116"/>
      <c r="B28" s="29"/>
      <c r="C28" s="20"/>
      <c r="D28" s="20"/>
      <c r="E28" s="179"/>
      <c r="F28" s="240"/>
      <c r="G28" s="106"/>
      <c r="H28" s="106"/>
      <c r="I28" s="180" t="str">
        <f>H28-G28</f>
        <v>0</v>
      </c>
      <c r="J28" s="106"/>
      <c r="K28" s="29"/>
      <c r="L28" s="29"/>
    </row>
    <row r="29" spans="1:1025">
      <c r="A29" s="116"/>
      <c r="B29" s="29"/>
      <c r="C29" s="20"/>
      <c r="D29" s="20"/>
      <c r="E29" s="179"/>
      <c r="F29" s="240"/>
      <c r="G29" s="106"/>
      <c r="H29" s="106"/>
      <c r="I29" s="180" t="str">
        <f>H29-G29</f>
        <v>0</v>
      </c>
      <c r="J29" s="106"/>
      <c r="K29" s="29"/>
      <c r="L29" s="29"/>
    </row>
    <row r="30" spans="1:1025">
      <c r="A30" s="116"/>
      <c r="B30" s="29"/>
      <c r="C30" s="20"/>
      <c r="D30" s="20"/>
      <c r="E30" s="179"/>
      <c r="F30" s="240"/>
      <c r="G30" s="106"/>
      <c r="H30" s="106"/>
      <c r="I30" s="180" t="str">
        <f>H30-G30</f>
        <v>0</v>
      </c>
      <c r="J30" s="106"/>
      <c r="K30" s="29"/>
      <c r="L30" s="29"/>
    </row>
    <row r="31" spans="1:1025">
      <c r="A31" s="116"/>
      <c r="B31" s="29"/>
      <c r="C31" s="20"/>
      <c r="D31" s="20"/>
      <c r="E31" s="179"/>
      <c r="F31" s="240"/>
      <c r="G31" s="106"/>
      <c r="H31" s="106"/>
      <c r="I31" s="180" t="str">
        <f>H31-G31</f>
        <v>0</v>
      </c>
      <c r="J31" s="106"/>
      <c r="K31" s="29"/>
      <c r="L31" s="29"/>
    </row>
    <row r="32" spans="1:1025">
      <c r="A32" s="116"/>
      <c r="B32" s="29"/>
      <c r="C32" s="20"/>
      <c r="D32" s="20"/>
      <c r="E32" s="179"/>
      <c r="F32" s="240"/>
      <c r="G32" s="106"/>
      <c r="H32" s="106"/>
      <c r="I32" s="180" t="str">
        <f>H32-G32</f>
        <v>0</v>
      </c>
      <c r="J32" s="106"/>
      <c r="K32" s="29"/>
      <c r="L32" s="29"/>
    </row>
    <row r="33" spans="1:1025">
      <c r="A33" s="116"/>
      <c r="B33" s="29"/>
      <c r="C33" s="20"/>
      <c r="D33" s="20"/>
      <c r="E33" s="179"/>
      <c r="F33" s="240"/>
      <c r="G33" s="106"/>
      <c r="H33" s="106"/>
      <c r="I33" s="180" t="str">
        <f>H33-G33</f>
        <v>0</v>
      </c>
      <c r="J33" s="106"/>
      <c r="K33" s="29"/>
      <c r="L33" s="29"/>
    </row>
    <row r="34" spans="1:1025">
      <c r="A34" s="116"/>
      <c r="B34" s="29"/>
      <c r="C34" s="20"/>
      <c r="D34" s="20"/>
      <c r="E34" s="179"/>
      <c r="F34" s="240"/>
      <c r="G34" s="106"/>
      <c r="H34" s="106"/>
      <c r="I34" s="180" t="str">
        <f>H34-G34</f>
        <v>0</v>
      </c>
      <c r="J34" s="106"/>
      <c r="K34" s="29"/>
      <c r="L34" s="29"/>
    </row>
    <row r="35" spans="1:1025">
      <c r="A35" s="116"/>
      <c r="B35" s="29"/>
      <c r="C35" s="20"/>
      <c r="D35" s="20"/>
      <c r="E35" s="179"/>
      <c r="F35" s="240"/>
      <c r="G35" s="106"/>
      <c r="H35" s="106"/>
      <c r="I35" s="180" t="str">
        <f>H35-G35</f>
        <v>0</v>
      </c>
      <c r="J35" s="106"/>
      <c r="K35" s="29"/>
      <c r="L35" s="29"/>
    </row>
    <row r="36" spans="1:1025">
      <c r="A36" s="116"/>
      <c r="B36" s="29"/>
      <c r="C36" s="20"/>
      <c r="D36" s="20"/>
      <c r="E36" s="179"/>
      <c r="F36" s="240"/>
      <c r="G36" s="106"/>
      <c r="H36" s="106"/>
      <c r="I36" s="180" t="str">
        <f>H36-G36</f>
        <v>0</v>
      </c>
      <c r="J36" s="106"/>
      <c r="K36" s="29"/>
      <c r="L36" s="29"/>
    </row>
    <row r="37" spans="1:1025">
      <c r="A37" s="116"/>
      <c r="B37" s="29"/>
      <c r="C37" s="20"/>
      <c r="D37" s="20"/>
      <c r="E37" s="179"/>
      <c r="F37" s="240"/>
      <c r="G37" s="106"/>
      <c r="H37" s="106"/>
      <c r="I37" s="180" t="str">
        <f>H37-G37</f>
        <v>0</v>
      </c>
      <c r="J37" s="106"/>
      <c r="K37" s="29"/>
      <c r="L37" s="29"/>
    </row>
    <row r="38" spans="1:1025">
      <c r="A38" s="116"/>
      <c r="B38" s="29"/>
      <c r="C38" s="20"/>
      <c r="D38" s="20"/>
      <c r="E38" s="179"/>
      <c r="F38" s="240"/>
      <c r="G38" s="106"/>
      <c r="H38" s="106"/>
      <c r="I38" s="180" t="str">
        <f>H38-G38</f>
        <v>0</v>
      </c>
      <c r="J38" s="106"/>
      <c r="K38" s="29"/>
      <c r="L38" s="29"/>
    </row>
    <row r="39" spans="1:1025">
      <c r="A39" s="116"/>
      <c r="B39" s="29"/>
      <c r="C39" s="20"/>
      <c r="D39" s="20"/>
      <c r="E39" s="179"/>
      <c r="F39" s="240"/>
      <c r="G39" s="106"/>
      <c r="H39" s="106"/>
      <c r="I39" s="180" t="str">
        <f>H39-G39</f>
        <v>0</v>
      </c>
      <c r="J39" s="106"/>
      <c r="K39" s="29"/>
      <c r="L39" s="29"/>
    </row>
    <row r="40" spans="1:1025">
      <c r="A40" s="116"/>
      <c r="B40" s="29"/>
      <c r="C40" s="20"/>
      <c r="D40" s="20"/>
      <c r="E40" s="179"/>
      <c r="F40" s="240"/>
      <c r="G40" s="106"/>
      <c r="H40" s="106"/>
      <c r="I40" s="180" t="str">
        <f>H40-G40</f>
        <v>0</v>
      </c>
      <c r="J40" s="106"/>
      <c r="K40" s="29"/>
      <c r="L40" s="29"/>
    </row>
    <row r="41" spans="1:1025">
      <c r="A41" s="116"/>
      <c r="B41" s="29"/>
      <c r="C41" s="20"/>
      <c r="D41" s="20"/>
      <c r="E41" s="179"/>
      <c r="F41" s="240"/>
      <c r="G41" s="106"/>
      <c r="H41" s="106"/>
      <c r="I41" s="180" t="str">
        <f>H41-G41</f>
        <v>0</v>
      </c>
      <c r="J41" s="106"/>
      <c r="K41" s="29"/>
      <c r="L41" s="29"/>
    </row>
    <row r="42" spans="1:1025">
      <c r="A42" s="116"/>
      <c r="B42" s="29"/>
      <c r="C42" s="20"/>
      <c r="D42" s="20"/>
      <c r="E42" s="179"/>
      <c r="F42" s="240"/>
      <c r="G42" s="106"/>
      <c r="H42" s="106"/>
      <c r="I42" s="180" t="str">
        <f>H42-G42</f>
        <v>0</v>
      </c>
      <c r="J42" s="106"/>
      <c r="K42" s="29"/>
      <c r="L42" s="29"/>
    </row>
    <row r="43" spans="1:1025">
      <c r="A43" s="116"/>
      <c r="B43" s="29"/>
      <c r="C43" s="20"/>
      <c r="D43" s="20"/>
      <c r="E43" s="179"/>
      <c r="F43" s="240"/>
      <c r="G43" s="106"/>
      <c r="H43" s="106"/>
      <c r="I43" s="180" t="str">
        <f>H43-G43</f>
        <v>0</v>
      </c>
      <c r="J43" s="106"/>
      <c r="K43" s="29"/>
      <c r="L43" s="29"/>
    </row>
    <row r="44" spans="1:1025">
      <c r="A44" s="116"/>
      <c r="B44" s="29"/>
      <c r="C44" s="20"/>
      <c r="D44" s="20"/>
      <c r="E44" s="179"/>
      <c r="F44" s="240"/>
      <c r="G44" s="106"/>
      <c r="H44" s="106"/>
      <c r="I44" s="180" t="str">
        <f>H44-G44</f>
        <v>0</v>
      </c>
      <c r="J44" s="106"/>
      <c r="K44" s="29"/>
      <c r="L44" s="29"/>
    </row>
    <row r="45" spans="1:1025">
      <c r="A45" s="116"/>
      <c r="B45" s="29"/>
      <c r="C45" s="20"/>
      <c r="D45" s="20"/>
      <c r="E45" s="179"/>
      <c r="F45" s="240"/>
      <c r="G45" s="106"/>
      <c r="H45" s="106"/>
      <c r="I45" s="180" t="str">
        <f>H45-G45</f>
        <v>0</v>
      </c>
      <c r="J45" s="106"/>
      <c r="K45" s="29"/>
      <c r="L45" s="29"/>
    </row>
    <row r="46" spans="1:1025">
      <c r="A46" s="116"/>
      <c r="B46" s="29"/>
      <c r="C46" s="20"/>
      <c r="D46" s="20"/>
      <c r="E46" s="179"/>
      <c r="F46" s="240"/>
      <c r="G46" s="106"/>
      <c r="H46" s="106"/>
      <c r="I46" s="180" t="str">
        <f>H46-G46</f>
        <v>0</v>
      </c>
      <c r="J46" s="106"/>
      <c r="K46" s="29"/>
      <c r="L46" s="29"/>
    </row>
    <row r="47" spans="1:1025">
      <c r="A47" s="116"/>
      <c r="B47" s="29"/>
      <c r="C47" s="20"/>
      <c r="D47" s="20"/>
      <c r="E47" s="179"/>
      <c r="F47" s="240"/>
      <c r="G47" s="106"/>
      <c r="H47" s="106"/>
      <c r="I47" s="180" t="str">
        <f>H47-G47</f>
        <v>0</v>
      </c>
      <c r="J47" s="106"/>
      <c r="K47" s="29"/>
      <c r="L47" s="29"/>
    </row>
    <row r="48" spans="1:1025">
      <c r="A48" s="116"/>
      <c r="B48" s="29"/>
      <c r="C48" s="20"/>
      <c r="D48" s="20"/>
      <c r="E48" s="179"/>
      <c r="F48" s="240"/>
      <c r="G48" s="106"/>
      <c r="H48" s="106"/>
      <c r="I48" s="180" t="str">
        <f>H48-G48</f>
        <v>0</v>
      </c>
      <c r="J48" s="106"/>
      <c r="K48" s="29"/>
      <c r="L48" s="29"/>
    </row>
    <row r="49" spans="1:1025">
      <c r="A49" s="116"/>
      <c r="B49" s="29"/>
      <c r="C49" s="20"/>
      <c r="D49" s="20"/>
      <c r="E49" s="179"/>
      <c r="F49" s="240"/>
      <c r="G49" s="106"/>
      <c r="H49" s="106"/>
      <c r="I49" s="180" t="str">
        <f>H49-G49</f>
        <v>0</v>
      </c>
      <c r="J49" s="106"/>
      <c r="K49" s="29"/>
      <c r="L49" s="29"/>
    </row>
    <row r="50" spans="1:1025">
      <c r="A50" s="116"/>
      <c r="B50" s="29"/>
      <c r="C50" s="20"/>
      <c r="D50" s="20"/>
      <c r="E50" s="179"/>
      <c r="F50" s="240"/>
      <c r="G50" s="106"/>
      <c r="H50" s="106"/>
      <c r="I50" s="180" t="str">
        <f>H50-G50</f>
        <v>0</v>
      </c>
      <c r="J50" s="106"/>
      <c r="K50" s="29"/>
      <c r="L50" s="29"/>
    </row>
    <row r="51" spans="1:1025">
      <c r="A51" s="116"/>
      <c r="B51" s="29"/>
      <c r="C51" s="20"/>
      <c r="D51" s="20"/>
      <c r="E51" s="179"/>
      <c r="F51" s="240"/>
      <c r="G51" s="106"/>
      <c r="H51" s="106"/>
      <c r="I51" s="180" t="str">
        <f>H51-G51</f>
        <v>0</v>
      </c>
      <c r="J51" s="106"/>
      <c r="K51" s="29"/>
      <c r="L51" s="29"/>
    </row>
    <row r="52" spans="1:1025">
      <c r="A52" s="116"/>
      <c r="B52" s="29"/>
      <c r="C52" s="20"/>
      <c r="D52" s="20"/>
      <c r="E52" s="179"/>
      <c r="F52" s="240"/>
      <c r="G52" s="106"/>
      <c r="H52" s="106"/>
      <c r="I52" s="180" t="str">
        <f>H52-G52</f>
        <v>0</v>
      </c>
      <c r="J52" s="106"/>
      <c r="K52" s="29"/>
      <c r="L52" s="29"/>
    </row>
    <row r="53" spans="1:1025">
      <c r="A53" s="116"/>
      <c r="B53" s="29"/>
      <c r="C53" s="20"/>
      <c r="D53" s="20"/>
      <c r="E53" s="179"/>
      <c r="F53" s="240"/>
      <c r="G53" s="106"/>
      <c r="H53" s="106"/>
      <c r="I53" s="180" t="str">
        <f>H53-G53</f>
        <v>0</v>
      </c>
      <c r="J53" s="106"/>
      <c r="K53" s="29"/>
      <c r="L53" s="29"/>
    </row>
    <row r="54" spans="1:1025">
      <c r="A54" s="116"/>
      <c r="B54" s="29"/>
      <c r="C54" s="20"/>
      <c r="D54" s="20"/>
      <c r="E54" s="179"/>
      <c r="F54" s="240"/>
      <c r="G54" s="106"/>
      <c r="H54" s="106"/>
      <c r="I54" s="180" t="str">
        <f>H54-G54</f>
        <v>0</v>
      </c>
      <c r="J54" s="106"/>
      <c r="K54" s="29"/>
      <c r="L54" s="29"/>
    </row>
    <row r="55" spans="1:1025">
      <c r="A55" s="116"/>
      <c r="B55" s="29"/>
      <c r="C55" s="20"/>
      <c r="D55" s="20"/>
      <c r="E55" s="179"/>
      <c r="F55" s="240"/>
      <c r="G55" s="106"/>
      <c r="H55" s="106"/>
      <c r="I55" s="180" t="str">
        <f>H55-G55</f>
        <v>0</v>
      </c>
      <c r="J55" s="106"/>
      <c r="K55" s="29"/>
      <c r="L55" s="29"/>
    </row>
    <row r="56" spans="1:1025">
      <c r="A56" s="116"/>
      <c r="B56" s="29"/>
      <c r="C56" s="20"/>
      <c r="D56" s="20"/>
      <c r="E56" s="179"/>
      <c r="F56" s="240"/>
      <c r="G56" s="106"/>
      <c r="H56" s="106"/>
      <c r="I56" s="180" t="str">
        <f>H56-G56</f>
        <v>0</v>
      </c>
      <c r="J56" s="106"/>
      <c r="K56" s="29"/>
      <c r="L56" s="29"/>
    </row>
    <row r="57" spans="1:1025">
      <c r="A57" s="116"/>
      <c r="B57" s="29"/>
      <c r="C57" s="20"/>
      <c r="D57" s="20"/>
      <c r="E57" s="179"/>
      <c r="F57" s="240"/>
      <c r="G57" s="106"/>
      <c r="H57" s="106"/>
      <c r="I57" s="180" t="str">
        <f>H57-G57</f>
        <v>0</v>
      </c>
      <c r="J57" s="106"/>
      <c r="K57" s="29"/>
      <c r="L57" s="29"/>
    </row>
    <row r="58" spans="1:1025">
      <c r="A58" s="116"/>
      <c r="B58" s="29"/>
      <c r="C58" s="20"/>
      <c r="D58" s="20"/>
      <c r="E58" s="179"/>
      <c r="F58" s="240"/>
      <c r="G58" s="106"/>
      <c r="H58" s="106"/>
      <c r="I58" s="180" t="str">
        <f>H58-G58</f>
        <v>0</v>
      </c>
      <c r="J58" s="106"/>
      <c r="K58" s="29"/>
      <c r="L58" s="29"/>
    </row>
    <row r="59" spans="1:1025">
      <c r="A59" s="116"/>
      <c r="B59" s="29"/>
      <c r="C59" s="20"/>
      <c r="D59" s="20"/>
      <c r="E59" s="179"/>
      <c r="F59" s="240"/>
      <c r="G59" s="106"/>
      <c r="H59" s="106"/>
      <c r="I59" s="180" t="str">
        <f>H59-G59</f>
        <v>0</v>
      </c>
      <c r="J59" s="106"/>
      <c r="K59" s="29"/>
      <c r="L59" s="29"/>
    </row>
    <row r="60" spans="1:1025">
      <c r="A60" s="116"/>
      <c r="B60" s="29"/>
      <c r="C60" s="20"/>
      <c r="D60" s="20"/>
      <c r="E60" s="179"/>
      <c r="F60" s="240"/>
      <c r="G60" s="106"/>
      <c r="H60" s="106"/>
      <c r="I60" s="180" t="str">
        <f>H60-G60</f>
        <v>0</v>
      </c>
      <c r="J60" s="106"/>
      <c r="K60" s="29"/>
      <c r="L60" s="29"/>
    </row>
    <row r="61" spans="1:1025">
      <c r="A61" s="116"/>
      <c r="B61" s="29"/>
      <c r="C61" s="20"/>
      <c r="D61" s="20"/>
      <c r="E61" s="179"/>
      <c r="F61" s="240"/>
      <c r="G61" s="106"/>
      <c r="H61" s="106"/>
      <c r="I61" s="180" t="str">
        <f>H61-G61</f>
        <v>0</v>
      </c>
      <c r="J61" s="106"/>
      <c r="K61" s="29"/>
      <c r="L61" s="29"/>
    </row>
    <row r="62" spans="1:1025">
      <c r="A62" s="116"/>
      <c r="B62" s="29"/>
      <c r="C62" s="20"/>
      <c r="D62" s="20"/>
      <c r="E62" s="179"/>
      <c r="F62" s="240"/>
      <c r="G62" s="106"/>
      <c r="H62" s="106"/>
      <c r="I62" s="180" t="str">
        <f>H62-G62</f>
        <v>0</v>
      </c>
      <c r="J62" s="106"/>
      <c r="K62" s="29"/>
      <c r="L62" s="29"/>
    </row>
    <row r="63" spans="1:1025">
      <c r="A63" s="116"/>
      <c r="B63" s="29"/>
      <c r="C63" s="20"/>
      <c r="D63" s="20"/>
      <c r="E63" s="179"/>
      <c r="F63" s="240"/>
      <c r="G63" s="106"/>
      <c r="H63" s="106"/>
      <c r="I63" s="180" t="str">
        <f>H63-G63</f>
        <v>0</v>
      </c>
      <c r="J63" s="106"/>
      <c r="K63" s="29"/>
      <c r="L63" s="29"/>
    </row>
    <row r="64" spans="1:1025">
      <c r="A64" s="116"/>
      <c r="B64" s="29"/>
      <c r="C64" s="20"/>
      <c r="D64" s="20"/>
      <c r="E64" s="179"/>
      <c r="F64" s="240"/>
      <c r="G64" s="106"/>
      <c r="H64" s="106"/>
      <c r="I64" s="180" t="str">
        <f>H64-G64</f>
        <v>0</v>
      </c>
      <c r="J64" s="106"/>
      <c r="K64" s="29"/>
      <c r="L64" s="29"/>
    </row>
    <row r="65" spans="1:1025">
      <c r="A65" s="116"/>
      <c r="B65" s="29"/>
      <c r="C65" s="20"/>
      <c r="D65" s="20"/>
      <c r="E65" s="179"/>
      <c r="F65" s="240"/>
      <c r="G65" s="106"/>
      <c r="H65" s="106"/>
      <c r="I65" s="180" t="str">
        <f>H65-G65</f>
        <v>0</v>
      </c>
      <c r="J65" s="106"/>
      <c r="K65" s="29"/>
      <c r="L65" s="29"/>
    </row>
    <row r="66" spans="1:1025">
      <c r="A66" s="116"/>
      <c r="B66" s="29"/>
      <c r="C66" s="20"/>
      <c r="D66" s="20"/>
      <c r="E66" s="179"/>
      <c r="F66" s="240"/>
      <c r="G66" s="106"/>
      <c r="H66" s="106"/>
      <c r="I66" s="180" t="str">
        <f>H66-G66</f>
        <v>0</v>
      </c>
      <c r="J66" s="106"/>
      <c r="K66" s="29"/>
      <c r="L66" s="29"/>
    </row>
    <row r="67" spans="1:1025">
      <c r="A67" s="116"/>
      <c r="B67" s="29"/>
      <c r="C67" s="20"/>
      <c r="D67" s="20"/>
      <c r="E67" s="179"/>
      <c r="F67" s="240"/>
      <c r="G67" s="106"/>
      <c r="H67" s="106"/>
      <c r="I67" s="180" t="str">
        <f>H67-G67</f>
        <v>0</v>
      </c>
      <c r="J67" s="106"/>
      <c r="K67" s="29"/>
      <c r="L67" s="29"/>
    </row>
    <row r="68" spans="1:1025">
      <c r="A68" s="116"/>
      <c r="B68" s="29"/>
      <c r="C68" s="20"/>
      <c r="D68" s="20"/>
      <c r="E68" s="179"/>
      <c r="F68" s="240"/>
      <c r="G68" s="106"/>
      <c r="H68" s="106"/>
      <c r="I68" s="180" t="str">
        <f>H68-G68</f>
        <v>0</v>
      </c>
      <c r="J68" s="106"/>
      <c r="K68" s="29"/>
      <c r="L68" s="29"/>
    </row>
    <row r="69" spans="1:1025">
      <c r="A69" s="116"/>
      <c r="B69" s="29"/>
      <c r="C69" s="20"/>
      <c r="D69" s="20"/>
      <c r="E69" s="179"/>
      <c r="F69" s="240"/>
      <c r="G69" s="106"/>
      <c r="H69" s="106"/>
      <c r="I69" s="180" t="str">
        <f>H69-G69</f>
        <v>0</v>
      </c>
      <c r="J69" s="106"/>
      <c r="K69" s="29"/>
      <c r="L69" s="29"/>
    </row>
    <row r="70" spans="1:1025">
      <c r="A70" s="116"/>
      <c r="B70" s="29"/>
      <c r="C70" s="20"/>
      <c r="D70" s="20"/>
      <c r="E70" s="179"/>
      <c r="F70" s="240"/>
      <c r="G70" s="106"/>
      <c r="H70" s="106"/>
      <c r="I70" s="180" t="str">
        <f>H70-G70</f>
        <v>0</v>
      </c>
      <c r="J70" s="106"/>
      <c r="K70" s="29"/>
      <c r="L70" s="29"/>
    </row>
    <row r="71" spans="1:1025">
      <c r="A71" s="116"/>
      <c r="B71" s="29"/>
      <c r="C71" s="20"/>
      <c r="D71" s="20"/>
      <c r="E71" s="179"/>
      <c r="F71" s="240"/>
      <c r="G71" s="106"/>
      <c r="H71" s="106"/>
      <c r="I71" s="180" t="str">
        <f>H71-G71</f>
        <v>0</v>
      </c>
      <c r="J71" s="106"/>
      <c r="K71" s="29"/>
      <c r="L71" s="29"/>
    </row>
    <row r="72" spans="1:1025">
      <c r="A72" s="116"/>
      <c r="B72" s="29"/>
      <c r="C72" s="20"/>
      <c r="D72" s="20"/>
      <c r="E72" s="179"/>
      <c r="F72" s="240"/>
      <c r="G72" s="106"/>
      <c r="H72" s="106"/>
      <c r="I72" s="180" t="str">
        <f>H72-G72</f>
        <v>0</v>
      </c>
      <c r="J72" s="106"/>
      <c r="K72" s="29"/>
      <c r="L72" s="29"/>
    </row>
    <row r="73" spans="1:1025">
      <c r="A73" s="116"/>
      <c r="B73" s="29"/>
      <c r="C73" s="20"/>
      <c r="D73" s="20"/>
      <c r="E73" s="104"/>
      <c r="F73" s="240"/>
      <c r="G73" s="106"/>
      <c r="H73" s="106"/>
      <c r="I73" s="107" t="str">
        <f>H73-G73</f>
        <v>0</v>
      </c>
      <c r="J73" s="106"/>
      <c r="K73" s="29"/>
      <c r="L73" s="29"/>
    </row>
    <row r="74" spans="1:1025">
      <c r="A74" s="116"/>
      <c r="B74" s="29"/>
      <c r="C74" s="20"/>
      <c r="D74" s="20"/>
      <c r="E74" s="104"/>
      <c r="F74" s="240"/>
      <c r="G74" s="106"/>
      <c r="H74" s="106"/>
      <c r="I74" s="107" t="str">
        <f>H74-G74</f>
        <v>0</v>
      </c>
      <c r="J74" s="106"/>
      <c r="K74" s="29"/>
      <c r="L74" s="29"/>
    </row>
    <row r="75" spans="1:1025">
      <c r="A75" s="116"/>
      <c r="B75" s="29"/>
      <c r="C75" s="20"/>
      <c r="D75" s="20"/>
      <c r="E75" s="104"/>
      <c r="F75" s="240"/>
      <c r="G75" s="106"/>
      <c r="H75" s="106"/>
      <c r="I75" s="107" t="str">
        <f>H75-G75</f>
        <v>0</v>
      </c>
      <c r="J75" s="106"/>
      <c r="K75" s="29"/>
      <c r="L75" s="29"/>
    </row>
    <row r="76" spans="1:1025">
      <c r="A76" s="116"/>
      <c r="B76" s="29"/>
      <c r="C76" s="20"/>
      <c r="D76" s="20"/>
      <c r="E76" s="104"/>
      <c r="F76" s="240"/>
      <c r="G76" s="106"/>
      <c r="H76" s="106"/>
      <c r="I76" s="107" t="str">
        <f>H76-G76</f>
        <v>0</v>
      </c>
      <c r="J76" s="106"/>
      <c r="K76" s="29"/>
      <c r="L76" s="29"/>
    </row>
    <row r="77" spans="1:1025">
      <c r="A77" s="116"/>
      <c r="B77" s="29"/>
      <c r="C77" s="20"/>
      <c r="D77" s="20"/>
      <c r="E77" s="104"/>
      <c r="F77" s="240"/>
      <c r="G77" s="106"/>
      <c r="H77" s="106"/>
      <c r="I77" s="107" t="str">
        <f>H77-G77</f>
        <v>0</v>
      </c>
      <c r="J77" s="106"/>
      <c r="K77" s="29"/>
      <c r="L77" s="29"/>
    </row>
    <row r="78" spans="1:1025">
      <c r="A78" s="116"/>
      <c r="B78" s="29"/>
      <c r="C78" s="20"/>
      <c r="D78" s="20"/>
      <c r="E78" s="104"/>
      <c r="F78" s="240"/>
      <c r="G78" s="106"/>
      <c r="H78" s="106"/>
      <c r="I78" s="107" t="str">
        <f>H78-G78</f>
        <v>0</v>
      </c>
      <c r="J78" s="106"/>
      <c r="K78" s="29"/>
      <c r="L78" s="29"/>
    </row>
    <row r="79" spans="1:1025">
      <c r="A79" s="116"/>
      <c r="B79" s="29"/>
      <c r="C79" s="20"/>
      <c r="D79" s="20"/>
      <c r="E79" s="104"/>
      <c r="F79" s="240"/>
      <c r="G79" s="106"/>
      <c r="H79" s="106"/>
      <c r="I79" s="107" t="str">
        <f>H79-G79</f>
        <v>0</v>
      </c>
      <c r="J79" s="106"/>
      <c r="K79" s="29"/>
      <c r="L79" s="29"/>
    </row>
    <row r="80" spans="1:1025">
      <c r="A80" s="116"/>
      <c r="B80" s="29"/>
      <c r="C80" s="20"/>
      <c r="D80" s="20"/>
      <c r="E80" s="104"/>
      <c r="F80" s="240"/>
      <c r="G80" s="106"/>
      <c r="H80" s="106"/>
      <c r="I80" s="107" t="str">
        <f>H80-G80</f>
        <v>0</v>
      </c>
      <c r="J80" s="106"/>
      <c r="K80" s="29"/>
      <c r="L80" s="29"/>
    </row>
    <row r="81" spans="1:1025">
      <c r="A81" s="116"/>
      <c r="B81" s="29"/>
      <c r="C81" s="20"/>
      <c r="D81" s="20"/>
      <c r="E81" s="104"/>
      <c r="F81" s="240"/>
      <c r="G81" s="106"/>
      <c r="H81" s="106"/>
      <c r="I81" s="107" t="str">
        <f>H81-G81</f>
        <v>0</v>
      </c>
      <c r="J81" s="106"/>
      <c r="K81" s="29"/>
      <c r="L81" s="29"/>
    </row>
    <row r="82" spans="1:1025">
      <c r="A82" s="116"/>
      <c r="B82" s="29"/>
      <c r="C82" s="20"/>
      <c r="D82" s="20"/>
      <c r="E82" s="104"/>
      <c r="F82" s="240"/>
      <c r="G82" s="106"/>
      <c r="H82" s="106"/>
      <c r="I82" s="107" t="str">
        <f>H82-G82</f>
        <v>0</v>
      </c>
      <c r="J82" s="106"/>
      <c r="K82" s="29"/>
      <c r="L82" s="29"/>
    </row>
    <row r="83" spans="1:1025">
      <c r="A83" s="116"/>
      <c r="B83" s="29"/>
      <c r="C83" s="20"/>
      <c r="D83" s="20"/>
      <c r="E83" s="104"/>
      <c r="F83" s="240"/>
      <c r="G83" s="106"/>
      <c r="H83" s="106"/>
      <c r="I83" s="107" t="str">
        <f>H83-G83</f>
        <v>0</v>
      </c>
      <c r="J83" s="106"/>
      <c r="K83" s="29"/>
      <c r="L83" s="29"/>
    </row>
    <row r="84" spans="1:1025">
      <c r="A84" s="116"/>
      <c r="B84" s="29"/>
      <c r="C84" s="20"/>
      <c r="D84" s="20"/>
      <c r="E84" s="104"/>
      <c r="F84" s="240"/>
      <c r="G84" s="106"/>
      <c r="H84" s="106"/>
      <c r="I84" s="107" t="str">
        <f>H84-G84</f>
        <v>0</v>
      </c>
      <c r="J84" s="106"/>
      <c r="K84" s="29"/>
      <c r="L84" s="29"/>
    </row>
    <row r="85" spans="1:1025">
      <c r="A85" s="116"/>
      <c r="B85" s="29"/>
      <c r="C85" s="20"/>
      <c r="D85" s="20"/>
      <c r="E85" s="104"/>
      <c r="F85" s="240"/>
      <c r="G85" s="106"/>
      <c r="H85" s="106"/>
      <c r="I85" s="107" t="str">
        <f>H85-G85</f>
        <v>0</v>
      </c>
      <c r="J85" s="106"/>
      <c r="K85" s="29"/>
      <c r="L85" s="29"/>
    </row>
    <row r="86" spans="1:1025">
      <c r="A86" s="116"/>
      <c r="B86" s="29"/>
      <c r="C86" s="20"/>
      <c r="D86" s="20"/>
      <c r="E86" s="179"/>
      <c r="F86" s="240"/>
      <c r="G86" s="106"/>
      <c r="H86" s="106"/>
      <c r="I86" s="180" t="str">
        <f>H86-G86</f>
        <v>0</v>
      </c>
      <c r="J86" s="106"/>
      <c r="K86" s="29"/>
      <c r="L86" s="29"/>
    </row>
    <row r="87" spans="1:1025">
      <c r="A87" s="116"/>
      <c r="B87" s="29"/>
      <c r="C87" s="20"/>
      <c r="D87" s="20"/>
      <c r="E87" s="179"/>
      <c r="F87" s="240"/>
      <c r="G87" s="106"/>
      <c r="H87" s="106"/>
      <c r="I87" s="180" t="str">
        <f>H87-G87</f>
        <v>0</v>
      </c>
      <c r="J87" s="106"/>
      <c r="K87" s="29"/>
      <c r="L87" s="29"/>
    </row>
    <row r="88" spans="1:1025">
      <c r="A88" s="116"/>
      <c r="B88" s="29"/>
      <c r="C88" s="20"/>
      <c r="D88" s="20"/>
      <c r="E88" s="179"/>
      <c r="F88" s="240"/>
      <c r="G88" s="106"/>
      <c r="H88" s="106"/>
      <c r="I88" s="180" t="str">
        <f>H88-G88</f>
        <v>0</v>
      </c>
      <c r="J88" s="106"/>
      <c r="K88" s="29"/>
      <c r="L88" s="29"/>
    </row>
    <row r="89" spans="1:1025">
      <c r="A89" s="116"/>
      <c r="B89" s="29"/>
      <c r="C89" s="20"/>
      <c r="D89" s="20"/>
      <c r="E89" s="179"/>
      <c r="F89" s="240"/>
      <c r="G89" s="106"/>
      <c r="H89" s="106"/>
      <c r="I89" s="180" t="str">
        <f>H89-G89</f>
        <v>0</v>
      </c>
      <c r="J89" s="106"/>
      <c r="K89" s="29"/>
      <c r="L89" s="29"/>
    </row>
    <row r="90" spans="1:1025">
      <c r="A90" s="116"/>
      <c r="B90" s="29"/>
      <c r="C90" s="20"/>
      <c r="D90" s="20"/>
      <c r="E90" s="179"/>
      <c r="F90" s="240"/>
      <c r="G90" s="106"/>
      <c r="H90" s="106"/>
      <c r="I90" s="180" t="str">
        <f>H90-G90</f>
        <v>0</v>
      </c>
      <c r="J90" s="106"/>
      <c r="K90" s="29"/>
      <c r="L90" s="29"/>
    </row>
    <row r="91" spans="1:1025">
      <c r="A91" s="116"/>
      <c r="B91" s="29"/>
      <c r="C91" s="20"/>
      <c r="D91" s="20"/>
      <c r="E91" s="179"/>
      <c r="F91" s="240"/>
      <c r="G91" s="106"/>
      <c r="H91" s="106"/>
      <c r="I91" s="180" t="str">
        <f>H91-G91</f>
        <v>0</v>
      </c>
      <c r="J91" s="106"/>
      <c r="K91" s="29"/>
      <c r="L91" s="29"/>
    </row>
    <row r="92" spans="1:1025">
      <c r="A92" s="116"/>
      <c r="B92" s="29"/>
      <c r="C92" s="20"/>
      <c r="D92" s="20"/>
      <c r="E92" s="104"/>
      <c r="F92" s="240"/>
      <c r="G92" s="106"/>
      <c r="H92" s="106"/>
      <c r="I92" s="107" t="str">
        <f>H92-G92</f>
        <v>0</v>
      </c>
      <c r="J92" s="106"/>
      <c r="K92" s="29"/>
      <c r="L92" s="29"/>
    </row>
    <row r="93" spans="1:1025">
      <c r="A93" s="116"/>
      <c r="B93" s="29"/>
      <c r="C93" s="20"/>
      <c r="D93" s="20"/>
      <c r="E93" s="104"/>
      <c r="F93" s="240"/>
      <c r="G93" s="106"/>
      <c r="H93" s="106"/>
      <c r="I93" s="107" t="str">
        <f>H93-G93</f>
        <v>0</v>
      </c>
      <c r="J93" s="106"/>
      <c r="K93" s="29"/>
      <c r="L93" s="29"/>
    </row>
    <row r="94" spans="1:1025">
      <c r="A94" s="116"/>
      <c r="B94" s="29"/>
      <c r="C94" s="20"/>
      <c r="D94" s="20"/>
      <c r="E94" s="104"/>
      <c r="F94" s="240"/>
      <c r="G94" s="106"/>
      <c r="H94" s="106"/>
      <c r="I94" s="107" t="str">
        <f>H94-G94</f>
        <v>0</v>
      </c>
      <c r="J94" s="106"/>
      <c r="K94" s="29"/>
      <c r="L94" s="29"/>
    </row>
    <row r="95" spans="1:1025">
      <c r="A95" s="116"/>
      <c r="B95" s="29"/>
      <c r="C95" s="20"/>
      <c r="D95" s="20"/>
      <c r="E95" s="104"/>
      <c r="F95" s="240"/>
      <c r="G95" s="106"/>
      <c r="H95" s="106"/>
      <c r="I95" s="107" t="str">
        <f>H95-G95</f>
        <v>0</v>
      </c>
      <c r="J95" s="106"/>
      <c r="K95" s="29"/>
      <c r="L95" s="29"/>
    </row>
    <row r="96" spans="1:1025">
      <c r="A96" s="116"/>
      <c r="B96" s="29"/>
      <c r="C96" s="20"/>
      <c r="D96" s="20"/>
      <c r="E96" s="104"/>
      <c r="F96" s="240"/>
      <c r="G96" s="106"/>
      <c r="H96" s="106"/>
      <c r="I96" s="107" t="str">
        <f>H96-G96</f>
        <v>0</v>
      </c>
      <c r="J96" s="106"/>
      <c r="K96" s="29"/>
      <c r="L96" s="29"/>
    </row>
    <row r="97" spans="1:1025">
      <c r="A97" s="116"/>
      <c r="B97" s="29"/>
      <c r="C97" s="20"/>
      <c r="D97" s="20"/>
      <c r="E97" s="104"/>
      <c r="F97" s="240"/>
      <c r="G97" s="106"/>
      <c r="H97" s="106"/>
      <c r="I97" s="107" t="str">
        <f>H97-G97</f>
        <v>0</v>
      </c>
      <c r="J97" s="106"/>
      <c r="K97" s="29"/>
      <c r="L97" s="29"/>
    </row>
    <row r="98" spans="1:1025">
      <c r="A98" s="116"/>
      <c r="B98" s="29"/>
      <c r="C98" s="20"/>
      <c r="D98" s="20"/>
      <c r="E98" s="104"/>
      <c r="F98" s="240"/>
      <c r="G98" s="106"/>
      <c r="H98" s="106"/>
      <c r="I98" s="107" t="str">
        <f>H98-G98</f>
        <v>0</v>
      </c>
      <c r="J98" s="106"/>
      <c r="K98" s="29"/>
      <c r="L98" s="29"/>
    </row>
    <row r="99" spans="1:1025">
      <c r="A99" s="116"/>
      <c r="B99" s="29"/>
      <c r="C99" s="20"/>
      <c r="D99" s="20"/>
      <c r="E99" s="104"/>
      <c r="F99" s="240"/>
      <c r="G99" s="106"/>
      <c r="H99" s="106"/>
      <c r="I99" s="107" t="str">
        <f>H99-G99</f>
        <v>0</v>
      </c>
      <c r="J99" s="106"/>
      <c r="K99" s="29"/>
      <c r="L99" s="29"/>
    </row>
    <row r="100" spans="1:1025">
      <c r="A100" s="116"/>
      <c r="B100" s="29"/>
      <c r="C100" s="20"/>
      <c r="D100" s="20"/>
      <c r="E100" s="104"/>
      <c r="F100" s="240"/>
      <c r="G100" s="106"/>
      <c r="H100" s="106"/>
      <c r="I100" s="107" t="str">
        <f>H100-G100</f>
        <v>0</v>
      </c>
      <c r="J100" s="106"/>
      <c r="K100" s="29"/>
      <c r="L100" s="29"/>
    </row>
    <row r="101" spans="1:1025">
      <c r="A101" s="116"/>
      <c r="B101" s="29"/>
      <c r="C101" s="20"/>
      <c r="D101" s="20"/>
      <c r="E101" s="104"/>
      <c r="F101" s="240"/>
      <c r="G101" s="106"/>
      <c r="H101" s="106"/>
      <c r="I101" s="107" t="str">
        <f>H101-G101</f>
        <v>0</v>
      </c>
      <c r="J101" s="106"/>
      <c r="K101" s="29"/>
      <c r="L101" s="29"/>
    </row>
    <row r="102" spans="1:1025">
      <c r="A102" s="116"/>
      <c r="B102" s="29"/>
      <c r="C102" s="20"/>
      <c r="D102" s="20"/>
      <c r="E102" s="104"/>
      <c r="F102" s="240"/>
      <c r="G102" s="106"/>
      <c r="H102" s="106"/>
      <c r="I102" s="107" t="str">
        <f>H102-G102</f>
        <v>0</v>
      </c>
      <c r="J102" s="106"/>
      <c r="K102" s="29"/>
      <c r="L102" s="29"/>
    </row>
    <row r="103" spans="1:1025" customHeight="1" ht="15.95">
      <c r="A103" s="116"/>
      <c r="B103" s="29"/>
      <c r="C103" s="20"/>
      <c r="D103" s="20"/>
      <c r="E103" s="104"/>
      <c r="F103" s="240"/>
      <c r="G103" s="106"/>
      <c r="H103" s="106"/>
      <c r="I103" s="107" t="str">
        <f>H103-G103</f>
        <v>0</v>
      </c>
      <c r="J103" s="106"/>
      <c r="K103" s="29"/>
      <c r="L103" s="29"/>
    </row>
    <row r="104" spans="1:1025" customHeight="1" ht="15.95">
      <c r="A104" s="116"/>
      <c r="B104" s="29"/>
      <c r="C104" s="20"/>
      <c r="D104" s="20"/>
      <c r="E104" s="104"/>
      <c r="F104" s="240"/>
      <c r="G104" s="106"/>
      <c r="H104" s="106"/>
      <c r="I104" s="107" t="str">
        <f>H104-G104</f>
        <v>0</v>
      </c>
      <c r="J104" s="106"/>
      <c r="K104" s="29"/>
      <c r="L104" s="29"/>
    </row>
    <row r="105" spans="1:1025">
      <c r="A105" s="116"/>
      <c r="B105" s="29"/>
      <c r="C105" s="20"/>
      <c r="D105" s="20"/>
      <c r="E105" s="104"/>
      <c r="F105" s="240"/>
      <c r="G105" s="106"/>
      <c r="H105" s="106"/>
      <c r="I105" s="107" t="str">
        <f>H105-G105</f>
        <v>0</v>
      </c>
      <c r="J105" s="106"/>
      <c r="K105" s="29"/>
      <c r="L105" s="29"/>
    </row>
    <row r="106" spans="1:1025">
      <c r="A106" s="116"/>
      <c r="B106" s="29"/>
      <c r="C106" s="20"/>
      <c r="D106" s="20"/>
      <c r="E106" s="104"/>
      <c r="F106" s="240"/>
      <c r="G106" s="106"/>
      <c r="H106" s="106"/>
      <c r="I106" s="107" t="str">
        <f>H106-G106</f>
        <v>0</v>
      </c>
      <c r="J106" s="106"/>
      <c r="K106" s="29"/>
      <c r="L106" s="29"/>
    </row>
    <row r="107" spans="1:1025">
      <c r="A107" s="116"/>
      <c r="B107" s="29"/>
      <c r="C107" s="20"/>
      <c r="D107" s="20"/>
      <c r="E107" s="104"/>
      <c r="F107" s="240"/>
      <c r="G107" s="106"/>
      <c r="H107" s="106"/>
      <c r="I107" s="107" t="str">
        <f>H107-G107</f>
        <v>0</v>
      </c>
      <c r="J107" s="106"/>
      <c r="K107" s="29"/>
      <c r="L107" s="29"/>
    </row>
    <row r="108" spans="1:1025">
      <c r="A108" s="116"/>
      <c r="B108" s="29"/>
      <c r="C108" s="20"/>
      <c r="D108" s="20"/>
      <c r="E108" s="104"/>
      <c r="F108" s="240"/>
      <c r="G108" s="106"/>
      <c r="H108" s="106"/>
      <c r="I108" s="107" t="str">
        <f>H108-G108</f>
        <v>0</v>
      </c>
      <c r="J108" s="106"/>
      <c r="K108" s="29"/>
      <c r="L108" s="29"/>
    </row>
    <row r="109" spans="1:1025">
      <c r="A109" s="116"/>
      <c r="B109" s="29"/>
      <c r="C109" s="20"/>
      <c r="D109" s="20"/>
      <c r="E109" s="104"/>
      <c r="F109" s="240"/>
      <c r="G109" s="106"/>
      <c r="H109" s="106"/>
      <c r="I109" s="107" t="str">
        <f>H109-G109</f>
        <v>0</v>
      </c>
      <c r="J109" s="106"/>
      <c r="K109" s="29"/>
      <c r="L109" s="29"/>
    </row>
    <row r="110" spans="1:1025">
      <c r="A110" s="116"/>
      <c r="B110" s="29"/>
      <c r="C110" s="20"/>
      <c r="D110" s="20"/>
      <c r="E110" s="104"/>
      <c r="F110" s="240"/>
      <c r="G110" s="106"/>
      <c r="H110" s="106"/>
      <c r="I110" s="107" t="str">
        <f>H110-G110</f>
        <v>0</v>
      </c>
      <c r="J110" s="106"/>
      <c r="K110" s="29"/>
      <c r="L110" s="29"/>
    </row>
    <row r="111" spans="1:1025">
      <c r="A111" s="116"/>
      <c r="B111" s="29"/>
      <c r="C111" s="20"/>
      <c r="D111" s="20"/>
      <c r="E111" s="104"/>
      <c r="F111" s="240"/>
      <c r="G111" s="106"/>
      <c r="H111" s="106"/>
      <c r="I111" s="107" t="str">
        <f>H111-G111</f>
        <v>0</v>
      </c>
      <c r="J111" s="106"/>
      <c r="K111" s="29"/>
      <c r="L111" s="29"/>
    </row>
    <row r="112" spans="1:1025">
      <c r="A112" s="116"/>
      <c r="B112" s="29"/>
      <c r="C112" s="20"/>
      <c r="D112" s="20"/>
      <c r="E112" s="104"/>
      <c r="F112" s="240"/>
      <c r="G112" s="106"/>
      <c r="H112" s="106"/>
      <c r="I112" s="107" t="str">
        <f>H112-G112</f>
        <v>0</v>
      </c>
      <c r="J112" s="106"/>
      <c r="K112" s="29"/>
      <c r="L112" s="29"/>
    </row>
    <row r="113" spans="1:1025">
      <c r="A113" s="116"/>
      <c r="B113" s="29"/>
      <c r="C113" s="20"/>
      <c r="D113" s="20"/>
      <c r="E113" s="104"/>
      <c r="F113" s="240"/>
      <c r="G113" s="106"/>
      <c r="H113" s="106"/>
      <c r="I113" s="107" t="str">
        <f>H113-G113</f>
        <v>0</v>
      </c>
      <c r="J113" s="106"/>
      <c r="K113" s="29"/>
      <c r="L113" s="29"/>
    </row>
    <row r="114" spans="1:1025" customHeight="1" ht="15.75">
      <c r="A114" s="118"/>
      <c r="B114" s="109"/>
      <c r="C114" s="54"/>
      <c r="D114" s="110"/>
      <c r="E114" s="111"/>
      <c r="F114" s="241"/>
      <c r="G114" s="113"/>
      <c r="H114" s="113"/>
      <c r="I114" s="119" t="str">
        <f>H114-G114</f>
        <v>0</v>
      </c>
      <c r="J114" s="113"/>
      <c r="K114" s="113"/>
      <c r="L114" s="113"/>
    </row>
    <row r="115" spans="1:1025" customHeight="1" ht="15.75">
      <c r="I115" s="115" t="str">
        <f>SUM(I2:I114)</f>
        <v>0</v>
      </c>
      <c r="J115" s="115" t="str">
        <f>SUM(J2:J114)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A1" location="Seznam!A1"/>
  </hyperlinks>
  <printOptions gridLines="false" gridLinesSet="true"/>
  <pageMargins left="0.25" right="0.25" top="0.75" bottom="0.75" header="0.51180555555555" footer="0.3"/>
  <pageSetup paperSize="1" orientation="portrait" scale="100" fitToHeight="1" fitToWidth="1"/>
  <headerFooter differentOddEven="false" differentFirst="false" scaleWithDoc="true" alignWithMargins="true">
    <oddHeader/>
    <oddFooter>&amp;Ldatum:      30.3.2014
vystavila: Ing. Marie Gottwaldová&amp;Ckancelar@adminreal.cz
mobil: 607 959 876&amp;Rwww.onlinesprava.cz</oddFooter>
    <evenHeader/>
    <evenFooter/>
    <firstHeader/>
    <firstFooter/>
  </headerFooter>
  <legacyDrawing r:id="rId_comments_vml1"/>
</worksheet>
</file>

<file path=xl/worksheets/sheet2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MK104"/>
  <sheetViews>
    <sheetView tabSelected="0" workbookViewId="0" zoomScale="115" zoomScaleNormal="115" showGridLines="true" showRowColHeaders="1">
      <selection activeCell="A1" sqref="A1"/>
    </sheetView>
  </sheetViews>
  <sheetFormatPr defaultRowHeight="14.4" defaultColWidth="9.1328125" outlineLevelRow="0" outlineLevelCol="0"/>
  <cols>
    <col min="1" max="1" width="21.59765625" customWidth="true" style="27"/>
    <col min="2" max="2" width="18.3984375" customWidth="true" style="2"/>
    <col min="3" max="3" width="7.1328125" customWidth="true" style="2"/>
    <col min="4" max="4" width="10" customWidth="true" style="2"/>
    <col min="5" max="5" width="13.59765625" customWidth="true" style="2"/>
    <col min="6" max="6" width="9" customWidth="true" style="242"/>
    <col min="7" max="7" width="20" customWidth="true" style="114"/>
    <col min="8" max="8" width="20" customWidth="true" style="114"/>
    <col min="9" max="9" width="19.3984375" customWidth="true" style="2"/>
    <col min="10" max="10" width="18" customWidth="true" style="2"/>
    <col min="11" max="11" width="22.3984375" customWidth="true" style="5"/>
    <col min="12" max="12" width="18" customWidth="true" style="2"/>
    <col min="13" max="13" width="18" customWidth="true" style="2"/>
    <col min="14" max="14" width="18" customWidth="true" style="2"/>
    <col min="15" max="15" width="18" customWidth="true" style="2"/>
    <col min="16" max="16" width="18" customWidth="true" style="2"/>
    <col min="17" max="17" width="18" customWidth="true" style="2"/>
    <col min="18" max="18" width="18" customWidth="true" style="2"/>
    <col min="19" max="19" width="18" customWidth="true" style="2"/>
    <col min="20" max="20" width="18" customWidth="true" style="2"/>
    <col min="21" max="21" width="18" customWidth="true" style="2"/>
    <col min="22" max="22" width="18" customWidth="true" style="2"/>
    <col min="23" max="23" width="18" customWidth="true" style="2"/>
    <col min="24" max="24" width="18" customWidth="true" style="2"/>
    <col min="25" max="25" width="18" customWidth="true" style="2"/>
    <col min="26" max="26" width="18" customWidth="true" style="2"/>
    <col min="27" max="27" width="18" customWidth="true" style="2"/>
    <col min="28" max="28" width="18" customWidth="true" style="2"/>
    <col min="29" max="29" width="18" customWidth="true" style="2"/>
    <col min="30" max="30" width="18" customWidth="true" style="2"/>
    <col min="31" max="31" width="18" customWidth="true" style="2"/>
    <col min="32" max="32" width="18" customWidth="true" style="2"/>
    <col min="33" max="33" width="18" customWidth="true" style="2"/>
    <col min="34" max="34" width="18" customWidth="true" style="2"/>
    <col min="35" max="35" width="18" customWidth="true" style="2"/>
    <col min="36" max="36" width="18" customWidth="true" style="2"/>
    <col min="37" max="37" width="18" customWidth="true" style="2"/>
    <col min="38" max="38" width="18" customWidth="true" style="2"/>
    <col min="39" max="39" width="18" customWidth="true" style="2"/>
    <col min="40" max="40" width="18" customWidth="true" style="2"/>
    <col min="41" max="41" width="18" customWidth="true" style="2"/>
    <col min="42" max="42" width="18" customWidth="true" style="2"/>
    <col min="43" max="43" width="18" customWidth="true" style="2"/>
    <col min="44" max="44" width="18" customWidth="true" style="2"/>
    <col min="45" max="45" width="18" customWidth="true" style="2"/>
    <col min="46" max="46" width="18" customWidth="true" style="2"/>
    <col min="47" max="47" width="18" customWidth="true" style="2"/>
    <col min="48" max="48" width="18" customWidth="true" style="2"/>
    <col min="49" max="49" width="18" customWidth="true" style="2"/>
    <col min="50" max="50" width="18" customWidth="true" style="2"/>
    <col min="51" max="51" width="18" customWidth="true" style="2"/>
    <col min="52" max="52" width="18" customWidth="true" style="2"/>
    <col min="53" max="53" width="18" customWidth="true" style="2"/>
    <col min="54" max="54" width="18" customWidth="true" style="2"/>
    <col min="55" max="55" width="18" customWidth="true" style="2"/>
    <col min="56" max="56" width="18" customWidth="true" style="2"/>
    <col min="57" max="57" width="18" customWidth="true" style="2"/>
    <col min="58" max="58" width="18" customWidth="true" style="2"/>
    <col min="59" max="59" width="18" customWidth="true" style="2"/>
    <col min="60" max="60" width="18" customWidth="true" style="2"/>
    <col min="61" max="61" width="18" customWidth="true" style="2"/>
    <col min="62" max="62" width="18" customWidth="true" style="2"/>
    <col min="63" max="63" width="18" customWidth="true" style="2"/>
    <col min="64" max="64" width="18" customWidth="true" style="2"/>
    <col min="65" max="65" width="18" customWidth="true" style="2"/>
    <col min="66" max="66" width="18" customWidth="true" style="2"/>
    <col min="67" max="67" width="18" customWidth="true" style="2"/>
    <col min="68" max="68" width="18" customWidth="true" style="2"/>
    <col min="69" max="69" width="18" customWidth="true" style="2"/>
    <col min="70" max="70" width="18" customWidth="true" style="2"/>
    <col min="71" max="71" width="18" customWidth="true" style="2"/>
    <col min="72" max="72" width="18" customWidth="true" style="2"/>
    <col min="73" max="73" width="18" customWidth="true" style="2"/>
    <col min="74" max="74" width="18" customWidth="true" style="2"/>
    <col min="75" max="75" width="18" customWidth="true" style="2"/>
    <col min="76" max="76" width="18" customWidth="true" style="2"/>
    <col min="77" max="77" width="18" customWidth="true" style="2"/>
    <col min="78" max="78" width="18" customWidth="true" style="2"/>
    <col min="79" max="79" width="18" customWidth="true" style="2"/>
    <col min="80" max="80" width="18" customWidth="true" style="2"/>
    <col min="81" max="81" width="18" customWidth="true" style="2"/>
    <col min="82" max="82" width="18" customWidth="true" style="2"/>
    <col min="83" max="83" width="18" customWidth="true" style="2"/>
    <col min="84" max="84" width="18" customWidth="true" style="2"/>
    <col min="85" max="85" width="18" customWidth="true" style="2"/>
    <col min="86" max="86" width="18" customWidth="true" style="2"/>
    <col min="87" max="87" width="18" customWidth="true" style="2"/>
    <col min="88" max="88" width="18" customWidth="true" style="2"/>
    <col min="89" max="89" width="18" customWidth="true" style="2"/>
    <col min="90" max="90" width="18" customWidth="true" style="2"/>
    <col min="91" max="91" width="18" customWidth="true" style="2"/>
    <col min="92" max="92" width="18" customWidth="true" style="2"/>
    <col min="93" max="93" width="18" customWidth="true" style="2"/>
    <col min="94" max="94" width="18" customWidth="true" style="2"/>
    <col min="95" max="95" width="18" customWidth="true" style="2"/>
    <col min="96" max="96" width="18" customWidth="true" style="2"/>
    <col min="97" max="97" width="18" customWidth="true" style="2"/>
    <col min="98" max="98" width="18" customWidth="true" style="2"/>
    <col min="99" max="99" width="18" customWidth="true" style="2"/>
    <col min="100" max="100" width="18" customWidth="true" style="2"/>
    <col min="101" max="101" width="18" customWidth="true" style="2"/>
    <col min="102" max="102" width="18" customWidth="true" style="2"/>
    <col min="103" max="103" width="18" customWidth="true" style="2"/>
    <col min="104" max="104" width="18" customWidth="true" style="2"/>
    <col min="105" max="105" width="18" customWidth="true" style="2"/>
    <col min="106" max="106" width="18" customWidth="true" style="2"/>
    <col min="107" max="107" width="18" customWidth="true" style="2"/>
    <col min="108" max="108" width="18" customWidth="true" style="2"/>
    <col min="109" max="109" width="18" customWidth="true" style="2"/>
    <col min="110" max="110" width="18" customWidth="true" style="2"/>
    <col min="111" max="111" width="18" customWidth="true" style="2"/>
    <col min="112" max="112" width="18" customWidth="true" style="2"/>
    <col min="113" max="113" width="18" customWidth="true" style="2"/>
    <col min="114" max="114" width="18" customWidth="true" style="2"/>
    <col min="115" max="115" width="18" customWidth="true" style="2"/>
    <col min="116" max="116" width="18" customWidth="true" style="2"/>
    <col min="117" max="117" width="18" customWidth="true" style="2"/>
    <col min="118" max="118" width="18" customWidth="true" style="2"/>
    <col min="119" max="119" width="18" customWidth="true" style="2"/>
    <col min="120" max="120" width="18" customWidth="true" style="2"/>
    <col min="121" max="121" width="18" customWidth="true" style="2"/>
    <col min="122" max="122" width="18" customWidth="true" style="2"/>
    <col min="123" max="123" width="18" customWidth="true" style="2"/>
    <col min="124" max="124" width="18" customWidth="true" style="2"/>
    <col min="125" max="125" width="18" customWidth="true" style="2"/>
    <col min="126" max="126" width="18" customWidth="true" style="2"/>
    <col min="127" max="127" width="18" customWidth="true" style="2"/>
    <col min="128" max="128" width="18" customWidth="true" style="2"/>
    <col min="129" max="129" width="18" customWidth="true" style="2"/>
    <col min="130" max="130" width="18" customWidth="true" style="2"/>
    <col min="131" max="131" width="18" customWidth="true" style="2"/>
    <col min="132" max="132" width="18" customWidth="true" style="2"/>
    <col min="133" max="133" width="18" customWidth="true" style="2"/>
    <col min="134" max="134" width="18" customWidth="true" style="2"/>
    <col min="135" max="135" width="18" customWidth="true" style="2"/>
    <col min="136" max="136" width="18" customWidth="true" style="2"/>
    <col min="137" max="137" width="18" customWidth="true" style="2"/>
    <col min="138" max="138" width="18" customWidth="true" style="2"/>
    <col min="139" max="139" width="18" customWidth="true" style="2"/>
    <col min="140" max="140" width="18" customWidth="true" style="2"/>
    <col min="141" max="141" width="18" customWidth="true" style="2"/>
    <col min="142" max="142" width="18" customWidth="true" style="2"/>
    <col min="143" max="143" width="18" customWidth="true" style="2"/>
    <col min="144" max="144" width="18" customWidth="true" style="2"/>
    <col min="145" max="145" width="18" customWidth="true" style="2"/>
    <col min="146" max="146" width="18" customWidth="true" style="2"/>
    <col min="147" max="147" width="18" customWidth="true" style="2"/>
    <col min="148" max="148" width="18" customWidth="true" style="2"/>
    <col min="149" max="149" width="18" customWidth="true" style="2"/>
    <col min="150" max="150" width="18" customWidth="true" style="2"/>
    <col min="151" max="151" width="18" customWidth="true" style="2"/>
    <col min="152" max="152" width="18" customWidth="true" style="2"/>
    <col min="153" max="153" width="18" customWidth="true" style="2"/>
    <col min="154" max="154" width="18" customWidth="true" style="2"/>
    <col min="155" max="155" width="18" customWidth="true" style="2"/>
    <col min="156" max="156" width="18" customWidth="true" style="2"/>
    <col min="157" max="157" width="18" customWidth="true" style="2"/>
    <col min="158" max="158" width="18" customWidth="true" style="2"/>
    <col min="159" max="159" width="18" customWidth="true" style="2"/>
    <col min="160" max="160" width="18" customWidth="true" style="2"/>
    <col min="161" max="161" width="18" customWidth="true" style="2"/>
    <col min="162" max="162" width="18" customWidth="true" style="2"/>
    <col min="163" max="163" width="18" customWidth="true" style="2"/>
    <col min="164" max="164" width="18" customWidth="true" style="2"/>
    <col min="165" max="165" width="18" customWidth="true" style="2"/>
    <col min="166" max="166" width="18" customWidth="true" style="2"/>
    <col min="167" max="167" width="18" customWidth="true" style="2"/>
    <col min="168" max="168" width="18" customWidth="true" style="2"/>
    <col min="169" max="169" width="18" customWidth="true" style="2"/>
    <col min="170" max="170" width="18" customWidth="true" style="2"/>
    <col min="171" max="171" width="18" customWidth="true" style="2"/>
    <col min="172" max="172" width="18" customWidth="true" style="2"/>
    <col min="173" max="173" width="18" customWidth="true" style="2"/>
    <col min="174" max="174" width="18" customWidth="true" style="2"/>
    <col min="175" max="175" width="18" customWidth="true" style="2"/>
    <col min="176" max="176" width="18" customWidth="true" style="2"/>
    <col min="177" max="177" width="18" customWidth="true" style="2"/>
    <col min="178" max="178" width="18" customWidth="true" style="2"/>
    <col min="179" max="179" width="18" customWidth="true" style="2"/>
    <col min="180" max="180" width="18" customWidth="true" style="2"/>
    <col min="181" max="181" width="18" customWidth="true" style="2"/>
    <col min="182" max="182" width="18" customWidth="true" style="2"/>
    <col min="183" max="183" width="18" customWidth="true" style="2"/>
    <col min="184" max="184" width="18" customWidth="true" style="2"/>
    <col min="185" max="185" width="18" customWidth="true" style="2"/>
    <col min="186" max="186" width="18" customWidth="true" style="2"/>
    <col min="187" max="187" width="18" customWidth="true" style="2"/>
    <col min="188" max="188" width="18" customWidth="true" style="2"/>
    <col min="189" max="189" width="18" customWidth="true" style="2"/>
    <col min="190" max="190" width="18" customWidth="true" style="2"/>
    <col min="191" max="191" width="18" customWidth="true" style="2"/>
    <col min="192" max="192" width="18" customWidth="true" style="2"/>
    <col min="193" max="193" width="18" customWidth="true" style="2"/>
    <col min="194" max="194" width="18" customWidth="true" style="2"/>
    <col min="195" max="195" width="18" customWidth="true" style="2"/>
    <col min="196" max="196" width="18" customWidth="true" style="2"/>
    <col min="197" max="197" width="18" customWidth="true" style="2"/>
    <col min="198" max="198" width="18" customWidth="true" style="2"/>
    <col min="199" max="199" width="18" customWidth="true" style="2"/>
    <col min="200" max="200" width="18" customWidth="true" style="2"/>
    <col min="201" max="201" width="18" customWidth="true" style="2"/>
    <col min="202" max="202" width="18" customWidth="true" style="2"/>
    <col min="203" max="203" width="18" customWidth="true" style="2"/>
    <col min="204" max="204" width="18" customWidth="true" style="2"/>
    <col min="205" max="205" width="18" customWidth="true" style="2"/>
    <col min="206" max="206" width="18" customWidth="true" style="2"/>
    <col min="207" max="207" width="18" customWidth="true" style="2"/>
    <col min="208" max="208" width="18" customWidth="true" style="2"/>
    <col min="209" max="209" width="18" customWidth="true" style="2"/>
    <col min="210" max="210" width="18" customWidth="true" style="2"/>
    <col min="211" max="211" width="18" customWidth="true" style="2"/>
    <col min="212" max="212" width="18" customWidth="true" style="2"/>
    <col min="213" max="213" width="18" customWidth="true" style="2"/>
    <col min="214" max="214" width="18" customWidth="true" style="2"/>
    <col min="215" max="215" width="18" customWidth="true" style="2"/>
    <col min="216" max="216" width="18" customWidth="true" style="2"/>
    <col min="217" max="217" width="18" customWidth="true" style="2"/>
    <col min="218" max="218" width="18" customWidth="true" style="2"/>
    <col min="219" max="219" width="18" customWidth="true" style="2"/>
    <col min="220" max="220" width="18" customWidth="true" style="2"/>
    <col min="221" max="221" width="18" customWidth="true" style="2"/>
    <col min="222" max="222" width="18" customWidth="true" style="2"/>
    <col min="223" max="223" width="18" customWidth="true" style="2"/>
    <col min="224" max="224" width="18" customWidth="true" style="2"/>
    <col min="225" max="225" width="18" customWidth="true" style="2"/>
    <col min="226" max="226" width="18" customWidth="true" style="2"/>
    <col min="227" max="227" width="18" customWidth="true" style="2"/>
    <col min="228" max="228" width="18" customWidth="true" style="2"/>
    <col min="229" max="229" width="18" customWidth="true" style="2"/>
    <col min="230" max="230" width="18" customWidth="true" style="2"/>
    <col min="231" max="231" width="18" customWidth="true" style="2"/>
    <col min="232" max="232" width="18" customWidth="true" style="2"/>
    <col min="233" max="233" width="18" customWidth="true" style="2"/>
    <col min="234" max="234" width="18" customWidth="true" style="2"/>
    <col min="235" max="235" width="18" customWidth="true" style="2"/>
    <col min="236" max="236" width="18" customWidth="true" style="2"/>
    <col min="237" max="237" width="18" customWidth="true" style="2"/>
    <col min="238" max="238" width="18" customWidth="true" style="2"/>
    <col min="239" max="239" width="18" customWidth="true" style="2"/>
    <col min="240" max="240" width="18" customWidth="true" style="2"/>
    <col min="241" max="241" width="18" customWidth="true" style="2"/>
    <col min="242" max="242" width="18" customWidth="true" style="2"/>
    <col min="243" max="243" width="18" customWidth="true" style="2"/>
    <col min="244" max="244" width="18" customWidth="true" style="2"/>
    <col min="245" max="245" width="18" customWidth="true" style="2"/>
    <col min="246" max="246" width="18" customWidth="true" style="2"/>
    <col min="247" max="247" width="18" customWidth="true" style="2"/>
    <col min="248" max="248" width="18" customWidth="true" style="2"/>
    <col min="249" max="249" width="18" customWidth="true" style="2"/>
    <col min="250" max="250" width="18" customWidth="true" style="2"/>
    <col min="251" max="251" width="18" customWidth="true" style="2"/>
    <col min="252" max="252" width="18" customWidth="true" style="2"/>
    <col min="253" max="253" width="18" customWidth="true" style="2"/>
    <col min="254" max="254" width="18" customWidth="true" style="2"/>
    <col min="255" max="255" width="18" customWidth="true" style="2"/>
    <col min="256" max="256" width="18" customWidth="true" style="2"/>
    <col min="257" max="257" width="18" customWidth="true" style="2"/>
    <col min="258" max="258" width="18" customWidth="true" style="2"/>
    <col min="259" max="259" width="18" customWidth="true" style="2"/>
    <col min="260" max="260" width="18" customWidth="true" style="2"/>
    <col min="261" max="261" width="18" customWidth="true" style="2"/>
    <col min="262" max="262" width="18" customWidth="true" style="2"/>
    <col min="263" max="263" width="18" customWidth="true" style="2"/>
    <col min="264" max="264" width="18" customWidth="true" style="2"/>
    <col min="265" max="265" width="18" customWidth="true" style="2"/>
    <col min="266" max="266" width="18" customWidth="true" style="2"/>
    <col min="267" max="267" width="18" customWidth="true" style="2"/>
    <col min="268" max="268" width="18" customWidth="true" style="2"/>
    <col min="269" max="269" width="18" customWidth="true" style="2"/>
    <col min="270" max="270" width="18" customWidth="true" style="2"/>
    <col min="271" max="271" width="18" customWidth="true" style="2"/>
    <col min="272" max="272" width="18" customWidth="true" style="2"/>
    <col min="273" max="273" width="18" customWidth="true" style="2"/>
    <col min="274" max="274" width="18" customWidth="true" style="2"/>
    <col min="275" max="275" width="18" customWidth="true" style="2"/>
    <col min="276" max="276" width="18" customWidth="true" style="2"/>
    <col min="277" max="277" width="18" customWidth="true" style="2"/>
    <col min="278" max="278" width="18" customWidth="true" style="2"/>
    <col min="279" max="279" width="18" customWidth="true" style="2"/>
    <col min="280" max="280" width="18" customWidth="true" style="2"/>
    <col min="281" max="281" width="18" customWidth="true" style="2"/>
    <col min="282" max="282" width="18" customWidth="true" style="2"/>
    <col min="283" max="283" width="18" customWidth="true" style="2"/>
    <col min="284" max="284" width="18" customWidth="true" style="2"/>
    <col min="285" max="285" width="18" customWidth="true" style="2"/>
    <col min="286" max="286" width="18" customWidth="true" style="2"/>
    <col min="287" max="287" width="18" customWidth="true" style="2"/>
    <col min="288" max="288" width="18" customWidth="true" style="2"/>
    <col min="289" max="289" width="18" customWidth="true" style="2"/>
    <col min="290" max="290" width="18" customWidth="true" style="2"/>
    <col min="291" max="291" width="18" customWidth="true" style="2"/>
    <col min="292" max="292" width="18" customWidth="true" style="2"/>
    <col min="293" max="293" width="18" customWidth="true" style="2"/>
    <col min="294" max="294" width="18" customWidth="true" style="2"/>
    <col min="295" max="295" width="18" customWidth="true" style="2"/>
    <col min="296" max="296" width="18" customWidth="true" style="2"/>
    <col min="297" max="297" width="18" customWidth="true" style="2"/>
    <col min="298" max="298" width="18" customWidth="true" style="2"/>
    <col min="299" max="299" width="18" customWidth="true" style="2"/>
    <col min="300" max="300" width="18" customWidth="true" style="2"/>
    <col min="301" max="301" width="18" customWidth="true" style="2"/>
    <col min="302" max="302" width="18" customWidth="true" style="2"/>
    <col min="303" max="303" width="18" customWidth="true" style="2"/>
    <col min="304" max="304" width="18" customWidth="true" style="2"/>
    <col min="305" max="305" width="18" customWidth="true" style="2"/>
    <col min="306" max="306" width="18" customWidth="true" style="2"/>
    <col min="307" max="307" width="18" customWidth="true" style="2"/>
    <col min="308" max="308" width="18" customWidth="true" style="2"/>
    <col min="309" max="309" width="18" customWidth="true" style="2"/>
    <col min="310" max="310" width="18" customWidth="true" style="2"/>
    <col min="311" max="311" width="18" customWidth="true" style="2"/>
    <col min="312" max="312" width="18" customWidth="true" style="2"/>
    <col min="313" max="313" width="18" customWidth="true" style="2"/>
    <col min="314" max="314" width="18" customWidth="true" style="2"/>
    <col min="315" max="315" width="18" customWidth="true" style="2"/>
    <col min="316" max="316" width="18" customWidth="true" style="2"/>
    <col min="317" max="317" width="18" customWidth="true" style="2"/>
    <col min="318" max="318" width="18" customWidth="true" style="2"/>
    <col min="319" max="319" width="18" customWidth="true" style="2"/>
    <col min="320" max="320" width="18" customWidth="true" style="2"/>
    <col min="321" max="321" width="18" customWidth="true" style="2"/>
    <col min="322" max="322" width="18" customWidth="true" style="2"/>
    <col min="323" max="323" width="18" customWidth="true" style="2"/>
    <col min="324" max="324" width="18" customWidth="true" style="2"/>
    <col min="325" max="325" width="18" customWidth="true" style="2"/>
    <col min="326" max="326" width="18" customWidth="true" style="2"/>
    <col min="327" max="327" width="18" customWidth="true" style="2"/>
    <col min="328" max="328" width="18" customWidth="true" style="2"/>
    <col min="329" max="329" width="18" customWidth="true" style="2"/>
    <col min="330" max="330" width="18" customWidth="true" style="2"/>
    <col min="331" max="331" width="18" customWidth="true" style="2"/>
    <col min="332" max="332" width="18" customWidth="true" style="2"/>
    <col min="333" max="333" width="18" customWidth="true" style="2"/>
    <col min="334" max="334" width="18" customWidth="true" style="2"/>
    <col min="335" max="335" width="18" customWidth="true" style="2"/>
    <col min="336" max="336" width="18" customWidth="true" style="2"/>
    <col min="337" max="337" width="18" customWidth="true" style="2"/>
    <col min="338" max="338" width="18" customWidth="true" style="2"/>
    <col min="339" max="339" width="18" customWidth="true" style="2"/>
    <col min="340" max="340" width="18" customWidth="true" style="2"/>
    <col min="341" max="341" width="18" customWidth="true" style="2"/>
    <col min="342" max="342" width="18" customWidth="true" style="2"/>
    <col min="343" max="343" width="18" customWidth="true" style="2"/>
    <col min="344" max="344" width="18" customWidth="true" style="2"/>
    <col min="345" max="345" width="18" customWidth="true" style="2"/>
    <col min="346" max="346" width="18" customWidth="true" style="2"/>
    <col min="347" max="347" width="18" customWidth="true" style="2"/>
    <col min="348" max="348" width="18" customWidth="true" style="2"/>
    <col min="349" max="349" width="18" customWidth="true" style="2"/>
    <col min="350" max="350" width="18" customWidth="true" style="2"/>
    <col min="351" max="351" width="18" customWidth="true" style="2"/>
    <col min="352" max="352" width="18" customWidth="true" style="2"/>
    <col min="353" max="353" width="18" customWidth="true" style="2"/>
    <col min="354" max="354" width="18" customWidth="true" style="2"/>
    <col min="355" max="355" width="18" customWidth="true" style="2"/>
    <col min="356" max="356" width="18" customWidth="true" style="2"/>
    <col min="357" max="357" width="18" customWidth="true" style="2"/>
    <col min="358" max="358" width="18" customWidth="true" style="2"/>
    <col min="359" max="359" width="18" customWidth="true" style="2"/>
    <col min="360" max="360" width="18" customWidth="true" style="2"/>
    <col min="361" max="361" width="18" customWidth="true" style="2"/>
    <col min="362" max="362" width="18" customWidth="true" style="2"/>
    <col min="363" max="363" width="18" customWidth="true" style="2"/>
    <col min="364" max="364" width="18" customWidth="true" style="2"/>
    <col min="365" max="365" width="18" customWidth="true" style="2"/>
    <col min="366" max="366" width="18" customWidth="true" style="2"/>
    <col min="367" max="367" width="18" customWidth="true" style="2"/>
    <col min="368" max="368" width="18" customWidth="true" style="2"/>
    <col min="369" max="369" width="18" customWidth="true" style="2"/>
    <col min="370" max="370" width="18" customWidth="true" style="2"/>
    <col min="371" max="371" width="18" customWidth="true" style="2"/>
    <col min="372" max="372" width="18" customWidth="true" style="2"/>
    <col min="373" max="373" width="18" customWidth="true" style="2"/>
    <col min="374" max="374" width="18" customWidth="true" style="2"/>
    <col min="375" max="375" width="18" customWidth="true" style="2"/>
    <col min="376" max="376" width="18" customWidth="true" style="2"/>
    <col min="377" max="377" width="18" customWidth="true" style="2"/>
    <col min="378" max="378" width="18" customWidth="true" style="2"/>
    <col min="379" max="379" width="18" customWidth="true" style="2"/>
    <col min="380" max="380" width="18" customWidth="true" style="2"/>
    <col min="381" max="381" width="18" customWidth="true" style="2"/>
    <col min="382" max="382" width="18" customWidth="true" style="2"/>
    <col min="383" max="383" width="18" customWidth="true" style="2"/>
    <col min="384" max="384" width="18" customWidth="true" style="2"/>
    <col min="385" max="385" width="18" customWidth="true" style="2"/>
    <col min="386" max="386" width="18" customWidth="true" style="2"/>
    <col min="387" max="387" width="18" customWidth="true" style="2"/>
    <col min="388" max="388" width="18" customWidth="true" style="2"/>
    <col min="389" max="389" width="18" customWidth="true" style="2"/>
    <col min="390" max="390" width="18" customWidth="true" style="2"/>
    <col min="391" max="391" width="18" customWidth="true" style="2"/>
    <col min="392" max="392" width="18" customWidth="true" style="2"/>
    <col min="393" max="393" width="18" customWidth="true" style="2"/>
    <col min="394" max="394" width="18" customWidth="true" style="2"/>
    <col min="395" max="395" width="18" customWidth="true" style="2"/>
    <col min="396" max="396" width="18" customWidth="true" style="2"/>
    <col min="397" max="397" width="18" customWidth="true" style="2"/>
    <col min="398" max="398" width="18" customWidth="true" style="2"/>
    <col min="399" max="399" width="18" customWidth="true" style="2"/>
    <col min="400" max="400" width="18" customWidth="true" style="2"/>
    <col min="401" max="401" width="18" customWidth="true" style="2"/>
    <col min="402" max="402" width="18" customWidth="true" style="2"/>
    <col min="403" max="403" width="18" customWidth="true" style="2"/>
    <col min="404" max="404" width="18" customWidth="true" style="2"/>
    <col min="405" max="405" width="18" customWidth="true" style="2"/>
    <col min="406" max="406" width="18" customWidth="true" style="2"/>
    <col min="407" max="407" width="18" customWidth="true" style="2"/>
    <col min="408" max="408" width="18" customWidth="true" style="2"/>
    <col min="409" max="409" width="18" customWidth="true" style="2"/>
    <col min="410" max="410" width="18" customWidth="true" style="2"/>
    <col min="411" max="411" width="18" customWidth="true" style="2"/>
    <col min="412" max="412" width="18" customWidth="true" style="2"/>
    <col min="413" max="413" width="18" customWidth="true" style="2"/>
    <col min="414" max="414" width="18" customWidth="true" style="2"/>
    <col min="415" max="415" width="18" customWidth="true" style="2"/>
    <col min="416" max="416" width="18" customWidth="true" style="2"/>
    <col min="417" max="417" width="18" customWidth="true" style="2"/>
    <col min="418" max="418" width="18" customWidth="true" style="2"/>
    <col min="419" max="419" width="18" customWidth="true" style="2"/>
    <col min="420" max="420" width="18" customWidth="true" style="2"/>
    <col min="421" max="421" width="18" customWidth="true" style="2"/>
    <col min="422" max="422" width="18" customWidth="true" style="2"/>
    <col min="423" max="423" width="18" customWidth="true" style="2"/>
    <col min="424" max="424" width="18" customWidth="true" style="2"/>
    <col min="425" max="425" width="18" customWidth="true" style="2"/>
    <col min="426" max="426" width="18" customWidth="true" style="2"/>
    <col min="427" max="427" width="18" customWidth="true" style="2"/>
    <col min="428" max="428" width="18" customWidth="true" style="2"/>
    <col min="429" max="429" width="18" customWidth="true" style="2"/>
    <col min="430" max="430" width="18" customWidth="true" style="2"/>
    <col min="431" max="431" width="18" customWidth="true" style="2"/>
    <col min="432" max="432" width="18" customWidth="true" style="2"/>
    <col min="433" max="433" width="18" customWidth="true" style="2"/>
    <col min="434" max="434" width="18" customWidth="true" style="2"/>
    <col min="435" max="435" width="18" customWidth="true" style="2"/>
    <col min="436" max="436" width="18" customWidth="true" style="2"/>
    <col min="437" max="437" width="18" customWidth="true" style="2"/>
    <col min="438" max="438" width="18" customWidth="true" style="2"/>
    <col min="439" max="439" width="18" customWidth="true" style="2"/>
    <col min="440" max="440" width="18" customWidth="true" style="2"/>
    <col min="441" max="441" width="18" customWidth="true" style="2"/>
    <col min="442" max="442" width="18" customWidth="true" style="2"/>
    <col min="443" max="443" width="18" customWidth="true" style="2"/>
    <col min="444" max="444" width="18" customWidth="true" style="2"/>
    <col min="445" max="445" width="18" customWidth="true" style="2"/>
    <col min="446" max="446" width="18" customWidth="true" style="2"/>
    <col min="447" max="447" width="18" customWidth="true" style="2"/>
    <col min="448" max="448" width="18" customWidth="true" style="2"/>
    <col min="449" max="449" width="18" customWidth="true" style="2"/>
    <col min="450" max="450" width="18" customWidth="true" style="2"/>
    <col min="451" max="451" width="18" customWidth="true" style="2"/>
    <col min="452" max="452" width="18" customWidth="true" style="2"/>
    <col min="453" max="453" width="18" customWidth="true" style="2"/>
    <col min="454" max="454" width="18" customWidth="true" style="2"/>
    <col min="455" max="455" width="18" customWidth="true" style="2"/>
    <col min="456" max="456" width="18" customWidth="true" style="2"/>
    <col min="457" max="457" width="18" customWidth="true" style="2"/>
    <col min="458" max="458" width="18" customWidth="true" style="2"/>
    <col min="459" max="459" width="18" customWidth="true" style="2"/>
    <col min="460" max="460" width="18" customWidth="true" style="2"/>
    <col min="461" max="461" width="18" customWidth="true" style="2"/>
    <col min="462" max="462" width="18" customWidth="true" style="2"/>
    <col min="463" max="463" width="18" customWidth="true" style="2"/>
    <col min="464" max="464" width="18" customWidth="true" style="2"/>
    <col min="465" max="465" width="18" customWidth="true" style="2"/>
    <col min="466" max="466" width="18" customWidth="true" style="2"/>
    <col min="467" max="467" width="18" customWidth="true" style="2"/>
    <col min="468" max="468" width="18" customWidth="true" style="2"/>
    <col min="469" max="469" width="18" customWidth="true" style="2"/>
    <col min="470" max="470" width="18" customWidth="true" style="2"/>
    <col min="471" max="471" width="18" customWidth="true" style="2"/>
    <col min="472" max="472" width="18" customWidth="true" style="2"/>
    <col min="473" max="473" width="18" customWidth="true" style="2"/>
    <col min="474" max="474" width="18" customWidth="true" style="2"/>
    <col min="475" max="475" width="18" customWidth="true" style="2"/>
    <col min="476" max="476" width="18" customWidth="true" style="2"/>
    <col min="477" max="477" width="18" customWidth="true" style="2"/>
    <col min="478" max="478" width="18" customWidth="true" style="2"/>
    <col min="479" max="479" width="18" customWidth="true" style="2"/>
    <col min="480" max="480" width="18" customWidth="true" style="2"/>
    <col min="481" max="481" width="18" customWidth="true" style="2"/>
    <col min="482" max="482" width="18" customWidth="true" style="2"/>
    <col min="483" max="483" width="18" customWidth="true" style="2"/>
    <col min="484" max="484" width="18" customWidth="true" style="2"/>
    <col min="485" max="485" width="18" customWidth="true" style="2"/>
    <col min="486" max="486" width="18" customWidth="true" style="2"/>
    <col min="487" max="487" width="18" customWidth="true" style="2"/>
    <col min="488" max="488" width="18" customWidth="true" style="2"/>
    <col min="489" max="489" width="18" customWidth="true" style="2"/>
    <col min="490" max="490" width="18" customWidth="true" style="2"/>
    <col min="491" max="491" width="18" customWidth="true" style="2"/>
    <col min="492" max="492" width="18" customWidth="true" style="2"/>
    <col min="493" max="493" width="18" customWidth="true" style="2"/>
    <col min="494" max="494" width="18" customWidth="true" style="2"/>
    <col min="495" max="495" width="18" customWidth="true" style="2"/>
    <col min="496" max="496" width="18" customWidth="true" style="2"/>
    <col min="497" max="497" width="18" customWidth="true" style="2"/>
    <col min="498" max="498" width="18" customWidth="true" style="2"/>
    <col min="499" max="499" width="18" customWidth="true" style="2"/>
    <col min="500" max="500" width="18" customWidth="true" style="2"/>
    <col min="501" max="501" width="18" customWidth="true" style="2"/>
    <col min="502" max="502" width="18" customWidth="true" style="2"/>
    <col min="503" max="503" width="18" customWidth="true" style="2"/>
    <col min="504" max="504" width="18" customWidth="true" style="2"/>
    <col min="505" max="505" width="18" customWidth="true" style="2"/>
    <col min="506" max="506" width="18" customWidth="true" style="2"/>
    <col min="507" max="507" width="18" customWidth="true" style="2"/>
    <col min="508" max="508" width="18" customWidth="true" style="2"/>
    <col min="509" max="509" width="18" customWidth="true" style="2"/>
    <col min="510" max="510" width="18" customWidth="true" style="2"/>
    <col min="511" max="511" width="18" customWidth="true" style="2"/>
    <col min="512" max="512" width="18" customWidth="true" style="2"/>
    <col min="513" max="513" width="18" customWidth="true" style="2"/>
    <col min="514" max="514" width="18" customWidth="true" style="2"/>
    <col min="515" max="515" width="18" customWidth="true" style="2"/>
    <col min="516" max="516" width="18" customWidth="true" style="2"/>
    <col min="517" max="517" width="18" customWidth="true" style="2"/>
    <col min="518" max="518" width="18" customWidth="true" style="2"/>
    <col min="519" max="519" width="18" customWidth="true" style="2"/>
    <col min="520" max="520" width="18" customWidth="true" style="2"/>
    <col min="521" max="521" width="18" customWidth="true" style="2"/>
    <col min="522" max="522" width="18" customWidth="true" style="2"/>
    <col min="523" max="523" width="18" customWidth="true" style="2"/>
    <col min="524" max="524" width="18" customWidth="true" style="2"/>
    <col min="525" max="525" width="18" customWidth="true" style="2"/>
    <col min="526" max="526" width="18" customWidth="true" style="2"/>
    <col min="527" max="527" width="18" customWidth="true" style="2"/>
    <col min="528" max="528" width="18" customWidth="true" style="2"/>
    <col min="529" max="529" width="18" customWidth="true" style="2"/>
    <col min="530" max="530" width="18" customWidth="true" style="2"/>
    <col min="531" max="531" width="18" customWidth="true" style="2"/>
    <col min="532" max="532" width="18" customWidth="true" style="2"/>
    <col min="533" max="533" width="18" customWidth="true" style="2"/>
    <col min="534" max="534" width="18" customWidth="true" style="2"/>
    <col min="535" max="535" width="18" customWidth="true" style="2"/>
    <col min="536" max="536" width="18" customWidth="true" style="2"/>
    <col min="537" max="537" width="18" customWidth="true" style="2"/>
    <col min="538" max="538" width="18" customWidth="true" style="2"/>
    <col min="539" max="539" width="18" customWidth="true" style="2"/>
    <col min="540" max="540" width="18" customWidth="true" style="2"/>
    <col min="541" max="541" width="18" customWidth="true" style="2"/>
    <col min="542" max="542" width="18" customWidth="true" style="2"/>
    <col min="543" max="543" width="18" customWidth="true" style="2"/>
    <col min="544" max="544" width="18" customWidth="true" style="2"/>
    <col min="545" max="545" width="18" customWidth="true" style="2"/>
    <col min="546" max="546" width="18" customWidth="true" style="2"/>
    <col min="547" max="547" width="18" customWidth="true" style="2"/>
    <col min="548" max="548" width="18" customWidth="true" style="2"/>
    <col min="549" max="549" width="18" customWidth="true" style="2"/>
    <col min="550" max="550" width="18" customWidth="true" style="2"/>
    <col min="551" max="551" width="18" customWidth="true" style="2"/>
    <col min="552" max="552" width="18" customWidth="true" style="2"/>
    <col min="553" max="553" width="18" customWidth="true" style="2"/>
    <col min="554" max="554" width="18" customWidth="true" style="2"/>
    <col min="555" max="555" width="18" customWidth="true" style="2"/>
    <col min="556" max="556" width="18" customWidth="true" style="2"/>
    <col min="557" max="557" width="18" customWidth="true" style="2"/>
    <col min="558" max="558" width="18" customWidth="true" style="2"/>
    <col min="559" max="559" width="18" customWidth="true" style="2"/>
    <col min="560" max="560" width="18" customWidth="true" style="2"/>
    <col min="561" max="561" width="18" customWidth="true" style="2"/>
    <col min="562" max="562" width="18" customWidth="true" style="2"/>
    <col min="563" max="563" width="18" customWidth="true" style="2"/>
    <col min="564" max="564" width="18" customWidth="true" style="2"/>
    <col min="565" max="565" width="18" customWidth="true" style="2"/>
    <col min="566" max="566" width="18" customWidth="true" style="2"/>
    <col min="567" max="567" width="18" customWidth="true" style="2"/>
    <col min="568" max="568" width="18" customWidth="true" style="2"/>
    <col min="569" max="569" width="18" customWidth="true" style="2"/>
    <col min="570" max="570" width="18" customWidth="true" style="2"/>
    <col min="571" max="571" width="18" customWidth="true" style="2"/>
    <col min="572" max="572" width="18" customWidth="true" style="2"/>
    <col min="573" max="573" width="18" customWidth="true" style="2"/>
    <col min="574" max="574" width="18" customWidth="true" style="2"/>
    <col min="575" max="575" width="18" customWidth="true" style="2"/>
    <col min="576" max="576" width="18" customWidth="true" style="2"/>
    <col min="577" max="577" width="18" customWidth="true" style="2"/>
    <col min="578" max="578" width="18" customWidth="true" style="2"/>
    <col min="579" max="579" width="18" customWidth="true" style="2"/>
    <col min="580" max="580" width="18" customWidth="true" style="2"/>
    <col min="581" max="581" width="18" customWidth="true" style="2"/>
    <col min="582" max="582" width="18" customWidth="true" style="2"/>
    <col min="583" max="583" width="18" customWidth="true" style="2"/>
    <col min="584" max="584" width="18" customWidth="true" style="2"/>
    <col min="585" max="585" width="18" customWidth="true" style="2"/>
    <col min="586" max="586" width="18" customWidth="true" style="2"/>
    <col min="587" max="587" width="18" customWidth="true" style="2"/>
    <col min="588" max="588" width="18" customWidth="true" style="2"/>
    <col min="589" max="589" width="18" customWidth="true" style="2"/>
    <col min="590" max="590" width="18" customWidth="true" style="2"/>
    <col min="591" max="591" width="18" customWidth="true" style="2"/>
    <col min="592" max="592" width="18" customWidth="true" style="2"/>
    <col min="593" max="593" width="18" customWidth="true" style="2"/>
    <col min="594" max="594" width="18" customWidth="true" style="2"/>
    <col min="595" max="595" width="18" customWidth="true" style="2"/>
    <col min="596" max="596" width="18" customWidth="true" style="2"/>
    <col min="597" max="597" width="18" customWidth="true" style="2"/>
    <col min="598" max="598" width="18" customWidth="true" style="2"/>
    <col min="599" max="599" width="18" customWidth="true" style="2"/>
    <col min="600" max="600" width="18" customWidth="true" style="2"/>
    <col min="601" max="601" width="18" customWidth="true" style="2"/>
    <col min="602" max="602" width="18" customWidth="true" style="2"/>
    <col min="603" max="603" width="18" customWidth="true" style="2"/>
    <col min="604" max="604" width="18" customWidth="true" style="2"/>
    <col min="605" max="605" width="18" customWidth="true" style="2"/>
    <col min="606" max="606" width="18" customWidth="true" style="2"/>
    <col min="607" max="607" width="18" customWidth="true" style="2"/>
    <col min="608" max="608" width="18" customWidth="true" style="2"/>
    <col min="609" max="609" width="18" customWidth="true" style="2"/>
    <col min="610" max="610" width="18" customWidth="true" style="2"/>
    <col min="611" max="611" width="18" customWidth="true" style="2"/>
    <col min="612" max="612" width="18" customWidth="true" style="2"/>
    <col min="613" max="613" width="18" customWidth="true" style="2"/>
    <col min="614" max="614" width="18" customWidth="true" style="2"/>
    <col min="615" max="615" width="18" customWidth="true" style="2"/>
    <col min="616" max="616" width="18" customWidth="true" style="2"/>
    <col min="617" max="617" width="18" customWidth="true" style="2"/>
    <col min="618" max="618" width="18" customWidth="true" style="2"/>
    <col min="619" max="619" width="18" customWidth="true" style="2"/>
    <col min="620" max="620" width="18" customWidth="true" style="2"/>
    <col min="621" max="621" width="18" customWidth="true" style="2"/>
    <col min="622" max="622" width="18" customWidth="true" style="2"/>
    <col min="623" max="623" width="18" customWidth="true" style="2"/>
    <col min="624" max="624" width="18" customWidth="true" style="2"/>
    <col min="625" max="625" width="18" customWidth="true" style="2"/>
    <col min="626" max="626" width="18" customWidth="true" style="2"/>
    <col min="627" max="627" width="18" customWidth="true" style="2"/>
    <col min="628" max="628" width="18" customWidth="true" style="2"/>
    <col min="629" max="629" width="18" customWidth="true" style="2"/>
    <col min="630" max="630" width="18" customWidth="true" style="2"/>
    <col min="631" max="631" width="18" customWidth="true" style="2"/>
    <col min="632" max="632" width="18" customWidth="true" style="2"/>
    <col min="633" max="633" width="18" customWidth="true" style="2"/>
    <col min="634" max="634" width="18" customWidth="true" style="2"/>
    <col min="635" max="635" width="18" customWidth="true" style="2"/>
    <col min="636" max="636" width="18" customWidth="true" style="2"/>
    <col min="637" max="637" width="18" customWidth="true" style="2"/>
    <col min="638" max="638" width="18" customWidth="true" style="2"/>
    <col min="639" max="639" width="18" customWidth="true" style="2"/>
    <col min="640" max="640" width="18" customWidth="true" style="2"/>
    <col min="641" max="641" width="18" customWidth="true" style="2"/>
    <col min="642" max="642" width="18" customWidth="true" style="2"/>
    <col min="643" max="643" width="18" customWidth="true" style="2"/>
    <col min="644" max="644" width="18" customWidth="true" style="2"/>
    <col min="645" max="645" width="18" customWidth="true" style="2"/>
    <col min="646" max="646" width="18" customWidth="true" style="2"/>
    <col min="647" max="647" width="18" customWidth="true" style="2"/>
    <col min="648" max="648" width="18" customWidth="true" style="2"/>
    <col min="649" max="649" width="18" customWidth="true" style="2"/>
    <col min="650" max="650" width="18" customWidth="true" style="2"/>
    <col min="651" max="651" width="18" customWidth="true" style="2"/>
    <col min="652" max="652" width="18" customWidth="true" style="2"/>
    <col min="653" max="653" width="18" customWidth="true" style="2"/>
    <col min="654" max="654" width="18" customWidth="true" style="2"/>
    <col min="655" max="655" width="18" customWidth="true" style="2"/>
    <col min="656" max="656" width="18" customWidth="true" style="2"/>
    <col min="657" max="657" width="18" customWidth="true" style="2"/>
    <col min="658" max="658" width="18" customWidth="true" style="2"/>
    <col min="659" max="659" width="18" customWidth="true" style="2"/>
    <col min="660" max="660" width="18" customWidth="true" style="2"/>
    <col min="661" max="661" width="18" customWidth="true" style="2"/>
    <col min="662" max="662" width="18" customWidth="true" style="2"/>
    <col min="663" max="663" width="18" customWidth="true" style="2"/>
    <col min="664" max="664" width="18" customWidth="true" style="2"/>
    <col min="665" max="665" width="18" customWidth="true" style="2"/>
    <col min="666" max="666" width="18" customWidth="true" style="2"/>
    <col min="667" max="667" width="18" customWidth="true" style="2"/>
    <col min="668" max="668" width="18" customWidth="true" style="2"/>
    <col min="669" max="669" width="18" customWidth="true" style="2"/>
    <col min="670" max="670" width="18" customWidth="true" style="2"/>
    <col min="671" max="671" width="18" customWidth="true" style="2"/>
    <col min="672" max="672" width="18" customWidth="true" style="2"/>
    <col min="673" max="673" width="18" customWidth="true" style="2"/>
    <col min="674" max="674" width="18" customWidth="true" style="2"/>
    <col min="675" max="675" width="18" customWidth="true" style="2"/>
    <col min="676" max="676" width="18" customWidth="true" style="2"/>
    <col min="677" max="677" width="18" customWidth="true" style="2"/>
    <col min="678" max="678" width="18" customWidth="true" style="2"/>
    <col min="679" max="679" width="18" customWidth="true" style="2"/>
    <col min="680" max="680" width="18" customWidth="true" style="2"/>
    <col min="681" max="681" width="18" customWidth="true" style="2"/>
    <col min="682" max="682" width="18" customWidth="true" style="2"/>
    <col min="683" max="683" width="18" customWidth="true" style="2"/>
    <col min="684" max="684" width="18" customWidth="true" style="2"/>
    <col min="685" max="685" width="18" customWidth="true" style="2"/>
    <col min="686" max="686" width="18" customWidth="true" style="2"/>
    <col min="687" max="687" width="18" customWidth="true" style="2"/>
    <col min="688" max="688" width="18" customWidth="true" style="2"/>
    <col min="689" max="689" width="18" customWidth="true" style="2"/>
    <col min="690" max="690" width="18" customWidth="true" style="2"/>
    <col min="691" max="691" width="18" customWidth="true" style="2"/>
    <col min="692" max="692" width="18" customWidth="true" style="2"/>
    <col min="693" max="693" width="18" customWidth="true" style="2"/>
    <col min="694" max="694" width="18" customWidth="true" style="2"/>
    <col min="695" max="695" width="18" customWidth="true" style="2"/>
    <col min="696" max="696" width="18" customWidth="true" style="2"/>
    <col min="697" max="697" width="18" customWidth="true" style="2"/>
    <col min="698" max="698" width="18" customWidth="true" style="2"/>
    <col min="699" max="699" width="18" customWidth="true" style="2"/>
    <col min="700" max="700" width="18" customWidth="true" style="2"/>
    <col min="701" max="701" width="18" customWidth="true" style="2"/>
    <col min="702" max="702" width="18" customWidth="true" style="2"/>
    <col min="703" max="703" width="18" customWidth="true" style="2"/>
    <col min="704" max="704" width="18" customWidth="true" style="2"/>
    <col min="705" max="705" width="18" customWidth="true" style="2"/>
    <col min="706" max="706" width="18" customWidth="true" style="2"/>
    <col min="707" max="707" width="18" customWidth="true" style="2"/>
    <col min="708" max="708" width="18" customWidth="true" style="2"/>
    <col min="709" max="709" width="18" customWidth="true" style="2"/>
    <col min="710" max="710" width="18" customWidth="true" style="2"/>
    <col min="711" max="711" width="18" customWidth="true" style="2"/>
    <col min="712" max="712" width="18" customWidth="true" style="2"/>
    <col min="713" max="713" width="18" customWidth="true" style="2"/>
    <col min="714" max="714" width="18" customWidth="true" style="2"/>
    <col min="715" max="715" width="18" customWidth="true" style="2"/>
    <col min="716" max="716" width="18" customWidth="true" style="2"/>
    <col min="717" max="717" width="18" customWidth="true" style="2"/>
    <col min="718" max="718" width="18" customWidth="true" style="2"/>
    <col min="719" max="719" width="18" customWidth="true" style="2"/>
    <col min="720" max="720" width="18" customWidth="true" style="2"/>
    <col min="721" max="721" width="18" customWidth="true" style="2"/>
    <col min="722" max="722" width="18" customWidth="true" style="2"/>
    <col min="723" max="723" width="18" customWidth="true" style="2"/>
    <col min="724" max="724" width="18" customWidth="true" style="2"/>
    <col min="725" max="725" width="18" customWidth="true" style="2"/>
    <col min="726" max="726" width="18" customWidth="true" style="2"/>
    <col min="727" max="727" width="18" customWidth="true" style="2"/>
    <col min="728" max="728" width="18" customWidth="true" style="2"/>
    <col min="729" max="729" width="18" customWidth="true" style="2"/>
    <col min="730" max="730" width="18" customWidth="true" style="2"/>
    <col min="731" max="731" width="18" customWidth="true" style="2"/>
    <col min="732" max="732" width="18" customWidth="true" style="2"/>
    <col min="733" max="733" width="18" customWidth="true" style="2"/>
    <col min="734" max="734" width="18" customWidth="true" style="2"/>
    <col min="735" max="735" width="18" customWidth="true" style="2"/>
    <col min="736" max="736" width="18" customWidth="true" style="2"/>
    <col min="737" max="737" width="18" customWidth="true" style="2"/>
    <col min="738" max="738" width="18" customWidth="true" style="2"/>
    <col min="739" max="739" width="18" customWidth="true" style="2"/>
    <col min="740" max="740" width="18" customWidth="true" style="2"/>
    <col min="741" max="741" width="18" customWidth="true" style="2"/>
    <col min="742" max="742" width="18" customWidth="true" style="2"/>
    <col min="743" max="743" width="18" customWidth="true" style="2"/>
    <col min="744" max="744" width="18" customWidth="true" style="2"/>
    <col min="745" max="745" width="18" customWidth="true" style="2"/>
    <col min="746" max="746" width="18" customWidth="true" style="2"/>
    <col min="747" max="747" width="18" customWidth="true" style="2"/>
    <col min="748" max="748" width="18" customWidth="true" style="2"/>
    <col min="749" max="749" width="18" customWidth="true" style="2"/>
    <col min="750" max="750" width="18" customWidth="true" style="2"/>
    <col min="751" max="751" width="18" customWidth="true" style="2"/>
    <col min="752" max="752" width="18" customWidth="true" style="2"/>
    <col min="753" max="753" width="18" customWidth="true" style="2"/>
    <col min="754" max="754" width="18" customWidth="true" style="2"/>
    <col min="755" max="755" width="18" customWidth="true" style="2"/>
    <col min="756" max="756" width="18" customWidth="true" style="2"/>
    <col min="757" max="757" width="18" customWidth="true" style="2"/>
    <col min="758" max="758" width="18" customWidth="true" style="2"/>
    <col min="759" max="759" width="18" customWidth="true" style="2"/>
    <col min="760" max="760" width="18" customWidth="true" style="2"/>
    <col min="761" max="761" width="18" customWidth="true" style="2"/>
    <col min="762" max="762" width="18" customWidth="true" style="2"/>
    <col min="763" max="763" width="18" customWidth="true" style="2"/>
    <col min="764" max="764" width="18" customWidth="true" style="2"/>
    <col min="765" max="765" width="18" customWidth="true" style="2"/>
    <col min="766" max="766" width="18" customWidth="true" style="2"/>
    <col min="767" max="767" width="18" customWidth="true" style="2"/>
    <col min="768" max="768" width="18" customWidth="true" style="2"/>
    <col min="769" max="769" width="18" customWidth="true" style="2"/>
    <col min="770" max="770" width="18" customWidth="true" style="2"/>
    <col min="771" max="771" width="18" customWidth="true" style="2"/>
    <col min="772" max="772" width="18" customWidth="true" style="2"/>
    <col min="773" max="773" width="18" customWidth="true" style="2"/>
    <col min="774" max="774" width="18" customWidth="true" style="2"/>
    <col min="775" max="775" width="18" customWidth="true" style="2"/>
    <col min="776" max="776" width="18" customWidth="true" style="2"/>
    <col min="777" max="777" width="18" customWidth="true" style="2"/>
    <col min="778" max="778" width="18" customWidth="true" style="2"/>
    <col min="779" max="779" width="18" customWidth="true" style="2"/>
    <col min="780" max="780" width="18" customWidth="true" style="2"/>
    <col min="781" max="781" width="18" customWidth="true" style="2"/>
    <col min="782" max="782" width="18" customWidth="true" style="2"/>
    <col min="783" max="783" width="18" customWidth="true" style="2"/>
    <col min="784" max="784" width="18" customWidth="true" style="2"/>
    <col min="785" max="785" width="18" customWidth="true" style="2"/>
    <col min="786" max="786" width="18" customWidth="true" style="2"/>
    <col min="787" max="787" width="18" customWidth="true" style="2"/>
    <col min="788" max="788" width="18" customWidth="true" style="2"/>
    <col min="789" max="789" width="18" customWidth="true" style="2"/>
    <col min="790" max="790" width="18" customWidth="true" style="2"/>
    <col min="791" max="791" width="18" customWidth="true" style="2"/>
    <col min="792" max="792" width="18" customWidth="true" style="2"/>
    <col min="793" max="793" width="18" customWidth="true" style="2"/>
    <col min="794" max="794" width="18" customWidth="true" style="2"/>
    <col min="795" max="795" width="18" customWidth="true" style="2"/>
    <col min="796" max="796" width="18" customWidth="true" style="2"/>
    <col min="797" max="797" width="18" customWidth="true" style="2"/>
    <col min="798" max="798" width="18" customWidth="true" style="2"/>
    <col min="799" max="799" width="18" customWidth="true" style="2"/>
    <col min="800" max="800" width="18" customWidth="true" style="2"/>
    <col min="801" max="801" width="18" customWidth="true" style="2"/>
    <col min="802" max="802" width="18" customWidth="true" style="2"/>
    <col min="803" max="803" width="18" customWidth="true" style="2"/>
    <col min="804" max="804" width="18" customWidth="true" style="2"/>
    <col min="805" max="805" width="18" customWidth="true" style="2"/>
    <col min="806" max="806" width="18" customWidth="true" style="2"/>
    <col min="807" max="807" width="18" customWidth="true" style="2"/>
    <col min="808" max="808" width="18" customWidth="true" style="2"/>
    <col min="809" max="809" width="18" customWidth="true" style="2"/>
    <col min="810" max="810" width="18" customWidth="true" style="2"/>
    <col min="811" max="811" width="18" customWidth="true" style="2"/>
    <col min="812" max="812" width="18" customWidth="true" style="2"/>
    <col min="813" max="813" width="18" customWidth="true" style="2"/>
    <col min="814" max="814" width="18" customWidth="true" style="2"/>
    <col min="815" max="815" width="18" customWidth="true" style="2"/>
    <col min="816" max="816" width="18" customWidth="true" style="2"/>
    <col min="817" max="817" width="18" customWidth="true" style="2"/>
    <col min="818" max="818" width="18" customWidth="true" style="2"/>
    <col min="819" max="819" width="18" customWidth="true" style="2"/>
    <col min="820" max="820" width="18" customWidth="true" style="2"/>
    <col min="821" max="821" width="18" customWidth="true" style="2"/>
    <col min="822" max="822" width="18" customWidth="true" style="2"/>
    <col min="823" max="823" width="18" customWidth="true" style="2"/>
    <col min="824" max="824" width="18" customWidth="true" style="2"/>
    <col min="825" max="825" width="18" customWidth="true" style="2"/>
    <col min="826" max="826" width="18" customWidth="true" style="2"/>
    <col min="827" max="827" width="18" customWidth="true" style="2"/>
    <col min="828" max="828" width="18" customWidth="true" style="2"/>
    <col min="829" max="829" width="18" customWidth="true" style="2"/>
    <col min="830" max="830" width="18" customWidth="true" style="2"/>
    <col min="831" max="831" width="18" customWidth="true" style="2"/>
    <col min="832" max="832" width="18" customWidth="true" style="2"/>
    <col min="833" max="833" width="18" customWidth="true" style="2"/>
    <col min="834" max="834" width="18" customWidth="true" style="2"/>
    <col min="835" max="835" width="18" customWidth="true" style="2"/>
    <col min="836" max="836" width="18" customWidth="true" style="2"/>
    <col min="837" max="837" width="18" customWidth="true" style="2"/>
    <col min="838" max="838" width="18" customWidth="true" style="2"/>
    <col min="839" max="839" width="18" customWidth="true" style="2"/>
    <col min="840" max="840" width="18" customWidth="true" style="2"/>
    <col min="841" max="841" width="18" customWidth="true" style="2"/>
    <col min="842" max="842" width="18" customWidth="true" style="2"/>
    <col min="843" max="843" width="18" customWidth="true" style="2"/>
    <col min="844" max="844" width="18" customWidth="true" style="2"/>
    <col min="845" max="845" width="18" customWidth="true" style="2"/>
    <col min="846" max="846" width="18" customWidth="true" style="2"/>
    <col min="847" max="847" width="18" customWidth="true" style="2"/>
    <col min="848" max="848" width="18" customWidth="true" style="2"/>
    <col min="849" max="849" width="18" customWidth="true" style="2"/>
    <col min="850" max="850" width="18" customWidth="true" style="2"/>
    <col min="851" max="851" width="18" customWidth="true" style="2"/>
    <col min="852" max="852" width="18" customWidth="true" style="2"/>
    <col min="853" max="853" width="18" customWidth="true" style="2"/>
    <col min="854" max="854" width="18" customWidth="true" style="2"/>
    <col min="855" max="855" width="18" customWidth="true" style="2"/>
    <col min="856" max="856" width="18" customWidth="true" style="2"/>
    <col min="857" max="857" width="18" customWidth="true" style="2"/>
    <col min="858" max="858" width="18" customWidth="true" style="2"/>
    <col min="859" max="859" width="18" customWidth="true" style="2"/>
    <col min="860" max="860" width="18" customWidth="true" style="2"/>
    <col min="861" max="861" width="18" customWidth="true" style="2"/>
    <col min="862" max="862" width="18" customWidth="true" style="2"/>
    <col min="863" max="863" width="18" customWidth="true" style="2"/>
    <col min="864" max="864" width="18" customWidth="true" style="2"/>
    <col min="865" max="865" width="18" customWidth="true" style="2"/>
    <col min="866" max="866" width="18" customWidth="true" style="2"/>
    <col min="867" max="867" width="18" customWidth="true" style="2"/>
    <col min="868" max="868" width="18" customWidth="true" style="2"/>
    <col min="869" max="869" width="18" customWidth="true" style="2"/>
    <col min="870" max="870" width="18" customWidth="true" style="2"/>
    <col min="871" max="871" width="18" customWidth="true" style="2"/>
    <col min="872" max="872" width="18" customWidth="true" style="2"/>
    <col min="873" max="873" width="18" customWidth="true" style="2"/>
    <col min="874" max="874" width="18" customWidth="true" style="2"/>
    <col min="875" max="875" width="18" customWidth="true" style="2"/>
    <col min="876" max="876" width="18" customWidth="true" style="2"/>
    <col min="877" max="877" width="18" customWidth="true" style="2"/>
    <col min="878" max="878" width="18" customWidth="true" style="2"/>
    <col min="879" max="879" width="18" customWidth="true" style="2"/>
    <col min="880" max="880" width="18" customWidth="true" style="2"/>
    <col min="881" max="881" width="18" customWidth="true" style="2"/>
    <col min="882" max="882" width="18" customWidth="true" style="2"/>
    <col min="883" max="883" width="18" customWidth="true" style="2"/>
    <col min="884" max="884" width="18" customWidth="true" style="2"/>
    <col min="885" max="885" width="18" customWidth="true" style="2"/>
    <col min="886" max="886" width="18" customWidth="true" style="2"/>
    <col min="887" max="887" width="18" customWidth="true" style="2"/>
    <col min="888" max="888" width="18" customWidth="true" style="2"/>
    <col min="889" max="889" width="18" customWidth="true" style="2"/>
    <col min="890" max="890" width="18" customWidth="true" style="2"/>
    <col min="891" max="891" width="18" customWidth="true" style="2"/>
    <col min="892" max="892" width="18" customWidth="true" style="2"/>
    <col min="893" max="893" width="18" customWidth="true" style="2"/>
    <col min="894" max="894" width="18" customWidth="true" style="2"/>
    <col min="895" max="895" width="18" customWidth="true" style="2"/>
    <col min="896" max="896" width="18" customWidth="true" style="2"/>
    <col min="897" max="897" width="18" customWidth="true" style="2"/>
    <col min="898" max="898" width="18" customWidth="true" style="2"/>
    <col min="899" max="899" width="18" customWidth="true" style="2"/>
    <col min="900" max="900" width="18" customWidth="true" style="2"/>
    <col min="901" max="901" width="18" customWidth="true" style="2"/>
    <col min="902" max="902" width="18" customWidth="true" style="2"/>
    <col min="903" max="903" width="18" customWidth="true" style="2"/>
    <col min="904" max="904" width="18" customWidth="true" style="2"/>
    <col min="905" max="905" width="18" customWidth="true" style="2"/>
    <col min="906" max="906" width="18" customWidth="true" style="2"/>
    <col min="907" max="907" width="18" customWidth="true" style="2"/>
    <col min="908" max="908" width="18" customWidth="true" style="2"/>
    <col min="909" max="909" width="18" customWidth="true" style="2"/>
    <col min="910" max="910" width="18" customWidth="true" style="2"/>
    <col min="911" max="911" width="18" customWidth="true" style="2"/>
    <col min="912" max="912" width="18" customWidth="true" style="2"/>
    <col min="913" max="913" width="18" customWidth="true" style="2"/>
    <col min="914" max="914" width="18" customWidth="true" style="2"/>
    <col min="915" max="915" width="18" customWidth="true" style="2"/>
    <col min="916" max="916" width="18" customWidth="true" style="2"/>
    <col min="917" max="917" width="18" customWidth="true" style="2"/>
    <col min="918" max="918" width="18" customWidth="true" style="2"/>
    <col min="919" max="919" width="18" customWidth="true" style="2"/>
    <col min="920" max="920" width="18" customWidth="true" style="2"/>
    <col min="921" max="921" width="18" customWidth="true" style="2"/>
    <col min="922" max="922" width="18" customWidth="true" style="2"/>
    <col min="923" max="923" width="18" customWidth="true" style="2"/>
    <col min="924" max="924" width="18" customWidth="true" style="2"/>
    <col min="925" max="925" width="18" customWidth="true" style="2"/>
    <col min="926" max="926" width="18" customWidth="true" style="2"/>
    <col min="927" max="927" width="18" customWidth="true" style="2"/>
    <col min="928" max="928" width="18" customWidth="true" style="2"/>
    <col min="929" max="929" width="18" customWidth="true" style="2"/>
    <col min="930" max="930" width="18" customWidth="true" style="2"/>
    <col min="931" max="931" width="18" customWidth="true" style="2"/>
    <col min="932" max="932" width="18" customWidth="true" style="2"/>
    <col min="933" max="933" width="18" customWidth="true" style="2"/>
    <col min="934" max="934" width="18" customWidth="true" style="2"/>
    <col min="935" max="935" width="18" customWidth="true" style="2"/>
    <col min="936" max="936" width="18" customWidth="true" style="2"/>
    <col min="937" max="937" width="18" customWidth="true" style="2"/>
    <col min="938" max="938" width="18" customWidth="true" style="2"/>
    <col min="939" max="939" width="18" customWidth="true" style="2"/>
    <col min="940" max="940" width="18" customWidth="true" style="2"/>
    <col min="941" max="941" width="18" customWidth="true" style="2"/>
    <col min="942" max="942" width="18" customWidth="true" style="2"/>
    <col min="943" max="943" width="18" customWidth="true" style="2"/>
    <col min="944" max="944" width="18" customWidth="true" style="2"/>
    <col min="945" max="945" width="18" customWidth="true" style="2"/>
    <col min="946" max="946" width="18" customWidth="true" style="2"/>
    <col min="947" max="947" width="18" customWidth="true" style="2"/>
    <col min="948" max="948" width="18" customWidth="true" style="2"/>
    <col min="949" max="949" width="18" customWidth="true" style="2"/>
    <col min="950" max="950" width="18" customWidth="true" style="2"/>
    <col min="951" max="951" width="18" customWidth="true" style="2"/>
    <col min="952" max="952" width="18" customWidth="true" style="2"/>
    <col min="953" max="953" width="18" customWidth="true" style="2"/>
    <col min="954" max="954" width="18" customWidth="true" style="2"/>
    <col min="955" max="955" width="18" customWidth="true" style="2"/>
    <col min="956" max="956" width="18" customWidth="true" style="2"/>
    <col min="957" max="957" width="18" customWidth="true" style="2"/>
    <col min="958" max="958" width="18" customWidth="true" style="2"/>
    <col min="959" max="959" width="18" customWidth="true" style="2"/>
    <col min="960" max="960" width="18" customWidth="true" style="2"/>
    <col min="961" max="961" width="18" customWidth="true" style="2"/>
    <col min="962" max="962" width="18" customWidth="true" style="2"/>
    <col min="963" max="963" width="18" customWidth="true" style="2"/>
    <col min="964" max="964" width="18" customWidth="true" style="2"/>
    <col min="965" max="965" width="18" customWidth="true" style="2"/>
    <col min="966" max="966" width="18" customWidth="true" style="2"/>
    <col min="967" max="967" width="18" customWidth="true" style="2"/>
    <col min="968" max="968" width="18" customWidth="true" style="2"/>
    <col min="969" max="969" width="18" customWidth="true" style="2"/>
    <col min="970" max="970" width="18" customWidth="true" style="2"/>
    <col min="971" max="971" width="18" customWidth="true" style="2"/>
    <col min="972" max="972" width="18" customWidth="true" style="2"/>
    <col min="973" max="973" width="18" customWidth="true" style="2"/>
    <col min="974" max="974" width="18" customWidth="true" style="2"/>
    <col min="975" max="975" width="18" customWidth="true" style="2"/>
    <col min="976" max="976" width="18" customWidth="true" style="2"/>
    <col min="977" max="977" width="18" customWidth="true" style="2"/>
    <col min="978" max="978" width="18" customWidth="true" style="2"/>
    <col min="979" max="979" width="18" customWidth="true" style="2"/>
    <col min="980" max="980" width="18" customWidth="true" style="2"/>
    <col min="981" max="981" width="18" customWidth="true" style="2"/>
    <col min="982" max="982" width="18" customWidth="true" style="2"/>
    <col min="983" max="983" width="18" customWidth="true" style="2"/>
    <col min="984" max="984" width="18" customWidth="true" style="2"/>
    <col min="985" max="985" width="18" customWidth="true" style="2"/>
    <col min="986" max="986" width="18" customWidth="true" style="2"/>
    <col min="987" max="987" width="18" customWidth="true" style="2"/>
    <col min="988" max="988" width="18" customWidth="true" style="2"/>
    <col min="989" max="989" width="18" customWidth="true" style="2"/>
    <col min="990" max="990" width="18" customWidth="true" style="2"/>
    <col min="991" max="991" width="18" customWidth="true" style="2"/>
    <col min="992" max="992" width="18" customWidth="true" style="2"/>
    <col min="993" max="993" width="18" customWidth="true" style="2"/>
    <col min="994" max="994" width="18" customWidth="true" style="2"/>
    <col min="995" max="995" width="18" customWidth="true" style="2"/>
    <col min="996" max="996" width="18" customWidth="true" style="2"/>
    <col min="997" max="997" width="18" customWidth="true" style="2"/>
    <col min="998" max="998" width="18" customWidth="true" style="2"/>
    <col min="999" max="999" width="18" customWidth="true" style="2"/>
    <col min="1000" max="1000" width="18" customWidth="true" style="2"/>
    <col min="1001" max="1001" width="18" customWidth="true" style="2"/>
    <col min="1002" max="1002" width="18" customWidth="true" style="2"/>
    <col min="1003" max="1003" width="18" customWidth="true" style="2"/>
    <col min="1004" max="1004" width="18" customWidth="true" style="2"/>
    <col min="1005" max="1005" width="18" customWidth="true" style="2"/>
    <col min="1006" max="1006" width="18" customWidth="true" style="2"/>
    <col min="1007" max="1007" width="18" customWidth="true" style="2"/>
    <col min="1008" max="1008" width="18" customWidth="true" style="2"/>
    <col min="1009" max="1009" width="18" customWidth="true" style="2"/>
    <col min="1010" max="1010" width="18" customWidth="true" style="2"/>
    <col min="1011" max="1011" width="18" customWidth="true" style="2"/>
    <col min="1012" max="1012" width="18" customWidth="true" style="2"/>
    <col min="1013" max="1013" width="18" customWidth="true" style="2"/>
    <col min="1014" max="1014" width="18" customWidth="true" style="2"/>
    <col min="1015" max="1015" width="18" customWidth="true" style="2"/>
    <col min="1016" max="1016" width="18" customWidth="true" style="2"/>
    <col min="1017" max="1017" width="18" customWidth="true" style="2"/>
    <col min="1018" max="1018" width="18" customWidth="true" style="2"/>
    <col min="1019" max="1019" width="18" customWidth="true" style="2"/>
    <col min="1020" max="1020" width="18" customWidth="true" style="2"/>
    <col min="1021" max="1021" width="18" customWidth="true" style="2"/>
    <col min="1022" max="1022" width="18" customWidth="true" style="2"/>
    <col min="1023" max="1023" width="18" customWidth="true" style="2"/>
    <col min="1024" max="1024" width="18" customWidth="true" style="2"/>
    <col min="1025" max="1025" width="9.1328125" style="27"/>
  </cols>
  <sheetData>
    <row r="1" spans="1:1025" customHeight="1" ht="15.95" s="5" customFormat="1">
      <c r="A1" s="583" t="s">
        <v>584</v>
      </c>
      <c r="B1" s="97" t="s">
        <v>65</v>
      </c>
      <c r="C1" s="97" t="s">
        <v>585</v>
      </c>
      <c r="D1" s="97" t="s">
        <v>586</v>
      </c>
      <c r="E1" s="97" t="s">
        <v>587</v>
      </c>
      <c r="F1" s="238" t="s">
        <v>136</v>
      </c>
      <c r="G1" s="98" t="s">
        <v>477</v>
      </c>
      <c r="H1" s="98" t="s">
        <v>478</v>
      </c>
      <c r="I1" s="175" t="s">
        <v>589</v>
      </c>
      <c r="J1" s="175" t="s">
        <v>75</v>
      </c>
      <c r="K1" s="97" t="s">
        <v>590</v>
      </c>
      <c r="L1" s="97" t="s">
        <v>7</v>
      </c>
    </row>
    <row r="2" spans="1:1025" customHeight="1" ht="15.95">
      <c r="A2" s="99" t="s">
        <v>331</v>
      </c>
      <c r="B2" s="2" t="s">
        <v>398</v>
      </c>
      <c r="C2" s="16" t="s">
        <v>626</v>
      </c>
      <c r="D2" s="5"/>
      <c r="E2" s="100"/>
      <c r="F2" s="239"/>
      <c r="G2" s="102"/>
      <c r="H2" s="102"/>
      <c r="I2" s="103" t="str">
        <f>ABS(G2-H2)</f>
        <v>0</v>
      </c>
      <c r="J2" s="102"/>
      <c r="K2" s="102"/>
      <c r="L2" s="102"/>
    </row>
    <row r="3" spans="1:1025">
      <c r="A3" s="99" t="s">
        <v>337</v>
      </c>
      <c r="B3" s="29" t="s">
        <v>338</v>
      </c>
      <c r="C3" s="20" t="s">
        <v>626</v>
      </c>
      <c r="D3" s="20"/>
      <c r="E3" s="104" t="s">
        <v>592</v>
      </c>
      <c r="F3" s="240">
        <v>77028346</v>
      </c>
      <c r="G3" s="106">
        <v>31.388</v>
      </c>
      <c r="H3" s="106">
        <v>55.517</v>
      </c>
      <c r="I3" s="107" t="str">
        <f>ABS(G3-H3)</f>
        <v>0</v>
      </c>
      <c r="J3" s="106">
        <v>0</v>
      </c>
      <c r="K3" s="106"/>
      <c r="L3" s="106" t="s">
        <v>593</v>
      </c>
    </row>
    <row r="4" spans="1:1025">
      <c r="A4" s="99" t="s">
        <v>346</v>
      </c>
      <c r="B4" s="29" t="s">
        <v>558</v>
      </c>
      <c r="C4" s="20" t="s">
        <v>626</v>
      </c>
      <c r="D4" s="20"/>
      <c r="E4" s="104" t="s">
        <v>594</v>
      </c>
      <c r="F4" s="240">
        <v>77028346</v>
      </c>
      <c r="G4" s="106">
        <v>22.2</v>
      </c>
      <c r="H4" s="106">
        <v>31.388</v>
      </c>
      <c r="I4" s="107" t="str">
        <f>ABS(G4-H4)</f>
        <v>0</v>
      </c>
      <c r="J4" s="106">
        <v>0</v>
      </c>
      <c r="K4" s="106"/>
      <c r="L4" s="106" t="s">
        <v>595</v>
      </c>
    </row>
    <row r="5" spans="1:1025">
      <c r="A5" s="99" t="s">
        <v>353</v>
      </c>
      <c r="B5" s="29" t="s">
        <v>354</v>
      </c>
      <c r="C5" s="20" t="s">
        <v>626</v>
      </c>
      <c r="D5" s="20"/>
      <c r="E5" s="104" t="s">
        <v>596</v>
      </c>
      <c r="F5" s="240">
        <v>77028403</v>
      </c>
      <c r="G5" s="106">
        <v>14.824</v>
      </c>
      <c r="H5" s="106">
        <v>25.573</v>
      </c>
      <c r="I5" s="107" t="str">
        <f>ABS(G5-H5)</f>
        <v>0</v>
      </c>
      <c r="J5" s="106">
        <v>0</v>
      </c>
      <c r="K5" s="106"/>
      <c r="L5" s="106" t="s">
        <v>597</v>
      </c>
    </row>
    <row r="6" spans="1:1025">
      <c r="A6" s="99" t="s">
        <v>359</v>
      </c>
      <c r="B6" s="29" t="s">
        <v>559</v>
      </c>
      <c r="C6" s="20" t="s">
        <v>626</v>
      </c>
      <c r="D6" s="20"/>
      <c r="E6" s="104" t="s">
        <v>598</v>
      </c>
      <c r="F6" s="240">
        <v>77028292</v>
      </c>
      <c r="G6" s="106">
        <v>46.613</v>
      </c>
      <c r="H6" s="106">
        <v>61.622</v>
      </c>
      <c r="I6" s="107" t="str">
        <f>ABS(G6-H6)</f>
        <v>0</v>
      </c>
      <c r="J6" s="106">
        <v>0</v>
      </c>
      <c r="K6" s="106"/>
      <c r="L6" s="106" t="s">
        <v>599</v>
      </c>
    </row>
    <row r="7" spans="1:1025">
      <c r="A7" s="99" t="s">
        <v>365</v>
      </c>
      <c r="B7" s="29" t="s">
        <v>560</v>
      </c>
      <c r="C7" s="20" t="s">
        <v>626</v>
      </c>
      <c r="D7" s="20"/>
      <c r="E7" s="104" t="s">
        <v>596</v>
      </c>
      <c r="F7" s="240">
        <v>77029087</v>
      </c>
      <c r="G7" s="106">
        <v>98.756</v>
      </c>
      <c r="H7" s="106">
        <v>175.528</v>
      </c>
      <c r="I7" s="107" t="str">
        <f>ABS(G7-H7)</f>
        <v>0</v>
      </c>
      <c r="J7" s="106">
        <v>0</v>
      </c>
      <c r="K7" s="106"/>
      <c r="L7" s="106" t="s">
        <v>600</v>
      </c>
    </row>
    <row r="8" spans="1:1025">
      <c r="A8" s="99" t="s">
        <v>371</v>
      </c>
      <c r="B8" s="29" t="s">
        <v>372</v>
      </c>
      <c r="C8" s="20" t="s">
        <v>626</v>
      </c>
      <c r="D8" s="20"/>
      <c r="E8" s="104" t="s">
        <v>601</v>
      </c>
      <c r="F8" s="240">
        <v>77029088</v>
      </c>
      <c r="G8" s="106">
        <v>86.755</v>
      </c>
      <c r="H8" s="106">
        <v>123.869</v>
      </c>
      <c r="I8" s="107" t="str">
        <f>ABS(G8-H8)</f>
        <v>0</v>
      </c>
      <c r="J8" s="106">
        <v>0</v>
      </c>
      <c r="K8" s="106"/>
      <c r="L8" s="106" t="s">
        <v>602</v>
      </c>
    </row>
    <row r="9" spans="1:1025">
      <c r="A9" s="99" t="s">
        <v>377</v>
      </c>
      <c r="B9" s="29" t="s">
        <v>354</v>
      </c>
      <c r="C9" s="20" t="s">
        <v>626</v>
      </c>
      <c r="D9" s="20"/>
      <c r="E9" s="104" t="s">
        <v>603</v>
      </c>
      <c r="F9" s="240">
        <v>77029055</v>
      </c>
      <c r="G9" s="106">
        <v>18.67</v>
      </c>
      <c r="H9" s="106">
        <v>35.582</v>
      </c>
      <c r="I9" s="107" t="str">
        <f>ABS(G9-H9)</f>
        <v>0</v>
      </c>
      <c r="J9" s="106">
        <v>0</v>
      </c>
      <c r="K9" s="106"/>
      <c r="L9" s="106" t="s">
        <v>604</v>
      </c>
    </row>
    <row r="10" spans="1:1025">
      <c r="A10" s="99" t="s">
        <v>379</v>
      </c>
      <c r="B10" s="29" t="s">
        <v>380</v>
      </c>
      <c r="C10" s="20" t="s">
        <v>626</v>
      </c>
      <c r="D10" s="20"/>
      <c r="E10" s="104" t="s">
        <v>596</v>
      </c>
      <c r="F10" s="240">
        <v>77050425</v>
      </c>
      <c r="G10" s="106">
        <v>68.501</v>
      </c>
      <c r="H10" s="106">
        <v>111.253</v>
      </c>
      <c r="I10" s="107" t="str">
        <f>ABS(G10-H10)</f>
        <v>0</v>
      </c>
      <c r="J10" s="106">
        <v>0</v>
      </c>
      <c r="K10" s="106"/>
      <c r="L10" s="106" t="s">
        <v>605</v>
      </c>
    </row>
    <row r="11" spans="1:1025">
      <c r="A11" s="99" t="s">
        <v>385</v>
      </c>
      <c r="B11" s="29" t="s">
        <v>386</v>
      </c>
      <c r="C11" s="20" t="s">
        <v>626</v>
      </c>
      <c r="D11" s="20"/>
      <c r="E11" s="104" t="s">
        <v>606</v>
      </c>
      <c r="F11" s="240">
        <v>77028353</v>
      </c>
      <c r="G11" s="106">
        <v>130.774</v>
      </c>
      <c r="H11" s="106">
        <v>230.899</v>
      </c>
      <c r="I11" s="107" t="str">
        <f>ABS(G11-H11)</f>
        <v>0</v>
      </c>
      <c r="J11" s="106">
        <v>0</v>
      </c>
      <c r="K11" s="106"/>
      <c r="L11" s="106" t="s">
        <v>607</v>
      </c>
    </row>
    <row r="12" spans="1:1025">
      <c r="A12" s="99" t="s">
        <v>391</v>
      </c>
      <c r="B12" s="29" t="s">
        <v>392</v>
      </c>
      <c r="C12" s="20" t="s">
        <v>626</v>
      </c>
      <c r="D12" s="20"/>
      <c r="E12" s="104" t="s">
        <v>603</v>
      </c>
      <c r="F12" s="240">
        <v>77029071</v>
      </c>
      <c r="G12" s="106">
        <v>2.007</v>
      </c>
      <c r="H12" s="106">
        <v>3.837</v>
      </c>
      <c r="I12" s="107" t="str">
        <f>ABS(G12-H12)</f>
        <v>0</v>
      </c>
      <c r="J12" s="106">
        <v>0</v>
      </c>
      <c r="K12" s="106"/>
      <c r="L12" s="106" t="s">
        <v>608</v>
      </c>
    </row>
    <row r="13" spans="1:1025">
      <c r="A13" s="99" t="s">
        <v>397</v>
      </c>
      <c r="B13" s="29" t="s">
        <v>398</v>
      </c>
      <c r="C13" s="20" t="s">
        <v>626</v>
      </c>
      <c r="D13" s="20"/>
      <c r="E13" s="104" t="s">
        <v>609</v>
      </c>
      <c r="F13" s="240">
        <v>77029062</v>
      </c>
      <c r="G13" s="106">
        <v>29.332</v>
      </c>
      <c r="H13" s="106">
        <v>40.577</v>
      </c>
      <c r="I13" s="107" t="str">
        <f>ABS(G13-H13)</f>
        <v>0</v>
      </c>
      <c r="J13" s="106">
        <v>0</v>
      </c>
      <c r="K13" s="106"/>
      <c r="L13" s="106" t="s">
        <v>608</v>
      </c>
    </row>
    <row r="14" spans="1:1025">
      <c r="A14" s="99" t="s">
        <v>402</v>
      </c>
      <c r="B14" s="29" t="s">
        <v>403</v>
      </c>
      <c r="C14" s="20" t="s">
        <v>626</v>
      </c>
      <c r="D14" s="20"/>
      <c r="E14" s="104" t="s">
        <v>610</v>
      </c>
      <c r="F14" s="240">
        <v>77028351</v>
      </c>
      <c r="G14" s="106">
        <v>106.786</v>
      </c>
      <c r="H14" s="106">
        <v>164.081</v>
      </c>
      <c r="I14" s="107" t="str">
        <f>ABS(G14-H14)</f>
        <v>0</v>
      </c>
      <c r="J14" s="106">
        <v>0</v>
      </c>
      <c r="K14" s="106"/>
      <c r="L14" s="106" t="s">
        <v>611</v>
      </c>
    </row>
    <row r="15" spans="1:1025">
      <c r="A15" s="99" t="s">
        <v>408</v>
      </c>
      <c r="B15" s="29" t="s">
        <v>561</v>
      </c>
      <c r="C15" s="20" t="s">
        <v>626</v>
      </c>
      <c r="D15" s="20"/>
      <c r="E15" s="104" t="s">
        <v>603</v>
      </c>
      <c r="F15" s="240">
        <v>77029089</v>
      </c>
      <c r="G15" s="106">
        <v>111.711</v>
      </c>
      <c r="H15" s="106">
        <v>198.337</v>
      </c>
      <c r="I15" s="107" t="str">
        <f>ABS(G15-H15)</f>
        <v>0</v>
      </c>
      <c r="J15" s="106">
        <v>0</v>
      </c>
      <c r="K15" s="106"/>
      <c r="L15" s="106" t="s">
        <v>612</v>
      </c>
    </row>
    <row r="16" spans="1:1025">
      <c r="A16" s="99" t="s">
        <v>414</v>
      </c>
      <c r="B16" s="29" t="s">
        <v>562</v>
      </c>
      <c r="C16" s="20" t="s">
        <v>626</v>
      </c>
      <c r="D16" s="20"/>
      <c r="E16" s="104" t="s">
        <v>603</v>
      </c>
      <c r="F16" s="240">
        <v>77028330</v>
      </c>
      <c r="G16" s="106">
        <v>80.443</v>
      </c>
      <c r="H16" s="106">
        <v>140.887</v>
      </c>
      <c r="I16" s="107" t="str">
        <f>ABS(G16-H16)</f>
        <v>0</v>
      </c>
      <c r="J16" s="106">
        <v>0</v>
      </c>
      <c r="K16" s="106"/>
      <c r="L16" s="106" t="s">
        <v>613</v>
      </c>
    </row>
    <row r="17" spans="1:1025">
      <c r="A17" s="99" t="s">
        <v>420</v>
      </c>
      <c r="B17" s="29" t="s">
        <v>563</v>
      </c>
      <c r="C17" s="20" t="s">
        <v>626</v>
      </c>
      <c r="D17" s="20"/>
      <c r="E17" s="104" t="s">
        <v>614</v>
      </c>
      <c r="F17" s="240">
        <v>77029090</v>
      </c>
      <c r="G17" s="106">
        <v>64.529</v>
      </c>
      <c r="H17" s="106">
        <v>108.381</v>
      </c>
      <c r="I17" s="107" t="str">
        <f>ABS(G17-H17)</f>
        <v>0</v>
      </c>
      <c r="J17" s="106">
        <v>0</v>
      </c>
      <c r="K17" s="106"/>
      <c r="L17" s="106" t="s">
        <v>615</v>
      </c>
    </row>
    <row r="18" spans="1:1025">
      <c r="A18" s="99" t="s">
        <v>425</v>
      </c>
      <c r="B18" s="29" t="s">
        <v>564</v>
      </c>
      <c r="C18" s="20" t="s">
        <v>626</v>
      </c>
      <c r="D18" s="20"/>
      <c r="E18" s="104" t="s">
        <v>616</v>
      </c>
      <c r="F18" s="240">
        <v>77028333</v>
      </c>
      <c r="G18" s="106">
        <v>95.615</v>
      </c>
      <c r="H18" s="106">
        <v>172.978</v>
      </c>
      <c r="I18" s="107" t="str">
        <f>ABS(G18-H18)</f>
        <v>0</v>
      </c>
      <c r="J18" s="106">
        <v>0</v>
      </c>
      <c r="K18" s="106"/>
      <c r="L18" s="106" t="s">
        <v>617</v>
      </c>
    </row>
    <row r="19" spans="1:1025">
      <c r="A19" s="99" t="s">
        <v>430</v>
      </c>
      <c r="B19" s="29" t="s">
        <v>565</v>
      </c>
      <c r="C19" s="20" t="s">
        <v>626</v>
      </c>
      <c r="D19" s="20"/>
      <c r="E19" s="104" t="s">
        <v>601</v>
      </c>
      <c r="F19" s="240">
        <v>77028311</v>
      </c>
      <c r="G19" s="106">
        <v>98.239</v>
      </c>
      <c r="H19" s="106">
        <v>172.372</v>
      </c>
      <c r="I19" s="107" t="str">
        <f>ABS(G19-H19)</f>
        <v>0</v>
      </c>
      <c r="J19" s="106">
        <v>0</v>
      </c>
      <c r="K19" s="106"/>
      <c r="L19" s="106" t="s">
        <v>618</v>
      </c>
    </row>
    <row r="20" spans="1:1025">
      <c r="A20" s="99" t="s">
        <v>435</v>
      </c>
      <c r="B20" s="29" t="s">
        <v>565</v>
      </c>
      <c r="C20" s="20" t="s">
        <v>626</v>
      </c>
      <c r="D20" s="20"/>
      <c r="E20" s="104" t="s">
        <v>601</v>
      </c>
      <c r="F20" s="240">
        <v>77028320</v>
      </c>
      <c r="G20" s="106">
        <v>18.009</v>
      </c>
      <c r="H20" s="106">
        <v>32.744</v>
      </c>
      <c r="I20" s="107" t="str">
        <f>ABS(G20-H20)</f>
        <v>0</v>
      </c>
      <c r="J20" s="106">
        <v>0</v>
      </c>
      <c r="K20" s="106"/>
      <c r="L20" s="106" t="s">
        <v>619</v>
      </c>
    </row>
    <row r="21" spans="1:1025">
      <c r="A21" s="99" t="s">
        <v>437</v>
      </c>
      <c r="B21" s="29" t="s">
        <v>566</v>
      </c>
      <c r="C21" s="20" t="s">
        <v>626</v>
      </c>
      <c r="D21" s="20"/>
      <c r="E21" s="104" t="s">
        <v>620</v>
      </c>
      <c r="F21" s="240">
        <v>77029086</v>
      </c>
      <c r="G21" s="106">
        <v>63.282</v>
      </c>
      <c r="H21" s="106">
        <v>119.034</v>
      </c>
      <c r="I21" s="107" t="str">
        <f>ABS(G21-H21)</f>
        <v>0</v>
      </c>
      <c r="J21" s="106">
        <v>0</v>
      </c>
      <c r="K21" s="106"/>
      <c r="L21" s="106" t="s">
        <v>621</v>
      </c>
    </row>
    <row r="22" spans="1:1025">
      <c r="A22" s="99" t="s">
        <v>442</v>
      </c>
      <c r="B22" s="29" t="s">
        <v>567</v>
      </c>
      <c r="C22" s="20" t="s">
        <v>626</v>
      </c>
      <c r="D22" s="20"/>
      <c r="E22" s="104" t="s">
        <v>596</v>
      </c>
      <c r="F22" s="240">
        <v>77029073</v>
      </c>
      <c r="G22" s="106">
        <v>56.019</v>
      </c>
      <c r="H22" s="106">
        <v>84.737</v>
      </c>
      <c r="I22" s="107" t="str">
        <f>ABS(G22-H22)</f>
        <v>0</v>
      </c>
      <c r="J22" s="106">
        <v>0</v>
      </c>
      <c r="K22" s="106"/>
      <c r="L22" s="106" t="s">
        <v>622</v>
      </c>
    </row>
    <row r="23" spans="1:1025">
      <c r="A23" s="99" t="s">
        <v>448</v>
      </c>
      <c r="B23" s="29" t="s">
        <v>568</v>
      </c>
      <c r="C23" s="20" t="s">
        <v>626</v>
      </c>
      <c r="D23" s="20"/>
      <c r="E23" s="104" t="s">
        <v>596</v>
      </c>
      <c r="F23" s="240">
        <v>77028316</v>
      </c>
      <c r="G23" s="106">
        <v>65.235</v>
      </c>
      <c r="H23" s="106">
        <v>101.05</v>
      </c>
      <c r="I23" s="107" t="str">
        <f>ABS(G23-H23)</f>
        <v>0</v>
      </c>
      <c r="J23" s="106">
        <v>0</v>
      </c>
      <c r="K23" s="106"/>
      <c r="L23" s="106" t="s">
        <v>623</v>
      </c>
    </row>
    <row r="24" spans="1:1025">
      <c r="A24" s="99" t="s">
        <v>454</v>
      </c>
      <c r="B24" s="29" t="s">
        <v>569</v>
      </c>
      <c r="C24" s="20" t="s">
        <v>626</v>
      </c>
      <c r="D24" s="20"/>
      <c r="E24" s="104" t="s">
        <v>592</v>
      </c>
      <c r="F24" s="240">
        <v>77029085</v>
      </c>
      <c r="G24" s="106">
        <v>58.032</v>
      </c>
      <c r="H24" s="106">
        <v>105.961</v>
      </c>
      <c r="I24" s="107" t="str">
        <f>ABS(G24-H24)</f>
        <v>0</v>
      </c>
      <c r="J24" s="106">
        <v>0</v>
      </c>
      <c r="K24" s="106"/>
      <c r="L24" s="106" t="s">
        <v>624</v>
      </c>
    </row>
    <row r="25" spans="1:1025">
      <c r="A25" s="99" t="s">
        <v>459</v>
      </c>
      <c r="B25" s="29" t="s">
        <v>460</v>
      </c>
      <c r="C25" s="20" t="s">
        <v>626</v>
      </c>
      <c r="D25" s="20"/>
      <c r="E25" s="104" t="s">
        <v>609</v>
      </c>
      <c r="F25" s="240">
        <v>77029063</v>
      </c>
      <c r="G25" s="106">
        <v>16.79</v>
      </c>
      <c r="H25" s="106">
        <v>29.045</v>
      </c>
      <c r="I25" s="107" t="str">
        <f>ABS(G25-H25)</f>
        <v>0</v>
      </c>
      <c r="J25" s="106">
        <v>0</v>
      </c>
      <c r="K25" s="106"/>
      <c r="L25" s="106" t="s">
        <v>625</v>
      </c>
    </row>
    <row r="26" spans="1:1025">
      <c r="A26" s="99"/>
      <c r="B26" s="29"/>
      <c r="C26" s="20"/>
      <c r="D26" s="20"/>
      <c r="E26" s="104"/>
      <c r="F26" s="240"/>
      <c r="G26" s="106"/>
      <c r="H26" s="106"/>
      <c r="I26" s="107" t="str">
        <f>ABS(G26-H26)</f>
        <v>0</v>
      </c>
      <c r="J26" s="106"/>
      <c r="K26" s="106"/>
      <c r="L26" s="106"/>
    </row>
    <row r="27" spans="1:1025">
      <c r="A27" s="99"/>
      <c r="B27" s="29"/>
      <c r="C27" s="20"/>
      <c r="D27" s="20"/>
      <c r="E27" s="104"/>
      <c r="F27" s="240"/>
      <c r="G27" s="106"/>
      <c r="H27" s="106"/>
      <c r="I27" s="107" t="str">
        <f>ABS(G27-H27)</f>
        <v>0</v>
      </c>
      <c r="J27" s="106"/>
      <c r="K27" s="106"/>
      <c r="L27" s="106"/>
    </row>
    <row r="28" spans="1:1025">
      <c r="A28" s="99"/>
      <c r="B28" s="29"/>
      <c r="C28" s="20"/>
      <c r="D28" s="20"/>
      <c r="E28" s="104"/>
      <c r="F28" s="240"/>
      <c r="G28" s="106"/>
      <c r="H28" s="106"/>
      <c r="I28" s="107" t="str">
        <f>ABS(G28-H28)</f>
        <v>0</v>
      </c>
      <c r="J28" s="106"/>
      <c r="K28" s="106"/>
      <c r="L28" s="106"/>
    </row>
    <row r="29" spans="1:1025">
      <c r="A29" s="99"/>
      <c r="B29" s="29"/>
      <c r="C29" s="20"/>
      <c r="D29" s="20"/>
      <c r="E29" s="104"/>
      <c r="F29" s="240"/>
      <c r="G29" s="106"/>
      <c r="H29" s="106"/>
      <c r="I29" s="107" t="str">
        <f>ABS(G29-H29)</f>
        <v>0</v>
      </c>
      <c r="J29" s="106"/>
      <c r="K29" s="106"/>
      <c r="L29" s="106"/>
    </row>
    <row r="30" spans="1:1025">
      <c r="A30" s="99"/>
      <c r="B30" s="29"/>
      <c r="C30" s="20"/>
      <c r="D30" s="20"/>
      <c r="E30" s="104"/>
      <c r="F30" s="240"/>
      <c r="G30" s="106"/>
      <c r="H30" s="106"/>
      <c r="I30" s="107" t="str">
        <f>ABS(G30-H30)</f>
        <v>0</v>
      </c>
      <c r="J30" s="106"/>
      <c r="K30" s="106"/>
      <c r="L30" s="106"/>
    </row>
    <row r="31" spans="1:1025">
      <c r="A31" s="99"/>
      <c r="B31" s="29"/>
      <c r="C31" s="20"/>
      <c r="D31" s="20"/>
      <c r="E31" s="104"/>
      <c r="F31" s="240"/>
      <c r="G31" s="106"/>
      <c r="H31" s="106"/>
      <c r="I31" s="107" t="str">
        <f>ABS(G31-H31)</f>
        <v>0</v>
      </c>
      <c r="J31" s="106"/>
      <c r="K31" s="106"/>
      <c r="L31" s="106"/>
    </row>
    <row r="32" spans="1:1025">
      <c r="A32" s="99"/>
      <c r="B32" s="29"/>
      <c r="C32" s="20"/>
      <c r="D32" s="20"/>
      <c r="E32" s="104"/>
      <c r="F32" s="240"/>
      <c r="G32" s="106"/>
      <c r="H32" s="106"/>
      <c r="I32" s="107" t="str">
        <f>ABS(G32-H32)</f>
        <v>0</v>
      </c>
      <c r="J32" s="106"/>
      <c r="K32" s="106"/>
      <c r="L32" s="106"/>
    </row>
    <row r="33" spans="1:1025">
      <c r="A33" s="99"/>
      <c r="B33" s="29"/>
      <c r="C33" s="20"/>
      <c r="D33" s="20"/>
      <c r="E33" s="104"/>
      <c r="F33" s="240"/>
      <c r="G33" s="106"/>
      <c r="H33" s="106"/>
      <c r="I33" s="107" t="str">
        <f>ABS(G33-H33)</f>
        <v>0</v>
      </c>
      <c r="J33" s="106"/>
      <c r="K33" s="106"/>
      <c r="L33" s="106"/>
    </row>
    <row r="34" spans="1:1025">
      <c r="A34" s="99"/>
      <c r="B34" s="29"/>
      <c r="C34" s="20"/>
      <c r="D34" s="20"/>
      <c r="E34" s="104"/>
      <c r="F34" s="240"/>
      <c r="G34" s="106"/>
      <c r="H34" s="106"/>
      <c r="I34" s="107" t="str">
        <f>ABS(G34-H34)</f>
        <v>0</v>
      </c>
      <c r="J34" s="106"/>
      <c r="K34" s="106"/>
      <c r="L34" s="106"/>
    </row>
    <row r="35" spans="1:1025">
      <c r="A35" s="99"/>
      <c r="B35" s="29"/>
      <c r="C35" s="20"/>
      <c r="D35" s="20"/>
      <c r="E35" s="104"/>
      <c r="F35" s="240"/>
      <c r="G35" s="106"/>
      <c r="H35" s="106"/>
      <c r="I35" s="107" t="str">
        <f>ABS(G35-H35)</f>
        <v>0</v>
      </c>
      <c r="J35" s="106"/>
      <c r="K35" s="106"/>
      <c r="L35" s="106"/>
    </row>
    <row r="36" spans="1:1025">
      <c r="A36" s="99"/>
      <c r="B36" s="29"/>
      <c r="C36" s="20"/>
      <c r="D36" s="20"/>
      <c r="E36" s="104"/>
      <c r="F36" s="240"/>
      <c r="G36" s="106"/>
      <c r="H36" s="106"/>
      <c r="I36" s="107" t="str">
        <f>ABS(G36-H36)</f>
        <v>0</v>
      </c>
      <c r="J36" s="106"/>
      <c r="K36" s="106"/>
      <c r="L36" s="106"/>
    </row>
    <row r="37" spans="1:1025">
      <c r="A37" s="99"/>
      <c r="B37" s="29"/>
      <c r="C37" s="20"/>
      <c r="D37" s="20"/>
      <c r="E37" s="104"/>
      <c r="F37" s="240"/>
      <c r="G37" s="106"/>
      <c r="H37" s="106"/>
      <c r="I37" s="107" t="str">
        <f>ABS(G37-H37)</f>
        <v>0</v>
      </c>
      <c r="J37" s="106"/>
      <c r="K37" s="106"/>
      <c r="L37" s="106"/>
    </row>
    <row r="38" spans="1:1025">
      <c r="A38" s="99"/>
      <c r="B38" s="29"/>
      <c r="C38" s="20"/>
      <c r="D38" s="20"/>
      <c r="E38" s="104"/>
      <c r="F38" s="240"/>
      <c r="G38" s="106"/>
      <c r="H38" s="106"/>
      <c r="I38" s="107" t="str">
        <f>ABS(G38-H38)</f>
        <v>0</v>
      </c>
      <c r="J38" s="106"/>
      <c r="K38" s="106"/>
      <c r="L38" s="106"/>
    </row>
    <row r="39" spans="1:1025">
      <c r="A39" s="99"/>
      <c r="B39" s="29"/>
      <c r="C39" s="20"/>
      <c r="D39" s="20"/>
      <c r="E39" s="104"/>
      <c r="F39" s="240"/>
      <c r="G39" s="106"/>
      <c r="H39" s="106"/>
      <c r="I39" s="107" t="str">
        <f>ABS(G39-H39)</f>
        <v>0</v>
      </c>
      <c r="J39" s="106"/>
      <c r="K39" s="106"/>
      <c r="L39" s="106"/>
    </row>
    <row r="40" spans="1:1025">
      <c r="A40" s="99"/>
      <c r="B40" s="29"/>
      <c r="C40" s="20"/>
      <c r="D40" s="20"/>
      <c r="E40" s="104"/>
      <c r="F40" s="240"/>
      <c r="G40" s="106"/>
      <c r="H40" s="106"/>
      <c r="I40" s="107" t="str">
        <f>ABS(G40-H40)</f>
        <v>0</v>
      </c>
      <c r="J40" s="106"/>
      <c r="K40" s="106"/>
      <c r="L40" s="106"/>
    </row>
    <row r="41" spans="1:1025">
      <c r="A41" s="99"/>
      <c r="B41" s="29"/>
      <c r="C41" s="20"/>
      <c r="D41" s="20"/>
      <c r="E41" s="104"/>
      <c r="F41" s="240"/>
      <c r="G41" s="106"/>
      <c r="H41" s="106"/>
      <c r="I41" s="107" t="str">
        <f>ABS(G41-H41)</f>
        <v>0</v>
      </c>
      <c r="J41" s="106"/>
      <c r="K41" s="106"/>
      <c r="L41" s="106"/>
    </row>
    <row r="42" spans="1:1025">
      <c r="A42" s="99"/>
      <c r="B42" s="29"/>
      <c r="C42" s="20"/>
      <c r="D42" s="20"/>
      <c r="E42" s="104"/>
      <c r="F42" s="240"/>
      <c r="G42" s="106"/>
      <c r="H42" s="106"/>
      <c r="I42" s="107" t="str">
        <f>ABS(G42-H42)</f>
        <v>0</v>
      </c>
      <c r="J42" s="106"/>
      <c r="K42" s="106"/>
      <c r="L42" s="106"/>
    </row>
    <row r="43" spans="1:1025">
      <c r="A43" s="99"/>
      <c r="B43" s="29"/>
      <c r="C43" s="20"/>
      <c r="D43" s="20"/>
      <c r="E43" s="104"/>
      <c r="F43" s="240"/>
      <c r="G43" s="106"/>
      <c r="H43" s="106"/>
      <c r="I43" s="107" t="str">
        <f>ABS(G43-H43)</f>
        <v>0</v>
      </c>
      <c r="J43" s="106"/>
      <c r="K43" s="106"/>
      <c r="L43" s="106"/>
    </row>
    <row r="44" spans="1:1025">
      <c r="A44" s="99"/>
      <c r="B44" s="29"/>
      <c r="C44" s="20"/>
      <c r="D44" s="20"/>
      <c r="E44" s="104"/>
      <c r="F44" s="240"/>
      <c r="G44" s="106"/>
      <c r="H44" s="106"/>
      <c r="I44" s="107" t="str">
        <f>ABS(G44-H44)</f>
        <v>0</v>
      </c>
      <c r="J44" s="106"/>
      <c r="K44" s="106"/>
      <c r="L44" s="106"/>
    </row>
    <row r="45" spans="1:1025">
      <c r="A45" s="99"/>
      <c r="B45" s="29"/>
      <c r="C45" s="20"/>
      <c r="D45" s="20"/>
      <c r="E45" s="104"/>
      <c r="F45" s="240"/>
      <c r="G45" s="106"/>
      <c r="H45" s="106"/>
      <c r="I45" s="107" t="str">
        <f>ABS(G45-H45)</f>
        <v>0</v>
      </c>
      <c r="J45" s="106"/>
      <c r="K45" s="106"/>
      <c r="L45" s="106"/>
    </row>
    <row r="46" spans="1:1025">
      <c r="A46" s="99"/>
      <c r="B46" s="29"/>
      <c r="C46" s="20"/>
      <c r="D46" s="20"/>
      <c r="E46" s="104"/>
      <c r="F46" s="240"/>
      <c r="G46" s="106"/>
      <c r="H46" s="106"/>
      <c r="I46" s="107" t="str">
        <f>ABS(G46-H46)</f>
        <v>0</v>
      </c>
      <c r="J46" s="106"/>
      <c r="K46" s="106"/>
      <c r="L46" s="106"/>
    </row>
    <row r="47" spans="1:1025">
      <c r="A47" s="99"/>
      <c r="B47" s="29"/>
      <c r="C47" s="20"/>
      <c r="D47" s="20"/>
      <c r="E47" s="104"/>
      <c r="F47" s="240"/>
      <c r="G47" s="106"/>
      <c r="H47" s="106"/>
      <c r="I47" s="107" t="str">
        <f>ABS(G47-H47)</f>
        <v>0</v>
      </c>
      <c r="J47" s="106"/>
      <c r="K47" s="106"/>
      <c r="L47" s="106"/>
    </row>
    <row r="48" spans="1:1025">
      <c r="A48" s="99"/>
      <c r="B48" s="29"/>
      <c r="C48" s="20"/>
      <c r="D48" s="20"/>
      <c r="E48" s="104"/>
      <c r="F48" s="240"/>
      <c r="G48" s="106"/>
      <c r="H48" s="106"/>
      <c r="I48" s="107" t="str">
        <f>ABS(G48-H48)</f>
        <v>0</v>
      </c>
      <c r="J48" s="106"/>
      <c r="K48" s="106"/>
      <c r="L48" s="106"/>
    </row>
    <row r="49" spans="1:1025">
      <c r="A49" s="99"/>
      <c r="B49" s="29"/>
      <c r="C49" s="20"/>
      <c r="D49" s="20"/>
      <c r="E49" s="104"/>
      <c r="F49" s="240"/>
      <c r="G49" s="106"/>
      <c r="H49" s="106"/>
      <c r="I49" s="107" t="str">
        <f>ABS(G49-H49)</f>
        <v>0</v>
      </c>
      <c r="J49" s="106"/>
      <c r="K49" s="106"/>
      <c r="L49" s="106"/>
    </row>
    <row r="50" spans="1:1025">
      <c r="A50" s="99"/>
      <c r="B50" s="29"/>
      <c r="C50" s="20"/>
      <c r="D50" s="20"/>
      <c r="E50" s="104"/>
      <c r="F50" s="240"/>
      <c r="G50" s="106"/>
      <c r="H50" s="106"/>
      <c r="I50" s="107" t="str">
        <f>ABS(G50-H50)</f>
        <v>0</v>
      </c>
      <c r="J50" s="106"/>
      <c r="K50" s="106"/>
      <c r="L50" s="106"/>
    </row>
    <row r="51" spans="1:1025">
      <c r="A51" s="99"/>
      <c r="B51" s="29"/>
      <c r="C51" s="20"/>
      <c r="D51" s="20"/>
      <c r="E51" s="104"/>
      <c r="F51" s="240"/>
      <c r="G51" s="106"/>
      <c r="H51" s="106"/>
      <c r="I51" s="107" t="str">
        <f>ABS(G51-H51)</f>
        <v>0</v>
      </c>
      <c r="J51" s="106"/>
      <c r="K51" s="106"/>
      <c r="L51" s="106"/>
    </row>
    <row r="52" spans="1:1025">
      <c r="A52" s="99"/>
      <c r="B52" s="29"/>
      <c r="C52" s="20"/>
      <c r="D52" s="20"/>
      <c r="E52" s="104"/>
      <c r="F52" s="240"/>
      <c r="G52" s="106"/>
      <c r="H52" s="106"/>
      <c r="I52" s="107" t="str">
        <f>ABS(G52-H52)</f>
        <v>0</v>
      </c>
      <c r="J52" s="106"/>
      <c r="K52" s="106"/>
      <c r="L52" s="106"/>
    </row>
    <row r="53" spans="1:1025">
      <c r="A53" s="99"/>
      <c r="B53" s="29"/>
      <c r="C53" s="20"/>
      <c r="D53" s="20"/>
      <c r="E53" s="104"/>
      <c r="F53" s="240"/>
      <c r="G53" s="106"/>
      <c r="H53" s="106"/>
      <c r="I53" s="107" t="str">
        <f>ABS(G53-H53)</f>
        <v>0</v>
      </c>
      <c r="J53" s="106"/>
      <c r="K53" s="106"/>
      <c r="L53" s="106"/>
    </row>
    <row r="54" spans="1:1025">
      <c r="A54" s="99"/>
      <c r="B54" s="29"/>
      <c r="C54" s="20"/>
      <c r="D54" s="20"/>
      <c r="E54" s="104"/>
      <c r="F54" s="240"/>
      <c r="G54" s="106"/>
      <c r="H54" s="106"/>
      <c r="I54" s="107" t="str">
        <f>ABS(G54-H54)</f>
        <v>0</v>
      </c>
      <c r="J54" s="106"/>
      <c r="K54" s="106"/>
      <c r="L54" s="106"/>
    </row>
    <row r="55" spans="1:1025">
      <c r="A55" s="99"/>
      <c r="B55" s="29"/>
      <c r="C55" s="20"/>
      <c r="D55" s="20"/>
      <c r="E55" s="104"/>
      <c r="F55" s="240"/>
      <c r="G55" s="106"/>
      <c r="H55" s="106"/>
      <c r="I55" s="107" t="str">
        <f>ABS(G55-H55)</f>
        <v>0</v>
      </c>
      <c r="J55" s="106"/>
      <c r="K55" s="106"/>
      <c r="L55" s="106"/>
    </row>
    <row r="56" spans="1:1025">
      <c r="A56" s="99"/>
      <c r="B56" s="29"/>
      <c r="C56" s="20"/>
      <c r="D56" s="20"/>
      <c r="E56" s="104"/>
      <c r="F56" s="240"/>
      <c r="G56" s="106"/>
      <c r="H56" s="106"/>
      <c r="I56" s="107" t="str">
        <f>ABS(G56-H56)</f>
        <v>0</v>
      </c>
      <c r="J56" s="106"/>
      <c r="K56" s="106"/>
      <c r="L56" s="106"/>
    </row>
    <row r="57" spans="1:1025">
      <c r="A57" s="99"/>
      <c r="B57" s="29"/>
      <c r="C57" s="20"/>
      <c r="D57" s="20"/>
      <c r="E57" s="104"/>
      <c r="F57" s="240"/>
      <c r="G57" s="106"/>
      <c r="H57" s="106"/>
      <c r="I57" s="107" t="str">
        <f>ABS(G57-H57)</f>
        <v>0</v>
      </c>
      <c r="J57" s="106"/>
      <c r="K57" s="106"/>
      <c r="L57" s="106"/>
    </row>
    <row r="58" spans="1:1025">
      <c r="A58" s="99"/>
      <c r="B58" s="29"/>
      <c r="C58" s="20"/>
      <c r="D58" s="20"/>
      <c r="E58" s="104"/>
      <c r="F58" s="240"/>
      <c r="G58" s="106"/>
      <c r="H58" s="106"/>
      <c r="I58" s="107" t="str">
        <f>ABS(G58-H58)</f>
        <v>0</v>
      </c>
      <c r="J58" s="106"/>
      <c r="K58" s="106"/>
      <c r="L58" s="106"/>
    </row>
    <row r="59" spans="1:1025">
      <c r="A59" s="99"/>
      <c r="B59" s="29"/>
      <c r="C59" s="20"/>
      <c r="D59" s="20"/>
      <c r="E59" s="104"/>
      <c r="F59" s="240"/>
      <c r="G59" s="106"/>
      <c r="H59" s="106"/>
      <c r="I59" s="107" t="str">
        <f>ABS(G59-H59)</f>
        <v>0</v>
      </c>
      <c r="J59" s="106"/>
      <c r="K59" s="106"/>
      <c r="L59" s="106"/>
    </row>
    <row r="60" spans="1:1025">
      <c r="A60" s="99"/>
      <c r="B60" s="29"/>
      <c r="C60" s="20"/>
      <c r="D60" s="20"/>
      <c r="E60" s="104"/>
      <c r="F60" s="240"/>
      <c r="G60" s="106"/>
      <c r="H60" s="106"/>
      <c r="I60" s="107" t="str">
        <f>ABS(G60-H60)</f>
        <v>0</v>
      </c>
      <c r="J60" s="106"/>
      <c r="K60" s="106"/>
      <c r="L60" s="106"/>
    </row>
    <row r="61" spans="1:1025">
      <c r="A61" s="99"/>
      <c r="B61" s="29"/>
      <c r="C61" s="20"/>
      <c r="D61" s="20"/>
      <c r="E61" s="104"/>
      <c r="F61" s="240"/>
      <c r="G61" s="106"/>
      <c r="H61" s="106"/>
      <c r="I61" s="107" t="str">
        <f>ABS(G61-H61)</f>
        <v>0</v>
      </c>
      <c r="J61" s="106"/>
      <c r="K61" s="106"/>
      <c r="L61" s="106"/>
    </row>
    <row r="62" spans="1:1025">
      <c r="A62" s="99"/>
      <c r="B62" s="29"/>
      <c r="C62" s="20"/>
      <c r="D62" s="20"/>
      <c r="E62" s="104"/>
      <c r="F62" s="240"/>
      <c r="G62" s="106"/>
      <c r="H62" s="106"/>
      <c r="I62" s="107" t="str">
        <f>ABS(G62-H62)</f>
        <v>0</v>
      </c>
      <c r="J62" s="106"/>
      <c r="K62" s="106"/>
      <c r="L62" s="106"/>
    </row>
    <row r="63" spans="1:1025">
      <c r="A63" s="99"/>
      <c r="B63" s="29"/>
      <c r="C63" s="20"/>
      <c r="D63" s="20"/>
      <c r="E63" s="104"/>
      <c r="F63" s="240"/>
      <c r="G63" s="106"/>
      <c r="H63" s="106"/>
      <c r="I63" s="107" t="str">
        <f>ABS(G63-H63)</f>
        <v>0</v>
      </c>
      <c r="J63" s="106"/>
      <c r="K63" s="106"/>
      <c r="L63" s="106"/>
    </row>
    <row r="64" spans="1:1025">
      <c r="A64" s="99"/>
      <c r="B64" s="29"/>
      <c r="C64" s="20"/>
      <c r="D64" s="20"/>
      <c r="E64" s="104"/>
      <c r="F64" s="240"/>
      <c r="G64" s="106"/>
      <c r="H64" s="106"/>
      <c r="I64" s="107" t="str">
        <f>ABS(G64-H64)</f>
        <v>0</v>
      </c>
      <c r="J64" s="106"/>
      <c r="K64" s="106"/>
      <c r="L64" s="106"/>
    </row>
    <row r="65" spans="1:1025">
      <c r="A65" s="99"/>
      <c r="B65" s="29"/>
      <c r="C65" s="20"/>
      <c r="D65" s="20"/>
      <c r="E65" s="104"/>
      <c r="F65" s="240"/>
      <c r="G65" s="106"/>
      <c r="H65" s="106"/>
      <c r="I65" s="107" t="str">
        <f>ABS(G65-H65)</f>
        <v>0</v>
      </c>
      <c r="J65" s="106"/>
      <c r="K65" s="106"/>
      <c r="L65" s="106"/>
    </row>
    <row r="66" spans="1:1025">
      <c r="A66" s="99"/>
      <c r="B66" s="29"/>
      <c r="C66" s="20"/>
      <c r="D66" s="20"/>
      <c r="E66" s="104"/>
      <c r="F66" s="240"/>
      <c r="G66" s="106"/>
      <c r="H66" s="106"/>
      <c r="I66" s="107" t="str">
        <f>ABS(G66-H66)</f>
        <v>0</v>
      </c>
      <c r="J66" s="106"/>
      <c r="K66" s="106"/>
      <c r="L66" s="106"/>
    </row>
    <row r="67" spans="1:1025">
      <c r="A67" s="99"/>
      <c r="B67" s="29"/>
      <c r="C67" s="20"/>
      <c r="D67" s="20"/>
      <c r="E67" s="104"/>
      <c r="F67" s="240"/>
      <c r="G67" s="106"/>
      <c r="H67" s="106"/>
      <c r="I67" s="107" t="str">
        <f>ABS(G67-H67)</f>
        <v>0</v>
      </c>
      <c r="J67" s="106"/>
      <c r="K67" s="106"/>
      <c r="L67" s="106"/>
    </row>
    <row r="68" spans="1:1025">
      <c r="A68" s="99"/>
      <c r="B68" s="29"/>
      <c r="C68" s="20"/>
      <c r="D68" s="20"/>
      <c r="E68" s="104"/>
      <c r="F68" s="240"/>
      <c r="G68" s="106"/>
      <c r="H68" s="106"/>
      <c r="I68" s="107" t="str">
        <f>ABS(G68-H68)</f>
        <v>0</v>
      </c>
      <c r="J68" s="106"/>
      <c r="K68" s="106"/>
      <c r="L68" s="106"/>
    </row>
    <row r="69" spans="1:1025">
      <c r="A69" s="99"/>
      <c r="B69" s="29"/>
      <c r="C69" s="20"/>
      <c r="D69" s="20"/>
      <c r="E69" s="104"/>
      <c r="F69" s="240"/>
      <c r="G69" s="106"/>
      <c r="H69" s="106"/>
      <c r="I69" s="107" t="str">
        <f>ABS(G69-H69)</f>
        <v>0</v>
      </c>
      <c r="J69" s="106"/>
      <c r="K69" s="106"/>
      <c r="L69" s="106"/>
    </row>
    <row r="70" spans="1:1025">
      <c r="A70" s="99"/>
      <c r="B70" s="29"/>
      <c r="C70" s="20"/>
      <c r="D70" s="20"/>
      <c r="E70" s="104"/>
      <c r="F70" s="240"/>
      <c r="G70" s="106"/>
      <c r="H70" s="106"/>
      <c r="I70" s="107" t="str">
        <f>ABS(G70-H70)</f>
        <v>0</v>
      </c>
      <c r="J70" s="106"/>
      <c r="K70" s="106"/>
      <c r="L70" s="106"/>
    </row>
    <row r="71" spans="1:1025">
      <c r="A71" s="99"/>
      <c r="B71" s="29"/>
      <c r="C71" s="20"/>
      <c r="D71" s="20"/>
      <c r="E71" s="104"/>
      <c r="F71" s="240"/>
      <c r="G71" s="106"/>
      <c r="H71" s="106"/>
      <c r="I71" s="107" t="str">
        <f>ABS(G71-H71)</f>
        <v>0</v>
      </c>
      <c r="J71" s="106"/>
      <c r="K71" s="106"/>
      <c r="L71" s="106"/>
    </row>
    <row r="72" spans="1:1025">
      <c r="A72" s="99"/>
      <c r="B72" s="29"/>
      <c r="C72" s="20"/>
      <c r="D72" s="20"/>
      <c r="E72" s="104"/>
      <c r="F72" s="240"/>
      <c r="G72" s="106"/>
      <c r="H72" s="106"/>
      <c r="I72" s="107" t="str">
        <f>ABS(G72-H72)</f>
        <v>0</v>
      </c>
      <c r="J72" s="106"/>
      <c r="K72" s="106"/>
      <c r="L72" s="106"/>
    </row>
    <row r="73" spans="1:1025">
      <c r="A73" s="99"/>
      <c r="B73" s="29"/>
      <c r="C73" s="20"/>
      <c r="D73" s="20"/>
      <c r="E73" s="104"/>
      <c r="F73" s="240"/>
      <c r="G73" s="106"/>
      <c r="H73" s="106"/>
      <c r="I73" s="107" t="str">
        <f>ABS(G73-H73)</f>
        <v>0</v>
      </c>
      <c r="J73" s="106"/>
      <c r="K73" s="106"/>
      <c r="L73" s="106"/>
    </row>
    <row r="74" spans="1:1025">
      <c r="A74" s="99"/>
      <c r="B74" s="29"/>
      <c r="C74" s="20"/>
      <c r="D74" s="20"/>
      <c r="E74" s="104"/>
      <c r="F74" s="240"/>
      <c r="G74" s="106"/>
      <c r="H74" s="106"/>
      <c r="I74" s="107" t="str">
        <f>ABS(G74-H74)</f>
        <v>0</v>
      </c>
      <c r="J74" s="106"/>
      <c r="K74" s="106"/>
      <c r="L74" s="106"/>
    </row>
    <row r="75" spans="1:1025">
      <c r="A75" s="99"/>
      <c r="B75" s="29"/>
      <c r="C75" s="20"/>
      <c r="D75" s="20"/>
      <c r="E75" s="104"/>
      <c r="F75" s="240"/>
      <c r="G75" s="106"/>
      <c r="H75" s="106"/>
      <c r="I75" s="107" t="str">
        <f>ABS(G75-H75)</f>
        <v>0</v>
      </c>
      <c r="J75" s="106"/>
      <c r="K75" s="106"/>
      <c r="L75" s="106"/>
    </row>
    <row r="76" spans="1:1025">
      <c r="A76" s="99"/>
      <c r="B76" s="29"/>
      <c r="C76" s="20"/>
      <c r="D76" s="20"/>
      <c r="E76" s="104"/>
      <c r="F76" s="240"/>
      <c r="G76" s="106"/>
      <c r="H76" s="106"/>
      <c r="I76" s="107" t="str">
        <f>ABS(G76-H76)</f>
        <v>0</v>
      </c>
      <c r="J76" s="106"/>
      <c r="K76" s="106"/>
      <c r="L76" s="106"/>
    </row>
    <row r="77" spans="1:1025">
      <c r="A77" s="99"/>
      <c r="B77" s="29"/>
      <c r="C77" s="20"/>
      <c r="D77" s="20"/>
      <c r="E77" s="104"/>
      <c r="F77" s="240"/>
      <c r="G77" s="106"/>
      <c r="H77" s="106"/>
      <c r="I77" s="107" t="str">
        <f>ABS(G77-H77)</f>
        <v>0</v>
      </c>
      <c r="J77" s="106"/>
      <c r="K77" s="106"/>
      <c r="L77" s="106"/>
    </row>
    <row r="78" spans="1:1025">
      <c r="A78" s="99"/>
      <c r="B78" s="29"/>
      <c r="C78" s="20"/>
      <c r="D78" s="20"/>
      <c r="E78" s="104"/>
      <c r="F78" s="240"/>
      <c r="G78" s="106"/>
      <c r="H78" s="106"/>
      <c r="I78" s="107" t="str">
        <f>ABS(G78-H78)</f>
        <v>0</v>
      </c>
      <c r="J78" s="106"/>
      <c r="K78" s="106"/>
      <c r="L78" s="106"/>
    </row>
    <row r="79" spans="1:1025">
      <c r="A79" s="99"/>
      <c r="B79" s="29"/>
      <c r="C79" s="20"/>
      <c r="D79" s="20"/>
      <c r="E79" s="104"/>
      <c r="F79" s="240"/>
      <c r="G79" s="106"/>
      <c r="H79" s="106"/>
      <c r="I79" s="107" t="str">
        <f>ABS(G79-H79)</f>
        <v>0</v>
      </c>
      <c r="J79" s="106"/>
      <c r="K79" s="106"/>
      <c r="L79" s="106"/>
    </row>
    <row r="80" spans="1:1025">
      <c r="A80" s="99"/>
      <c r="B80" s="29"/>
      <c r="C80" s="20"/>
      <c r="D80" s="20"/>
      <c r="E80" s="104"/>
      <c r="F80" s="240"/>
      <c r="G80" s="106"/>
      <c r="H80" s="106"/>
      <c r="I80" s="107" t="str">
        <f>ABS(G80-H80)</f>
        <v>0</v>
      </c>
      <c r="J80" s="106"/>
      <c r="K80" s="106"/>
      <c r="L80" s="106"/>
    </row>
    <row r="81" spans="1:1025">
      <c r="A81" s="99"/>
      <c r="B81" s="29"/>
      <c r="C81" s="20"/>
      <c r="D81" s="20"/>
      <c r="E81" s="104"/>
      <c r="F81" s="240"/>
      <c r="G81" s="106"/>
      <c r="H81" s="106"/>
      <c r="I81" s="107" t="str">
        <f>ABS(G81-H81)</f>
        <v>0</v>
      </c>
      <c r="J81" s="106"/>
      <c r="K81" s="106"/>
      <c r="L81" s="106"/>
    </row>
    <row r="82" spans="1:1025">
      <c r="A82" s="99"/>
      <c r="B82" s="29"/>
      <c r="C82" s="20"/>
      <c r="D82" s="20"/>
      <c r="E82" s="104"/>
      <c r="F82" s="240"/>
      <c r="G82" s="106"/>
      <c r="H82" s="106"/>
      <c r="I82" s="107" t="str">
        <f>ABS(G82-H82)</f>
        <v>0</v>
      </c>
      <c r="J82" s="106"/>
      <c r="K82" s="106"/>
      <c r="L82" s="106"/>
    </row>
    <row r="83" spans="1:1025">
      <c r="A83" s="99"/>
      <c r="B83" s="29"/>
      <c r="C83" s="20"/>
      <c r="D83" s="20"/>
      <c r="E83" s="104"/>
      <c r="F83" s="240"/>
      <c r="G83" s="106"/>
      <c r="H83" s="106"/>
      <c r="I83" s="107" t="str">
        <f>ABS(G83-H83)</f>
        <v>0</v>
      </c>
      <c r="J83" s="106"/>
      <c r="K83" s="106"/>
      <c r="L83" s="106"/>
    </row>
    <row r="84" spans="1:1025">
      <c r="A84" s="99"/>
      <c r="B84" s="29"/>
      <c r="C84" s="20"/>
      <c r="D84" s="20"/>
      <c r="E84" s="104"/>
      <c r="F84" s="240"/>
      <c r="G84" s="106"/>
      <c r="H84" s="106"/>
      <c r="I84" s="107" t="str">
        <f>ABS(G84-H84)</f>
        <v>0</v>
      </c>
      <c r="J84" s="106"/>
      <c r="K84" s="106"/>
      <c r="L84" s="106"/>
    </row>
    <row r="85" spans="1:1025">
      <c r="A85" s="99"/>
      <c r="B85" s="29"/>
      <c r="C85" s="20"/>
      <c r="D85" s="20"/>
      <c r="E85" s="104"/>
      <c r="F85" s="240"/>
      <c r="G85" s="106"/>
      <c r="H85" s="106"/>
      <c r="I85" s="107" t="str">
        <f>ABS(G85-H85)</f>
        <v>0</v>
      </c>
      <c r="J85" s="106"/>
      <c r="K85" s="106"/>
      <c r="L85" s="106"/>
    </row>
    <row r="86" spans="1:1025">
      <c r="A86" s="99"/>
      <c r="B86" s="29"/>
      <c r="C86" s="20"/>
      <c r="D86" s="20"/>
      <c r="E86" s="104"/>
      <c r="F86" s="240"/>
      <c r="G86" s="106"/>
      <c r="H86" s="106"/>
      <c r="I86" s="107" t="str">
        <f>ABS(G86-H86)</f>
        <v>0</v>
      </c>
      <c r="J86" s="106"/>
      <c r="K86" s="106"/>
      <c r="L86" s="106"/>
    </row>
    <row r="87" spans="1:1025">
      <c r="A87" s="99"/>
      <c r="B87" s="29"/>
      <c r="C87" s="20"/>
      <c r="D87" s="20"/>
      <c r="E87" s="104"/>
      <c r="F87" s="240"/>
      <c r="G87" s="106"/>
      <c r="H87" s="106"/>
      <c r="I87" s="107" t="str">
        <f>ABS(G87-H87)</f>
        <v>0</v>
      </c>
      <c r="J87" s="106"/>
      <c r="K87" s="106"/>
      <c r="L87" s="106"/>
    </row>
    <row r="88" spans="1:1025">
      <c r="A88" s="99"/>
      <c r="B88" s="29"/>
      <c r="C88" s="20"/>
      <c r="D88" s="20"/>
      <c r="E88" s="104"/>
      <c r="F88" s="240"/>
      <c r="G88" s="106"/>
      <c r="H88" s="106"/>
      <c r="I88" s="107" t="str">
        <f>ABS(G88-H88)</f>
        <v>0</v>
      </c>
      <c r="J88" s="106"/>
      <c r="K88" s="106"/>
      <c r="L88" s="106"/>
    </row>
    <row r="89" spans="1:1025">
      <c r="A89" s="99"/>
      <c r="B89" s="29"/>
      <c r="C89" s="20"/>
      <c r="D89" s="20"/>
      <c r="E89" s="104"/>
      <c r="F89" s="240"/>
      <c r="G89" s="106"/>
      <c r="H89" s="106"/>
      <c r="I89" s="107" t="str">
        <f>ABS(G89-H89)</f>
        <v>0</v>
      </c>
      <c r="J89" s="106"/>
      <c r="K89" s="106"/>
      <c r="L89" s="106"/>
    </row>
    <row r="90" spans="1:1025">
      <c r="A90" s="99"/>
      <c r="B90" s="29"/>
      <c r="C90" s="20"/>
      <c r="D90" s="20"/>
      <c r="E90" s="104"/>
      <c r="F90" s="240"/>
      <c r="G90" s="106"/>
      <c r="H90" s="106"/>
      <c r="I90" s="107" t="str">
        <f>ABS(G90-H90)</f>
        <v>0</v>
      </c>
      <c r="J90" s="106"/>
      <c r="K90" s="106"/>
      <c r="L90" s="106"/>
    </row>
    <row r="91" spans="1:1025">
      <c r="A91" s="99"/>
      <c r="B91" s="29"/>
      <c r="C91" s="20"/>
      <c r="D91" s="20"/>
      <c r="E91" s="104"/>
      <c r="F91" s="240"/>
      <c r="G91" s="106"/>
      <c r="H91" s="106"/>
      <c r="I91" s="107" t="str">
        <f>ABS(G91-H91)</f>
        <v>0</v>
      </c>
      <c r="J91" s="106"/>
      <c r="K91" s="106"/>
      <c r="L91" s="106"/>
    </row>
    <row r="92" spans="1:1025">
      <c r="A92" s="99"/>
      <c r="B92" s="29"/>
      <c r="C92" s="20"/>
      <c r="D92" s="20"/>
      <c r="E92" s="104"/>
      <c r="F92" s="240"/>
      <c r="G92" s="106"/>
      <c r="H92" s="106"/>
      <c r="I92" s="107" t="str">
        <f>ABS(G92-H92)</f>
        <v>0</v>
      </c>
      <c r="J92" s="106"/>
      <c r="K92" s="106"/>
      <c r="L92" s="106"/>
    </row>
    <row r="93" spans="1:1025">
      <c r="A93" s="99"/>
      <c r="B93" s="29"/>
      <c r="C93" s="20"/>
      <c r="D93" s="20"/>
      <c r="E93" s="104"/>
      <c r="F93" s="240"/>
      <c r="G93" s="106"/>
      <c r="H93" s="106"/>
      <c r="I93" s="107" t="str">
        <f>ABS(G93-H93)</f>
        <v>0</v>
      </c>
      <c r="J93" s="106"/>
      <c r="K93" s="106"/>
      <c r="L93" s="106"/>
    </row>
    <row r="94" spans="1:1025">
      <c r="A94" s="99"/>
      <c r="B94" s="29"/>
      <c r="C94" s="20"/>
      <c r="D94" s="20"/>
      <c r="E94" s="104"/>
      <c r="F94" s="240"/>
      <c r="G94" s="106"/>
      <c r="H94" s="106"/>
      <c r="I94" s="107" t="str">
        <f>ABS(G94-H94)</f>
        <v>0</v>
      </c>
      <c r="J94" s="106"/>
      <c r="K94" s="106"/>
      <c r="L94" s="106"/>
    </row>
    <row r="95" spans="1:1025">
      <c r="A95" s="99"/>
      <c r="B95" s="29"/>
      <c r="C95" s="20"/>
      <c r="D95" s="20"/>
      <c r="E95" s="104"/>
      <c r="F95" s="240"/>
      <c r="G95" s="106"/>
      <c r="H95" s="106"/>
      <c r="I95" s="107" t="str">
        <f>ABS(G95-H95)</f>
        <v>0</v>
      </c>
      <c r="J95" s="106"/>
      <c r="K95" s="106"/>
      <c r="L95" s="106"/>
    </row>
    <row r="96" spans="1:1025">
      <c r="A96" s="99"/>
      <c r="B96" s="29"/>
      <c r="C96" s="20"/>
      <c r="D96" s="20"/>
      <c r="E96" s="104"/>
      <c r="F96" s="240"/>
      <c r="G96" s="106"/>
      <c r="H96" s="106"/>
      <c r="I96" s="107" t="str">
        <f>ABS(G96-H96)</f>
        <v>0</v>
      </c>
      <c r="J96" s="106"/>
      <c r="K96" s="106"/>
      <c r="L96" s="106"/>
    </row>
    <row r="97" spans="1:1025">
      <c r="A97" s="99"/>
      <c r="B97" s="29"/>
      <c r="C97" s="20"/>
      <c r="D97" s="20"/>
      <c r="E97" s="104"/>
      <c r="F97" s="240"/>
      <c r="G97" s="106"/>
      <c r="H97" s="106"/>
      <c r="I97" s="107" t="str">
        <f>ABS(G97-H97)</f>
        <v>0</v>
      </c>
      <c r="J97" s="106"/>
      <c r="K97" s="106"/>
      <c r="L97" s="106"/>
    </row>
    <row r="98" spans="1:1025">
      <c r="A98" s="99"/>
      <c r="B98" s="29"/>
      <c r="C98" s="20"/>
      <c r="D98" s="20"/>
      <c r="E98" s="104"/>
      <c r="F98" s="240"/>
      <c r="G98" s="106"/>
      <c r="H98" s="106"/>
      <c r="I98" s="107" t="str">
        <f>ABS(G98-H98)</f>
        <v>0</v>
      </c>
      <c r="J98" s="106"/>
      <c r="K98" s="106"/>
      <c r="L98" s="106"/>
    </row>
    <row r="99" spans="1:1025">
      <c r="A99" s="99"/>
      <c r="B99" s="29"/>
      <c r="C99" s="20"/>
      <c r="D99" s="20"/>
      <c r="E99" s="104"/>
      <c r="F99" s="240"/>
      <c r="G99" s="106"/>
      <c r="H99" s="106"/>
      <c r="I99" s="107" t="str">
        <f>ABS(G99-H99)</f>
        <v>0</v>
      </c>
      <c r="J99" s="106"/>
      <c r="K99" s="106"/>
      <c r="L99" s="106"/>
    </row>
    <row r="100" spans="1:1025">
      <c r="A100" s="99"/>
      <c r="B100" s="29"/>
      <c r="C100" s="20"/>
      <c r="D100" s="20"/>
      <c r="E100" s="104"/>
      <c r="F100" s="240"/>
      <c r="G100" s="106"/>
      <c r="H100" s="106"/>
      <c r="I100" s="107" t="str">
        <f>ABS(G100-H100)</f>
        <v>0</v>
      </c>
      <c r="J100" s="106"/>
      <c r="K100" s="106"/>
      <c r="L100" s="106"/>
    </row>
    <row r="101" spans="1:1025">
      <c r="A101" s="99"/>
      <c r="B101" s="29"/>
      <c r="C101" s="20"/>
      <c r="D101" s="20"/>
      <c r="E101" s="104"/>
      <c r="F101" s="240"/>
      <c r="G101" s="106"/>
      <c r="H101" s="106"/>
      <c r="I101" s="107" t="str">
        <f>ABS(G101-H101)</f>
        <v>0</v>
      </c>
      <c r="J101" s="106"/>
      <c r="K101" s="106"/>
      <c r="L101" s="106"/>
    </row>
    <row r="102" spans="1:1025">
      <c r="A102" s="99"/>
      <c r="B102" s="29"/>
      <c r="C102" s="20"/>
      <c r="D102" s="20"/>
      <c r="E102" s="104"/>
      <c r="F102" s="240"/>
      <c r="G102" s="106"/>
      <c r="H102" s="106"/>
      <c r="I102" s="107" t="str">
        <f>ABS(G102-H102)</f>
        <v>0</v>
      </c>
      <c r="J102" s="106"/>
      <c r="K102" s="106"/>
      <c r="L102" s="106"/>
    </row>
    <row r="103" spans="1:1025" customHeight="1" ht="15.95">
      <c r="A103" s="108"/>
      <c r="B103" s="109"/>
      <c r="C103" s="54"/>
      <c r="D103" s="110"/>
      <c r="E103" s="111"/>
      <c r="F103" s="241"/>
      <c r="G103" s="113"/>
      <c r="H103" s="113"/>
      <c r="I103" s="177" t="str">
        <f>ABS(G103-H103)</f>
        <v>0</v>
      </c>
      <c r="J103" s="113"/>
      <c r="K103" s="113"/>
      <c r="L103" s="113"/>
    </row>
    <row r="104" spans="1:1025" customHeight="1" ht="15.95">
      <c r="I104" s="176" t="str">
        <f>SUM(I2:I103)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A1" location="Seznam!A1"/>
  </hyperlinks>
  <printOptions gridLines="false" gridLinesSet="true" horizontalCentered="true" verticalCentered="true"/>
  <pageMargins left="0.19685039370079" right="0.19685039370079" top="0.39370078740157" bottom="0.59055118110236" header="0.51181102362205" footer="0.31496062992126"/>
  <pageSetup paperSize="1" orientation="landscape" scale="90" fitToHeight="1" fitToWidth="1"/>
  <headerFooter differentOddEven="false" differentFirst="false" scaleWithDoc="true" alignWithMargins="true">
    <oddHeader/>
    <oddFooter>&amp;Ldatum:      30.3.2014&amp;C
info@onlinesprava.cz | mobil: 607 959 876&amp;Rwww.onlinesprava.cz</oddFooter>
    <evenHeader/>
    <evenFooter/>
    <firstHeader/>
    <firstFooter/>
  </headerFooter>
  <legacyDrawing r:id="rId_comments_vml1"/>
</worksheet>
</file>

<file path=xl/worksheets/sheet2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MK104"/>
  <sheetViews>
    <sheetView tabSelected="0" workbookViewId="0" zoomScale="115" zoomScaleNormal="115" showGridLines="true" showRowColHeaders="1">
      <selection activeCell="A1" sqref="A1"/>
    </sheetView>
  </sheetViews>
  <sheetFormatPr defaultRowHeight="14.4" defaultColWidth="9.1328125" outlineLevelRow="0" outlineLevelCol="0"/>
  <cols>
    <col min="1" max="1" width="24.3984375" customWidth="true" style="27"/>
    <col min="2" max="2" width="18.3984375" customWidth="true" style="2"/>
    <col min="3" max="3" width="7.1328125" customWidth="true" style="2"/>
    <col min="4" max="4" width="10" customWidth="true" style="2"/>
    <col min="5" max="5" width="13.59765625" customWidth="true" style="2"/>
    <col min="6" max="6" width="9" customWidth="true" style="2"/>
    <col min="7" max="7" width="22.265625" customWidth="true" style="114"/>
    <col min="8" max="8" width="22.265625" customWidth="true" style="114"/>
    <col min="9" max="9" width="22.86328125" customWidth="true" style="2"/>
    <col min="10" max="10" width="19.1328125" customWidth="true" style="2"/>
    <col min="11" max="11" width="22.3984375" customWidth="true" style="2"/>
    <col min="12" max="12" width="10.73046875" customWidth="true" style="2"/>
    <col min="13" max="13" width="9.1328125" style="2"/>
    <col min="14" max="14" width="9.1328125" style="2"/>
    <col min="15" max="15" width="9.1328125" style="2"/>
    <col min="16" max="16" width="9.1328125" style="2"/>
    <col min="17" max="17" width="9.1328125" style="2"/>
    <col min="18" max="18" width="9.1328125" style="2"/>
    <col min="19" max="19" width="9.1328125" style="2"/>
    <col min="20" max="20" width="9.1328125" style="2"/>
    <col min="21" max="21" width="9.1328125" style="2"/>
    <col min="22" max="22" width="9.1328125" style="2"/>
    <col min="23" max="23" width="9.1328125" style="2"/>
    <col min="24" max="24" width="9.1328125" style="2"/>
    <col min="25" max="25" width="9.1328125" style="2"/>
    <col min="26" max="26" width="9.1328125" style="2"/>
    <col min="27" max="27" width="9.1328125" style="2"/>
    <col min="28" max="28" width="9.1328125" style="2"/>
    <col min="29" max="29" width="9.1328125" style="2"/>
    <col min="30" max="30" width="9.1328125" style="2"/>
    <col min="31" max="31" width="9.1328125" style="2"/>
    <col min="32" max="32" width="9.1328125" style="2"/>
    <col min="33" max="33" width="9.1328125" style="2"/>
    <col min="34" max="34" width="9.1328125" style="2"/>
    <col min="35" max="35" width="9.1328125" style="2"/>
    <col min="36" max="36" width="9.1328125" style="2"/>
    <col min="37" max="37" width="9.1328125" style="2"/>
    <col min="38" max="38" width="9.1328125" style="2"/>
    <col min="39" max="39" width="9.1328125" style="2"/>
    <col min="40" max="40" width="9.1328125" style="2"/>
    <col min="41" max="41" width="9.1328125" style="2"/>
    <col min="42" max="42" width="9.1328125" style="2"/>
    <col min="43" max="43" width="9.1328125" style="2"/>
    <col min="44" max="44" width="9.1328125" style="2"/>
    <col min="45" max="45" width="9.1328125" style="2"/>
    <col min="46" max="46" width="9.1328125" style="2"/>
    <col min="47" max="47" width="9.1328125" style="2"/>
    <col min="48" max="48" width="9.1328125" style="2"/>
    <col min="49" max="49" width="9.1328125" style="2"/>
    <col min="50" max="50" width="9.1328125" style="2"/>
    <col min="51" max="51" width="9.1328125" style="2"/>
    <col min="52" max="52" width="9.1328125" style="2"/>
    <col min="53" max="53" width="9.1328125" style="2"/>
    <col min="54" max="54" width="9.1328125" style="2"/>
    <col min="55" max="55" width="9.1328125" style="2"/>
    <col min="56" max="56" width="9.1328125" style="2"/>
    <col min="57" max="57" width="9.1328125" style="2"/>
    <col min="58" max="58" width="9.1328125" style="2"/>
    <col min="59" max="59" width="9.1328125" style="2"/>
    <col min="60" max="60" width="9.1328125" style="2"/>
    <col min="61" max="61" width="9.1328125" style="2"/>
    <col min="62" max="62" width="9.1328125" style="2"/>
    <col min="63" max="63" width="9.1328125" style="2"/>
    <col min="64" max="64" width="9.1328125" style="2"/>
    <col min="65" max="65" width="9.1328125" style="2"/>
    <col min="66" max="66" width="9.1328125" style="2"/>
    <col min="67" max="67" width="9.1328125" style="2"/>
    <col min="68" max="68" width="9.1328125" style="2"/>
    <col min="69" max="69" width="9.1328125" style="2"/>
    <col min="70" max="70" width="9.1328125" style="2"/>
    <col min="71" max="71" width="9.1328125" style="2"/>
    <col min="72" max="72" width="9.1328125" style="2"/>
    <col min="73" max="73" width="9.1328125" style="2"/>
    <col min="74" max="74" width="9.1328125" style="2"/>
    <col min="75" max="75" width="9.1328125" style="2"/>
    <col min="76" max="76" width="9.1328125" style="2"/>
    <col min="77" max="77" width="9.1328125" style="2"/>
    <col min="78" max="78" width="9.1328125" style="2"/>
    <col min="79" max="79" width="9.1328125" style="2"/>
    <col min="80" max="80" width="9.1328125" style="2"/>
    <col min="81" max="81" width="9.1328125" style="2"/>
    <col min="82" max="82" width="9.1328125" style="2"/>
    <col min="83" max="83" width="9.1328125" style="2"/>
    <col min="84" max="84" width="9.1328125" style="2"/>
    <col min="85" max="85" width="9.1328125" style="2"/>
    <col min="86" max="86" width="9.1328125" style="2"/>
    <col min="87" max="87" width="9.1328125" style="2"/>
    <col min="88" max="88" width="9.1328125" style="2"/>
    <col min="89" max="89" width="9.1328125" style="2"/>
    <col min="90" max="90" width="9.1328125" style="2"/>
    <col min="91" max="91" width="9.1328125" style="2"/>
    <col min="92" max="92" width="9.1328125" style="2"/>
    <col min="93" max="93" width="9.1328125" style="2"/>
    <col min="94" max="94" width="9.1328125" style="2"/>
    <col min="95" max="95" width="9.1328125" style="2"/>
    <col min="96" max="96" width="9.1328125" style="2"/>
    <col min="97" max="97" width="9.1328125" style="2"/>
    <col min="98" max="98" width="9.1328125" style="2"/>
    <col min="99" max="99" width="9.1328125" style="2"/>
    <col min="100" max="100" width="9.1328125" style="2"/>
    <col min="101" max="101" width="9.1328125" style="2"/>
    <col min="102" max="102" width="9.1328125" style="2"/>
    <col min="103" max="103" width="9.1328125" style="2"/>
    <col min="104" max="104" width="9.1328125" style="2"/>
    <col min="105" max="105" width="9.1328125" style="2"/>
    <col min="106" max="106" width="9.1328125" style="2"/>
    <col min="107" max="107" width="9.1328125" style="2"/>
    <col min="108" max="108" width="9.1328125" style="2"/>
    <col min="109" max="109" width="9.1328125" style="2"/>
    <col min="110" max="110" width="9.1328125" style="2"/>
    <col min="111" max="111" width="9.1328125" style="2"/>
    <col min="112" max="112" width="9.1328125" style="2"/>
    <col min="113" max="113" width="9.1328125" style="2"/>
    <col min="114" max="114" width="9.1328125" style="2"/>
    <col min="115" max="115" width="9.1328125" style="2"/>
    <col min="116" max="116" width="9.1328125" style="2"/>
    <col min="117" max="117" width="9.1328125" style="2"/>
    <col min="118" max="118" width="9.1328125" style="2"/>
    <col min="119" max="119" width="9.1328125" style="2"/>
    <col min="120" max="120" width="9.1328125" style="2"/>
    <col min="121" max="121" width="9.1328125" style="2"/>
    <col min="122" max="122" width="9.1328125" style="2"/>
    <col min="123" max="123" width="9.1328125" style="2"/>
    <col min="124" max="124" width="9.1328125" style="2"/>
    <col min="125" max="125" width="9.1328125" style="2"/>
    <col min="126" max="126" width="9.1328125" style="2"/>
    <col min="127" max="127" width="9.1328125" style="2"/>
    <col min="128" max="128" width="9.1328125" style="2"/>
    <col min="129" max="129" width="9.1328125" style="2"/>
    <col min="130" max="130" width="9.1328125" style="2"/>
    <col min="131" max="131" width="9.1328125" style="2"/>
    <col min="132" max="132" width="9.1328125" style="2"/>
    <col min="133" max="133" width="9.1328125" style="2"/>
    <col min="134" max="134" width="9.1328125" style="2"/>
    <col min="135" max="135" width="9.1328125" style="2"/>
    <col min="136" max="136" width="9.1328125" style="2"/>
    <col min="137" max="137" width="9.1328125" style="2"/>
    <col min="138" max="138" width="9.1328125" style="2"/>
    <col min="139" max="139" width="9.1328125" style="2"/>
    <col min="140" max="140" width="9.1328125" style="2"/>
    <col min="141" max="141" width="9.1328125" style="2"/>
    <col min="142" max="142" width="9.1328125" style="2"/>
    <col min="143" max="143" width="9.1328125" style="2"/>
    <col min="144" max="144" width="9.1328125" style="2"/>
    <col min="145" max="145" width="9.1328125" style="2"/>
    <col min="146" max="146" width="9.1328125" style="2"/>
    <col min="147" max="147" width="9.1328125" style="2"/>
    <col min="148" max="148" width="9.1328125" style="2"/>
    <col min="149" max="149" width="9.1328125" style="2"/>
    <col min="150" max="150" width="9.1328125" style="2"/>
    <col min="151" max="151" width="9.1328125" style="2"/>
    <col min="152" max="152" width="9.1328125" style="2"/>
    <col min="153" max="153" width="9.1328125" style="2"/>
    <col min="154" max="154" width="9.1328125" style="2"/>
    <col min="155" max="155" width="9.1328125" style="2"/>
    <col min="156" max="156" width="9.1328125" style="2"/>
    <col min="157" max="157" width="9.1328125" style="2"/>
    <col min="158" max="158" width="9.1328125" style="2"/>
    <col min="159" max="159" width="9.1328125" style="2"/>
    <col min="160" max="160" width="9.1328125" style="2"/>
    <col min="161" max="161" width="9.1328125" style="2"/>
    <col min="162" max="162" width="9.1328125" style="2"/>
    <col min="163" max="163" width="9.1328125" style="2"/>
    <col min="164" max="164" width="9.1328125" style="2"/>
    <col min="165" max="165" width="9.1328125" style="2"/>
    <col min="166" max="166" width="9.1328125" style="2"/>
    <col min="167" max="167" width="9.1328125" style="2"/>
    <col min="168" max="168" width="9.1328125" style="2"/>
    <col min="169" max="169" width="9.1328125" style="2"/>
    <col min="170" max="170" width="9.1328125" style="2"/>
    <col min="171" max="171" width="9.1328125" style="2"/>
    <col min="172" max="172" width="9.1328125" style="2"/>
    <col min="173" max="173" width="9.1328125" style="2"/>
    <col min="174" max="174" width="9.1328125" style="2"/>
    <col min="175" max="175" width="9.1328125" style="2"/>
    <col min="176" max="176" width="9.1328125" style="2"/>
    <col min="177" max="177" width="9.1328125" style="2"/>
    <col min="178" max="178" width="9.1328125" style="2"/>
    <col min="179" max="179" width="9.1328125" style="2"/>
    <col min="180" max="180" width="9.1328125" style="2"/>
    <col min="181" max="181" width="9.1328125" style="2"/>
    <col min="182" max="182" width="9.1328125" style="2"/>
    <col min="183" max="183" width="9.1328125" style="2"/>
    <col min="184" max="184" width="9.1328125" style="2"/>
    <col min="185" max="185" width="9.1328125" style="2"/>
    <col min="186" max="186" width="9.1328125" style="2"/>
    <col min="187" max="187" width="9.1328125" style="2"/>
    <col min="188" max="188" width="9.1328125" style="2"/>
    <col min="189" max="189" width="9.1328125" style="2"/>
    <col min="190" max="190" width="9.1328125" style="2"/>
    <col min="191" max="191" width="9.1328125" style="2"/>
    <col min="192" max="192" width="9.1328125" style="2"/>
    <col min="193" max="193" width="9.1328125" style="2"/>
    <col min="194" max="194" width="9.1328125" style="2"/>
    <col min="195" max="195" width="9.1328125" style="2"/>
    <col min="196" max="196" width="9.1328125" style="2"/>
    <col min="197" max="197" width="9.1328125" style="2"/>
    <col min="198" max="198" width="9.1328125" style="2"/>
    <col min="199" max="199" width="9.1328125" style="2"/>
    <col min="200" max="200" width="9.1328125" style="2"/>
    <col min="201" max="201" width="9.1328125" style="2"/>
    <col min="202" max="202" width="9.1328125" style="2"/>
    <col min="203" max="203" width="9.1328125" style="2"/>
    <col min="204" max="204" width="9.1328125" style="2"/>
    <col min="205" max="205" width="9.1328125" style="2"/>
    <col min="206" max="206" width="9.1328125" style="2"/>
    <col min="207" max="207" width="9.1328125" style="2"/>
    <col min="208" max="208" width="9.1328125" style="2"/>
    <col min="209" max="209" width="9.1328125" style="2"/>
    <col min="210" max="210" width="9.1328125" style="2"/>
    <col min="211" max="211" width="9.1328125" style="2"/>
    <col min="212" max="212" width="9.1328125" style="2"/>
    <col min="213" max="213" width="9.1328125" style="2"/>
    <col min="214" max="214" width="9.1328125" style="2"/>
    <col min="215" max="215" width="9.1328125" style="2"/>
    <col min="216" max="216" width="9.1328125" style="2"/>
    <col min="217" max="217" width="9.1328125" style="2"/>
    <col min="218" max="218" width="9.1328125" style="2"/>
    <col min="219" max="219" width="9.1328125" style="2"/>
    <col min="220" max="220" width="9.1328125" style="2"/>
    <col min="221" max="221" width="9.1328125" style="2"/>
    <col min="222" max="222" width="9.1328125" style="2"/>
    <col min="223" max="223" width="9.1328125" style="2"/>
    <col min="224" max="224" width="9.1328125" style="2"/>
    <col min="225" max="225" width="9.1328125" style="2"/>
    <col min="226" max="226" width="9.1328125" style="2"/>
    <col min="227" max="227" width="9.1328125" style="2"/>
    <col min="228" max="228" width="9.1328125" style="2"/>
    <col min="229" max="229" width="9.1328125" style="2"/>
    <col min="230" max="230" width="9.1328125" style="2"/>
    <col min="231" max="231" width="9.1328125" style="2"/>
    <col min="232" max="232" width="9.1328125" style="2"/>
    <col min="233" max="233" width="9.1328125" style="2"/>
    <col min="234" max="234" width="9.1328125" style="2"/>
    <col min="235" max="235" width="9.1328125" style="2"/>
    <col min="236" max="236" width="9.1328125" style="2"/>
    <col min="237" max="237" width="9.1328125" style="2"/>
    <col min="238" max="238" width="9.1328125" style="2"/>
    <col min="239" max="239" width="9.1328125" style="2"/>
    <col min="240" max="240" width="9.1328125" style="2"/>
    <col min="241" max="241" width="9.1328125" style="2"/>
    <col min="242" max="242" width="9.1328125" style="2"/>
    <col min="243" max="243" width="9.1328125" style="2"/>
    <col min="244" max="244" width="9.1328125" style="2"/>
    <col min="245" max="245" width="9.1328125" style="2"/>
    <col min="246" max="246" width="9.1328125" style="2"/>
    <col min="247" max="247" width="9.1328125" style="2"/>
    <col min="248" max="248" width="9.1328125" style="2"/>
    <col min="249" max="249" width="9.1328125" style="2"/>
    <col min="250" max="250" width="9.1328125" style="2"/>
    <col min="251" max="251" width="9.1328125" style="2"/>
    <col min="252" max="252" width="9.1328125" style="2"/>
    <col min="253" max="253" width="9.1328125" style="2"/>
    <col min="254" max="254" width="9.1328125" style="2"/>
    <col min="255" max="255" width="9.1328125" style="2"/>
    <col min="256" max="256" width="9.1328125" style="2"/>
    <col min="257" max="257" width="9.1328125" style="2"/>
    <col min="258" max="258" width="9.1328125" style="2"/>
    <col min="259" max="259" width="9.1328125" style="2"/>
    <col min="260" max="260" width="9.1328125" style="2"/>
    <col min="261" max="261" width="9.1328125" style="2"/>
    <col min="262" max="262" width="9.1328125" style="2"/>
    <col min="263" max="263" width="9.1328125" style="2"/>
    <col min="264" max="264" width="9.1328125" style="2"/>
    <col min="265" max="265" width="9.1328125" style="2"/>
    <col min="266" max="266" width="9.1328125" style="2"/>
    <col min="267" max="267" width="9.1328125" style="2"/>
    <col min="268" max="268" width="9.1328125" style="2"/>
    <col min="269" max="269" width="9.1328125" style="2"/>
    <col min="270" max="270" width="9.1328125" style="2"/>
    <col min="271" max="271" width="9.1328125" style="2"/>
    <col min="272" max="272" width="9.1328125" style="2"/>
    <col min="273" max="273" width="9.1328125" style="2"/>
    <col min="274" max="274" width="9.1328125" style="2"/>
    <col min="275" max="275" width="9.1328125" style="2"/>
    <col min="276" max="276" width="9.1328125" style="2"/>
    <col min="277" max="277" width="9.1328125" style="2"/>
    <col min="278" max="278" width="9.1328125" style="2"/>
    <col min="279" max="279" width="9.1328125" style="2"/>
    <col min="280" max="280" width="9.1328125" style="2"/>
    <col min="281" max="281" width="9.1328125" style="2"/>
    <col min="282" max="282" width="9.1328125" style="2"/>
    <col min="283" max="283" width="9.1328125" style="2"/>
    <col min="284" max="284" width="9.1328125" style="2"/>
    <col min="285" max="285" width="9.1328125" style="2"/>
    <col min="286" max="286" width="9.1328125" style="2"/>
    <col min="287" max="287" width="9.1328125" style="2"/>
    <col min="288" max="288" width="9.1328125" style="2"/>
    <col min="289" max="289" width="9.1328125" style="2"/>
    <col min="290" max="290" width="9.1328125" style="2"/>
    <col min="291" max="291" width="9.1328125" style="2"/>
    <col min="292" max="292" width="9.1328125" style="2"/>
    <col min="293" max="293" width="9.1328125" style="2"/>
    <col min="294" max="294" width="9.1328125" style="2"/>
    <col min="295" max="295" width="9.1328125" style="2"/>
    <col min="296" max="296" width="9.1328125" style="2"/>
    <col min="297" max="297" width="9.1328125" style="2"/>
    <col min="298" max="298" width="9.1328125" style="2"/>
    <col min="299" max="299" width="9.1328125" style="2"/>
    <col min="300" max="300" width="9.1328125" style="2"/>
    <col min="301" max="301" width="9.1328125" style="2"/>
    <col min="302" max="302" width="9.1328125" style="2"/>
    <col min="303" max="303" width="9.1328125" style="2"/>
    <col min="304" max="304" width="9.1328125" style="2"/>
    <col min="305" max="305" width="9.1328125" style="2"/>
    <col min="306" max="306" width="9.1328125" style="2"/>
    <col min="307" max="307" width="9.1328125" style="2"/>
    <col min="308" max="308" width="9.1328125" style="2"/>
    <col min="309" max="309" width="9.1328125" style="2"/>
    <col min="310" max="310" width="9.1328125" style="2"/>
    <col min="311" max="311" width="9.1328125" style="2"/>
    <col min="312" max="312" width="9.1328125" style="2"/>
    <col min="313" max="313" width="9.1328125" style="2"/>
    <col min="314" max="314" width="9.1328125" style="2"/>
    <col min="315" max="315" width="9.1328125" style="2"/>
    <col min="316" max="316" width="9.1328125" style="2"/>
    <col min="317" max="317" width="9.1328125" style="2"/>
    <col min="318" max="318" width="9.1328125" style="2"/>
    <col min="319" max="319" width="9.1328125" style="2"/>
    <col min="320" max="320" width="9.1328125" style="2"/>
    <col min="321" max="321" width="9.1328125" style="2"/>
    <col min="322" max="322" width="9.1328125" style="2"/>
    <col min="323" max="323" width="9.1328125" style="2"/>
    <col min="324" max="324" width="9.1328125" style="2"/>
    <col min="325" max="325" width="9.1328125" style="2"/>
    <col min="326" max="326" width="9.1328125" style="2"/>
    <col min="327" max="327" width="9.1328125" style="2"/>
    <col min="328" max="328" width="9.1328125" style="2"/>
    <col min="329" max="329" width="9.1328125" style="2"/>
    <col min="330" max="330" width="9.1328125" style="2"/>
    <col min="331" max="331" width="9.1328125" style="2"/>
    <col min="332" max="332" width="9.1328125" style="2"/>
    <col min="333" max="333" width="9.1328125" style="2"/>
    <col min="334" max="334" width="9.1328125" style="2"/>
    <col min="335" max="335" width="9.1328125" style="2"/>
    <col min="336" max="336" width="9.1328125" style="2"/>
    <col min="337" max="337" width="9.1328125" style="2"/>
    <col min="338" max="338" width="9.1328125" style="2"/>
    <col min="339" max="339" width="9.1328125" style="2"/>
    <col min="340" max="340" width="9.1328125" style="2"/>
    <col min="341" max="341" width="9.1328125" style="2"/>
    <col min="342" max="342" width="9.1328125" style="2"/>
    <col min="343" max="343" width="9.1328125" style="2"/>
    <col min="344" max="344" width="9.1328125" style="2"/>
    <col min="345" max="345" width="9.1328125" style="2"/>
    <col min="346" max="346" width="9.1328125" style="2"/>
    <col min="347" max="347" width="9.1328125" style="2"/>
    <col min="348" max="348" width="9.1328125" style="2"/>
    <col min="349" max="349" width="9.1328125" style="2"/>
    <col min="350" max="350" width="9.1328125" style="2"/>
    <col min="351" max="351" width="9.1328125" style="2"/>
    <col min="352" max="352" width="9.1328125" style="2"/>
    <col min="353" max="353" width="9.1328125" style="2"/>
    <col min="354" max="354" width="9.1328125" style="2"/>
    <col min="355" max="355" width="9.1328125" style="2"/>
    <col min="356" max="356" width="9.1328125" style="2"/>
    <col min="357" max="357" width="9.1328125" style="2"/>
    <col min="358" max="358" width="9.1328125" style="2"/>
    <col min="359" max="359" width="9.1328125" style="2"/>
    <col min="360" max="360" width="9.1328125" style="2"/>
    <col min="361" max="361" width="9.1328125" style="2"/>
    <col min="362" max="362" width="9.1328125" style="2"/>
    <col min="363" max="363" width="9.1328125" style="2"/>
    <col min="364" max="364" width="9.1328125" style="2"/>
    <col min="365" max="365" width="9.1328125" style="2"/>
    <col min="366" max="366" width="9.1328125" style="2"/>
    <col min="367" max="367" width="9.1328125" style="2"/>
    <col min="368" max="368" width="9.1328125" style="2"/>
    <col min="369" max="369" width="9.1328125" style="2"/>
    <col min="370" max="370" width="9.1328125" style="2"/>
    <col min="371" max="371" width="9.1328125" style="2"/>
    <col min="372" max="372" width="9.1328125" style="2"/>
    <col min="373" max="373" width="9.1328125" style="2"/>
    <col min="374" max="374" width="9.1328125" style="2"/>
    <col min="375" max="375" width="9.1328125" style="2"/>
    <col min="376" max="376" width="9.1328125" style="2"/>
    <col min="377" max="377" width="9.1328125" style="2"/>
    <col min="378" max="378" width="9.1328125" style="2"/>
    <col min="379" max="379" width="9.1328125" style="2"/>
    <col min="380" max="380" width="9.1328125" style="2"/>
    <col min="381" max="381" width="9.1328125" style="2"/>
    <col min="382" max="382" width="9.1328125" style="2"/>
    <col min="383" max="383" width="9.1328125" style="2"/>
    <col min="384" max="384" width="9.1328125" style="2"/>
    <col min="385" max="385" width="9.1328125" style="2"/>
    <col min="386" max="386" width="9.1328125" style="2"/>
    <col min="387" max="387" width="9.1328125" style="2"/>
    <col min="388" max="388" width="9.1328125" style="2"/>
    <col min="389" max="389" width="9.1328125" style="2"/>
    <col min="390" max="390" width="9.1328125" style="2"/>
    <col min="391" max="391" width="9.1328125" style="2"/>
    <col min="392" max="392" width="9.1328125" style="2"/>
    <col min="393" max="393" width="9.1328125" style="2"/>
    <col min="394" max="394" width="9.1328125" style="2"/>
    <col min="395" max="395" width="9.1328125" style="2"/>
    <col min="396" max="396" width="9.1328125" style="2"/>
    <col min="397" max="397" width="9.1328125" style="2"/>
    <col min="398" max="398" width="9.1328125" style="2"/>
    <col min="399" max="399" width="9.1328125" style="2"/>
    <col min="400" max="400" width="9.1328125" style="2"/>
    <col min="401" max="401" width="9.1328125" style="2"/>
    <col min="402" max="402" width="9.1328125" style="2"/>
    <col min="403" max="403" width="9.1328125" style="2"/>
    <col min="404" max="404" width="9.1328125" style="2"/>
    <col min="405" max="405" width="9.1328125" style="2"/>
    <col min="406" max="406" width="9.1328125" style="2"/>
    <col min="407" max="407" width="9.1328125" style="2"/>
    <col min="408" max="408" width="9.1328125" style="2"/>
    <col min="409" max="409" width="9.1328125" style="2"/>
    <col min="410" max="410" width="9.1328125" style="2"/>
    <col min="411" max="411" width="9.1328125" style="2"/>
    <col min="412" max="412" width="9.1328125" style="2"/>
    <col min="413" max="413" width="9.1328125" style="2"/>
    <col min="414" max="414" width="9.1328125" style="2"/>
    <col min="415" max="415" width="9.1328125" style="2"/>
    <col min="416" max="416" width="9.1328125" style="2"/>
    <col min="417" max="417" width="9.1328125" style="2"/>
    <col min="418" max="418" width="9.1328125" style="2"/>
    <col min="419" max="419" width="9.1328125" style="2"/>
    <col min="420" max="420" width="9.1328125" style="2"/>
    <col min="421" max="421" width="9.1328125" style="2"/>
    <col min="422" max="422" width="9.1328125" style="2"/>
    <col min="423" max="423" width="9.1328125" style="2"/>
    <col min="424" max="424" width="9.1328125" style="2"/>
    <col min="425" max="425" width="9.1328125" style="2"/>
    <col min="426" max="426" width="9.1328125" style="2"/>
    <col min="427" max="427" width="9.1328125" style="2"/>
    <col min="428" max="428" width="9.1328125" style="2"/>
    <col min="429" max="429" width="9.1328125" style="2"/>
    <col min="430" max="430" width="9.1328125" style="2"/>
    <col min="431" max="431" width="9.1328125" style="2"/>
    <col min="432" max="432" width="9.1328125" style="2"/>
    <col min="433" max="433" width="9.1328125" style="2"/>
    <col min="434" max="434" width="9.1328125" style="2"/>
    <col min="435" max="435" width="9.1328125" style="2"/>
    <col min="436" max="436" width="9.1328125" style="2"/>
    <col min="437" max="437" width="9.1328125" style="2"/>
    <col min="438" max="438" width="9.1328125" style="2"/>
    <col min="439" max="439" width="9.1328125" style="2"/>
    <col min="440" max="440" width="9.1328125" style="2"/>
    <col min="441" max="441" width="9.1328125" style="2"/>
    <col min="442" max="442" width="9.1328125" style="2"/>
    <col min="443" max="443" width="9.1328125" style="2"/>
    <col min="444" max="444" width="9.1328125" style="2"/>
    <col min="445" max="445" width="9.1328125" style="2"/>
    <col min="446" max="446" width="9.1328125" style="2"/>
    <col min="447" max="447" width="9.1328125" style="2"/>
    <col min="448" max="448" width="9.1328125" style="2"/>
    <col min="449" max="449" width="9.1328125" style="2"/>
    <col min="450" max="450" width="9.1328125" style="2"/>
    <col min="451" max="451" width="9.1328125" style="2"/>
    <col min="452" max="452" width="9.1328125" style="2"/>
    <col min="453" max="453" width="9.1328125" style="2"/>
    <col min="454" max="454" width="9.1328125" style="2"/>
    <col min="455" max="455" width="9.1328125" style="2"/>
    <col min="456" max="456" width="9.1328125" style="2"/>
    <col min="457" max="457" width="9.1328125" style="2"/>
    <col min="458" max="458" width="9.1328125" style="2"/>
    <col min="459" max="459" width="9.1328125" style="2"/>
    <col min="460" max="460" width="9.1328125" style="2"/>
    <col min="461" max="461" width="9.1328125" style="2"/>
    <col min="462" max="462" width="9.1328125" style="2"/>
    <col min="463" max="463" width="9.1328125" style="2"/>
    <col min="464" max="464" width="9.1328125" style="2"/>
    <col min="465" max="465" width="9.1328125" style="2"/>
    <col min="466" max="466" width="9.1328125" style="2"/>
    <col min="467" max="467" width="9.1328125" style="2"/>
    <col min="468" max="468" width="9.1328125" style="2"/>
    <col min="469" max="469" width="9.1328125" style="2"/>
    <col min="470" max="470" width="9.1328125" style="2"/>
    <col min="471" max="471" width="9.1328125" style="2"/>
    <col min="472" max="472" width="9.1328125" style="2"/>
    <col min="473" max="473" width="9.1328125" style="2"/>
    <col min="474" max="474" width="9.1328125" style="2"/>
    <col min="475" max="475" width="9.1328125" style="2"/>
    <col min="476" max="476" width="9.1328125" style="2"/>
    <col min="477" max="477" width="9.1328125" style="2"/>
    <col min="478" max="478" width="9.1328125" style="2"/>
    <col min="479" max="479" width="9.1328125" style="2"/>
    <col min="480" max="480" width="9.1328125" style="2"/>
    <col min="481" max="481" width="9.1328125" style="2"/>
    <col min="482" max="482" width="9.1328125" style="2"/>
    <col min="483" max="483" width="9.1328125" style="2"/>
    <col min="484" max="484" width="9.1328125" style="2"/>
    <col min="485" max="485" width="9.1328125" style="2"/>
    <col min="486" max="486" width="9.1328125" style="2"/>
    <col min="487" max="487" width="9.1328125" style="2"/>
    <col min="488" max="488" width="9.1328125" style="2"/>
    <col min="489" max="489" width="9.1328125" style="2"/>
    <col min="490" max="490" width="9.1328125" style="2"/>
    <col min="491" max="491" width="9.1328125" style="2"/>
    <col min="492" max="492" width="9.1328125" style="2"/>
    <col min="493" max="493" width="9.1328125" style="2"/>
    <col min="494" max="494" width="9.1328125" style="2"/>
    <col min="495" max="495" width="9.1328125" style="2"/>
    <col min="496" max="496" width="9.1328125" style="2"/>
    <col min="497" max="497" width="9.1328125" style="2"/>
    <col min="498" max="498" width="9.1328125" style="2"/>
    <col min="499" max="499" width="9.1328125" style="2"/>
    <col min="500" max="500" width="9.1328125" style="2"/>
    <col min="501" max="501" width="9.1328125" style="2"/>
    <col min="502" max="502" width="9.1328125" style="2"/>
    <col min="503" max="503" width="9.1328125" style="2"/>
    <col min="504" max="504" width="9.1328125" style="2"/>
    <col min="505" max="505" width="9.1328125" style="2"/>
    <col min="506" max="506" width="9.1328125" style="2"/>
    <col min="507" max="507" width="9.1328125" style="2"/>
    <col min="508" max="508" width="9.1328125" style="2"/>
    <col min="509" max="509" width="9.1328125" style="2"/>
    <col min="510" max="510" width="9.1328125" style="2"/>
    <col min="511" max="511" width="9.1328125" style="2"/>
    <col min="512" max="512" width="9.1328125" style="2"/>
    <col min="513" max="513" width="9.1328125" style="2"/>
    <col min="514" max="514" width="9.1328125" style="2"/>
    <col min="515" max="515" width="9.1328125" style="2"/>
    <col min="516" max="516" width="9.1328125" style="2"/>
    <col min="517" max="517" width="9.1328125" style="2"/>
    <col min="518" max="518" width="9.1328125" style="2"/>
    <col min="519" max="519" width="9.1328125" style="2"/>
    <col min="520" max="520" width="9.1328125" style="2"/>
    <col min="521" max="521" width="9.1328125" style="2"/>
    <col min="522" max="522" width="9.1328125" style="2"/>
    <col min="523" max="523" width="9.1328125" style="2"/>
    <col min="524" max="524" width="9.1328125" style="2"/>
    <col min="525" max="525" width="9.1328125" style="2"/>
    <col min="526" max="526" width="9.1328125" style="2"/>
    <col min="527" max="527" width="9.1328125" style="2"/>
    <col min="528" max="528" width="9.1328125" style="2"/>
    <col min="529" max="529" width="9.1328125" style="2"/>
    <col min="530" max="530" width="9.1328125" style="2"/>
    <col min="531" max="531" width="9.1328125" style="2"/>
    <col min="532" max="532" width="9.1328125" style="2"/>
    <col min="533" max="533" width="9.1328125" style="2"/>
    <col min="534" max="534" width="9.1328125" style="2"/>
    <col min="535" max="535" width="9.1328125" style="2"/>
    <col min="536" max="536" width="9.1328125" style="2"/>
    <col min="537" max="537" width="9.1328125" style="2"/>
    <col min="538" max="538" width="9.1328125" style="2"/>
    <col min="539" max="539" width="9.1328125" style="2"/>
    <col min="540" max="540" width="9.1328125" style="2"/>
    <col min="541" max="541" width="9.1328125" style="2"/>
    <col min="542" max="542" width="9.1328125" style="2"/>
    <col min="543" max="543" width="9.1328125" style="2"/>
    <col min="544" max="544" width="9.1328125" style="2"/>
    <col min="545" max="545" width="9.1328125" style="2"/>
    <col min="546" max="546" width="9.1328125" style="2"/>
    <col min="547" max="547" width="9.1328125" style="2"/>
    <col min="548" max="548" width="9.1328125" style="2"/>
    <col min="549" max="549" width="9.1328125" style="2"/>
    <col min="550" max="550" width="9.1328125" style="2"/>
    <col min="551" max="551" width="9.1328125" style="2"/>
    <col min="552" max="552" width="9.1328125" style="2"/>
    <col min="553" max="553" width="9.1328125" style="2"/>
    <col min="554" max="554" width="9.1328125" style="2"/>
    <col min="555" max="555" width="9.1328125" style="2"/>
    <col min="556" max="556" width="9.1328125" style="2"/>
    <col min="557" max="557" width="9.1328125" style="2"/>
    <col min="558" max="558" width="9.1328125" style="2"/>
    <col min="559" max="559" width="9.1328125" style="2"/>
    <col min="560" max="560" width="9.1328125" style="2"/>
    <col min="561" max="561" width="9.1328125" style="2"/>
    <col min="562" max="562" width="9.1328125" style="2"/>
    <col min="563" max="563" width="9.1328125" style="2"/>
    <col min="564" max="564" width="9.1328125" style="2"/>
    <col min="565" max="565" width="9.1328125" style="2"/>
    <col min="566" max="566" width="9.1328125" style="2"/>
    <col min="567" max="567" width="9.1328125" style="2"/>
    <col min="568" max="568" width="9.1328125" style="2"/>
    <col min="569" max="569" width="9.1328125" style="2"/>
    <col min="570" max="570" width="9.1328125" style="2"/>
    <col min="571" max="571" width="9.1328125" style="2"/>
    <col min="572" max="572" width="9.1328125" style="2"/>
    <col min="573" max="573" width="9.1328125" style="2"/>
    <col min="574" max="574" width="9.1328125" style="2"/>
    <col min="575" max="575" width="9.1328125" style="2"/>
    <col min="576" max="576" width="9.1328125" style="2"/>
    <col min="577" max="577" width="9.1328125" style="2"/>
    <col min="578" max="578" width="9.1328125" style="2"/>
    <col min="579" max="579" width="9.1328125" style="2"/>
    <col min="580" max="580" width="9.1328125" style="2"/>
    <col min="581" max="581" width="9.1328125" style="2"/>
    <col min="582" max="582" width="9.1328125" style="2"/>
    <col min="583" max="583" width="9.1328125" style="2"/>
    <col min="584" max="584" width="9.1328125" style="2"/>
    <col min="585" max="585" width="9.1328125" style="2"/>
    <col min="586" max="586" width="9.1328125" style="2"/>
    <col min="587" max="587" width="9.1328125" style="2"/>
    <col min="588" max="588" width="9.1328125" style="2"/>
    <col min="589" max="589" width="9.1328125" style="2"/>
    <col min="590" max="590" width="9.1328125" style="2"/>
    <col min="591" max="591" width="9.1328125" style="2"/>
    <col min="592" max="592" width="9.1328125" style="2"/>
    <col min="593" max="593" width="9.1328125" style="2"/>
    <col min="594" max="594" width="9.1328125" style="2"/>
    <col min="595" max="595" width="9.1328125" style="2"/>
    <col min="596" max="596" width="9.1328125" style="2"/>
    <col min="597" max="597" width="9.1328125" style="2"/>
    <col min="598" max="598" width="9.1328125" style="2"/>
    <col min="599" max="599" width="9.1328125" style="2"/>
    <col min="600" max="600" width="9.1328125" style="2"/>
    <col min="601" max="601" width="9.1328125" style="2"/>
    <col min="602" max="602" width="9.1328125" style="2"/>
    <col min="603" max="603" width="9.1328125" style="2"/>
    <col min="604" max="604" width="9.1328125" style="2"/>
    <col min="605" max="605" width="9.1328125" style="2"/>
    <col min="606" max="606" width="9.1328125" style="2"/>
    <col min="607" max="607" width="9.1328125" style="2"/>
    <col min="608" max="608" width="9.1328125" style="2"/>
    <col min="609" max="609" width="9.1328125" style="2"/>
    <col min="610" max="610" width="9.1328125" style="2"/>
    <col min="611" max="611" width="9.1328125" style="2"/>
    <col min="612" max="612" width="9.1328125" style="2"/>
    <col min="613" max="613" width="9.1328125" style="2"/>
    <col min="614" max="614" width="9.1328125" style="2"/>
    <col min="615" max="615" width="9.1328125" style="2"/>
    <col min="616" max="616" width="9.1328125" style="2"/>
    <col min="617" max="617" width="9.1328125" style="2"/>
    <col min="618" max="618" width="9.1328125" style="2"/>
    <col min="619" max="619" width="9.1328125" style="2"/>
    <col min="620" max="620" width="9.1328125" style="2"/>
    <col min="621" max="621" width="9.1328125" style="2"/>
    <col min="622" max="622" width="9.1328125" style="2"/>
    <col min="623" max="623" width="9.1328125" style="2"/>
    <col min="624" max="624" width="9.1328125" style="2"/>
    <col min="625" max="625" width="9.1328125" style="2"/>
    <col min="626" max="626" width="9.1328125" style="2"/>
    <col min="627" max="627" width="9.1328125" style="2"/>
    <col min="628" max="628" width="9.1328125" style="2"/>
    <col min="629" max="629" width="9.1328125" style="2"/>
    <col min="630" max="630" width="9.1328125" style="2"/>
    <col min="631" max="631" width="9.1328125" style="2"/>
    <col min="632" max="632" width="9.1328125" style="2"/>
    <col min="633" max="633" width="9.1328125" style="2"/>
    <col min="634" max="634" width="9.1328125" style="2"/>
    <col min="635" max="635" width="9.1328125" style="2"/>
    <col min="636" max="636" width="9.1328125" style="2"/>
    <col min="637" max="637" width="9.1328125" style="2"/>
    <col min="638" max="638" width="9.1328125" style="2"/>
    <col min="639" max="639" width="9.1328125" style="2"/>
    <col min="640" max="640" width="9.1328125" style="2"/>
    <col min="641" max="641" width="9.1328125" style="2"/>
    <col min="642" max="642" width="9.1328125" style="2"/>
    <col min="643" max="643" width="9.1328125" style="2"/>
    <col min="644" max="644" width="9.1328125" style="2"/>
    <col min="645" max="645" width="9.1328125" style="2"/>
    <col min="646" max="646" width="9.1328125" style="2"/>
    <col min="647" max="647" width="9.1328125" style="2"/>
    <col min="648" max="648" width="9.1328125" style="2"/>
    <col min="649" max="649" width="9.1328125" style="2"/>
    <col min="650" max="650" width="9.1328125" style="2"/>
    <col min="651" max="651" width="9.1328125" style="2"/>
    <col min="652" max="652" width="9.1328125" style="2"/>
    <col min="653" max="653" width="9.1328125" style="2"/>
    <col min="654" max="654" width="9.1328125" style="2"/>
    <col min="655" max="655" width="9.1328125" style="2"/>
    <col min="656" max="656" width="9.1328125" style="2"/>
    <col min="657" max="657" width="9.1328125" style="2"/>
    <col min="658" max="658" width="9.1328125" style="2"/>
    <col min="659" max="659" width="9.1328125" style="2"/>
    <col min="660" max="660" width="9.1328125" style="2"/>
    <col min="661" max="661" width="9.1328125" style="2"/>
    <col min="662" max="662" width="9.1328125" style="2"/>
    <col min="663" max="663" width="9.1328125" style="2"/>
    <col min="664" max="664" width="9.1328125" style="2"/>
    <col min="665" max="665" width="9.1328125" style="2"/>
    <col min="666" max="666" width="9.1328125" style="2"/>
    <col min="667" max="667" width="9.1328125" style="2"/>
    <col min="668" max="668" width="9.1328125" style="2"/>
    <col min="669" max="669" width="9.1328125" style="2"/>
    <col min="670" max="670" width="9.1328125" style="2"/>
    <col min="671" max="671" width="9.1328125" style="2"/>
    <col min="672" max="672" width="9.1328125" style="2"/>
    <col min="673" max="673" width="9.1328125" style="2"/>
    <col min="674" max="674" width="9.1328125" style="2"/>
    <col min="675" max="675" width="9.1328125" style="2"/>
    <col min="676" max="676" width="9.1328125" style="2"/>
    <col min="677" max="677" width="9.1328125" style="2"/>
    <col min="678" max="678" width="9.1328125" style="2"/>
    <col min="679" max="679" width="9.1328125" style="2"/>
    <col min="680" max="680" width="9.1328125" style="2"/>
    <col min="681" max="681" width="9.1328125" style="2"/>
    <col min="682" max="682" width="9.1328125" style="2"/>
    <col min="683" max="683" width="9.1328125" style="2"/>
    <col min="684" max="684" width="9.1328125" style="2"/>
    <col min="685" max="685" width="9.1328125" style="2"/>
    <col min="686" max="686" width="9.1328125" style="2"/>
    <col min="687" max="687" width="9.1328125" style="2"/>
    <col min="688" max="688" width="9.1328125" style="2"/>
    <col min="689" max="689" width="9.1328125" style="2"/>
    <col min="690" max="690" width="9.1328125" style="2"/>
    <col min="691" max="691" width="9.1328125" style="2"/>
    <col min="692" max="692" width="9.1328125" style="2"/>
    <col min="693" max="693" width="9.1328125" style="2"/>
    <col min="694" max="694" width="9.1328125" style="2"/>
    <col min="695" max="695" width="9.1328125" style="2"/>
    <col min="696" max="696" width="9.1328125" style="2"/>
    <col min="697" max="697" width="9.1328125" style="2"/>
    <col min="698" max="698" width="9.1328125" style="2"/>
    <col min="699" max="699" width="9.1328125" style="2"/>
    <col min="700" max="700" width="9.1328125" style="2"/>
    <col min="701" max="701" width="9.1328125" style="2"/>
    <col min="702" max="702" width="9.1328125" style="2"/>
    <col min="703" max="703" width="9.1328125" style="2"/>
    <col min="704" max="704" width="9.1328125" style="2"/>
    <col min="705" max="705" width="9.1328125" style="2"/>
    <col min="706" max="706" width="9.1328125" style="2"/>
    <col min="707" max="707" width="9.1328125" style="2"/>
    <col min="708" max="708" width="9.1328125" style="2"/>
    <col min="709" max="709" width="9.1328125" style="2"/>
    <col min="710" max="710" width="9.1328125" style="2"/>
    <col min="711" max="711" width="9.1328125" style="2"/>
    <col min="712" max="712" width="9.1328125" style="2"/>
    <col min="713" max="713" width="9.1328125" style="2"/>
    <col min="714" max="714" width="9.1328125" style="2"/>
    <col min="715" max="715" width="9.1328125" style="2"/>
    <col min="716" max="716" width="9.1328125" style="2"/>
    <col min="717" max="717" width="9.1328125" style="2"/>
    <col min="718" max="718" width="9.1328125" style="2"/>
    <col min="719" max="719" width="9.1328125" style="2"/>
    <col min="720" max="720" width="9.1328125" style="2"/>
    <col min="721" max="721" width="9.1328125" style="2"/>
    <col min="722" max="722" width="9.1328125" style="2"/>
    <col min="723" max="723" width="9.1328125" style="2"/>
    <col min="724" max="724" width="9.1328125" style="2"/>
    <col min="725" max="725" width="9.1328125" style="2"/>
    <col min="726" max="726" width="9.1328125" style="2"/>
    <col min="727" max="727" width="9.1328125" style="2"/>
    <col min="728" max="728" width="9.1328125" style="2"/>
    <col min="729" max="729" width="9.1328125" style="2"/>
    <col min="730" max="730" width="9.1328125" style="2"/>
    <col min="731" max="731" width="9.1328125" style="2"/>
    <col min="732" max="732" width="9.1328125" style="2"/>
    <col min="733" max="733" width="9.1328125" style="2"/>
    <col min="734" max="734" width="9.1328125" style="2"/>
    <col min="735" max="735" width="9.1328125" style="2"/>
    <col min="736" max="736" width="9.1328125" style="2"/>
    <col min="737" max="737" width="9.1328125" style="2"/>
    <col min="738" max="738" width="9.1328125" style="2"/>
    <col min="739" max="739" width="9.1328125" style="2"/>
    <col min="740" max="740" width="9.1328125" style="2"/>
    <col min="741" max="741" width="9.1328125" style="2"/>
    <col min="742" max="742" width="9.1328125" style="2"/>
    <col min="743" max="743" width="9.1328125" style="2"/>
    <col min="744" max="744" width="9.1328125" style="2"/>
    <col min="745" max="745" width="9.1328125" style="2"/>
    <col min="746" max="746" width="9.1328125" style="2"/>
    <col min="747" max="747" width="9.1328125" style="2"/>
    <col min="748" max="748" width="9.1328125" style="2"/>
    <col min="749" max="749" width="9.1328125" style="2"/>
    <col min="750" max="750" width="9.1328125" style="2"/>
    <col min="751" max="751" width="9.1328125" style="2"/>
    <col min="752" max="752" width="9.1328125" style="2"/>
    <col min="753" max="753" width="9.1328125" style="2"/>
    <col min="754" max="754" width="9.1328125" style="2"/>
    <col min="755" max="755" width="9.1328125" style="2"/>
    <col min="756" max="756" width="9.1328125" style="2"/>
    <col min="757" max="757" width="9.1328125" style="2"/>
    <col min="758" max="758" width="9.1328125" style="2"/>
    <col min="759" max="759" width="9.1328125" style="2"/>
    <col min="760" max="760" width="9.1328125" style="2"/>
    <col min="761" max="761" width="9.1328125" style="2"/>
    <col min="762" max="762" width="9.1328125" style="2"/>
    <col min="763" max="763" width="9.1328125" style="2"/>
    <col min="764" max="764" width="9.1328125" style="2"/>
    <col min="765" max="765" width="9.1328125" style="2"/>
    <col min="766" max="766" width="9.1328125" style="2"/>
    <col min="767" max="767" width="9.1328125" style="2"/>
    <col min="768" max="768" width="9.1328125" style="2"/>
    <col min="769" max="769" width="9.1328125" style="2"/>
    <col min="770" max="770" width="9.1328125" style="2"/>
    <col min="771" max="771" width="9.1328125" style="2"/>
    <col min="772" max="772" width="9.1328125" style="2"/>
    <col min="773" max="773" width="9.1328125" style="2"/>
    <col min="774" max="774" width="9.1328125" style="2"/>
    <col min="775" max="775" width="9.1328125" style="2"/>
    <col min="776" max="776" width="9.1328125" style="2"/>
    <col min="777" max="777" width="9.1328125" style="2"/>
    <col min="778" max="778" width="9.1328125" style="2"/>
    <col min="779" max="779" width="9.1328125" style="2"/>
    <col min="780" max="780" width="9.1328125" style="2"/>
    <col min="781" max="781" width="9.1328125" style="2"/>
    <col min="782" max="782" width="9.1328125" style="2"/>
    <col min="783" max="783" width="9.1328125" style="2"/>
    <col min="784" max="784" width="9.1328125" style="2"/>
    <col min="785" max="785" width="9.1328125" style="2"/>
    <col min="786" max="786" width="9.1328125" style="2"/>
    <col min="787" max="787" width="9.1328125" style="2"/>
    <col min="788" max="788" width="9.1328125" style="2"/>
    <col min="789" max="789" width="9.1328125" style="2"/>
    <col min="790" max="790" width="9.1328125" style="2"/>
    <col min="791" max="791" width="9.1328125" style="2"/>
    <col min="792" max="792" width="9.1328125" style="2"/>
    <col min="793" max="793" width="9.1328125" style="2"/>
    <col min="794" max="794" width="9.1328125" style="2"/>
    <col min="795" max="795" width="9.1328125" style="2"/>
    <col min="796" max="796" width="9.1328125" style="2"/>
    <col min="797" max="797" width="9.1328125" style="2"/>
    <col min="798" max="798" width="9.1328125" style="2"/>
    <col min="799" max="799" width="9.1328125" style="2"/>
    <col min="800" max="800" width="9.1328125" style="2"/>
    <col min="801" max="801" width="9.1328125" style="2"/>
    <col min="802" max="802" width="9.1328125" style="2"/>
    <col min="803" max="803" width="9.1328125" style="2"/>
    <col min="804" max="804" width="9.1328125" style="2"/>
    <col min="805" max="805" width="9.1328125" style="2"/>
    <col min="806" max="806" width="9.1328125" style="2"/>
    <col min="807" max="807" width="9.1328125" style="2"/>
    <col min="808" max="808" width="9.1328125" style="2"/>
    <col min="809" max="809" width="9.1328125" style="2"/>
    <col min="810" max="810" width="9.1328125" style="2"/>
    <col min="811" max="811" width="9.1328125" style="2"/>
    <col min="812" max="812" width="9.1328125" style="2"/>
    <col min="813" max="813" width="9.1328125" style="2"/>
    <col min="814" max="814" width="9.1328125" style="2"/>
    <col min="815" max="815" width="9.1328125" style="2"/>
    <col min="816" max="816" width="9.1328125" style="2"/>
    <col min="817" max="817" width="9.1328125" style="2"/>
    <col min="818" max="818" width="9.1328125" style="2"/>
    <col min="819" max="819" width="9.1328125" style="2"/>
    <col min="820" max="820" width="9.1328125" style="2"/>
    <col min="821" max="821" width="9.1328125" style="2"/>
    <col min="822" max="822" width="9.1328125" style="2"/>
    <col min="823" max="823" width="9.1328125" style="2"/>
    <col min="824" max="824" width="9.1328125" style="2"/>
    <col min="825" max="825" width="9.1328125" style="2"/>
    <col min="826" max="826" width="9.1328125" style="2"/>
    <col min="827" max="827" width="9.1328125" style="2"/>
    <col min="828" max="828" width="9.1328125" style="2"/>
    <col min="829" max="829" width="9.1328125" style="2"/>
    <col min="830" max="830" width="9.1328125" style="2"/>
    <col min="831" max="831" width="9.1328125" style="2"/>
    <col min="832" max="832" width="9.1328125" style="2"/>
    <col min="833" max="833" width="9.1328125" style="2"/>
    <col min="834" max="834" width="9.1328125" style="2"/>
    <col min="835" max="835" width="9.1328125" style="2"/>
    <col min="836" max="836" width="9.1328125" style="2"/>
    <col min="837" max="837" width="9.1328125" style="2"/>
    <col min="838" max="838" width="9.1328125" style="2"/>
    <col min="839" max="839" width="9.1328125" style="2"/>
    <col min="840" max="840" width="9.1328125" style="2"/>
    <col min="841" max="841" width="9.1328125" style="2"/>
    <col min="842" max="842" width="9.1328125" style="2"/>
    <col min="843" max="843" width="9.1328125" style="2"/>
    <col min="844" max="844" width="9.1328125" style="2"/>
    <col min="845" max="845" width="9.1328125" style="2"/>
    <col min="846" max="846" width="9.1328125" style="2"/>
    <col min="847" max="847" width="9.1328125" style="2"/>
    <col min="848" max="848" width="9.1328125" style="2"/>
    <col min="849" max="849" width="9.1328125" style="2"/>
    <col min="850" max="850" width="9.1328125" style="2"/>
    <col min="851" max="851" width="9.1328125" style="2"/>
    <col min="852" max="852" width="9.1328125" style="2"/>
    <col min="853" max="853" width="9.1328125" style="2"/>
    <col min="854" max="854" width="9.1328125" style="2"/>
    <col min="855" max="855" width="9.1328125" style="2"/>
    <col min="856" max="856" width="9.1328125" style="2"/>
    <col min="857" max="857" width="9.1328125" style="2"/>
    <col min="858" max="858" width="9.1328125" style="2"/>
    <col min="859" max="859" width="9.1328125" style="2"/>
    <col min="860" max="860" width="9.1328125" style="2"/>
    <col min="861" max="861" width="9.1328125" style="2"/>
    <col min="862" max="862" width="9.1328125" style="2"/>
    <col min="863" max="863" width="9.1328125" style="2"/>
    <col min="864" max="864" width="9.1328125" style="2"/>
    <col min="865" max="865" width="9.1328125" style="2"/>
    <col min="866" max="866" width="9.1328125" style="2"/>
    <col min="867" max="867" width="9.1328125" style="2"/>
    <col min="868" max="868" width="9.1328125" style="2"/>
    <col min="869" max="869" width="9.1328125" style="2"/>
    <col min="870" max="870" width="9.1328125" style="2"/>
    <col min="871" max="871" width="9.1328125" style="2"/>
    <col min="872" max="872" width="9.1328125" style="2"/>
    <col min="873" max="873" width="9.1328125" style="2"/>
    <col min="874" max="874" width="9.1328125" style="2"/>
    <col min="875" max="875" width="9.1328125" style="2"/>
    <col min="876" max="876" width="9.1328125" style="2"/>
    <col min="877" max="877" width="9.1328125" style="2"/>
    <col min="878" max="878" width="9.1328125" style="2"/>
    <col min="879" max="879" width="9.1328125" style="2"/>
    <col min="880" max="880" width="9.1328125" style="2"/>
    <col min="881" max="881" width="9.1328125" style="2"/>
    <col min="882" max="882" width="9.1328125" style="2"/>
    <col min="883" max="883" width="9.1328125" style="2"/>
    <col min="884" max="884" width="9.1328125" style="2"/>
    <col min="885" max="885" width="9.1328125" style="2"/>
    <col min="886" max="886" width="9.1328125" style="2"/>
    <col min="887" max="887" width="9.1328125" style="2"/>
    <col min="888" max="888" width="9.1328125" style="2"/>
    <col min="889" max="889" width="9.1328125" style="2"/>
    <col min="890" max="890" width="9.1328125" style="2"/>
    <col min="891" max="891" width="9.1328125" style="2"/>
    <col min="892" max="892" width="9.1328125" style="2"/>
    <col min="893" max="893" width="9.1328125" style="2"/>
    <col min="894" max="894" width="9.1328125" style="2"/>
    <col min="895" max="895" width="9.1328125" style="2"/>
    <col min="896" max="896" width="9.1328125" style="2"/>
    <col min="897" max="897" width="9.1328125" style="2"/>
    <col min="898" max="898" width="9.1328125" style="2"/>
    <col min="899" max="899" width="9.1328125" style="2"/>
    <col min="900" max="900" width="9.1328125" style="2"/>
    <col min="901" max="901" width="9.1328125" style="2"/>
    <col min="902" max="902" width="9.1328125" style="2"/>
    <col min="903" max="903" width="9.1328125" style="2"/>
    <col min="904" max="904" width="9.1328125" style="2"/>
    <col min="905" max="905" width="9.1328125" style="2"/>
    <col min="906" max="906" width="9.1328125" style="2"/>
    <col min="907" max="907" width="9.1328125" style="2"/>
    <col min="908" max="908" width="9.1328125" style="2"/>
    <col min="909" max="909" width="9.1328125" style="2"/>
    <col min="910" max="910" width="9.1328125" style="2"/>
    <col min="911" max="911" width="9.1328125" style="2"/>
    <col min="912" max="912" width="9.1328125" style="2"/>
    <col min="913" max="913" width="9.1328125" style="2"/>
    <col min="914" max="914" width="9.1328125" style="2"/>
    <col min="915" max="915" width="9.1328125" style="2"/>
    <col min="916" max="916" width="9.1328125" style="2"/>
    <col min="917" max="917" width="9.1328125" style="2"/>
    <col min="918" max="918" width="9.1328125" style="2"/>
    <col min="919" max="919" width="9.1328125" style="2"/>
    <col min="920" max="920" width="9.1328125" style="2"/>
    <col min="921" max="921" width="9.1328125" style="2"/>
    <col min="922" max="922" width="9.1328125" style="2"/>
    <col min="923" max="923" width="9.1328125" style="2"/>
    <col min="924" max="924" width="9.1328125" style="2"/>
    <col min="925" max="925" width="9.1328125" style="2"/>
    <col min="926" max="926" width="9.1328125" style="2"/>
    <col min="927" max="927" width="9.1328125" style="2"/>
    <col min="928" max="928" width="9.1328125" style="2"/>
    <col min="929" max="929" width="9.1328125" style="2"/>
    <col min="930" max="930" width="9.1328125" style="2"/>
    <col min="931" max="931" width="9.1328125" style="2"/>
    <col min="932" max="932" width="9.1328125" style="2"/>
    <col min="933" max="933" width="9.1328125" style="2"/>
    <col min="934" max="934" width="9.1328125" style="2"/>
    <col min="935" max="935" width="9.1328125" style="2"/>
    <col min="936" max="936" width="9.1328125" style="2"/>
    <col min="937" max="937" width="9.1328125" style="2"/>
    <col min="938" max="938" width="9.1328125" style="2"/>
    <col min="939" max="939" width="9.1328125" style="2"/>
    <col min="940" max="940" width="9.1328125" style="2"/>
    <col min="941" max="941" width="9.1328125" style="2"/>
    <col min="942" max="942" width="9.1328125" style="2"/>
    <col min="943" max="943" width="9.1328125" style="2"/>
    <col min="944" max="944" width="9.1328125" style="2"/>
    <col min="945" max="945" width="9.1328125" style="2"/>
    <col min="946" max="946" width="9.1328125" style="2"/>
    <col min="947" max="947" width="9.1328125" style="2"/>
    <col min="948" max="948" width="9.1328125" style="2"/>
    <col min="949" max="949" width="9.1328125" style="2"/>
    <col min="950" max="950" width="9.1328125" style="2"/>
    <col min="951" max="951" width="9.1328125" style="2"/>
    <col min="952" max="952" width="9.1328125" style="2"/>
    <col min="953" max="953" width="9.1328125" style="2"/>
    <col min="954" max="954" width="9.1328125" style="2"/>
    <col min="955" max="955" width="9.1328125" style="2"/>
    <col min="956" max="956" width="9.1328125" style="2"/>
    <col min="957" max="957" width="9.1328125" style="2"/>
    <col min="958" max="958" width="9.1328125" style="2"/>
    <col min="959" max="959" width="9.1328125" style="2"/>
    <col min="960" max="960" width="9.1328125" style="2"/>
    <col min="961" max="961" width="9.1328125" style="2"/>
    <col min="962" max="962" width="9.1328125" style="2"/>
    <col min="963" max="963" width="9.1328125" style="2"/>
    <col min="964" max="964" width="9.1328125" style="2"/>
    <col min="965" max="965" width="9.1328125" style="2"/>
    <col min="966" max="966" width="9.1328125" style="2"/>
    <col min="967" max="967" width="9.1328125" style="2"/>
    <col min="968" max="968" width="9.1328125" style="2"/>
    <col min="969" max="969" width="9.1328125" style="2"/>
    <col min="970" max="970" width="9.1328125" style="2"/>
    <col min="971" max="971" width="9.1328125" style="2"/>
    <col min="972" max="972" width="9.1328125" style="2"/>
    <col min="973" max="973" width="9.1328125" style="2"/>
    <col min="974" max="974" width="9.1328125" style="2"/>
    <col min="975" max="975" width="9.1328125" style="2"/>
    <col min="976" max="976" width="9.1328125" style="2"/>
    <col min="977" max="977" width="9.1328125" style="2"/>
    <col min="978" max="978" width="9.1328125" style="2"/>
    <col min="979" max="979" width="9.1328125" style="2"/>
    <col min="980" max="980" width="9.1328125" style="2"/>
    <col min="981" max="981" width="9.1328125" style="2"/>
    <col min="982" max="982" width="9.1328125" style="2"/>
    <col min="983" max="983" width="9.1328125" style="2"/>
    <col min="984" max="984" width="9.1328125" style="2"/>
    <col min="985" max="985" width="9.1328125" style="2"/>
    <col min="986" max="986" width="9.1328125" style="2"/>
    <col min="987" max="987" width="9.1328125" style="2"/>
    <col min="988" max="988" width="9.1328125" style="2"/>
    <col min="989" max="989" width="9.1328125" style="2"/>
    <col min="990" max="990" width="9.1328125" style="2"/>
    <col min="991" max="991" width="9.1328125" style="2"/>
    <col min="992" max="992" width="9.1328125" style="2"/>
    <col min="993" max="993" width="9.1328125" style="2"/>
    <col min="994" max="994" width="9.1328125" style="2"/>
    <col min="995" max="995" width="9.1328125" style="2"/>
    <col min="996" max="996" width="9.1328125" style="2"/>
    <col min="997" max="997" width="9.1328125" style="2"/>
    <col min="998" max="998" width="9.1328125" style="2"/>
    <col min="999" max="999" width="9.1328125" style="2"/>
    <col min="1000" max="1000" width="9.1328125" style="2"/>
    <col min="1001" max="1001" width="9.1328125" style="2"/>
    <col min="1002" max="1002" width="9.1328125" style="2"/>
    <col min="1003" max="1003" width="9.1328125" style="2"/>
    <col min="1004" max="1004" width="9.1328125" style="2"/>
    <col min="1005" max="1005" width="9.1328125" style="2"/>
    <col min="1006" max="1006" width="9.1328125" style="2"/>
    <col min="1007" max="1007" width="9.1328125" style="2"/>
    <col min="1008" max="1008" width="9.1328125" style="2"/>
    <col min="1009" max="1009" width="9.1328125" style="2"/>
    <col min="1010" max="1010" width="9.1328125" style="2"/>
    <col min="1011" max="1011" width="9.1328125" style="2"/>
    <col min="1012" max="1012" width="9.1328125" style="2"/>
    <col min="1013" max="1013" width="9.1328125" style="2"/>
    <col min="1014" max="1014" width="9.1328125" style="2"/>
    <col min="1015" max="1015" width="9.1328125" style="2"/>
    <col min="1016" max="1016" width="9.1328125" style="2"/>
    <col min="1017" max="1017" width="9.1328125" style="2"/>
    <col min="1018" max="1018" width="9.1328125" style="2"/>
    <col min="1019" max="1019" width="9.1328125" style="2"/>
    <col min="1020" max="1020" width="9.1328125" style="2"/>
    <col min="1021" max="1021" width="9.1328125" style="2"/>
    <col min="1022" max="1022" width="9.1328125" style="2"/>
    <col min="1023" max="1023" width="9.1328125" style="2"/>
    <col min="1024" max="1024" width="9.1328125" style="2"/>
    <col min="1025" max="1025" width="9.1328125" style="27"/>
  </cols>
  <sheetData>
    <row r="1" spans="1:1025" customHeight="1" ht="15.95" s="5" customFormat="1">
      <c r="A1" s="582" t="s">
        <v>584</v>
      </c>
      <c r="B1" s="580" t="s">
        <v>65</v>
      </c>
      <c r="C1" s="580" t="s">
        <v>585</v>
      </c>
      <c r="D1" s="580" t="s">
        <v>586</v>
      </c>
      <c r="E1" s="580" t="s">
        <v>587</v>
      </c>
      <c r="F1" s="581" t="s">
        <v>136</v>
      </c>
      <c r="G1" s="579" t="s">
        <v>477</v>
      </c>
      <c r="H1" s="579" t="s">
        <v>478</v>
      </c>
      <c r="I1" s="580" t="s">
        <v>589</v>
      </c>
      <c r="J1" s="579" t="s">
        <v>75</v>
      </c>
      <c r="K1" s="580" t="s">
        <v>590</v>
      </c>
      <c r="L1" s="580" t="s">
        <v>7</v>
      </c>
    </row>
    <row r="2" spans="1:1025" customHeight="1" ht="15.95">
      <c r="A2" s="99" t="s">
        <v>331</v>
      </c>
      <c r="B2" s="2" t="s">
        <v>398</v>
      </c>
      <c r="C2" s="16" t="s">
        <v>115</v>
      </c>
      <c r="D2" s="5"/>
      <c r="E2" s="100"/>
      <c r="F2" s="101"/>
      <c r="G2" s="102"/>
      <c r="H2" s="102"/>
      <c r="I2" s="107" t="str">
        <f>H2-G2</f>
        <v>0</v>
      </c>
      <c r="J2" s="102"/>
      <c r="K2" s="102"/>
      <c r="L2" s="102"/>
    </row>
    <row r="3" spans="1:1025">
      <c r="A3" s="99" t="s">
        <v>337</v>
      </c>
      <c r="B3" s="29" t="s">
        <v>338</v>
      </c>
      <c r="C3" s="20" t="s">
        <v>115</v>
      </c>
      <c r="D3" s="20"/>
      <c r="E3" s="104" t="s">
        <v>627</v>
      </c>
      <c r="F3" s="105">
        <v>19544718</v>
      </c>
      <c r="G3" s="106">
        <v>22.685</v>
      </c>
      <c r="H3" s="106">
        <v>29.035</v>
      </c>
      <c r="I3" s="107" t="str">
        <f>H3-G3</f>
        <v>0</v>
      </c>
      <c r="J3" s="106">
        <v>4881.2</v>
      </c>
      <c r="K3" s="106"/>
      <c r="L3" s="106" t="s">
        <v>593</v>
      </c>
    </row>
    <row r="4" spans="1:1025">
      <c r="A4" s="99" t="s">
        <v>346</v>
      </c>
      <c r="B4" s="29" t="s">
        <v>558</v>
      </c>
      <c r="C4" s="20" t="s">
        <v>115</v>
      </c>
      <c r="D4" s="20"/>
      <c r="E4" s="104" t="s">
        <v>627</v>
      </c>
      <c r="F4" s="105">
        <v>19544718</v>
      </c>
      <c r="G4" s="106">
        <v>17.66</v>
      </c>
      <c r="H4" s="106">
        <v>22.685</v>
      </c>
      <c r="I4" s="107" t="str">
        <f>H4-G4</f>
        <v>0</v>
      </c>
      <c r="J4" s="106">
        <v>5057.76</v>
      </c>
      <c r="K4" s="106"/>
      <c r="L4" s="106" t="s">
        <v>595</v>
      </c>
    </row>
    <row r="5" spans="1:1025">
      <c r="A5" s="99" t="s">
        <v>353</v>
      </c>
      <c r="B5" s="29" t="s">
        <v>354</v>
      </c>
      <c r="C5" s="20" t="s">
        <v>115</v>
      </c>
      <c r="D5" s="20"/>
      <c r="E5" s="104" t="s">
        <v>627</v>
      </c>
      <c r="F5" s="105">
        <v>19544711</v>
      </c>
      <c r="G5" s="106">
        <v>1.29</v>
      </c>
      <c r="H5" s="106">
        <v>2.507</v>
      </c>
      <c r="I5" s="107" t="str">
        <f>H5-G5</f>
        <v>0</v>
      </c>
      <c r="J5" s="106">
        <v>2113.33</v>
      </c>
      <c r="K5" s="106"/>
      <c r="L5" s="106" t="s">
        <v>597</v>
      </c>
    </row>
    <row r="6" spans="1:1025">
      <c r="A6" s="99" t="s">
        <v>359</v>
      </c>
      <c r="B6" s="29" t="s">
        <v>559</v>
      </c>
      <c r="C6" s="20" t="s">
        <v>115</v>
      </c>
      <c r="D6" s="20"/>
      <c r="E6" s="104" t="s">
        <v>627</v>
      </c>
      <c r="F6" s="105">
        <v>19544608</v>
      </c>
      <c r="G6" s="106">
        <v>5.786</v>
      </c>
      <c r="H6" s="106">
        <v>8.572</v>
      </c>
      <c r="I6" s="107" t="str">
        <f>H6-G6</f>
        <v>0</v>
      </c>
      <c r="J6" s="106">
        <v>3129.5</v>
      </c>
      <c r="K6" s="106"/>
      <c r="L6" s="106" t="s">
        <v>599</v>
      </c>
    </row>
    <row r="7" spans="1:1025">
      <c r="A7" s="99" t="s">
        <v>365</v>
      </c>
      <c r="B7" s="29" t="s">
        <v>560</v>
      </c>
      <c r="C7" s="20" t="s">
        <v>115</v>
      </c>
      <c r="D7" s="20"/>
      <c r="E7" s="104" t="s">
        <v>627</v>
      </c>
      <c r="F7" s="105">
        <v>19544630</v>
      </c>
      <c r="G7" s="106">
        <v>5.054</v>
      </c>
      <c r="H7" s="106">
        <v>9.876</v>
      </c>
      <c r="I7" s="107" t="str">
        <f>H7-G7</f>
        <v>0</v>
      </c>
      <c r="J7" s="106">
        <v>5649.83</v>
      </c>
      <c r="K7" s="106"/>
      <c r="L7" s="106" t="s">
        <v>600</v>
      </c>
    </row>
    <row r="8" spans="1:1025">
      <c r="A8" s="99" t="s">
        <v>371</v>
      </c>
      <c r="B8" s="29" t="s">
        <v>372</v>
      </c>
      <c r="C8" s="20" t="s">
        <v>115</v>
      </c>
      <c r="D8" s="20"/>
      <c r="E8" s="104" t="s">
        <v>627</v>
      </c>
      <c r="F8" s="105">
        <v>19544714</v>
      </c>
      <c r="G8" s="106">
        <v>7.663</v>
      </c>
      <c r="H8" s="106">
        <v>15.992</v>
      </c>
      <c r="I8" s="107" t="str">
        <f>H8-G8</f>
        <v>0</v>
      </c>
      <c r="J8" s="106">
        <v>7506.89</v>
      </c>
      <c r="K8" s="106"/>
      <c r="L8" s="106" t="s">
        <v>602</v>
      </c>
    </row>
    <row r="9" spans="1:1025">
      <c r="A9" s="99" t="s">
        <v>377</v>
      </c>
      <c r="B9" s="29" t="s">
        <v>354</v>
      </c>
      <c r="C9" s="20" t="s">
        <v>115</v>
      </c>
      <c r="D9" s="20"/>
      <c r="E9" s="104" t="s">
        <v>627</v>
      </c>
      <c r="F9" s="105">
        <v>19544604</v>
      </c>
      <c r="G9" s="106">
        <v>0.438</v>
      </c>
      <c r="H9" s="106">
        <v>2.617</v>
      </c>
      <c r="I9" s="107" t="str">
        <f>H9-G9</f>
        <v>0</v>
      </c>
      <c r="J9" s="106">
        <v>3867.39</v>
      </c>
      <c r="K9" s="106"/>
      <c r="L9" s="106" t="s">
        <v>604</v>
      </c>
    </row>
    <row r="10" spans="1:1025">
      <c r="A10" s="99" t="s">
        <v>379</v>
      </c>
      <c r="B10" s="29" t="s">
        <v>380</v>
      </c>
      <c r="C10" s="20" t="s">
        <v>115</v>
      </c>
      <c r="D10" s="20"/>
      <c r="E10" s="104" t="s">
        <v>627</v>
      </c>
      <c r="F10" s="105">
        <v>28982833</v>
      </c>
      <c r="G10" s="106">
        <v>34.642</v>
      </c>
      <c r="H10" s="106">
        <v>53.664</v>
      </c>
      <c r="I10" s="107" t="str">
        <f>H10-G10</f>
        <v>0</v>
      </c>
      <c r="J10" s="106">
        <v>13519.96</v>
      </c>
      <c r="K10" s="106"/>
      <c r="L10" s="106" t="s">
        <v>605</v>
      </c>
    </row>
    <row r="11" spans="1:1025">
      <c r="A11" s="99" t="s">
        <v>385</v>
      </c>
      <c r="B11" s="29" t="s">
        <v>386</v>
      </c>
      <c r="C11" s="20" t="s">
        <v>115</v>
      </c>
      <c r="D11" s="20"/>
      <c r="E11" s="104" t="s">
        <v>627</v>
      </c>
      <c r="F11" s="105">
        <v>19544715</v>
      </c>
      <c r="G11" s="106">
        <v>11.546</v>
      </c>
      <c r="H11" s="106">
        <v>21.191</v>
      </c>
      <c r="I11" s="107" t="str">
        <f>H11-G11</f>
        <v>0</v>
      </c>
      <c r="J11" s="106">
        <v>8560.3</v>
      </c>
      <c r="K11" s="106"/>
      <c r="L11" s="106" t="s">
        <v>607</v>
      </c>
    </row>
    <row r="12" spans="1:1025">
      <c r="A12" s="99" t="s">
        <v>391</v>
      </c>
      <c r="B12" s="29" t="s">
        <v>392</v>
      </c>
      <c r="C12" s="20" t="s">
        <v>115</v>
      </c>
      <c r="D12" s="20"/>
      <c r="E12" s="104" t="s">
        <v>627</v>
      </c>
      <c r="F12" s="105">
        <v>19544576</v>
      </c>
      <c r="G12" s="106">
        <v>4.388</v>
      </c>
      <c r="H12" s="106">
        <v>6.183</v>
      </c>
      <c r="I12" s="107" t="str">
        <f>H12-G12</f>
        <v>0</v>
      </c>
      <c r="J12" s="106">
        <v>4064.64</v>
      </c>
      <c r="K12" s="106"/>
      <c r="L12" s="106" t="s">
        <v>608</v>
      </c>
    </row>
    <row r="13" spans="1:1025">
      <c r="A13" s="99" t="s">
        <v>397</v>
      </c>
      <c r="B13" s="29" t="s">
        <v>398</v>
      </c>
      <c r="C13" s="20" t="s">
        <v>115</v>
      </c>
      <c r="D13" s="20"/>
      <c r="E13" s="104" t="s">
        <v>609</v>
      </c>
      <c r="F13" s="105">
        <v>19544614</v>
      </c>
      <c r="G13" s="106">
        <v>4.654</v>
      </c>
      <c r="H13" s="106">
        <v>5.694</v>
      </c>
      <c r="I13" s="107" t="str">
        <f>H13-G13</f>
        <v>0</v>
      </c>
      <c r="J13" s="106">
        <v>3324.96</v>
      </c>
      <c r="K13" s="106"/>
      <c r="L13" s="106" t="s">
        <v>608</v>
      </c>
    </row>
    <row r="14" spans="1:1025">
      <c r="A14" s="99" t="s">
        <v>402</v>
      </c>
      <c r="B14" s="29" t="s">
        <v>403</v>
      </c>
      <c r="C14" s="20" t="s">
        <v>115</v>
      </c>
      <c r="D14" s="20"/>
      <c r="E14" s="104" t="s">
        <v>627</v>
      </c>
      <c r="F14" s="105">
        <v>19544638</v>
      </c>
      <c r="G14" s="106">
        <v>9.036</v>
      </c>
      <c r="H14" s="106">
        <v>15.077</v>
      </c>
      <c r="I14" s="107" t="str">
        <f>H14-G14</f>
        <v>0</v>
      </c>
      <c r="J14" s="106">
        <v>6657.96</v>
      </c>
      <c r="K14" s="106"/>
      <c r="L14" s="106" t="s">
        <v>611</v>
      </c>
    </row>
    <row r="15" spans="1:1025">
      <c r="A15" s="99" t="s">
        <v>408</v>
      </c>
      <c r="B15" s="29" t="s">
        <v>561</v>
      </c>
      <c r="C15" s="20" t="s">
        <v>115</v>
      </c>
      <c r="D15" s="20"/>
      <c r="E15" s="104" t="s">
        <v>627</v>
      </c>
      <c r="F15" s="105">
        <v>19544629</v>
      </c>
      <c r="G15" s="106">
        <v>2.703</v>
      </c>
      <c r="H15" s="106">
        <v>3.124</v>
      </c>
      <c r="I15" s="107" t="str">
        <f>H15-G15</f>
        <v>0</v>
      </c>
      <c r="J15" s="106">
        <v>5642.59</v>
      </c>
      <c r="K15" s="106"/>
      <c r="L15" s="106" t="s">
        <v>612</v>
      </c>
    </row>
    <row r="16" spans="1:1025">
      <c r="A16" s="99" t="s">
        <v>414</v>
      </c>
      <c r="B16" s="29" t="s">
        <v>562</v>
      </c>
      <c r="C16" s="20" t="s">
        <v>115</v>
      </c>
      <c r="D16" s="20"/>
      <c r="E16" s="104" t="s">
        <v>627</v>
      </c>
      <c r="F16" s="105">
        <v>19544584</v>
      </c>
      <c r="G16" s="106">
        <v>4.078</v>
      </c>
      <c r="H16" s="106">
        <v>6.408</v>
      </c>
      <c r="I16" s="107" t="str">
        <f>H16-G16</f>
        <v>0</v>
      </c>
      <c r="J16" s="106">
        <v>3691.28</v>
      </c>
      <c r="K16" s="106"/>
      <c r="L16" s="106" t="s">
        <v>613</v>
      </c>
    </row>
    <row r="17" spans="1:1025">
      <c r="A17" s="99" t="s">
        <v>420</v>
      </c>
      <c r="B17" s="29" t="s">
        <v>563</v>
      </c>
      <c r="C17" s="20" t="s">
        <v>115</v>
      </c>
      <c r="D17" s="20"/>
      <c r="E17" s="104" t="s">
        <v>627</v>
      </c>
      <c r="F17" s="105">
        <v>19544622</v>
      </c>
      <c r="G17" s="106">
        <v>9.855</v>
      </c>
      <c r="H17" s="106">
        <v>15.919</v>
      </c>
      <c r="I17" s="107" t="str">
        <f>H17-G17</f>
        <v>0</v>
      </c>
      <c r="J17" s="106">
        <v>5599.93</v>
      </c>
      <c r="K17" s="106"/>
      <c r="L17" s="106" t="s">
        <v>615</v>
      </c>
    </row>
    <row r="18" spans="1:1025">
      <c r="A18" s="99" t="s">
        <v>425</v>
      </c>
      <c r="B18" s="29" t="s">
        <v>564</v>
      </c>
      <c r="C18" s="20" t="s">
        <v>115</v>
      </c>
      <c r="D18" s="20"/>
      <c r="E18" s="104" t="s">
        <v>627</v>
      </c>
      <c r="F18" s="105">
        <v>19544592</v>
      </c>
      <c r="G18" s="106">
        <v>9.623</v>
      </c>
      <c r="H18" s="106">
        <v>14.469</v>
      </c>
      <c r="I18" s="107" t="str">
        <f>H18-G18</f>
        <v>0</v>
      </c>
      <c r="J18" s="106">
        <v>6509.05</v>
      </c>
      <c r="K18" s="106"/>
      <c r="L18" s="106" t="s">
        <v>617</v>
      </c>
    </row>
    <row r="19" spans="1:1025">
      <c r="A19" s="99" t="s">
        <v>430</v>
      </c>
      <c r="B19" s="29" t="s">
        <v>565</v>
      </c>
      <c r="C19" s="20" t="s">
        <v>115</v>
      </c>
      <c r="D19" s="20"/>
      <c r="E19" s="104" t="s">
        <v>627</v>
      </c>
      <c r="F19" s="105">
        <v>19544646</v>
      </c>
      <c r="G19" s="106">
        <v>14.724</v>
      </c>
      <c r="H19" s="106">
        <v>23.539</v>
      </c>
      <c r="I19" s="107" t="str">
        <f>H19-G19</f>
        <v>0</v>
      </c>
      <c r="J19" s="106">
        <v>7779.11</v>
      </c>
      <c r="K19" s="106"/>
      <c r="L19" s="106" t="s">
        <v>618</v>
      </c>
    </row>
    <row r="20" spans="1:1025">
      <c r="A20" s="99" t="s">
        <v>435</v>
      </c>
      <c r="B20" s="29" t="s">
        <v>565</v>
      </c>
      <c r="C20" s="20" t="s">
        <v>115</v>
      </c>
      <c r="D20" s="20"/>
      <c r="E20" s="104" t="s">
        <v>627</v>
      </c>
      <c r="F20" s="105">
        <v>19544634</v>
      </c>
      <c r="G20" s="106">
        <v>6.885</v>
      </c>
      <c r="H20" s="106">
        <v>11.055</v>
      </c>
      <c r="I20" s="107" t="str">
        <f>H20-G20</f>
        <v>0</v>
      </c>
      <c r="J20" s="106">
        <v>4331.68</v>
      </c>
      <c r="K20" s="106"/>
      <c r="L20" s="106" t="s">
        <v>619</v>
      </c>
    </row>
    <row r="21" spans="1:1025">
      <c r="A21" s="99" t="s">
        <v>437</v>
      </c>
      <c r="B21" s="29" t="s">
        <v>566</v>
      </c>
      <c r="C21" s="20" t="s">
        <v>115</v>
      </c>
      <c r="D21" s="20"/>
      <c r="E21" s="104" t="s">
        <v>627</v>
      </c>
      <c r="F21" s="105">
        <v>19544642</v>
      </c>
      <c r="G21" s="106">
        <v>11.228</v>
      </c>
      <c r="H21" s="106">
        <v>19.708</v>
      </c>
      <c r="I21" s="107" t="str">
        <f>H21-G21</f>
        <v>0</v>
      </c>
      <c r="J21" s="106">
        <v>7571.06</v>
      </c>
      <c r="K21" s="106"/>
      <c r="L21" s="106" t="s">
        <v>621</v>
      </c>
    </row>
    <row r="22" spans="1:1025">
      <c r="A22" s="99" t="s">
        <v>442</v>
      </c>
      <c r="B22" s="29" t="s">
        <v>567</v>
      </c>
      <c r="C22" s="20" t="s">
        <v>115</v>
      </c>
      <c r="D22" s="20"/>
      <c r="E22" s="104" t="s">
        <v>627</v>
      </c>
      <c r="F22" s="105">
        <v>19544645</v>
      </c>
      <c r="G22" s="106">
        <v>10.035</v>
      </c>
      <c r="H22" s="106">
        <v>18.772</v>
      </c>
      <c r="I22" s="107" t="str">
        <f>H22-G22</f>
        <v>0</v>
      </c>
      <c r="J22" s="106">
        <v>7650.57</v>
      </c>
      <c r="K22" s="106"/>
      <c r="L22" s="106" t="s">
        <v>622</v>
      </c>
    </row>
    <row r="23" spans="1:1025">
      <c r="A23" s="99" t="s">
        <v>448</v>
      </c>
      <c r="B23" s="29" t="s">
        <v>568</v>
      </c>
      <c r="C23" s="20" t="s">
        <v>115</v>
      </c>
      <c r="D23" s="20"/>
      <c r="E23" s="104" t="s">
        <v>627</v>
      </c>
      <c r="F23" s="105">
        <v>19544610</v>
      </c>
      <c r="G23" s="106">
        <v>9.498</v>
      </c>
      <c r="H23" s="106">
        <v>14.018</v>
      </c>
      <c r="I23" s="107" t="str">
        <f>H23-G23</f>
        <v>0</v>
      </c>
      <c r="J23" s="106">
        <v>4817.68</v>
      </c>
      <c r="K23" s="106"/>
      <c r="L23" s="106" t="s">
        <v>623</v>
      </c>
    </row>
    <row r="24" spans="1:1025">
      <c r="A24" s="99" t="s">
        <v>454</v>
      </c>
      <c r="B24" s="29" t="s">
        <v>569</v>
      </c>
      <c r="C24" s="20" t="s">
        <v>115</v>
      </c>
      <c r="D24" s="20"/>
      <c r="E24" s="104" t="s">
        <v>627</v>
      </c>
      <c r="F24" s="105">
        <v>19544722</v>
      </c>
      <c r="G24" s="106">
        <v>7.022</v>
      </c>
      <c r="H24" s="106">
        <v>12.699</v>
      </c>
      <c r="I24" s="107" t="str">
        <f>H24-G24</f>
        <v>0</v>
      </c>
      <c r="J24" s="106">
        <v>5780.4</v>
      </c>
      <c r="K24" s="106"/>
      <c r="L24" s="106" t="s">
        <v>624</v>
      </c>
    </row>
    <row r="25" spans="1:1025">
      <c r="A25" s="99" t="s">
        <v>459</v>
      </c>
      <c r="B25" s="29" t="s">
        <v>460</v>
      </c>
      <c r="C25" s="20" t="s">
        <v>115</v>
      </c>
      <c r="D25" s="20"/>
      <c r="E25" s="104" t="s">
        <v>627</v>
      </c>
      <c r="F25" s="105">
        <v>19544726</v>
      </c>
      <c r="G25" s="106">
        <v>7.557</v>
      </c>
      <c r="H25" s="106">
        <v>11.852</v>
      </c>
      <c r="I25" s="107" t="str">
        <f>H25-G25</f>
        <v>0</v>
      </c>
      <c r="J25" s="106">
        <v>4191.59</v>
      </c>
      <c r="K25" s="106"/>
      <c r="L25" s="106" t="s">
        <v>625</v>
      </c>
    </row>
    <row r="26" spans="1:1025">
      <c r="A26" s="99"/>
      <c r="B26" s="29"/>
      <c r="C26" s="20"/>
      <c r="D26" s="20"/>
      <c r="E26" s="104"/>
      <c r="F26" s="105"/>
      <c r="G26" s="106"/>
      <c r="H26" s="106"/>
      <c r="I26" s="107" t="str">
        <f>H26-G26</f>
        <v>0</v>
      </c>
      <c r="J26" s="106"/>
      <c r="K26" s="106"/>
      <c r="L26" s="106"/>
    </row>
    <row r="27" spans="1:1025">
      <c r="A27" s="99"/>
      <c r="B27" s="29"/>
      <c r="C27" s="20"/>
      <c r="D27" s="20"/>
      <c r="E27" s="104"/>
      <c r="F27" s="105"/>
      <c r="G27" s="106"/>
      <c r="H27" s="106"/>
      <c r="I27" s="107" t="str">
        <f>H27-G27</f>
        <v>0</v>
      </c>
      <c r="J27" s="106"/>
      <c r="K27" s="106"/>
      <c r="L27" s="106"/>
    </row>
    <row r="28" spans="1:1025">
      <c r="A28" s="99"/>
      <c r="B28" s="29"/>
      <c r="C28" s="20"/>
      <c r="D28" s="20"/>
      <c r="E28" s="104"/>
      <c r="F28" s="105"/>
      <c r="G28" s="106"/>
      <c r="H28" s="106"/>
      <c r="I28" s="107" t="str">
        <f>H28-G28</f>
        <v>0</v>
      </c>
      <c r="J28" s="106"/>
      <c r="K28" s="106"/>
      <c r="L28" s="106"/>
    </row>
    <row r="29" spans="1:1025">
      <c r="A29" s="99"/>
      <c r="B29" s="29"/>
      <c r="C29" s="20"/>
      <c r="D29" s="20"/>
      <c r="E29" s="104"/>
      <c r="F29" s="105"/>
      <c r="G29" s="106"/>
      <c r="H29" s="106"/>
      <c r="I29" s="107" t="str">
        <f>H29-G29</f>
        <v>0</v>
      </c>
      <c r="J29" s="106"/>
      <c r="K29" s="106"/>
      <c r="L29" s="106"/>
    </row>
    <row r="30" spans="1:1025">
      <c r="A30" s="99"/>
      <c r="B30" s="29"/>
      <c r="C30" s="20"/>
      <c r="D30" s="20"/>
      <c r="E30" s="104"/>
      <c r="F30" s="105"/>
      <c r="G30" s="106"/>
      <c r="H30" s="106"/>
      <c r="I30" s="107" t="str">
        <f>H30-G30</f>
        <v>0</v>
      </c>
      <c r="J30" s="106"/>
      <c r="K30" s="106"/>
      <c r="L30" s="106"/>
    </row>
    <row r="31" spans="1:1025">
      <c r="A31" s="99"/>
      <c r="B31" s="29"/>
      <c r="C31" s="20"/>
      <c r="D31" s="20"/>
      <c r="E31" s="104"/>
      <c r="F31" s="105"/>
      <c r="G31" s="106"/>
      <c r="H31" s="106"/>
      <c r="I31" s="107" t="str">
        <f>H31-G31</f>
        <v>0</v>
      </c>
      <c r="J31" s="106"/>
      <c r="K31" s="106"/>
      <c r="L31" s="106"/>
    </row>
    <row r="32" spans="1:1025">
      <c r="A32" s="99"/>
      <c r="B32" s="29"/>
      <c r="C32" s="20"/>
      <c r="D32" s="20"/>
      <c r="E32" s="104"/>
      <c r="F32" s="105"/>
      <c r="G32" s="106"/>
      <c r="H32" s="106"/>
      <c r="I32" s="107" t="str">
        <f>H32-G32</f>
        <v>0</v>
      </c>
      <c r="J32" s="106"/>
      <c r="K32" s="106"/>
      <c r="L32" s="106"/>
    </row>
    <row r="33" spans="1:1025">
      <c r="A33" s="99"/>
      <c r="B33" s="29"/>
      <c r="C33" s="20"/>
      <c r="D33" s="20"/>
      <c r="E33" s="104"/>
      <c r="F33" s="105"/>
      <c r="G33" s="106"/>
      <c r="H33" s="106"/>
      <c r="I33" s="107" t="str">
        <f>H33-G33</f>
        <v>0</v>
      </c>
      <c r="J33" s="106"/>
      <c r="K33" s="106"/>
      <c r="L33" s="106"/>
    </row>
    <row r="34" spans="1:1025">
      <c r="A34" s="99"/>
      <c r="B34" s="29"/>
      <c r="C34" s="20"/>
      <c r="D34" s="20"/>
      <c r="E34" s="104"/>
      <c r="F34" s="105"/>
      <c r="G34" s="106"/>
      <c r="H34" s="106"/>
      <c r="I34" s="107" t="str">
        <f>H34-G34</f>
        <v>0</v>
      </c>
      <c r="J34" s="106"/>
      <c r="K34" s="106"/>
      <c r="L34" s="106"/>
    </row>
    <row r="35" spans="1:1025">
      <c r="A35" s="99"/>
      <c r="B35" s="29"/>
      <c r="C35" s="20"/>
      <c r="D35" s="20"/>
      <c r="E35" s="104"/>
      <c r="F35" s="105"/>
      <c r="G35" s="106"/>
      <c r="H35" s="106"/>
      <c r="I35" s="107" t="str">
        <f>H35-G35</f>
        <v>0</v>
      </c>
      <c r="J35" s="106"/>
      <c r="K35" s="106"/>
      <c r="L35" s="106"/>
    </row>
    <row r="36" spans="1:1025">
      <c r="A36" s="99"/>
      <c r="B36" s="29"/>
      <c r="C36" s="20"/>
      <c r="D36" s="20"/>
      <c r="E36" s="104"/>
      <c r="F36" s="105"/>
      <c r="G36" s="106"/>
      <c r="H36" s="106"/>
      <c r="I36" s="107" t="str">
        <f>H36-G36</f>
        <v>0</v>
      </c>
      <c r="J36" s="106"/>
      <c r="K36" s="106"/>
      <c r="L36" s="106"/>
    </row>
    <row r="37" spans="1:1025">
      <c r="A37" s="99"/>
      <c r="B37" s="29"/>
      <c r="C37" s="20"/>
      <c r="D37" s="20"/>
      <c r="E37" s="104"/>
      <c r="F37" s="105"/>
      <c r="G37" s="106"/>
      <c r="H37" s="106"/>
      <c r="I37" s="107" t="str">
        <f>H37-G37</f>
        <v>0</v>
      </c>
      <c r="J37" s="106"/>
      <c r="K37" s="106"/>
      <c r="L37" s="106"/>
    </row>
    <row r="38" spans="1:1025">
      <c r="A38" s="99"/>
      <c r="B38" s="29"/>
      <c r="C38" s="20"/>
      <c r="D38" s="20"/>
      <c r="E38" s="104"/>
      <c r="F38" s="105"/>
      <c r="G38" s="106"/>
      <c r="H38" s="106"/>
      <c r="I38" s="107" t="str">
        <f>H38-G38</f>
        <v>0</v>
      </c>
      <c r="J38" s="106"/>
      <c r="K38" s="106"/>
      <c r="L38" s="106"/>
    </row>
    <row r="39" spans="1:1025">
      <c r="A39" s="99"/>
      <c r="B39" s="29"/>
      <c r="C39" s="20"/>
      <c r="D39" s="20"/>
      <c r="E39" s="104"/>
      <c r="F39" s="105"/>
      <c r="G39" s="106"/>
      <c r="H39" s="106"/>
      <c r="I39" s="107" t="str">
        <f>H39-G39</f>
        <v>0</v>
      </c>
      <c r="J39" s="106"/>
      <c r="K39" s="106"/>
      <c r="L39" s="106"/>
    </row>
    <row r="40" spans="1:1025">
      <c r="A40" s="99"/>
      <c r="B40" s="29"/>
      <c r="C40" s="20"/>
      <c r="D40" s="20"/>
      <c r="E40" s="104"/>
      <c r="F40" s="105"/>
      <c r="G40" s="106"/>
      <c r="H40" s="106"/>
      <c r="I40" s="107" t="str">
        <f>H40-G40</f>
        <v>0</v>
      </c>
      <c r="J40" s="106"/>
      <c r="K40" s="106"/>
      <c r="L40" s="106"/>
    </row>
    <row r="41" spans="1:1025">
      <c r="A41" s="99"/>
      <c r="B41" s="29"/>
      <c r="C41" s="20"/>
      <c r="D41" s="20"/>
      <c r="E41" s="104"/>
      <c r="F41" s="105"/>
      <c r="G41" s="106"/>
      <c r="H41" s="106"/>
      <c r="I41" s="107" t="str">
        <f>H41-G41</f>
        <v>0</v>
      </c>
      <c r="J41" s="106"/>
      <c r="K41" s="106"/>
      <c r="L41" s="106"/>
    </row>
    <row r="42" spans="1:1025">
      <c r="A42" s="99"/>
      <c r="B42" s="29"/>
      <c r="C42" s="20"/>
      <c r="D42" s="20"/>
      <c r="E42" s="104"/>
      <c r="F42" s="105"/>
      <c r="G42" s="106"/>
      <c r="H42" s="106"/>
      <c r="I42" s="107" t="str">
        <f>H42-G42</f>
        <v>0</v>
      </c>
      <c r="J42" s="106"/>
      <c r="K42" s="106"/>
      <c r="L42" s="106"/>
    </row>
    <row r="43" spans="1:1025">
      <c r="A43" s="99"/>
      <c r="B43" s="29"/>
      <c r="C43" s="20"/>
      <c r="D43" s="20"/>
      <c r="E43" s="104"/>
      <c r="F43" s="105"/>
      <c r="G43" s="106"/>
      <c r="H43" s="106"/>
      <c r="I43" s="107" t="str">
        <f>H43-G43</f>
        <v>0</v>
      </c>
      <c r="J43" s="106"/>
      <c r="K43" s="106"/>
      <c r="L43" s="106"/>
    </row>
    <row r="44" spans="1:1025">
      <c r="A44" s="99"/>
      <c r="B44" s="29"/>
      <c r="C44" s="20"/>
      <c r="D44" s="20"/>
      <c r="E44" s="104"/>
      <c r="F44" s="105"/>
      <c r="G44" s="106"/>
      <c r="H44" s="106"/>
      <c r="I44" s="107" t="str">
        <f>H44-G44</f>
        <v>0</v>
      </c>
      <c r="J44" s="106"/>
      <c r="K44" s="106"/>
      <c r="L44" s="106"/>
    </row>
    <row r="45" spans="1:1025">
      <c r="A45" s="99"/>
      <c r="B45" s="29"/>
      <c r="C45" s="20"/>
      <c r="D45" s="20"/>
      <c r="E45" s="104"/>
      <c r="F45" s="105"/>
      <c r="G45" s="106"/>
      <c r="H45" s="106"/>
      <c r="I45" s="107" t="str">
        <f>H45-G45</f>
        <v>0</v>
      </c>
      <c r="J45" s="106"/>
      <c r="K45" s="106"/>
      <c r="L45" s="106"/>
    </row>
    <row r="46" spans="1:1025">
      <c r="A46" s="99"/>
      <c r="B46" s="29"/>
      <c r="C46" s="20"/>
      <c r="D46" s="20"/>
      <c r="E46" s="104"/>
      <c r="F46" s="105"/>
      <c r="G46" s="106"/>
      <c r="H46" s="106"/>
      <c r="I46" s="107" t="str">
        <f>H46-G46</f>
        <v>0</v>
      </c>
      <c r="J46" s="106"/>
      <c r="K46" s="106"/>
      <c r="L46" s="106"/>
    </row>
    <row r="47" spans="1:1025">
      <c r="A47" s="99"/>
      <c r="B47" s="29"/>
      <c r="C47" s="20"/>
      <c r="D47" s="20"/>
      <c r="E47" s="104"/>
      <c r="F47" s="105"/>
      <c r="G47" s="106"/>
      <c r="H47" s="106"/>
      <c r="I47" s="107" t="str">
        <f>H47-G47</f>
        <v>0</v>
      </c>
      <c r="J47" s="106"/>
      <c r="K47" s="106"/>
      <c r="L47" s="106"/>
    </row>
    <row r="48" spans="1:1025">
      <c r="A48" s="99"/>
      <c r="B48" s="29"/>
      <c r="C48" s="20"/>
      <c r="D48" s="20"/>
      <c r="E48" s="104"/>
      <c r="F48" s="105"/>
      <c r="G48" s="106"/>
      <c r="H48" s="106"/>
      <c r="I48" s="107" t="str">
        <f>H48-G48</f>
        <v>0</v>
      </c>
      <c r="J48" s="106"/>
      <c r="K48" s="106"/>
      <c r="L48" s="106"/>
    </row>
    <row r="49" spans="1:1025">
      <c r="A49" s="99"/>
      <c r="B49" s="29"/>
      <c r="C49" s="20"/>
      <c r="D49" s="20"/>
      <c r="E49" s="104"/>
      <c r="F49" s="105"/>
      <c r="G49" s="106"/>
      <c r="H49" s="106"/>
      <c r="I49" s="107" t="str">
        <f>H49-G49</f>
        <v>0</v>
      </c>
      <c r="J49" s="106"/>
      <c r="K49" s="106"/>
      <c r="L49" s="106"/>
    </row>
    <row r="50" spans="1:1025">
      <c r="A50" s="99"/>
      <c r="B50" s="29"/>
      <c r="C50" s="20"/>
      <c r="D50" s="20"/>
      <c r="E50" s="104"/>
      <c r="F50" s="105"/>
      <c r="G50" s="106"/>
      <c r="H50" s="106"/>
      <c r="I50" s="107" t="str">
        <f>H50-G50</f>
        <v>0</v>
      </c>
      <c r="J50" s="106"/>
      <c r="K50" s="106"/>
      <c r="L50" s="106"/>
    </row>
    <row r="51" spans="1:1025">
      <c r="A51" s="99"/>
      <c r="B51" s="29"/>
      <c r="C51" s="20"/>
      <c r="D51" s="20"/>
      <c r="E51" s="104"/>
      <c r="F51" s="105"/>
      <c r="G51" s="106"/>
      <c r="H51" s="106"/>
      <c r="I51" s="107" t="str">
        <f>H51-G51</f>
        <v>0</v>
      </c>
      <c r="J51" s="106"/>
      <c r="K51" s="106"/>
      <c r="L51" s="106"/>
    </row>
    <row r="52" spans="1:1025">
      <c r="A52" s="99"/>
      <c r="B52" s="29"/>
      <c r="C52" s="20"/>
      <c r="D52" s="20"/>
      <c r="E52" s="104"/>
      <c r="F52" s="105"/>
      <c r="G52" s="106"/>
      <c r="H52" s="106"/>
      <c r="I52" s="107" t="str">
        <f>H52-G52</f>
        <v>0</v>
      </c>
      <c r="J52" s="106"/>
      <c r="K52" s="106"/>
      <c r="L52" s="106"/>
    </row>
    <row r="53" spans="1:1025">
      <c r="A53" s="99"/>
      <c r="B53" s="29"/>
      <c r="C53" s="20"/>
      <c r="D53" s="20"/>
      <c r="E53" s="104"/>
      <c r="F53" s="105"/>
      <c r="G53" s="106"/>
      <c r="H53" s="106"/>
      <c r="I53" s="107" t="str">
        <f>H53-G53</f>
        <v>0</v>
      </c>
      <c r="J53" s="106"/>
      <c r="K53" s="106"/>
      <c r="L53" s="106"/>
    </row>
    <row r="54" spans="1:1025">
      <c r="A54" s="99"/>
      <c r="B54" s="29"/>
      <c r="C54" s="20"/>
      <c r="D54" s="20"/>
      <c r="E54" s="104"/>
      <c r="F54" s="105"/>
      <c r="G54" s="106"/>
      <c r="H54" s="106"/>
      <c r="I54" s="107" t="str">
        <f>H54-G54</f>
        <v>0</v>
      </c>
      <c r="J54" s="106"/>
      <c r="K54" s="106"/>
      <c r="L54" s="106"/>
    </row>
    <row r="55" spans="1:1025">
      <c r="A55" s="99"/>
      <c r="B55" s="29"/>
      <c r="C55" s="20"/>
      <c r="D55" s="20"/>
      <c r="E55" s="104"/>
      <c r="F55" s="105"/>
      <c r="G55" s="106"/>
      <c r="H55" s="106"/>
      <c r="I55" s="107" t="str">
        <f>H55-G55</f>
        <v>0</v>
      </c>
      <c r="J55" s="106"/>
      <c r="K55" s="106"/>
      <c r="L55" s="106"/>
    </row>
    <row r="56" spans="1:1025">
      <c r="A56" s="99"/>
      <c r="B56" s="29"/>
      <c r="C56" s="20"/>
      <c r="D56" s="20"/>
      <c r="E56" s="104"/>
      <c r="F56" s="105"/>
      <c r="G56" s="106"/>
      <c r="H56" s="106"/>
      <c r="I56" s="107" t="str">
        <f>H56-G56</f>
        <v>0</v>
      </c>
      <c r="J56" s="106"/>
      <c r="K56" s="106"/>
      <c r="L56" s="106"/>
    </row>
    <row r="57" spans="1:1025">
      <c r="A57" s="99"/>
      <c r="B57" s="29"/>
      <c r="C57" s="20"/>
      <c r="D57" s="20"/>
      <c r="E57" s="104"/>
      <c r="F57" s="105"/>
      <c r="G57" s="106"/>
      <c r="H57" s="106"/>
      <c r="I57" s="107" t="str">
        <f>H57-G57</f>
        <v>0</v>
      </c>
      <c r="J57" s="106"/>
      <c r="K57" s="106"/>
      <c r="L57" s="106"/>
    </row>
    <row r="58" spans="1:1025">
      <c r="A58" s="99"/>
      <c r="B58" s="29"/>
      <c r="C58" s="20"/>
      <c r="D58" s="20"/>
      <c r="E58" s="104"/>
      <c r="F58" s="105"/>
      <c r="G58" s="106"/>
      <c r="H58" s="106"/>
      <c r="I58" s="107" t="str">
        <f>H58-G58</f>
        <v>0</v>
      </c>
      <c r="J58" s="106"/>
      <c r="K58" s="106"/>
      <c r="L58" s="106"/>
    </row>
    <row r="59" spans="1:1025">
      <c r="A59" s="99"/>
      <c r="B59" s="29"/>
      <c r="C59" s="20"/>
      <c r="D59" s="20"/>
      <c r="E59" s="104"/>
      <c r="F59" s="105"/>
      <c r="G59" s="106"/>
      <c r="H59" s="106"/>
      <c r="I59" s="107" t="str">
        <f>H59-G59</f>
        <v>0</v>
      </c>
      <c r="J59" s="106"/>
      <c r="K59" s="106"/>
      <c r="L59" s="106"/>
    </row>
    <row r="60" spans="1:1025">
      <c r="A60" s="99"/>
      <c r="B60" s="29"/>
      <c r="C60" s="20"/>
      <c r="D60" s="20"/>
      <c r="E60" s="104"/>
      <c r="F60" s="105"/>
      <c r="G60" s="106"/>
      <c r="H60" s="106"/>
      <c r="I60" s="107" t="str">
        <f>H60-G60</f>
        <v>0</v>
      </c>
      <c r="J60" s="106"/>
      <c r="K60" s="106"/>
      <c r="L60" s="106"/>
    </row>
    <row r="61" spans="1:1025">
      <c r="A61" s="99"/>
      <c r="B61" s="29"/>
      <c r="C61" s="20"/>
      <c r="D61" s="20"/>
      <c r="E61" s="104"/>
      <c r="F61" s="105"/>
      <c r="G61" s="106"/>
      <c r="H61" s="106"/>
      <c r="I61" s="107" t="str">
        <f>H61-G61</f>
        <v>0</v>
      </c>
      <c r="J61" s="106"/>
      <c r="K61" s="106"/>
      <c r="L61" s="106"/>
    </row>
    <row r="62" spans="1:1025">
      <c r="A62" s="99"/>
      <c r="B62" s="29"/>
      <c r="C62" s="20"/>
      <c r="D62" s="20"/>
      <c r="E62" s="104"/>
      <c r="F62" s="105"/>
      <c r="G62" s="106"/>
      <c r="H62" s="106"/>
      <c r="I62" s="107" t="str">
        <f>H62-G62</f>
        <v>0</v>
      </c>
      <c r="J62" s="106"/>
      <c r="K62" s="106"/>
      <c r="L62" s="106"/>
    </row>
    <row r="63" spans="1:1025">
      <c r="A63" s="99"/>
      <c r="B63" s="29"/>
      <c r="C63" s="20"/>
      <c r="D63" s="20"/>
      <c r="E63" s="104"/>
      <c r="F63" s="105"/>
      <c r="G63" s="106"/>
      <c r="H63" s="106"/>
      <c r="I63" s="107" t="str">
        <f>H63-G63</f>
        <v>0</v>
      </c>
      <c r="J63" s="106"/>
      <c r="K63" s="106"/>
      <c r="L63" s="106"/>
    </row>
    <row r="64" spans="1:1025">
      <c r="A64" s="99"/>
      <c r="B64" s="29"/>
      <c r="C64" s="20"/>
      <c r="D64" s="20"/>
      <c r="E64" s="104"/>
      <c r="F64" s="105"/>
      <c r="G64" s="106"/>
      <c r="H64" s="106"/>
      <c r="I64" s="107" t="str">
        <f>H64-G64</f>
        <v>0</v>
      </c>
      <c r="J64" s="106"/>
      <c r="K64" s="106"/>
      <c r="L64" s="106"/>
    </row>
    <row r="65" spans="1:1025">
      <c r="A65" s="99"/>
      <c r="B65" s="29"/>
      <c r="C65" s="20"/>
      <c r="D65" s="20"/>
      <c r="E65" s="104"/>
      <c r="F65" s="105"/>
      <c r="G65" s="106"/>
      <c r="H65" s="106"/>
      <c r="I65" s="107" t="str">
        <f>H65-G65</f>
        <v>0</v>
      </c>
      <c r="J65" s="106"/>
      <c r="K65" s="106"/>
      <c r="L65" s="106"/>
    </row>
    <row r="66" spans="1:1025">
      <c r="A66" s="99"/>
      <c r="B66" s="29"/>
      <c r="C66" s="20"/>
      <c r="D66" s="20"/>
      <c r="E66" s="104"/>
      <c r="F66" s="105"/>
      <c r="G66" s="106"/>
      <c r="H66" s="106"/>
      <c r="I66" s="107" t="str">
        <f>H66-G66</f>
        <v>0</v>
      </c>
      <c r="J66" s="106"/>
      <c r="K66" s="106"/>
      <c r="L66" s="106"/>
    </row>
    <row r="67" spans="1:1025">
      <c r="A67" s="99"/>
      <c r="B67" s="29"/>
      <c r="C67" s="20"/>
      <c r="D67" s="20"/>
      <c r="E67" s="104"/>
      <c r="F67" s="105"/>
      <c r="G67" s="106"/>
      <c r="H67" s="106"/>
      <c r="I67" s="107" t="str">
        <f>H67-G67</f>
        <v>0</v>
      </c>
      <c r="J67" s="106"/>
      <c r="K67" s="106"/>
      <c r="L67" s="106"/>
    </row>
    <row r="68" spans="1:1025">
      <c r="A68" s="99"/>
      <c r="B68" s="29"/>
      <c r="C68" s="20"/>
      <c r="D68" s="20"/>
      <c r="E68" s="104"/>
      <c r="F68" s="105"/>
      <c r="G68" s="106"/>
      <c r="H68" s="106"/>
      <c r="I68" s="107" t="str">
        <f>H68-G68</f>
        <v>0</v>
      </c>
      <c r="J68" s="106"/>
      <c r="K68" s="106"/>
      <c r="L68" s="106"/>
    </row>
    <row r="69" spans="1:1025">
      <c r="A69" s="99"/>
      <c r="B69" s="29"/>
      <c r="C69" s="20"/>
      <c r="D69" s="20"/>
      <c r="E69" s="104"/>
      <c r="F69" s="105"/>
      <c r="G69" s="106"/>
      <c r="H69" s="106"/>
      <c r="I69" s="107" t="str">
        <f>H69-G69</f>
        <v>0</v>
      </c>
      <c r="J69" s="106"/>
      <c r="K69" s="106"/>
      <c r="L69" s="106"/>
    </row>
    <row r="70" spans="1:1025">
      <c r="A70" s="99"/>
      <c r="B70" s="29"/>
      <c r="C70" s="20"/>
      <c r="D70" s="20"/>
      <c r="E70" s="104"/>
      <c r="F70" s="105"/>
      <c r="G70" s="106"/>
      <c r="H70" s="106"/>
      <c r="I70" s="107" t="str">
        <f>H70-G70</f>
        <v>0</v>
      </c>
      <c r="J70" s="106"/>
      <c r="K70" s="106"/>
      <c r="L70" s="106"/>
    </row>
    <row r="71" spans="1:1025">
      <c r="A71" s="99"/>
      <c r="B71" s="29"/>
      <c r="C71" s="20"/>
      <c r="D71" s="20"/>
      <c r="E71" s="104"/>
      <c r="F71" s="105"/>
      <c r="G71" s="106"/>
      <c r="H71" s="106"/>
      <c r="I71" s="107" t="str">
        <f>H71-G71</f>
        <v>0</v>
      </c>
      <c r="J71" s="106"/>
      <c r="K71" s="106"/>
      <c r="L71" s="106"/>
    </row>
    <row r="72" spans="1:1025">
      <c r="A72" s="99"/>
      <c r="B72" s="29"/>
      <c r="C72" s="20"/>
      <c r="D72" s="20"/>
      <c r="E72" s="104"/>
      <c r="F72" s="105"/>
      <c r="G72" s="106"/>
      <c r="H72" s="106"/>
      <c r="I72" s="107" t="str">
        <f>H72-G72</f>
        <v>0</v>
      </c>
      <c r="J72" s="106"/>
      <c r="K72" s="106"/>
      <c r="L72" s="106"/>
    </row>
    <row r="73" spans="1:1025">
      <c r="A73" s="99"/>
      <c r="B73" s="29"/>
      <c r="C73" s="20"/>
      <c r="D73" s="20"/>
      <c r="E73" s="104"/>
      <c r="F73" s="105"/>
      <c r="G73" s="106"/>
      <c r="H73" s="106"/>
      <c r="I73" s="107" t="str">
        <f>H73-G73</f>
        <v>0</v>
      </c>
      <c r="J73" s="106"/>
      <c r="K73" s="106"/>
      <c r="L73" s="106"/>
    </row>
    <row r="74" spans="1:1025">
      <c r="A74" s="99"/>
      <c r="B74" s="29"/>
      <c r="C74" s="20"/>
      <c r="D74" s="20"/>
      <c r="E74" s="104"/>
      <c r="F74" s="105"/>
      <c r="G74" s="106"/>
      <c r="H74" s="106"/>
      <c r="I74" s="107" t="str">
        <f>H74-G74</f>
        <v>0</v>
      </c>
      <c r="J74" s="106"/>
      <c r="K74" s="106"/>
      <c r="L74" s="106"/>
    </row>
    <row r="75" spans="1:1025">
      <c r="A75" s="99"/>
      <c r="B75" s="29"/>
      <c r="C75" s="20"/>
      <c r="D75" s="20"/>
      <c r="E75" s="104"/>
      <c r="F75" s="105"/>
      <c r="G75" s="106"/>
      <c r="H75" s="106"/>
      <c r="I75" s="107" t="str">
        <f>H75-G75</f>
        <v>0</v>
      </c>
      <c r="J75" s="106"/>
      <c r="K75" s="106"/>
      <c r="L75" s="106"/>
    </row>
    <row r="76" spans="1:1025">
      <c r="A76" s="99"/>
      <c r="B76" s="29"/>
      <c r="C76" s="20"/>
      <c r="D76" s="20"/>
      <c r="E76" s="104"/>
      <c r="F76" s="105"/>
      <c r="G76" s="106"/>
      <c r="H76" s="106"/>
      <c r="I76" s="107" t="str">
        <f>H76-G76</f>
        <v>0</v>
      </c>
      <c r="J76" s="106"/>
      <c r="K76" s="106"/>
      <c r="L76" s="106"/>
    </row>
    <row r="77" spans="1:1025">
      <c r="A77" s="99"/>
      <c r="B77" s="29"/>
      <c r="C77" s="20"/>
      <c r="D77" s="20"/>
      <c r="E77" s="104"/>
      <c r="F77" s="105"/>
      <c r="G77" s="106"/>
      <c r="H77" s="106"/>
      <c r="I77" s="107" t="str">
        <f>H77-G77</f>
        <v>0</v>
      </c>
      <c r="J77" s="106"/>
      <c r="K77" s="106"/>
      <c r="L77" s="106"/>
    </row>
    <row r="78" spans="1:1025">
      <c r="A78" s="99"/>
      <c r="B78" s="29"/>
      <c r="C78" s="20"/>
      <c r="D78" s="20"/>
      <c r="E78" s="104"/>
      <c r="F78" s="105"/>
      <c r="G78" s="106"/>
      <c r="H78" s="106"/>
      <c r="I78" s="107" t="str">
        <f>H78-G78</f>
        <v>0</v>
      </c>
      <c r="J78" s="106"/>
      <c r="K78" s="106"/>
      <c r="L78" s="106"/>
    </row>
    <row r="79" spans="1:1025">
      <c r="A79" s="99"/>
      <c r="B79" s="29"/>
      <c r="C79" s="20"/>
      <c r="D79" s="20"/>
      <c r="E79" s="104"/>
      <c r="F79" s="105"/>
      <c r="G79" s="106"/>
      <c r="H79" s="106"/>
      <c r="I79" s="107" t="str">
        <f>H79-G79</f>
        <v>0</v>
      </c>
      <c r="J79" s="106"/>
      <c r="K79" s="106"/>
      <c r="L79" s="106"/>
    </row>
    <row r="80" spans="1:1025">
      <c r="A80" s="99"/>
      <c r="B80" s="29"/>
      <c r="C80" s="20"/>
      <c r="D80" s="20"/>
      <c r="E80" s="104"/>
      <c r="F80" s="105"/>
      <c r="G80" s="106"/>
      <c r="H80" s="106"/>
      <c r="I80" s="107" t="str">
        <f>H80-G80</f>
        <v>0</v>
      </c>
      <c r="J80" s="106"/>
      <c r="K80" s="106"/>
      <c r="L80" s="106"/>
    </row>
    <row r="81" spans="1:1025">
      <c r="A81" s="99"/>
      <c r="B81" s="29"/>
      <c r="C81" s="20"/>
      <c r="D81" s="20"/>
      <c r="E81" s="104"/>
      <c r="F81" s="105"/>
      <c r="G81" s="106"/>
      <c r="H81" s="106"/>
      <c r="I81" s="107" t="str">
        <f>H81-G81</f>
        <v>0</v>
      </c>
      <c r="J81" s="106"/>
      <c r="K81" s="106"/>
      <c r="L81" s="106"/>
    </row>
    <row r="82" spans="1:1025">
      <c r="A82" s="99"/>
      <c r="B82" s="29"/>
      <c r="C82" s="20"/>
      <c r="D82" s="20"/>
      <c r="E82" s="104"/>
      <c r="F82" s="105"/>
      <c r="G82" s="106"/>
      <c r="H82" s="106"/>
      <c r="I82" s="107" t="str">
        <f>H82-G82</f>
        <v>0</v>
      </c>
      <c r="J82" s="106"/>
      <c r="K82" s="106"/>
      <c r="L82" s="106"/>
    </row>
    <row r="83" spans="1:1025">
      <c r="A83" s="99"/>
      <c r="B83" s="29"/>
      <c r="C83" s="20"/>
      <c r="D83" s="20"/>
      <c r="E83" s="104"/>
      <c r="F83" s="105"/>
      <c r="G83" s="106"/>
      <c r="H83" s="106"/>
      <c r="I83" s="107" t="str">
        <f>H83-G83</f>
        <v>0</v>
      </c>
      <c r="J83" s="106"/>
      <c r="K83" s="106"/>
      <c r="L83" s="106"/>
    </row>
    <row r="84" spans="1:1025">
      <c r="A84" s="99"/>
      <c r="B84" s="29"/>
      <c r="C84" s="20"/>
      <c r="D84" s="20"/>
      <c r="E84" s="104"/>
      <c r="F84" s="105"/>
      <c r="G84" s="106"/>
      <c r="H84" s="106"/>
      <c r="I84" s="107" t="str">
        <f>H84-G84</f>
        <v>0</v>
      </c>
      <c r="J84" s="106"/>
      <c r="K84" s="106"/>
      <c r="L84" s="106"/>
    </row>
    <row r="85" spans="1:1025">
      <c r="A85" s="99"/>
      <c r="B85" s="29"/>
      <c r="C85" s="20"/>
      <c r="D85" s="20"/>
      <c r="E85" s="104"/>
      <c r="F85" s="105"/>
      <c r="G85" s="106"/>
      <c r="H85" s="106"/>
      <c r="I85" s="107" t="str">
        <f>H85-G85</f>
        <v>0</v>
      </c>
      <c r="J85" s="106"/>
      <c r="K85" s="106"/>
      <c r="L85" s="106"/>
    </row>
    <row r="86" spans="1:1025">
      <c r="A86" s="99"/>
      <c r="B86" s="29"/>
      <c r="C86" s="20"/>
      <c r="D86" s="20"/>
      <c r="E86" s="104"/>
      <c r="F86" s="105"/>
      <c r="G86" s="106"/>
      <c r="H86" s="106"/>
      <c r="I86" s="107" t="str">
        <f>H86-G86</f>
        <v>0</v>
      </c>
      <c r="J86" s="106"/>
      <c r="K86" s="106"/>
      <c r="L86" s="106"/>
    </row>
    <row r="87" spans="1:1025">
      <c r="A87" s="99"/>
      <c r="B87" s="29"/>
      <c r="C87" s="20"/>
      <c r="D87" s="20"/>
      <c r="E87" s="104"/>
      <c r="F87" s="105"/>
      <c r="G87" s="106"/>
      <c r="H87" s="106"/>
      <c r="I87" s="107" t="str">
        <f>H87-G87</f>
        <v>0</v>
      </c>
      <c r="J87" s="106"/>
      <c r="K87" s="106"/>
      <c r="L87" s="106"/>
    </row>
    <row r="88" spans="1:1025">
      <c r="A88" s="99"/>
      <c r="B88" s="29"/>
      <c r="C88" s="20"/>
      <c r="D88" s="20"/>
      <c r="E88" s="104"/>
      <c r="F88" s="105"/>
      <c r="G88" s="106"/>
      <c r="H88" s="106"/>
      <c r="I88" s="107" t="str">
        <f>H88-G88</f>
        <v>0</v>
      </c>
      <c r="J88" s="106"/>
      <c r="K88" s="106"/>
      <c r="L88" s="106"/>
    </row>
    <row r="89" spans="1:1025">
      <c r="A89" s="99"/>
      <c r="B89" s="29"/>
      <c r="C89" s="20"/>
      <c r="D89" s="20"/>
      <c r="E89" s="104"/>
      <c r="F89" s="105"/>
      <c r="G89" s="106"/>
      <c r="H89" s="106"/>
      <c r="I89" s="107" t="str">
        <f>H89-G89</f>
        <v>0</v>
      </c>
      <c r="J89" s="106"/>
      <c r="K89" s="106"/>
      <c r="L89" s="106"/>
    </row>
    <row r="90" spans="1:1025">
      <c r="A90" s="99"/>
      <c r="B90" s="29"/>
      <c r="C90" s="20"/>
      <c r="D90" s="20"/>
      <c r="E90" s="104"/>
      <c r="F90" s="105"/>
      <c r="G90" s="106"/>
      <c r="H90" s="106"/>
      <c r="I90" s="107" t="str">
        <f>H90-G90</f>
        <v>0</v>
      </c>
      <c r="J90" s="106"/>
      <c r="K90" s="106"/>
      <c r="L90" s="106"/>
    </row>
    <row r="91" spans="1:1025">
      <c r="A91" s="99"/>
      <c r="B91" s="29"/>
      <c r="C91" s="20"/>
      <c r="D91" s="20"/>
      <c r="E91" s="104"/>
      <c r="F91" s="105"/>
      <c r="G91" s="106"/>
      <c r="H91" s="106"/>
      <c r="I91" s="107" t="str">
        <f>H91-G91</f>
        <v>0</v>
      </c>
      <c r="J91" s="106"/>
      <c r="K91" s="106"/>
      <c r="L91" s="106"/>
    </row>
    <row r="92" spans="1:1025">
      <c r="A92" s="99"/>
      <c r="B92" s="29"/>
      <c r="C92" s="20"/>
      <c r="D92" s="20"/>
      <c r="E92" s="104"/>
      <c r="F92" s="105"/>
      <c r="G92" s="106"/>
      <c r="H92" s="106"/>
      <c r="I92" s="107" t="str">
        <f>H92-G92</f>
        <v>0</v>
      </c>
      <c r="J92" s="106"/>
      <c r="K92" s="106"/>
      <c r="L92" s="106"/>
    </row>
    <row r="93" spans="1:1025">
      <c r="A93" s="99"/>
      <c r="B93" s="29"/>
      <c r="C93" s="20"/>
      <c r="D93" s="20"/>
      <c r="E93" s="104"/>
      <c r="F93" s="105"/>
      <c r="G93" s="106"/>
      <c r="H93" s="106"/>
      <c r="I93" s="107" t="str">
        <f>H93-G93</f>
        <v>0</v>
      </c>
      <c r="J93" s="106"/>
      <c r="K93" s="106"/>
      <c r="L93" s="106"/>
    </row>
    <row r="94" spans="1:1025">
      <c r="A94" s="99"/>
      <c r="B94" s="29"/>
      <c r="C94" s="20"/>
      <c r="D94" s="20"/>
      <c r="E94" s="104"/>
      <c r="F94" s="105"/>
      <c r="G94" s="106"/>
      <c r="H94" s="106"/>
      <c r="I94" s="107" t="str">
        <f>H94-G94</f>
        <v>0</v>
      </c>
      <c r="J94" s="106"/>
      <c r="K94" s="106"/>
      <c r="L94" s="106"/>
    </row>
    <row r="95" spans="1:1025">
      <c r="A95" s="99"/>
      <c r="B95" s="29"/>
      <c r="C95" s="20"/>
      <c r="D95" s="20"/>
      <c r="E95" s="104"/>
      <c r="F95" s="105"/>
      <c r="G95" s="106"/>
      <c r="H95" s="106"/>
      <c r="I95" s="107" t="str">
        <f>H95-G95</f>
        <v>0</v>
      </c>
      <c r="J95" s="106"/>
      <c r="K95" s="106"/>
      <c r="L95" s="106"/>
    </row>
    <row r="96" spans="1:1025">
      <c r="A96" s="99"/>
      <c r="B96" s="29"/>
      <c r="C96" s="20"/>
      <c r="D96" s="20"/>
      <c r="E96" s="104"/>
      <c r="F96" s="105"/>
      <c r="G96" s="106"/>
      <c r="H96" s="106"/>
      <c r="I96" s="107" t="str">
        <f>H96-G96</f>
        <v>0</v>
      </c>
      <c r="J96" s="106"/>
      <c r="K96" s="106"/>
      <c r="L96" s="106"/>
    </row>
    <row r="97" spans="1:1025">
      <c r="A97" s="99"/>
      <c r="B97" s="29"/>
      <c r="C97" s="20"/>
      <c r="D97" s="20"/>
      <c r="E97" s="104"/>
      <c r="F97" s="105"/>
      <c r="G97" s="106"/>
      <c r="H97" s="106"/>
      <c r="I97" s="107" t="str">
        <f>H97-G97</f>
        <v>0</v>
      </c>
      <c r="J97" s="106"/>
      <c r="K97" s="106"/>
      <c r="L97" s="106"/>
    </row>
    <row r="98" spans="1:1025">
      <c r="A98" s="99"/>
      <c r="B98" s="29"/>
      <c r="C98" s="20"/>
      <c r="D98" s="20"/>
      <c r="E98" s="104"/>
      <c r="F98" s="105"/>
      <c r="G98" s="106"/>
      <c r="H98" s="106"/>
      <c r="I98" s="107" t="str">
        <f>H98-G98</f>
        <v>0</v>
      </c>
      <c r="J98" s="106"/>
      <c r="K98" s="106"/>
      <c r="L98" s="106"/>
    </row>
    <row r="99" spans="1:1025">
      <c r="A99" s="99"/>
      <c r="B99" s="29"/>
      <c r="C99" s="20"/>
      <c r="D99" s="20"/>
      <c r="E99" s="104"/>
      <c r="F99" s="105"/>
      <c r="G99" s="106"/>
      <c r="H99" s="106"/>
      <c r="I99" s="107" t="str">
        <f>H99-G99</f>
        <v>0</v>
      </c>
      <c r="J99" s="106"/>
      <c r="K99" s="106"/>
      <c r="L99" s="106"/>
    </row>
    <row r="100" spans="1:1025">
      <c r="A100" s="99"/>
      <c r="B100" s="29"/>
      <c r="C100" s="20"/>
      <c r="D100" s="20"/>
      <c r="E100" s="104"/>
      <c r="F100" s="105"/>
      <c r="G100" s="106"/>
      <c r="H100" s="106"/>
      <c r="I100" s="107" t="str">
        <f>H100-G100</f>
        <v>0</v>
      </c>
      <c r="J100" s="106"/>
      <c r="K100" s="106"/>
      <c r="L100" s="106"/>
    </row>
    <row r="101" spans="1:1025">
      <c r="A101" s="99"/>
      <c r="B101" s="29"/>
      <c r="C101" s="20"/>
      <c r="D101" s="20"/>
      <c r="E101" s="104"/>
      <c r="F101" s="105"/>
      <c r="G101" s="106"/>
      <c r="H101" s="106"/>
      <c r="I101" s="107" t="str">
        <f>H101-G101</f>
        <v>0</v>
      </c>
      <c r="J101" s="106"/>
      <c r="K101" s="106"/>
      <c r="L101" s="106"/>
    </row>
    <row r="102" spans="1:1025">
      <c r="A102" s="99"/>
      <c r="B102" s="29"/>
      <c r="C102" s="20"/>
      <c r="D102" s="20"/>
      <c r="E102" s="104"/>
      <c r="F102" s="105"/>
      <c r="G102" s="106"/>
      <c r="H102" s="106"/>
      <c r="I102" s="107" t="str">
        <f>H102-G102</f>
        <v>0</v>
      </c>
      <c r="J102" s="106"/>
      <c r="K102" s="106"/>
      <c r="L102" s="106"/>
    </row>
    <row r="103" spans="1:1025" customHeight="1" ht="15.95">
      <c r="A103" s="108"/>
      <c r="B103" s="109"/>
      <c r="C103" s="54"/>
      <c r="D103" s="110"/>
      <c r="E103" s="111"/>
      <c r="F103" s="112"/>
      <c r="G103" s="113"/>
      <c r="H103" s="113"/>
      <c r="I103" s="107" t="str">
        <f>H103-G103</f>
        <v>0</v>
      </c>
      <c r="J103" s="113"/>
      <c r="K103" s="113"/>
      <c r="L103" s="113"/>
    </row>
    <row r="104" spans="1:1025" customHeight="1" ht="15.95">
      <c r="I104" s="115" t="str">
        <f>SUM(I2:I103)</f>
        <v>0</v>
      </c>
      <c r="J104" s="114" t="str">
        <f>SUM(J2:J103)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A1" location="Seznam!A1"/>
  </hyperlinks>
  <printOptions gridLines="false" gridLinesSet="true" horizontalCentered="true" verticalCentered="true"/>
  <pageMargins left="0.23622047244094" right="0.23622047244094" top="0.39370078740157" bottom="0.74803149606299" header="0.51181102362205" footer="0.31496062992126"/>
  <pageSetup paperSize="1" orientation="landscape" scale="100" fitToHeight="1" fitToWidth="1"/>
  <headerFooter differentOddEven="false" differentFirst="false" scaleWithDoc="true" alignWithMargins="true">
    <oddHeader/>
    <oddFooter>&amp;L
datum:      30.3.2014&amp;C
info@onlinesprava.cz |mobil: 607 959 876&amp;Rwww.onlinesprava.cz</oddFooter>
    <evenHeader/>
    <evenFooter/>
    <firstHeader/>
    <firstFooter/>
  </headerFooter>
  <legacyDrawing r:id="rId_comments_vml1"/>
</worksheet>
</file>

<file path=xl/worksheets/sheet2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16"/>
  <sheetViews>
    <sheetView tabSelected="0" workbookViewId="0" showGridLines="true" showRowColHeaders="1">
      <selection activeCell="A1" sqref="A1"/>
    </sheetView>
  </sheetViews>
  <sheetFormatPr defaultRowHeight="14.4" defaultColWidth="24.3984375" outlineLevelRow="0" outlineLevelCol="0"/>
  <cols>
    <col min="1" max="1" width="20.86328125" customWidth="true" style="0"/>
  </cols>
  <sheetData>
    <row r="1" spans="1:11" customHeight="1" ht="15.95" s="5" customFormat="1">
      <c r="A1" s="574" t="s">
        <v>584</v>
      </c>
      <c r="B1" s="575" t="s">
        <v>65</v>
      </c>
      <c r="C1" s="575" t="s">
        <v>585</v>
      </c>
      <c r="D1" s="575" t="s">
        <v>586</v>
      </c>
      <c r="E1" s="575" t="s">
        <v>587</v>
      </c>
      <c r="F1" s="576" t="s">
        <v>136</v>
      </c>
      <c r="G1" s="577" t="s">
        <v>588</v>
      </c>
      <c r="H1" s="577" t="s">
        <v>478</v>
      </c>
      <c r="I1" s="578" t="s">
        <v>589</v>
      </c>
      <c r="J1" s="579" t="s">
        <v>75</v>
      </c>
    </row>
    <row r="2" spans="1:11" customHeight="1" ht="15.75">
      <c r="A2" s="0" t="s">
        <v>331</v>
      </c>
      <c r="B2" s="0" t="s">
        <v>398</v>
      </c>
      <c r="C2" s="0" t="s">
        <v>119</v>
      </c>
      <c r="E2" s="0"/>
      <c r="F2" s="0"/>
      <c r="G2" s="0"/>
      <c r="H2" s="0"/>
      <c r="I2" s="0" t="str">
        <f>H2-G2</f>
        <v>0</v>
      </c>
      <c r="J2" s="0"/>
      <c r="K2" s="0"/>
    </row>
    <row r="3" spans="1:11">
      <c r="A3" s="0" t="s">
        <v>337</v>
      </c>
      <c r="B3" s="0" t="s">
        <v>338</v>
      </c>
      <c r="C3" s="0" t="s">
        <v>119</v>
      </c>
      <c r="E3" s="0"/>
      <c r="F3" s="0"/>
      <c r="G3" s="0"/>
      <c r="H3" s="0"/>
      <c r="I3" s="0" t="str">
        <f>H3-G3</f>
        <v>0</v>
      </c>
      <c r="J3" s="0"/>
      <c r="K3" s="0"/>
    </row>
    <row r="4" spans="1:11">
      <c r="A4" s="0" t="s">
        <v>346</v>
      </c>
      <c r="B4" s="0" t="s">
        <v>558</v>
      </c>
      <c r="C4" s="0" t="s">
        <v>119</v>
      </c>
      <c r="E4" s="0"/>
      <c r="F4" s="0"/>
      <c r="G4" s="0"/>
      <c r="H4" s="0"/>
      <c r="I4" s="0" t="str">
        <f>H4-G4</f>
        <v>0</v>
      </c>
      <c r="J4" s="0"/>
      <c r="K4" s="0"/>
    </row>
    <row r="5" spans="1:11">
      <c r="A5" s="0" t="s">
        <v>353</v>
      </c>
      <c r="B5" s="0" t="s">
        <v>354</v>
      </c>
      <c r="C5" s="0" t="s">
        <v>119</v>
      </c>
      <c r="E5" s="0"/>
      <c r="F5" s="0"/>
      <c r="G5" s="0"/>
      <c r="H5" s="0"/>
      <c r="I5" s="0" t="str">
        <f>H5-G5</f>
        <v>0</v>
      </c>
      <c r="J5" s="0"/>
      <c r="K5" s="0"/>
    </row>
    <row r="6" spans="1:11">
      <c r="A6" s="0" t="s">
        <v>359</v>
      </c>
      <c r="B6" s="0" t="s">
        <v>559</v>
      </c>
      <c r="C6" s="0" t="s">
        <v>119</v>
      </c>
      <c r="E6" s="0"/>
      <c r="F6" s="0"/>
      <c r="G6" s="0"/>
      <c r="H6" s="0"/>
      <c r="I6" s="0" t="str">
        <f>H6-G6</f>
        <v>0</v>
      </c>
      <c r="J6" s="0"/>
      <c r="K6" s="0"/>
    </row>
    <row r="7" spans="1:11">
      <c r="A7" s="0" t="s">
        <v>365</v>
      </c>
      <c r="B7" s="0" t="s">
        <v>560</v>
      </c>
      <c r="C7" s="0" t="s">
        <v>119</v>
      </c>
      <c r="E7" s="0"/>
      <c r="F7" s="0"/>
      <c r="G7" s="0"/>
      <c r="H7" s="0"/>
      <c r="I7" s="0" t="str">
        <f>H7-G7</f>
        <v>0</v>
      </c>
      <c r="J7" s="0"/>
      <c r="K7" s="0"/>
    </row>
    <row r="8" spans="1:11">
      <c r="A8" s="0" t="s">
        <v>371</v>
      </c>
      <c r="B8" s="0" t="s">
        <v>372</v>
      </c>
      <c r="C8" s="0" t="s">
        <v>119</v>
      </c>
      <c r="E8" s="0"/>
      <c r="F8" s="0"/>
      <c r="G8" s="0"/>
      <c r="H8" s="0"/>
      <c r="I8" s="0" t="str">
        <f>H8-G8</f>
        <v>0</v>
      </c>
      <c r="J8" s="0"/>
      <c r="K8" s="0"/>
    </row>
    <row r="9" spans="1:11">
      <c r="A9" s="0" t="s">
        <v>377</v>
      </c>
      <c r="B9" s="0" t="s">
        <v>354</v>
      </c>
      <c r="C9" s="0" t="s">
        <v>119</v>
      </c>
      <c r="E9" s="0"/>
      <c r="F9" s="0"/>
      <c r="G9" s="0"/>
      <c r="H9" s="0"/>
      <c r="I9" s="0" t="str">
        <f>H9-G9</f>
        <v>0</v>
      </c>
      <c r="J9" s="0"/>
      <c r="K9" s="0"/>
    </row>
    <row r="10" spans="1:11">
      <c r="A10" s="0" t="s">
        <v>379</v>
      </c>
      <c r="B10" s="0" t="s">
        <v>380</v>
      </c>
      <c r="C10" s="0" t="s">
        <v>119</v>
      </c>
      <c r="E10" s="0"/>
      <c r="F10" s="0"/>
      <c r="G10" s="0"/>
      <c r="H10" s="0"/>
      <c r="I10" s="0" t="str">
        <f>H10-G10</f>
        <v>0</v>
      </c>
      <c r="J10" s="0"/>
      <c r="K10" s="0"/>
    </row>
    <row r="11" spans="1:11">
      <c r="A11" s="0" t="s">
        <v>385</v>
      </c>
      <c r="B11" s="0" t="s">
        <v>386</v>
      </c>
      <c r="C11" s="0" t="s">
        <v>119</v>
      </c>
      <c r="E11" s="0"/>
      <c r="F11" s="0"/>
      <c r="G11" s="0"/>
      <c r="H11" s="0"/>
      <c r="I11" s="0" t="str">
        <f>H11-G11</f>
        <v>0</v>
      </c>
      <c r="J11" s="0"/>
      <c r="K11" s="0"/>
    </row>
    <row r="12" spans="1:11">
      <c r="A12" s="0" t="s">
        <v>391</v>
      </c>
      <c r="B12" s="0" t="s">
        <v>392</v>
      </c>
      <c r="C12" s="0" t="s">
        <v>119</v>
      </c>
      <c r="E12" s="0"/>
      <c r="F12" s="0"/>
      <c r="G12" s="0"/>
      <c r="H12" s="0"/>
      <c r="I12" s="0" t="str">
        <f>H12-G12</f>
        <v>0</v>
      </c>
      <c r="J12" s="0"/>
      <c r="K12" s="0"/>
    </row>
    <row r="13" spans="1:11">
      <c r="A13" s="0" t="s">
        <v>397</v>
      </c>
      <c r="B13" s="0" t="s">
        <v>398</v>
      </c>
      <c r="C13" s="0" t="s">
        <v>119</v>
      </c>
      <c r="E13" s="0"/>
      <c r="F13" s="0"/>
      <c r="G13" s="0"/>
      <c r="H13" s="0"/>
      <c r="I13" s="0" t="str">
        <f>H13-G13</f>
        <v>0</v>
      </c>
      <c r="J13" s="0"/>
      <c r="K13" s="0"/>
    </row>
    <row r="14" spans="1:11">
      <c r="A14" s="0" t="s">
        <v>402</v>
      </c>
      <c r="B14" s="0" t="s">
        <v>403</v>
      </c>
      <c r="C14" s="0" t="s">
        <v>119</v>
      </c>
      <c r="E14" s="0"/>
      <c r="F14" s="0"/>
      <c r="G14" s="0"/>
      <c r="H14" s="0"/>
      <c r="I14" s="0" t="str">
        <f>H14-G14</f>
        <v>0</v>
      </c>
      <c r="J14" s="0"/>
      <c r="K14" s="0"/>
    </row>
    <row r="15" spans="1:11">
      <c r="A15" s="0" t="s">
        <v>408</v>
      </c>
      <c r="B15" s="0" t="s">
        <v>561</v>
      </c>
      <c r="C15" s="0" t="s">
        <v>119</v>
      </c>
      <c r="E15" s="0"/>
      <c r="F15" s="0"/>
      <c r="G15" s="0"/>
      <c r="H15" s="0"/>
      <c r="I15" s="0" t="str">
        <f>H15-G15</f>
        <v>0</v>
      </c>
      <c r="J15" s="0"/>
      <c r="K15" s="0"/>
    </row>
    <row r="16" spans="1:11">
      <c r="A16" s="0" t="s">
        <v>414</v>
      </c>
      <c r="B16" s="0" t="s">
        <v>562</v>
      </c>
      <c r="C16" s="0" t="s">
        <v>119</v>
      </c>
      <c r="E16" s="0"/>
      <c r="F16" s="0"/>
      <c r="G16" s="0"/>
      <c r="H16" s="0"/>
      <c r="I16" s="0" t="str">
        <f>H16-G16</f>
        <v>0</v>
      </c>
      <c r="J16" s="0"/>
      <c r="K16" s="0"/>
    </row>
    <row r="17" spans="1:11">
      <c r="A17" s="0" t="s">
        <v>420</v>
      </c>
      <c r="B17" s="0" t="s">
        <v>563</v>
      </c>
      <c r="C17" s="0" t="s">
        <v>119</v>
      </c>
      <c r="E17" s="0"/>
      <c r="F17" s="0"/>
      <c r="G17" s="0"/>
      <c r="H17" s="0"/>
      <c r="I17" s="0" t="str">
        <f>H17-G17</f>
        <v>0</v>
      </c>
      <c r="J17" s="0"/>
      <c r="K17" s="0"/>
    </row>
    <row r="18" spans="1:11">
      <c r="A18" s="0" t="s">
        <v>425</v>
      </c>
      <c r="B18" s="0" t="s">
        <v>564</v>
      </c>
      <c r="C18" s="0" t="s">
        <v>119</v>
      </c>
      <c r="E18" s="0"/>
      <c r="F18" s="0"/>
      <c r="G18" s="0"/>
      <c r="H18" s="0"/>
      <c r="I18" s="0" t="str">
        <f>H18-G18</f>
        <v>0</v>
      </c>
      <c r="J18" s="0"/>
      <c r="K18" s="0"/>
    </row>
    <row r="19" spans="1:11">
      <c r="A19" s="0" t="s">
        <v>430</v>
      </c>
      <c r="B19" s="0" t="s">
        <v>565</v>
      </c>
      <c r="C19" s="0" t="s">
        <v>119</v>
      </c>
      <c r="E19" s="0"/>
      <c r="F19" s="0"/>
      <c r="G19" s="0"/>
      <c r="H19" s="0"/>
      <c r="I19" s="0" t="str">
        <f>H19-G19</f>
        <v>0</v>
      </c>
      <c r="J19" s="0"/>
      <c r="K19" s="0"/>
    </row>
    <row r="20" spans="1:11">
      <c r="A20" s="0" t="s">
        <v>435</v>
      </c>
      <c r="B20" s="0" t="s">
        <v>565</v>
      </c>
      <c r="C20" s="0" t="s">
        <v>119</v>
      </c>
      <c r="E20" s="0"/>
      <c r="F20" s="0"/>
      <c r="G20" s="0"/>
      <c r="H20" s="0"/>
      <c r="I20" s="0" t="str">
        <f>H20-G20</f>
        <v>0</v>
      </c>
      <c r="J20" s="0"/>
      <c r="K20" s="0"/>
    </row>
    <row r="21" spans="1:11">
      <c r="A21" s="0" t="s">
        <v>437</v>
      </c>
      <c r="B21" s="0" t="s">
        <v>566</v>
      </c>
      <c r="C21" s="0" t="s">
        <v>119</v>
      </c>
      <c r="E21" s="0"/>
      <c r="F21" s="0"/>
      <c r="G21" s="0"/>
      <c r="H21" s="0"/>
      <c r="I21" s="0" t="str">
        <f>H21-G21</f>
        <v>0</v>
      </c>
      <c r="J21" s="0"/>
      <c r="K21" s="0"/>
    </row>
    <row r="22" spans="1:11">
      <c r="A22" s="0" t="s">
        <v>442</v>
      </c>
      <c r="B22" s="0" t="s">
        <v>567</v>
      </c>
      <c r="C22" s="0" t="s">
        <v>119</v>
      </c>
      <c r="E22" s="0"/>
      <c r="F22" s="0"/>
      <c r="G22" s="0"/>
      <c r="H22" s="0"/>
      <c r="I22" s="0" t="str">
        <f>H22-G22</f>
        <v>0</v>
      </c>
      <c r="J22" s="0"/>
      <c r="K22" s="0"/>
    </row>
    <row r="23" spans="1:11">
      <c r="A23" s="0" t="s">
        <v>448</v>
      </c>
      <c r="B23" s="0" t="s">
        <v>568</v>
      </c>
      <c r="C23" s="0" t="s">
        <v>119</v>
      </c>
      <c r="E23" s="0"/>
      <c r="F23" s="0"/>
      <c r="G23" s="0"/>
      <c r="H23" s="0"/>
      <c r="I23" s="0" t="str">
        <f>H23-G23</f>
        <v>0</v>
      </c>
      <c r="J23" s="0"/>
      <c r="K23" s="0"/>
    </row>
    <row r="24" spans="1:11">
      <c r="A24" s="0" t="s">
        <v>454</v>
      </c>
      <c r="B24" s="0" t="s">
        <v>569</v>
      </c>
      <c r="C24" s="0" t="s">
        <v>119</v>
      </c>
      <c r="E24" s="0"/>
      <c r="F24" s="0"/>
      <c r="G24" s="0"/>
      <c r="H24" s="0"/>
      <c r="I24" s="0" t="str">
        <f>H24-G24</f>
        <v>0</v>
      </c>
      <c r="J24" s="0"/>
      <c r="K24" s="0"/>
    </row>
    <row r="25" spans="1:11">
      <c r="A25" s="0" t="s">
        <v>459</v>
      </c>
      <c r="B25" s="0" t="s">
        <v>460</v>
      </c>
      <c r="C25" s="0" t="s">
        <v>119</v>
      </c>
      <c r="E25" s="0"/>
      <c r="F25" s="0"/>
      <c r="G25" s="0"/>
      <c r="H25" s="0"/>
      <c r="I25" s="0" t="str">
        <f>H25-G25</f>
        <v>0</v>
      </c>
      <c r="J25" s="0"/>
      <c r="K25" s="0"/>
    </row>
    <row r="26" spans="1:11">
      <c r="I26" s="0" t="str">
        <f>H26-G26</f>
        <v>0</v>
      </c>
    </row>
    <row r="27" spans="1:11">
      <c r="I27" s="0" t="str">
        <f>H27-G27</f>
        <v>0</v>
      </c>
    </row>
    <row r="28" spans="1:11">
      <c r="I28" s="0" t="str">
        <f>H28-G28</f>
        <v>0</v>
      </c>
    </row>
    <row r="29" spans="1:11">
      <c r="I29" s="0" t="str">
        <f>H29-G29</f>
        <v>0</v>
      </c>
    </row>
    <row r="30" spans="1:11">
      <c r="I30" s="0" t="str">
        <f>H30-G30</f>
        <v>0</v>
      </c>
    </row>
    <row r="31" spans="1:11">
      <c r="I31" s="0" t="str">
        <f>H31-G31</f>
        <v>0</v>
      </c>
    </row>
    <row r="32" spans="1:11">
      <c r="I32" s="0" t="str">
        <f>H32-G32</f>
        <v>0</v>
      </c>
    </row>
    <row r="33" spans="1:11">
      <c r="I33" s="0" t="str">
        <f>H33-G33</f>
        <v>0</v>
      </c>
    </row>
    <row r="34" spans="1:11">
      <c r="I34" s="0" t="str">
        <f>H34-G34</f>
        <v>0</v>
      </c>
    </row>
    <row r="35" spans="1:11">
      <c r="I35" s="0" t="str">
        <f>H35-G35</f>
        <v>0</v>
      </c>
    </row>
    <row r="36" spans="1:11">
      <c r="I36" s="0" t="str">
        <f>H36-G36</f>
        <v>0</v>
      </c>
    </row>
    <row r="37" spans="1:11">
      <c r="I37" s="0" t="str">
        <f>H37-G37</f>
        <v>0</v>
      </c>
    </row>
    <row r="38" spans="1:11">
      <c r="I38" s="0" t="str">
        <f>H38-G38</f>
        <v>0</v>
      </c>
    </row>
    <row r="39" spans="1:11">
      <c r="I39" s="0" t="str">
        <f>H39-G39</f>
        <v>0</v>
      </c>
    </row>
    <row r="40" spans="1:11">
      <c r="I40" s="0" t="str">
        <f>H40-G40</f>
        <v>0</v>
      </c>
    </row>
    <row r="41" spans="1:11">
      <c r="I41" s="0" t="str">
        <f>H41-G41</f>
        <v>0</v>
      </c>
    </row>
    <row r="42" spans="1:11">
      <c r="I42" s="0" t="str">
        <f>H42-G42</f>
        <v>0</v>
      </c>
    </row>
    <row r="43" spans="1:11">
      <c r="I43" s="0" t="str">
        <f>H43-G43</f>
        <v>0</v>
      </c>
    </row>
    <row r="44" spans="1:11">
      <c r="I44" s="0" t="str">
        <f>H44-G44</f>
        <v>0</v>
      </c>
    </row>
    <row r="45" spans="1:11">
      <c r="I45" s="0" t="str">
        <f>H45-G45</f>
        <v>0</v>
      </c>
    </row>
    <row r="46" spans="1:11">
      <c r="I46" s="0" t="str">
        <f>H46-G46</f>
        <v>0</v>
      </c>
    </row>
    <row r="47" spans="1:11">
      <c r="I47" s="0" t="str">
        <f>H47-G47</f>
        <v>0</v>
      </c>
    </row>
    <row r="48" spans="1:11">
      <c r="I48" s="0" t="str">
        <f>H48-G48</f>
        <v>0</v>
      </c>
    </row>
    <row r="49" spans="1:11">
      <c r="I49" s="0" t="str">
        <f>H49-G49</f>
        <v>0</v>
      </c>
    </row>
    <row r="50" spans="1:11">
      <c r="I50" s="0" t="str">
        <f>H50-G50</f>
        <v>0</v>
      </c>
    </row>
    <row r="51" spans="1:11">
      <c r="I51" s="0" t="str">
        <f>H51-G51</f>
        <v>0</v>
      </c>
    </row>
    <row r="52" spans="1:11">
      <c r="I52" s="0" t="str">
        <f>H52-G52</f>
        <v>0</v>
      </c>
    </row>
    <row r="53" spans="1:11">
      <c r="I53" s="0" t="str">
        <f>H53-G53</f>
        <v>0</v>
      </c>
    </row>
    <row r="54" spans="1:11">
      <c r="I54" s="0" t="str">
        <f>H54-G54</f>
        <v>0</v>
      </c>
    </row>
    <row r="55" spans="1:11">
      <c r="I55" s="0" t="str">
        <f>H55-G55</f>
        <v>0</v>
      </c>
    </row>
    <row r="56" spans="1:11">
      <c r="I56" s="0" t="str">
        <f>H56-G56</f>
        <v>0</v>
      </c>
    </row>
    <row r="57" spans="1:11">
      <c r="I57" s="0" t="str">
        <f>H57-G57</f>
        <v>0</v>
      </c>
    </row>
    <row r="58" spans="1:11">
      <c r="I58" s="0" t="str">
        <f>H58-G58</f>
        <v>0</v>
      </c>
    </row>
    <row r="59" spans="1:11">
      <c r="I59" s="0" t="str">
        <f>H59-G59</f>
        <v>0</v>
      </c>
    </row>
    <row r="60" spans="1:11">
      <c r="I60" s="0" t="str">
        <f>H60-G60</f>
        <v>0</v>
      </c>
    </row>
    <row r="61" spans="1:11">
      <c r="I61" s="0" t="str">
        <f>H61-G61</f>
        <v>0</v>
      </c>
    </row>
    <row r="62" spans="1:11">
      <c r="I62" s="0" t="str">
        <f>H62-G62</f>
        <v>0</v>
      </c>
    </row>
    <row r="63" spans="1:11">
      <c r="I63" s="0" t="str">
        <f>H63-G63</f>
        <v>0</v>
      </c>
    </row>
    <row r="64" spans="1:11">
      <c r="I64" s="0" t="str">
        <f>H64-G64</f>
        <v>0</v>
      </c>
    </row>
    <row r="65" spans="1:11">
      <c r="I65" s="0" t="str">
        <f>H65-G65</f>
        <v>0</v>
      </c>
    </row>
    <row r="66" spans="1:11">
      <c r="I66" s="0" t="str">
        <f>H66-G66</f>
        <v>0</v>
      </c>
    </row>
    <row r="67" spans="1:11">
      <c r="I67" s="0" t="str">
        <f>H67-G67</f>
        <v>0</v>
      </c>
    </row>
    <row r="68" spans="1:11">
      <c r="I68" s="0" t="str">
        <f>H68-G68</f>
        <v>0</v>
      </c>
    </row>
    <row r="69" spans="1:11">
      <c r="I69" s="0" t="str">
        <f>H69-G69</f>
        <v>0</v>
      </c>
    </row>
    <row r="70" spans="1:11">
      <c r="I70" s="0" t="str">
        <f>H70-G70</f>
        <v>0</v>
      </c>
    </row>
    <row r="71" spans="1:11">
      <c r="I71" s="0" t="str">
        <f>H71-G71</f>
        <v>0</v>
      </c>
    </row>
    <row r="72" spans="1:11">
      <c r="I72" s="0" t="str">
        <f>H72-G72</f>
        <v>0</v>
      </c>
    </row>
    <row r="73" spans="1:11">
      <c r="I73" s="0" t="str">
        <f>H73-G73</f>
        <v>0</v>
      </c>
    </row>
    <row r="74" spans="1:11">
      <c r="I74" s="0" t="str">
        <f>H74-G74</f>
        <v>0</v>
      </c>
    </row>
    <row r="75" spans="1:11">
      <c r="I75" s="0" t="str">
        <f>H75-G75</f>
        <v>0</v>
      </c>
    </row>
    <row r="76" spans="1:11">
      <c r="I76" s="0" t="str">
        <f>H76-G76</f>
        <v>0</v>
      </c>
    </row>
    <row r="77" spans="1:11">
      <c r="I77" s="0" t="str">
        <f>H77-G77</f>
        <v>0</v>
      </c>
    </row>
    <row r="78" spans="1:11">
      <c r="I78" s="0" t="str">
        <f>H78-G78</f>
        <v>0</v>
      </c>
    </row>
    <row r="79" spans="1:11">
      <c r="I79" s="0" t="str">
        <f>H79-G79</f>
        <v>0</v>
      </c>
    </row>
    <row r="80" spans="1:11">
      <c r="I80" s="0" t="str">
        <f>H80-G80</f>
        <v>0</v>
      </c>
    </row>
    <row r="81" spans="1:11">
      <c r="I81" s="0" t="str">
        <f>H81-G81</f>
        <v>0</v>
      </c>
    </row>
    <row r="82" spans="1:11">
      <c r="I82" s="0" t="str">
        <f>H82-G82</f>
        <v>0</v>
      </c>
    </row>
    <row r="83" spans="1:11">
      <c r="I83" s="0" t="str">
        <f>H83-G83</f>
        <v>0</v>
      </c>
    </row>
    <row r="84" spans="1:11">
      <c r="I84" s="0" t="str">
        <f>H84-G84</f>
        <v>0</v>
      </c>
    </row>
    <row r="85" spans="1:11">
      <c r="I85" s="0" t="str">
        <f>H85-G85</f>
        <v>0</v>
      </c>
    </row>
    <row r="86" spans="1:11">
      <c r="I86" s="0" t="str">
        <f>H86-G86</f>
        <v>0</v>
      </c>
    </row>
    <row r="87" spans="1:11">
      <c r="I87" s="0" t="str">
        <f>H87-G87</f>
        <v>0</v>
      </c>
    </row>
    <row r="88" spans="1:11">
      <c r="I88" s="0" t="str">
        <f>H88-G88</f>
        <v>0</v>
      </c>
    </row>
    <row r="89" spans="1:11">
      <c r="I89" s="0" t="str">
        <f>H89-G89</f>
        <v>0</v>
      </c>
    </row>
    <row r="90" spans="1:11">
      <c r="I90" s="0" t="str">
        <f>H90-G90</f>
        <v>0</v>
      </c>
    </row>
    <row r="91" spans="1:11">
      <c r="I91" s="0" t="str">
        <f>H91-G91</f>
        <v>0</v>
      </c>
    </row>
    <row r="92" spans="1:11">
      <c r="I92" s="0" t="str">
        <f>H92-G92</f>
        <v>0</v>
      </c>
    </row>
    <row r="93" spans="1:11">
      <c r="I93" s="0" t="str">
        <f>H93-G93</f>
        <v>0</v>
      </c>
    </row>
    <row r="94" spans="1:11">
      <c r="I94" s="0" t="str">
        <f>H94-G94</f>
        <v>0</v>
      </c>
    </row>
    <row r="95" spans="1:11">
      <c r="I95" s="0" t="str">
        <f>H95-G95</f>
        <v>0</v>
      </c>
    </row>
    <row r="96" spans="1:11">
      <c r="I96" s="0" t="str">
        <f>H96-G96</f>
        <v>0</v>
      </c>
    </row>
    <row r="97" spans="1:11">
      <c r="I97" s="0" t="str">
        <f>H97-G97</f>
        <v>0</v>
      </c>
    </row>
    <row r="98" spans="1:11">
      <c r="I98" s="0" t="str">
        <f>H98-G98</f>
        <v>0</v>
      </c>
    </row>
    <row r="99" spans="1:11">
      <c r="I99" s="0" t="str">
        <f>H99-G99</f>
        <v>0</v>
      </c>
    </row>
    <row r="100" spans="1:11">
      <c r="I100" s="0" t="str">
        <f>H100-G100</f>
        <v>0</v>
      </c>
    </row>
    <row r="101" spans="1:11">
      <c r="I101" s="0" t="str">
        <f>H101-G101</f>
        <v>0</v>
      </c>
    </row>
    <row r="102" spans="1:11">
      <c r="I102" s="0" t="str">
        <f>H102-G102</f>
        <v>0</v>
      </c>
    </row>
    <row r="103" spans="1:11">
      <c r="I103" s="0" t="str">
        <f>H103-G103</f>
        <v>0</v>
      </c>
    </row>
    <row r="104" spans="1:11">
      <c r="I104" s="0" t="str">
        <f>H104-G104</f>
        <v>0</v>
      </c>
    </row>
    <row r="105" spans="1:11">
      <c r="I105" s="0" t="str">
        <f>H105-G105</f>
        <v>0</v>
      </c>
    </row>
    <row r="106" spans="1:11">
      <c r="I106" s="0" t="str">
        <f>H106-G106</f>
        <v>0</v>
      </c>
    </row>
    <row r="107" spans="1:11">
      <c r="I107" s="0" t="str">
        <f>H107-G107</f>
        <v>0</v>
      </c>
    </row>
    <row r="108" spans="1:11">
      <c r="I108" s="0" t="str">
        <f>H108-G108</f>
        <v>0</v>
      </c>
    </row>
    <row r="109" spans="1:11">
      <c r="I109" s="0" t="str">
        <f>H109-G109</f>
        <v>0</v>
      </c>
    </row>
    <row r="110" spans="1:11">
      <c r="I110" s="0" t="str">
        <f>H110-G110</f>
        <v>0</v>
      </c>
    </row>
    <row r="111" spans="1:11">
      <c r="I111" s="0" t="str">
        <f>H111-G111</f>
        <v>0</v>
      </c>
    </row>
    <row r="112" spans="1:11">
      <c r="I112" s="0" t="str">
        <f>H112-G112</f>
        <v>0</v>
      </c>
    </row>
    <row r="113" spans="1:11">
      <c r="I113" s="0" t="str">
        <f>H113-G113</f>
        <v>0</v>
      </c>
    </row>
    <row r="114" spans="1:11">
      <c r="I114" s="0" t="str">
        <f>H114-G114</f>
        <v>0</v>
      </c>
    </row>
    <row r="115" spans="1:11" customHeight="1" ht="15.75">
      <c r="A115" s="412"/>
      <c r="B115" s="412"/>
      <c r="C115" s="412"/>
      <c r="D115" s="412"/>
      <c r="E115" s="412"/>
      <c r="F115" s="412"/>
      <c r="G115" s="412"/>
      <c r="H115" s="412"/>
      <c r="I115" s="412" t="str">
        <f>H115-G115</f>
        <v>0</v>
      </c>
      <c r="J115" s="412"/>
    </row>
    <row r="116" spans="1:11" customHeight="1" ht="15.75">
      <c r="I116" s="263" t="str">
        <f>SUM(I2:I115)</f>
        <v>0</v>
      </c>
      <c r="J116" s="263" t="str">
        <f>SUM(J2:J115)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A1" location="Seznam!A1"/>
  </hyperlinks>
  <printOptions gridLines="false" gridLinesSet="true" horizontalCentered="true" verticalCentered="true"/>
  <pageMargins left="0.70866141732283" right="0.70866141732283" top="0.74803149606299" bottom="0.74803149606299" header="0.31496062992126" footer="0.31496062992126"/>
  <pageSetup paperSize="9" orientation="landscape" scale="5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24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</sheetPr>
  <dimension ref="A1:G110"/>
  <sheetViews>
    <sheetView tabSelected="0" workbookViewId="0" showGridLines="true" showRowColHeaders="1">
      <selection activeCell="A1" sqref="A1"/>
    </sheetView>
  </sheetViews>
  <sheetFormatPr defaultRowHeight="14.4" defaultColWidth="8.86328125" outlineLevelRow="0" outlineLevelCol="0"/>
  <cols>
    <col min="1" max="1" width="32.59765625" customWidth="true" style="2"/>
    <col min="2" max="2" width="20.86328125" customWidth="true" style="324"/>
    <col min="3" max="3" width="17" customWidth="true" style="324"/>
    <col min="4" max="4" width="21" customWidth="true" style="2"/>
    <col min="5" max="5" width="10.86328125" customWidth="true" style="313"/>
  </cols>
  <sheetData>
    <row r="1" spans="1:7" customHeight="1" ht="15.95">
      <c r="A1" s="596" t="s">
        <v>316</v>
      </c>
      <c r="B1" s="318" t="s">
        <v>628</v>
      </c>
      <c r="C1" s="319" t="s">
        <v>629</v>
      </c>
      <c r="D1" s="161" t="s">
        <v>630</v>
      </c>
      <c r="E1" s="325" t="s">
        <v>155</v>
      </c>
    </row>
    <row r="2" spans="1:7" customHeight="1" ht="15.95">
      <c r="A2" s="162"/>
      <c r="B2" s="320"/>
      <c r="C2" s="320"/>
      <c r="D2" s="163"/>
      <c r="E2" s="326"/>
    </row>
    <row r="3" spans="1:7">
      <c r="A3" s="99" t="s">
        <v>331</v>
      </c>
      <c r="B3" s="321">
        <v>0</v>
      </c>
      <c r="C3" s="321">
        <v>0</v>
      </c>
      <c r="D3" s="164" t="s">
        <v>631</v>
      </c>
      <c r="E3" s="326">
        <v>0</v>
      </c>
      <c r="F3" s="0">
        <v>0</v>
      </c>
      <c r="G3" s="0">
        <v>0</v>
      </c>
    </row>
    <row r="4" spans="1:7">
      <c r="A4" s="99" t="s">
        <v>337</v>
      </c>
      <c r="B4" s="321">
        <v>0</v>
      </c>
      <c r="C4" s="321">
        <v>0</v>
      </c>
      <c r="D4" s="164" t="s">
        <v>631</v>
      </c>
      <c r="E4" s="326">
        <v>0</v>
      </c>
      <c r="F4" s="0">
        <v>12531</v>
      </c>
      <c r="G4" s="0">
        <v>12531</v>
      </c>
    </row>
    <row r="5" spans="1:7">
      <c r="A5" s="99" t="s">
        <v>346</v>
      </c>
      <c r="B5" s="321">
        <v>9300</v>
      </c>
      <c r="C5" s="321">
        <v>-9300</v>
      </c>
      <c r="D5" s="164" t="s">
        <v>632</v>
      </c>
      <c r="E5" s="326">
        <v>0</v>
      </c>
      <c r="F5" s="0">
        <v>41598</v>
      </c>
      <c r="G5" s="0">
        <v>46220</v>
      </c>
    </row>
    <row r="6" spans="1:7">
      <c r="A6" s="99" t="s">
        <v>353</v>
      </c>
      <c r="B6" s="321">
        <v>5367</v>
      </c>
      <c r="C6" s="321">
        <v>-5367</v>
      </c>
      <c r="D6" s="164" t="s">
        <v>631</v>
      </c>
      <c r="E6" s="326">
        <v>0</v>
      </c>
      <c r="F6" s="0">
        <v>30312</v>
      </c>
      <c r="G6" s="0">
        <v>30312</v>
      </c>
    </row>
    <row r="7" spans="1:7">
      <c r="A7" s="99" t="s">
        <v>359</v>
      </c>
      <c r="B7" s="321">
        <v>-1480</v>
      </c>
      <c r="C7" s="321">
        <v>1480</v>
      </c>
      <c r="D7" s="164" t="s">
        <v>631</v>
      </c>
      <c r="E7" s="326">
        <v>0</v>
      </c>
      <c r="F7" s="0">
        <v>36324</v>
      </c>
      <c r="G7" s="0">
        <v>33297</v>
      </c>
    </row>
    <row r="8" spans="1:7">
      <c r="A8" s="99" t="s">
        <v>365</v>
      </c>
      <c r="B8" s="321">
        <v>1722</v>
      </c>
      <c r="C8" s="321">
        <v>-1722</v>
      </c>
      <c r="D8" s="164" t="s">
        <v>631</v>
      </c>
      <c r="E8" s="326">
        <v>0</v>
      </c>
      <c r="F8" s="0">
        <v>55068</v>
      </c>
      <c r="G8" s="0">
        <v>55068</v>
      </c>
    </row>
    <row r="9" spans="1:7">
      <c r="A9" s="99" t="s">
        <v>371</v>
      </c>
      <c r="B9" s="321">
        <v>2380</v>
      </c>
      <c r="C9" s="321">
        <v>-2380</v>
      </c>
      <c r="D9" s="164" t="s">
        <v>631</v>
      </c>
      <c r="E9" s="326">
        <v>0</v>
      </c>
      <c r="F9" s="0">
        <v>45816</v>
      </c>
      <c r="G9" s="0">
        <v>45816</v>
      </c>
    </row>
    <row r="10" spans="1:7">
      <c r="A10" s="99" t="s">
        <v>377</v>
      </c>
      <c r="B10" s="321">
        <v>2816</v>
      </c>
      <c r="C10" s="321">
        <v>-2816</v>
      </c>
      <c r="D10" s="164" t="s">
        <v>631</v>
      </c>
      <c r="E10" s="326">
        <v>0</v>
      </c>
      <c r="F10" s="0">
        <v>37236</v>
      </c>
      <c r="G10" s="0">
        <v>27927</v>
      </c>
    </row>
    <row r="11" spans="1:7">
      <c r="A11" s="99" t="s">
        <v>379</v>
      </c>
      <c r="B11" s="321">
        <v>-2108</v>
      </c>
      <c r="C11" s="321">
        <v>2108</v>
      </c>
      <c r="D11" s="164" t="s">
        <v>631</v>
      </c>
      <c r="E11" s="326">
        <v>0</v>
      </c>
      <c r="F11" s="0">
        <v>53664</v>
      </c>
      <c r="G11" s="0">
        <v>53664</v>
      </c>
    </row>
    <row r="12" spans="1:7">
      <c r="A12" s="99" t="s">
        <v>385</v>
      </c>
      <c r="B12" s="321">
        <v>3761</v>
      </c>
      <c r="C12" s="321">
        <v>-3761</v>
      </c>
      <c r="D12" s="164" t="s">
        <v>631</v>
      </c>
      <c r="E12" s="326">
        <v>0</v>
      </c>
      <c r="F12" s="0">
        <v>61272</v>
      </c>
      <c r="G12" s="0">
        <v>61272</v>
      </c>
    </row>
    <row r="13" spans="1:7">
      <c r="A13" s="99" t="s">
        <v>391</v>
      </c>
      <c r="B13" s="321">
        <v>15037</v>
      </c>
      <c r="C13" s="321">
        <v>-15037</v>
      </c>
      <c r="D13" s="164" t="s">
        <v>631</v>
      </c>
      <c r="E13" s="326">
        <v>0</v>
      </c>
      <c r="F13" s="0">
        <v>48216</v>
      </c>
      <c r="G13" s="0">
        <v>48216</v>
      </c>
    </row>
    <row r="14" spans="1:7">
      <c r="A14" s="99" t="s">
        <v>397</v>
      </c>
      <c r="B14" s="321">
        <v>1502</v>
      </c>
      <c r="C14" s="321">
        <v>-1502</v>
      </c>
      <c r="D14" s="164" t="s">
        <v>631</v>
      </c>
      <c r="E14" s="326">
        <v>0</v>
      </c>
      <c r="F14" s="0">
        <v>36180</v>
      </c>
      <c r="G14" s="0">
        <v>36180</v>
      </c>
    </row>
    <row r="15" spans="1:7">
      <c r="A15" s="99" t="s">
        <v>402</v>
      </c>
      <c r="B15" s="321">
        <v>19859</v>
      </c>
      <c r="C15" s="321">
        <v>-19859</v>
      </c>
      <c r="D15" s="164" t="s">
        <v>631</v>
      </c>
      <c r="E15" s="326">
        <v>0</v>
      </c>
      <c r="F15" s="0">
        <v>79176</v>
      </c>
      <c r="G15" s="0">
        <v>79176</v>
      </c>
    </row>
    <row r="16" spans="1:7">
      <c r="A16" s="99" t="s">
        <v>408</v>
      </c>
      <c r="B16" s="321">
        <v>7196</v>
      </c>
      <c r="C16" s="321">
        <v>-7196</v>
      </c>
      <c r="D16" s="164" t="s">
        <v>631</v>
      </c>
      <c r="E16" s="326">
        <v>0</v>
      </c>
      <c r="F16" s="0">
        <v>68076</v>
      </c>
      <c r="G16" s="0">
        <v>69957</v>
      </c>
    </row>
    <row r="17" spans="1:7">
      <c r="A17" s="99" t="s">
        <v>414</v>
      </c>
      <c r="B17" s="321">
        <v>226</v>
      </c>
      <c r="C17" s="321">
        <v>-226</v>
      </c>
      <c r="D17" s="164" t="s">
        <v>631</v>
      </c>
      <c r="E17" s="326">
        <v>0</v>
      </c>
      <c r="F17" s="0">
        <v>44772</v>
      </c>
      <c r="G17" s="0">
        <v>44772</v>
      </c>
    </row>
    <row r="18" spans="1:7">
      <c r="A18" s="99" t="s">
        <v>420</v>
      </c>
      <c r="B18" s="321">
        <v>-2598</v>
      </c>
      <c r="C18" s="321">
        <v>2598</v>
      </c>
      <c r="D18" s="164" t="s">
        <v>631</v>
      </c>
      <c r="E18" s="326">
        <v>0</v>
      </c>
      <c r="F18" s="0">
        <v>40356</v>
      </c>
      <c r="G18" s="0">
        <v>40356</v>
      </c>
    </row>
    <row r="19" spans="1:7">
      <c r="A19" s="99" t="s">
        <v>425</v>
      </c>
      <c r="B19" s="321">
        <v>15207</v>
      </c>
      <c r="C19" s="321">
        <v>-15207</v>
      </c>
      <c r="D19" s="164" t="s">
        <v>631</v>
      </c>
      <c r="E19" s="326">
        <v>0</v>
      </c>
      <c r="F19" s="0">
        <v>77472</v>
      </c>
      <c r="G19" s="0">
        <v>77472</v>
      </c>
    </row>
    <row r="20" spans="1:7">
      <c r="A20" s="99" t="s">
        <v>430</v>
      </c>
      <c r="B20" s="321">
        <v>-6494</v>
      </c>
      <c r="C20" s="321">
        <v>6494</v>
      </c>
      <c r="D20" s="164" t="s">
        <v>631</v>
      </c>
      <c r="E20" s="326">
        <v>0</v>
      </c>
      <c r="F20" s="0">
        <v>47688</v>
      </c>
      <c r="G20" s="0">
        <v>47688</v>
      </c>
    </row>
    <row r="21" spans="1:7">
      <c r="A21" s="99" t="s">
        <v>435</v>
      </c>
      <c r="B21" s="321">
        <v>6460</v>
      </c>
      <c r="C21" s="321">
        <v>-6460</v>
      </c>
      <c r="D21" s="164" t="s">
        <v>631</v>
      </c>
      <c r="E21" s="326">
        <v>0</v>
      </c>
      <c r="F21" s="0">
        <v>40008</v>
      </c>
      <c r="G21" s="0">
        <v>40008</v>
      </c>
    </row>
    <row r="22" spans="1:7">
      <c r="A22" s="99" t="s">
        <v>437</v>
      </c>
      <c r="B22" s="321">
        <v>7690</v>
      </c>
      <c r="C22" s="321">
        <v>-7690</v>
      </c>
      <c r="D22" s="164" t="s">
        <v>631</v>
      </c>
      <c r="E22" s="326">
        <v>0</v>
      </c>
      <c r="F22" s="0">
        <v>52860</v>
      </c>
      <c r="G22" s="0">
        <v>52860</v>
      </c>
    </row>
    <row r="23" spans="1:7">
      <c r="A23" s="99" t="s">
        <v>442</v>
      </c>
      <c r="B23" s="321">
        <v>4023</v>
      </c>
      <c r="C23" s="321">
        <v>-4023</v>
      </c>
      <c r="D23" s="164" t="s">
        <v>631</v>
      </c>
      <c r="E23" s="326">
        <v>0</v>
      </c>
      <c r="F23" s="0">
        <v>46488</v>
      </c>
      <c r="G23" s="0">
        <v>46488</v>
      </c>
    </row>
    <row r="24" spans="1:7">
      <c r="A24" s="99" t="s">
        <v>448</v>
      </c>
      <c r="B24" s="321">
        <v>2723</v>
      </c>
      <c r="C24" s="321">
        <v>-2723</v>
      </c>
      <c r="D24" s="164" t="s">
        <v>631</v>
      </c>
      <c r="E24" s="326">
        <v>0</v>
      </c>
      <c r="F24" s="0">
        <v>47340</v>
      </c>
      <c r="G24" s="0">
        <v>47340</v>
      </c>
    </row>
    <row r="25" spans="1:7">
      <c r="A25" s="99" t="s">
        <v>454</v>
      </c>
      <c r="B25" s="321">
        <v>6051</v>
      </c>
      <c r="C25" s="321">
        <v>-6051</v>
      </c>
      <c r="D25" s="164" t="s">
        <v>631</v>
      </c>
      <c r="E25" s="326">
        <v>0</v>
      </c>
      <c r="F25" s="0">
        <v>50544</v>
      </c>
      <c r="G25" s="0">
        <v>50544</v>
      </c>
    </row>
    <row r="26" spans="1:7">
      <c r="A26" s="99" t="s">
        <v>459</v>
      </c>
      <c r="B26" s="321">
        <v>6384</v>
      </c>
      <c r="C26" s="321">
        <v>-6384</v>
      </c>
      <c r="D26" s="164" t="s">
        <v>631</v>
      </c>
      <c r="E26" s="326">
        <v>0</v>
      </c>
      <c r="F26" s="0">
        <v>36096</v>
      </c>
      <c r="G26" s="0">
        <v>36096</v>
      </c>
    </row>
    <row r="27" spans="1:7">
      <c r="A27" s="99"/>
      <c r="B27" s="321"/>
      <c r="C27" s="321"/>
      <c r="D27" s="164"/>
      <c r="E27" s="326"/>
    </row>
    <row r="28" spans="1:7">
      <c r="A28" s="99"/>
      <c r="B28" s="321"/>
      <c r="C28" s="321"/>
      <c r="D28" s="164"/>
      <c r="E28" s="326"/>
    </row>
    <row r="29" spans="1:7">
      <c r="A29" s="99"/>
      <c r="B29" s="321"/>
      <c r="C29" s="321"/>
      <c r="D29" s="164"/>
      <c r="E29" s="326"/>
    </row>
    <row r="30" spans="1:7">
      <c r="A30" s="99"/>
      <c r="B30" s="321"/>
      <c r="C30" s="321"/>
      <c r="D30" s="164"/>
      <c r="E30" s="326"/>
    </row>
    <row r="31" spans="1:7">
      <c r="A31" s="99"/>
      <c r="B31" s="321"/>
      <c r="C31" s="321"/>
      <c r="D31" s="164"/>
      <c r="E31" s="326"/>
    </row>
    <row r="32" spans="1:7">
      <c r="A32" s="99"/>
      <c r="B32" s="321"/>
      <c r="C32" s="321"/>
      <c r="D32" s="164"/>
      <c r="E32" s="326"/>
    </row>
    <row r="33" spans="1:7">
      <c r="A33" s="99"/>
      <c r="B33" s="321"/>
      <c r="C33" s="321"/>
      <c r="D33" s="164"/>
      <c r="E33" s="326"/>
    </row>
    <row r="34" spans="1:7">
      <c r="A34" s="99"/>
      <c r="B34" s="321"/>
      <c r="C34" s="321"/>
      <c r="D34" s="164"/>
      <c r="E34" s="326"/>
    </row>
    <row r="35" spans="1:7">
      <c r="A35" s="99"/>
      <c r="B35" s="321"/>
      <c r="C35" s="321"/>
      <c r="D35" s="164"/>
      <c r="E35" s="326"/>
    </row>
    <row r="36" spans="1:7">
      <c r="A36" s="99"/>
      <c r="B36" s="321"/>
      <c r="C36" s="321"/>
      <c r="D36" s="164"/>
      <c r="E36" s="326"/>
    </row>
    <row r="37" spans="1:7">
      <c r="A37" s="99"/>
      <c r="B37" s="321"/>
      <c r="C37" s="321"/>
      <c r="D37" s="164"/>
      <c r="E37" s="326"/>
    </row>
    <row r="38" spans="1:7">
      <c r="A38" s="99"/>
      <c r="B38" s="321"/>
      <c r="C38" s="321"/>
      <c r="D38" s="164"/>
      <c r="E38" s="326"/>
    </row>
    <row r="39" spans="1:7">
      <c r="A39" s="99"/>
      <c r="B39" s="321"/>
      <c r="C39" s="321"/>
      <c r="D39" s="164"/>
      <c r="E39" s="326"/>
    </row>
    <row r="40" spans="1:7">
      <c r="A40" s="99"/>
      <c r="B40" s="321"/>
      <c r="C40" s="321"/>
      <c r="D40" s="164"/>
      <c r="E40" s="326"/>
    </row>
    <row r="41" spans="1:7">
      <c r="A41" s="99"/>
      <c r="B41" s="321"/>
      <c r="C41" s="321"/>
      <c r="D41" s="164"/>
      <c r="E41" s="326"/>
    </row>
    <row r="42" spans="1:7">
      <c r="A42" s="99"/>
      <c r="B42" s="321"/>
      <c r="C42" s="321"/>
      <c r="D42" s="164"/>
      <c r="E42" s="326"/>
    </row>
    <row r="43" spans="1:7">
      <c r="A43" s="99"/>
      <c r="B43" s="321"/>
      <c r="C43" s="321"/>
      <c r="D43" s="164"/>
      <c r="E43" s="326"/>
    </row>
    <row r="44" spans="1:7">
      <c r="A44" s="99"/>
      <c r="B44" s="321"/>
      <c r="C44" s="321"/>
      <c r="D44" s="164"/>
      <c r="E44" s="326"/>
    </row>
    <row r="45" spans="1:7">
      <c r="A45" s="99"/>
      <c r="B45" s="321"/>
      <c r="C45" s="321"/>
      <c r="D45" s="164"/>
      <c r="E45" s="326"/>
    </row>
    <row r="46" spans="1:7">
      <c r="A46" s="99"/>
      <c r="B46" s="321"/>
      <c r="C46" s="321"/>
      <c r="D46" s="164"/>
      <c r="E46" s="326"/>
    </row>
    <row r="47" spans="1:7">
      <c r="A47" s="99"/>
      <c r="B47" s="321"/>
      <c r="C47" s="321"/>
      <c r="D47" s="164"/>
      <c r="E47" s="326"/>
    </row>
    <row r="48" spans="1:7">
      <c r="A48" s="99"/>
      <c r="B48" s="321"/>
      <c r="C48" s="321"/>
      <c r="D48" s="164"/>
      <c r="E48" s="326"/>
    </row>
    <row r="49" spans="1:7">
      <c r="A49" s="99"/>
      <c r="B49" s="321"/>
      <c r="C49" s="321"/>
      <c r="D49" s="164"/>
      <c r="E49" s="326"/>
    </row>
    <row r="50" spans="1:7">
      <c r="A50" s="99"/>
      <c r="B50" s="321"/>
      <c r="C50" s="321"/>
      <c r="D50" s="164"/>
      <c r="E50" s="326"/>
    </row>
    <row r="51" spans="1:7">
      <c r="A51" s="99"/>
      <c r="B51" s="321"/>
      <c r="C51" s="321"/>
      <c r="D51" s="164"/>
      <c r="E51" s="326"/>
    </row>
    <row r="52" spans="1:7">
      <c r="A52" s="99"/>
      <c r="B52" s="321"/>
      <c r="C52" s="321"/>
      <c r="D52" s="164"/>
      <c r="E52" s="326"/>
    </row>
    <row r="53" spans="1:7">
      <c r="A53" s="99"/>
      <c r="B53" s="321"/>
      <c r="C53" s="321"/>
      <c r="D53" s="164"/>
      <c r="E53" s="326"/>
    </row>
    <row r="54" spans="1:7">
      <c r="A54" s="99"/>
      <c r="B54" s="321"/>
      <c r="C54" s="321"/>
      <c r="D54" s="164"/>
      <c r="E54" s="326"/>
    </row>
    <row r="55" spans="1:7">
      <c r="A55" s="99"/>
      <c r="B55" s="321"/>
      <c r="C55" s="321"/>
      <c r="D55" s="164"/>
      <c r="E55" s="326"/>
    </row>
    <row r="56" spans="1:7">
      <c r="A56" s="99"/>
      <c r="B56" s="321"/>
      <c r="C56" s="321"/>
      <c r="D56" s="164"/>
      <c r="E56" s="326"/>
    </row>
    <row r="57" spans="1:7">
      <c r="A57" s="99"/>
      <c r="B57" s="321"/>
      <c r="C57" s="321"/>
      <c r="D57" s="164"/>
      <c r="E57" s="326"/>
    </row>
    <row r="58" spans="1:7">
      <c r="A58" s="99"/>
      <c r="B58" s="321"/>
      <c r="C58" s="321"/>
      <c r="D58" s="164"/>
      <c r="E58" s="326"/>
    </row>
    <row r="59" spans="1:7">
      <c r="A59" s="99"/>
      <c r="B59" s="321"/>
      <c r="C59" s="321"/>
      <c r="D59" s="164"/>
      <c r="E59" s="326"/>
    </row>
    <row r="60" spans="1:7">
      <c r="A60" s="99"/>
      <c r="B60" s="321"/>
      <c r="C60" s="321"/>
      <c r="D60" s="164"/>
      <c r="E60" s="326"/>
    </row>
    <row r="61" spans="1:7">
      <c r="A61" s="99"/>
      <c r="B61" s="321"/>
      <c r="C61" s="321"/>
      <c r="D61" s="164"/>
      <c r="E61" s="326"/>
    </row>
    <row r="62" spans="1:7">
      <c r="A62" s="99"/>
      <c r="B62" s="321"/>
      <c r="C62" s="321"/>
      <c r="D62" s="164"/>
      <c r="E62" s="326"/>
    </row>
    <row r="63" spans="1:7">
      <c r="A63" s="99"/>
      <c r="B63" s="321"/>
      <c r="C63" s="321"/>
      <c r="D63" s="164"/>
      <c r="E63" s="326"/>
    </row>
    <row r="64" spans="1:7">
      <c r="A64" s="99"/>
      <c r="B64" s="321"/>
      <c r="C64" s="321"/>
      <c r="D64" s="164"/>
      <c r="E64" s="326"/>
    </row>
    <row r="65" spans="1:7">
      <c r="A65" s="99"/>
      <c r="B65" s="321"/>
      <c r="C65" s="321"/>
      <c r="D65" s="164"/>
      <c r="E65" s="326"/>
    </row>
    <row r="66" spans="1:7">
      <c r="A66" s="99"/>
      <c r="B66" s="321"/>
      <c r="C66" s="321"/>
      <c r="D66" s="164"/>
      <c r="E66" s="326"/>
    </row>
    <row r="67" spans="1:7">
      <c r="A67" s="99"/>
      <c r="B67" s="321"/>
      <c r="C67" s="321"/>
      <c r="D67" s="164"/>
      <c r="E67" s="326"/>
    </row>
    <row r="68" spans="1:7">
      <c r="A68" s="99"/>
      <c r="B68" s="321"/>
      <c r="C68" s="321"/>
      <c r="D68" s="164"/>
      <c r="E68" s="326"/>
    </row>
    <row r="69" spans="1:7">
      <c r="A69" s="99"/>
      <c r="B69" s="321"/>
      <c r="C69" s="321"/>
      <c r="D69" s="164"/>
      <c r="E69" s="326"/>
    </row>
    <row r="70" spans="1:7">
      <c r="A70" s="99"/>
      <c r="B70" s="321"/>
      <c r="C70" s="321"/>
      <c r="D70" s="164"/>
      <c r="E70" s="326"/>
    </row>
    <row r="71" spans="1:7">
      <c r="A71" s="99"/>
      <c r="B71" s="321"/>
      <c r="C71" s="321"/>
      <c r="D71" s="164"/>
      <c r="E71" s="326"/>
    </row>
    <row r="72" spans="1:7">
      <c r="A72" s="99"/>
      <c r="B72" s="321"/>
      <c r="C72" s="321"/>
      <c r="D72" s="164"/>
      <c r="E72" s="326"/>
    </row>
    <row r="73" spans="1:7">
      <c r="A73" s="99"/>
      <c r="B73" s="321"/>
      <c r="C73" s="321"/>
      <c r="D73" s="164"/>
      <c r="E73" s="326"/>
    </row>
    <row r="74" spans="1:7">
      <c r="A74" s="99"/>
      <c r="B74" s="321"/>
      <c r="C74" s="321"/>
      <c r="D74" s="164"/>
      <c r="E74" s="326"/>
    </row>
    <row r="75" spans="1:7">
      <c r="A75" s="99"/>
      <c r="B75" s="321"/>
      <c r="C75" s="321"/>
      <c r="D75" s="164"/>
      <c r="E75" s="326"/>
    </row>
    <row r="76" spans="1:7">
      <c r="A76" s="99"/>
      <c r="B76" s="321"/>
      <c r="C76" s="321"/>
      <c r="D76" s="164"/>
      <c r="E76" s="326"/>
    </row>
    <row r="77" spans="1:7">
      <c r="A77" s="99"/>
      <c r="B77" s="321"/>
      <c r="C77" s="321"/>
      <c r="D77" s="164"/>
      <c r="E77" s="326"/>
    </row>
    <row r="78" spans="1:7">
      <c r="A78" s="99"/>
      <c r="B78" s="321"/>
      <c r="C78" s="321"/>
      <c r="D78" s="164"/>
      <c r="E78" s="326"/>
    </row>
    <row r="79" spans="1:7">
      <c r="A79" s="99"/>
      <c r="B79" s="321"/>
      <c r="C79" s="321"/>
      <c r="D79" s="164"/>
      <c r="E79" s="326"/>
    </row>
    <row r="80" spans="1:7">
      <c r="A80" s="99"/>
      <c r="B80" s="321"/>
      <c r="C80" s="321"/>
      <c r="D80" s="164"/>
      <c r="E80" s="326"/>
    </row>
    <row r="81" spans="1:7">
      <c r="A81" s="99"/>
      <c r="B81" s="321"/>
      <c r="C81" s="321"/>
      <c r="D81" s="164"/>
      <c r="E81" s="326"/>
    </row>
    <row r="82" spans="1:7">
      <c r="A82" s="99"/>
      <c r="B82" s="321"/>
      <c r="C82" s="321"/>
      <c r="D82" s="164"/>
      <c r="E82" s="326"/>
    </row>
    <row r="83" spans="1:7">
      <c r="A83" s="99"/>
      <c r="B83" s="321"/>
      <c r="C83" s="321"/>
      <c r="D83" s="164"/>
      <c r="E83" s="326"/>
    </row>
    <row r="84" spans="1:7">
      <c r="A84" s="99"/>
      <c r="B84" s="321"/>
      <c r="C84" s="321"/>
      <c r="D84" s="164"/>
      <c r="E84" s="326"/>
    </row>
    <row r="85" spans="1:7">
      <c r="A85" s="99"/>
      <c r="B85" s="321"/>
      <c r="C85" s="321"/>
      <c r="D85" s="164"/>
      <c r="E85" s="326"/>
    </row>
    <row r="86" spans="1:7">
      <c r="A86" s="99"/>
      <c r="B86" s="321"/>
      <c r="C86" s="321"/>
      <c r="D86" s="164"/>
      <c r="E86" s="326"/>
    </row>
    <row r="87" spans="1:7">
      <c r="A87" s="99"/>
      <c r="B87" s="321"/>
      <c r="C87" s="321"/>
      <c r="D87" s="164"/>
      <c r="E87" s="326"/>
    </row>
    <row r="88" spans="1:7">
      <c r="A88" s="99"/>
      <c r="B88" s="321"/>
      <c r="C88" s="321"/>
      <c r="D88" s="164"/>
      <c r="E88" s="326"/>
    </row>
    <row r="89" spans="1:7">
      <c r="A89" s="99"/>
      <c r="B89" s="321"/>
      <c r="C89" s="321"/>
      <c r="D89" s="164"/>
      <c r="E89" s="326"/>
    </row>
    <row r="90" spans="1:7">
      <c r="A90" s="99"/>
      <c r="B90" s="321"/>
      <c r="C90" s="321"/>
      <c r="D90" s="164"/>
      <c r="E90" s="326"/>
    </row>
    <row r="91" spans="1:7">
      <c r="A91" s="99"/>
      <c r="B91" s="321"/>
      <c r="C91" s="321"/>
      <c r="D91" s="164"/>
      <c r="E91" s="326"/>
    </row>
    <row r="92" spans="1:7">
      <c r="A92" s="99"/>
      <c r="B92" s="321"/>
      <c r="C92" s="321"/>
      <c r="D92" s="164"/>
      <c r="E92" s="326"/>
    </row>
    <row r="93" spans="1:7">
      <c r="A93" s="99"/>
      <c r="B93" s="321"/>
      <c r="C93" s="321"/>
      <c r="D93" s="164"/>
      <c r="E93" s="326"/>
    </row>
    <row r="94" spans="1:7">
      <c r="A94" s="99"/>
      <c r="B94" s="321"/>
      <c r="C94" s="321"/>
      <c r="D94" s="164"/>
      <c r="E94" s="326"/>
    </row>
    <row r="95" spans="1:7">
      <c r="A95" s="99"/>
      <c r="B95" s="321"/>
      <c r="C95" s="321"/>
      <c r="D95" s="164"/>
      <c r="E95" s="326"/>
    </row>
    <row r="96" spans="1:7">
      <c r="A96" s="99"/>
      <c r="B96" s="321"/>
      <c r="C96" s="321"/>
      <c r="D96" s="164"/>
      <c r="E96" s="326"/>
    </row>
    <row r="97" spans="1:7">
      <c r="A97" s="99"/>
      <c r="B97" s="321"/>
      <c r="C97" s="321"/>
      <c r="D97" s="164"/>
      <c r="E97" s="326"/>
    </row>
    <row r="98" spans="1:7">
      <c r="A98" s="99"/>
      <c r="B98" s="321"/>
      <c r="C98" s="321"/>
      <c r="D98" s="164"/>
      <c r="E98" s="326"/>
    </row>
    <row r="99" spans="1:7">
      <c r="A99" s="99"/>
      <c r="B99" s="321"/>
      <c r="C99" s="321"/>
      <c r="D99" s="164"/>
      <c r="E99" s="326"/>
    </row>
    <row r="100" spans="1:7">
      <c r="A100" s="99"/>
      <c r="B100" s="321"/>
      <c r="C100" s="321"/>
      <c r="D100" s="164"/>
      <c r="E100" s="326"/>
    </row>
    <row r="101" spans="1:7">
      <c r="A101" s="99"/>
      <c r="B101" s="321"/>
      <c r="C101" s="321"/>
      <c r="D101" s="164"/>
      <c r="E101" s="326"/>
    </row>
    <row r="102" spans="1:7">
      <c r="A102" s="99"/>
      <c r="B102" s="321"/>
      <c r="C102" s="321"/>
      <c r="D102" s="164"/>
      <c r="E102" s="326"/>
    </row>
    <row r="103" spans="1:7" customHeight="1" ht="15.95">
      <c r="A103" s="108"/>
      <c r="B103" s="322"/>
      <c r="C103" s="322"/>
      <c r="D103" s="165"/>
      <c r="E103" s="326"/>
    </row>
    <row r="104" spans="1:7" customHeight="1" ht="15.95">
      <c r="A104" s="162"/>
      <c r="B104" s="323" t="str">
        <f>SUM(B2:B103)</f>
        <v>0</v>
      </c>
      <c r="C104" s="320"/>
      <c r="D104" s="163"/>
      <c r="E104" s="327" t="str">
        <f>SUM(E2:E103)</f>
        <v>0</v>
      </c>
    </row>
    <row r="110" spans="1:7">
      <c r="A110" s="2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E104"/>
  <hyperlinks>
    <hyperlink ref="A1" location="Seznam!A1"/>
  </hyperlinks>
  <printOptions gridLines="false" gridLinesSet="true"/>
  <pageMargins left="0.7" right="0.7" top="0.787401575" bottom="0.7874015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25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</sheetPr>
  <dimension ref="A1:Y20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26.86328125" customWidth="true" style="173"/>
    <col min="2" max="2" width="9.1328125" customWidth="true" style="0"/>
    <col min="3" max="3" width="9.1328125" customWidth="true" style="0"/>
    <col min="4" max="4" width="9.1328125" customWidth="true" style="0"/>
    <col min="5" max="5" width="9.1328125" customWidth="true" style="0"/>
    <col min="6" max="6" width="9.1328125" customWidth="true" style="0"/>
    <col min="7" max="7" width="9.1328125" customWidth="true" style="0"/>
    <col min="8" max="8" width="9.1328125" customWidth="true" style="0"/>
    <col min="9" max="9" width="9.1328125" customWidth="true" style="0"/>
    <col min="10" max="10" width="9.1328125" customWidth="true" style="0"/>
    <col min="11" max="11" width="10.1328125" customWidth="true" style="0"/>
    <col min="12" max="12" width="10.1328125" customWidth="true" style="0"/>
    <col min="13" max="13" width="10.1328125" customWidth="true" style="0"/>
    <col min="14" max="14" width="9.86328125" customWidth="true" style="0"/>
    <col min="15" max="15" width="9.1328125" customWidth="true" style="0"/>
    <col min="16" max="16" width="13.3984375" customWidth="true" style="283"/>
    <col min="17" max="17" width="26.86328125" customWidth="true" style="286"/>
    <col min="18" max="18" width="9.1328125" customWidth="true" style="0"/>
  </cols>
  <sheetData>
    <row r="1" spans="1:25" customHeight="1" ht="18">
      <c r="A1" s="595" t="s">
        <v>182</v>
      </c>
      <c r="B1" s="65" t="str">
        <f>("01/"&amp;'vstupní data'!$B$12&amp;" ")</f>
        <v>0</v>
      </c>
      <c r="C1" s="65" t="str">
        <f>("02/"&amp;'vstupní data'!$B$12&amp;" ")</f>
        <v>0</v>
      </c>
      <c r="D1" s="65" t="str">
        <f>("03/"&amp;'vstupní data'!$B$12&amp;" ")</f>
        <v>0</v>
      </c>
      <c r="E1" s="65" t="str">
        <f>("04/"&amp;'vstupní data'!$B$12&amp;" ")</f>
        <v>0</v>
      </c>
      <c r="F1" s="65" t="str">
        <f>("05/"&amp;'vstupní data'!$B$12&amp;" ")</f>
        <v>0</v>
      </c>
      <c r="G1" s="65" t="str">
        <f>("06/"&amp;'vstupní data'!$B$12&amp;" ")</f>
        <v>0</v>
      </c>
      <c r="H1" s="65" t="str">
        <f>("07/"&amp;'vstupní data'!$B$12&amp;" ")</f>
        <v>0</v>
      </c>
      <c r="I1" s="65" t="str">
        <f>("08/"&amp;'vstupní data'!$B$12&amp;" ")</f>
        <v>0</v>
      </c>
      <c r="J1" s="65" t="str">
        <f>("09/"&amp;'vstupní data'!$B$12&amp;" ")</f>
        <v>0</v>
      </c>
      <c r="K1" s="65" t="str">
        <f>("10/"&amp;'vstupní data'!$B$12&amp;" ")</f>
        <v>0</v>
      </c>
      <c r="L1" s="65" t="str">
        <f>("11/"&amp;'vstupní data'!$B$12&amp;" ")</f>
        <v>0</v>
      </c>
      <c r="M1" s="65" t="str">
        <f>("12/"&amp;'vstupní data'!$B$12&amp;" ")</f>
        <v>0</v>
      </c>
      <c r="N1" s="167" t="s">
        <v>201</v>
      </c>
      <c r="P1" s="281" t="s">
        <v>633</v>
      </c>
      <c r="Q1" s="281" t="s">
        <v>634</v>
      </c>
    </row>
    <row r="2" spans="1:25">
      <c r="A2" s="170" t="s">
        <v>346</v>
      </c>
      <c r="B2" s="171">
        <v>4622</v>
      </c>
      <c r="C2" s="171">
        <v>4622</v>
      </c>
      <c r="D2" s="171">
        <v>4622</v>
      </c>
      <c r="E2" s="171">
        <v>4622</v>
      </c>
      <c r="F2" s="171">
        <v>4622</v>
      </c>
      <c r="G2" s="171">
        <v>4622</v>
      </c>
      <c r="H2" s="171">
        <v>4622</v>
      </c>
      <c r="I2" s="171">
        <v>4622</v>
      </c>
      <c r="J2" s="171">
        <v>4622</v>
      </c>
      <c r="K2" s="171">
        <v>4622</v>
      </c>
      <c r="L2" s="171">
        <v>0</v>
      </c>
      <c r="M2" s="171">
        <v>0</v>
      </c>
      <c r="N2" s="169" t="str">
        <f>SUM(B2:M2)</f>
        <v>0</v>
      </c>
      <c r="O2" s="27"/>
      <c r="P2" s="282" t="str">
        <f>VLOOKUP(A2,'Předpis po mesici'!$A$1:$JQ$103,274,0)*12</f>
        <v>0</v>
      </c>
      <c r="Q2" s="284" t="str">
        <f>SUM(B2:M2)-P2</f>
        <v>0</v>
      </c>
      <c r="R2" s="27"/>
      <c r="S2" s="27"/>
      <c r="T2" s="27"/>
      <c r="U2" s="27"/>
      <c r="V2" s="27"/>
      <c r="W2" s="27"/>
      <c r="X2" s="27"/>
      <c r="Y2" s="27"/>
    </row>
    <row r="3" spans="1:25">
      <c r="A3" s="168" t="s">
        <v>353</v>
      </c>
      <c r="B3" s="65">
        <v>7578</v>
      </c>
      <c r="C3" s="65">
        <v>0</v>
      </c>
      <c r="D3" s="65">
        <v>0</v>
      </c>
      <c r="E3" s="65">
        <v>7578</v>
      </c>
      <c r="F3" s="65">
        <v>0</v>
      </c>
      <c r="G3" s="65">
        <v>0</v>
      </c>
      <c r="H3" s="65">
        <v>7578</v>
      </c>
      <c r="I3" s="65">
        <v>0</v>
      </c>
      <c r="J3" s="65">
        <v>0</v>
      </c>
      <c r="K3" s="65">
        <v>7578</v>
      </c>
      <c r="L3" s="65">
        <v>0</v>
      </c>
      <c r="M3" s="65">
        <v>0</v>
      </c>
      <c r="N3" s="169" t="str">
        <f>SUM(B3:M3)</f>
        <v>0</v>
      </c>
      <c r="O3" s="27"/>
      <c r="P3" s="282" t="str">
        <f>VLOOKUP(A3,'Předpis po mesici'!$A$1:$JQ$103,274,0)*12</f>
        <v>0</v>
      </c>
      <c r="Q3" s="284" t="str">
        <f>SUM(B3:M3)-P3</f>
        <v>0</v>
      </c>
      <c r="R3" s="27"/>
      <c r="S3" s="27"/>
      <c r="T3" s="27"/>
      <c r="U3" s="27"/>
      <c r="V3" s="27"/>
      <c r="W3" s="27"/>
      <c r="X3" s="27"/>
      <c r="Y3" s="27"/>
    </row>
    <row r="4" spans="1:25">
      <c r="A4" s="170" t="s">
        <v>359</v>
      </c>
      <c r="B4" s="171">
        <v>3027</v>
      </c>
      <c r="C4" s="171">
        <v>3027</v>
      </c>
      <c r="D4" s="171">
        <v>3027</v>
      </c>
      <c r="E4" s="171">
        <v>3027</v>
      </c>
      <c r="F4" s="171">
        <v>3027</v>
      </c>
      <c r="G4" s="171">
        <v>3027</v>
      </c>
      <c r="H4" s="171">
        <v>3027</v>
      </c>
      <c r="I4" s="171">
        <v>3027</v>
      </c>
      <c r="J4" s="171">
        <v>3027</v>
      </c>
      <c r="K4" s="171">
        <v>3027</v>
      </c>
      <c r="L4" s="171">
        <v>3027</v>
      </c>
      <c r="M4" s="171">
        <v>0</v>
      </c>
      <c r="N4" s="169" t="str">
        <f>SUM(B4:M4)</f>
        <v>0</v>
      </c>
      <c r="O4" s="27"/>
      <c r="P4" s="282" t="str">
        <f>VLOOKUP(A4,'Předpis po mesici'!$A$1:$JQ$103,274,0)*12</f>
        <v>0</v>
      </c>
      <c r="Q4" s="284" t="str">
        <f>SUM(B4:M4)-P4</f>
        <v>0</v>
      </c>
      <c r="R4" s="27"/>
      <c r="S4" s="27"/>
      <c r="T4" s="27"/>
      <c r="U4" s="27"/>
      <c r="V4" s="27"/>
      <c r="W4" s="27"/>
      <c r="X4" s="27"/>
      <c r="Y4" s="27"/>
    </row>
    <row r="5" spans="1:25">
      <c r="A5" s="168" t="s">
        <v>365</v>
      </c>
      <c r="B5" s="65">
        <v>4589</v>
      </c>
      <c r="C5" s="65">
        <v>4589</v>
      </c>
      <c r="D5" s="65">
        <v>4589</v>
      </c>
      <c r="E5" s="65">
        <v>4589</v>
      </c>
      <c r="F5" s="65">
        <v>4589</v>
      </c>
      <c r="G5" s="65">
        <v>4589</v>
      </c>
      <c r="H5" s="65">
        <v>4589</v>
      </c>
      <c r="I5" s="65">
        <v>4589</v>
      </c>
      <c r="J5" s="65">
        <v>4589</v>
      </c>
      <c r="K5" s="65">
        <v>4589</v>
      </c>
      <c r="L5" s="65">
        <v>4589</v>
      </c>
      <c r="M5" s="65">
        <v>4589</v>
      </c>
      <c r="N5" s="169" t="str">
        <f>SUM(B5:M5)</f>
        <v>0</v>
      </c>
      <c r="O5" s="27"/>
      <c r="P5" s="282" t="str">
        <f>VLOOKUP(A5,'Předpis po mesici'!$A$1:$JQ$103,274,0)*12</f>
        <v>0</v>
      </c>
      <c r="Q5" s="284" t="str">
        <f>SUM(B5:M5)-P5</f>
        <v>0</v>
      </c>
      <c r="R5" s="27"/>
      <c r="S5" s="27"/>
      <c r="T5" s="27"/>
      <c r="U5" s="27"/>
      <c r="V5" s="27"/>
      <c r="W5" s="27"/>
      <c r="X5" s="27"/>
      <c r="Y5" s="27"/>
    </row>
    <row r="6" spans="1:25">
      <c r="A6" s="170" t="s">
        <v>371</v>
      </c>
      <c r="B6" s="171">
        <v>3818</v>
      </c>
      <c r="C6" s="171">
        <v>3818</v>
      </c>
      <c r="D6" s="171">
        <v>3818</v>
      </c>
      <c r="E6" s="171">
        <v>3818</v>
      </c>
      <c r="F6" s="171">
        <v>3818</v>
      </c>
      <c r="G6" s="171">
        <v>3818</v>
      </c>
      <c r="H6" s="171">
        <v>3818</v>
      </c>
      <c r="I6" s="171">
        <v>3818</v>
      </c>
      <c r="J6" s="171">
        <v>3818</v>
      </c>
      <c r="K6" s="171">
        <v>3818</v>
      </c>
      <c r="L6" s="171">
        <v>3818</v>
      </c>
      <c r="M6" s="171">
        <v>3818</v>
      </c>
      <c r="N6" s="169" t="str">
        <f>SUM(B6:M6)</f>
        <v>0</v>
      </c>
      <c r="O6" s="27"/>
      <c r="P6" s="282" t="str">
        <f>VLOOKUP(A6,'Předpis po mesici'!$A$1:$JQ$103,274,0)*12</f>
        <v>0</v>
      </c>
      <c r="Q6" s="284" t="str">
        <f>SUM(B6:M6)-P6</f>
        <v>0</v>
      </c>
      <c r="R6" s="27"/>
      <c r="S6" s="27"/>
      <c r="T6" s="27"/>
      <c r="U6" s="27"/>
      <c r="V6" s="27"/>
      <c r="W6" s="27"/>
      <c r="X6" s="27"/>
      <c r="Y6" s="27"/>
    </row>
    <row r="7" spans="1:25">
      <c r="A7" s="168" t="s">
        <v>377</v>
      </c>
      <c r="B7" s="65">
        <v>9309</v>
      </c>
      <c r="C7" s="65">
        <v>0</v>
      </c>
      <c r="D7" s="65">
        <v>0</v>
      </c>
      <c r="E7" s="65">
        <v>0</v>
      </c>
      <c r="F7" s="65">
        <v>0</v>
      </c>
      <c r="G7" s="65">
        <v>0</v>
      </c>
      <c r="H7" s="65">
        <v>9309</v>
      </c>
      <c r="I7" s="65">
        <v>0</v>
      </c>
      <c r="J7" s="65">
        <v>0</v>
      </c>
      <c r="K7" s="65">
        <v>9309</v>
      </c>
      <c r="L7" s="65">
        <v>0</v>
      </c>
      <c r="M7" s="65">
        <v>0</v>
      </c>
      <c r="N7" s="169" t="str">
        <f>SUM(B7:M7)</f>
        <v>0</v>
      </c>
      <c r="O7" s="27"/>
      <c r="P7" s="282" t="str">
        <f>VLOOKUP(A7,'Předpis po mesici'!$A$1:$JQ$103,274,0)*12</f>
        <v>0</v>
      </c>
      <c r="Q7" s="284" t="str">
        <f>SUM(B7:M7)-P7</f>
        <v>0</v>
      </c>
      <c r="R7" s="27"/>
      <c r="S7" s="27"/>
      <c r="T7" s="27"/>
      <c r="U7" s="27"/>
      <c r="V7" s="27"/>
      <c r="W7" s="27"/>
      <c r="X7" s="27"/>
      <c r="Y7" s="27"/>
    </row>
    <row r="8" spans="1:25">
      <c r="A8" s="170" t="s">
        <v>385</v>
      </c>
      <c r="B8" s="171">
        <v>5106</v>
      </c>
      <c r="C8" s="171">
        <v>5106</v>
      </c>
      <c r="D8" s="171">
        <v>5106</v>
      </c>
      <c r="E8" s="171">
        <v>5106</v>
      </c>
      <c r="F8" s="171">
        <v>5106</v>
      </c>
      <c r="G8" s="171">
        <v>5106</v>
      </c>
      <c r="H8" s="171">
        <v>5106</v>
      </c>
      <c r="I8" s="171">
        <v>5106</v>
      </c>
      <c r="J8" s="171">
        <v>5106</v>
      </c>
      <c r="K8" s="171">
        <v>5106</v>
      </c>
      <c r="L8" s="171">
        <v>5106</v>
      </c>
      <c r="M8" s="171">
        <v>5106</v>
      </c>
      <c r="N8" s="169" t="str">
        <f>SUM(B8:M8)</f>
        <v>0</v>
      </c>
      <c r="O8" s="27"/>
      <c r="P8" s="282" t="str">
        <f>VLOOKUP(A8,'Předpis po mesici'!$A$1:$JQ$103,274,0)*12</f>
        <v>0</v>
      </c>
      <c r="Q8" s="284" t="str">
        <f>SUM(B8:M8)-P8</f>
        <v>0</v>
      </c>
      <c r="R8" s="27"/>
      <c r="S8" s="27"/>
      <c r="T8" s="27"/>
      <c r="U8" s="27"/>
      <c r="V8" s="27"/>
      <c r="W8" s="27"/>
      <c r="X8" s="27"/>
      <c r="Y8" s="27"/>
    </row>
    <row r="9" spans="1:25">
      <c r="A9" s="168" t="s">
        <v>391</v>
      </c>
      <c r="B9" s="65">
        <v>4018</v>
      </c>
      <c r="C9" s="65">
        <v>4018</v>
      </c>
      <c r="D9" s="65">
        <v>4018</v>
      </c>
      <c r="E9" s="65">
        <v>4018</v>
      </c>
      <c r="F9" s="65">
        <v>4018</v>
      </c>
      <c r="G9" s="65">
        <v>4018</v>
      </c>
      <c r="H9" s="65">
        <v>4018</v>
      </c>
      <c r="I9" s="65">
        <v>4018</v>
      </c>
      <c r="J9" s="65">
        <v>4018</v>
      </c>
      <c r="K9" s="65">
        <v>4018</v>
      </c>
      <c r="L9" s="65">
        <v>4018</v>
      </c>
      <c r="M9" s="65">
        <v>4018</v>
      </c>
      <c r="N9" s="169" t="str">
        <f>SUM(B9:M9)</f>
        <v>0</v>
      </c>
      <c r="O9" s="27"/>
      <c r="P9" s="282" t="str">
        <f>VLOOKUP(A9,'Předpis po mesici'!$A$1:$JQ$103,274,0)*12</f>
        <v>0</v>
      </c>
      <c r="Q9" s="284" t="str">
        <f>SUM(B9:M9)-P9</f>
        <v>0</v>
      </c>
      <c r="R9" s="27"/>
      <c r="S9" s="27"/>
      <c r="T9" s="27"/>
      <c r="U9" s="27"/>
      <c r="V9" s="27"/>
      <c r="W9" s="27"/>
      <c r="X9" s="27"/>
      <c r="Y9" s="27"/>
    </row>
    <row r="10" spans="1:25">
      <c r="A10" s="170" t="s">
        <v>397</v>
      </c>
      <c r="B10" s="171">
        <v>3015</v>
      </c>
      <c r="C10" s="171">
        <v>3015</v>
      </c>
      <c r="D10" s="171">
        <v>3015</v>
      </c>
      <c r="E10" s="171">
        <v>3015</v>
      </c>
      <c r="F10" s="171">
        <v>3015</v>
      </c>
      <c r="G10" s="171">
        <v>3015</v>
      </c>
      <c r="H10" s="171">
        <v>3015</v>
      </c>
      <c r="I10" s="171">
        <v>3015</v>
      </c>
      <c r="J10" s="171">
        <v>3015</v>
      </c>
      <c r="K10" s="171">
        <v>3015</v>
      </c>
      <c r="L10" s="171">
        <v>3015</v>
      </c>
      <c r="M10" s="171">
        <v>3015</v>
      </c>
      <c r="N10" s="169" t="str">
        <f>SUM(B10:M10)</f>
        <v>0</v>
      </c>
      <c r="O10" s="27"/>
      <c r="P10" s="282" t="str">
        <f>VLOOKUP(A10,'Předpis po mesici'!$A$1:$JQ$103,274,0)*12</f>
        <v>0</v>
      </c>
      <c r="Q10" s="284" t="str">
        <f>SUM(B10:M10)-P10</f>
        <v>0</v>
      </c>
      <c r="R10" s="27"/>
      <c r="S10" s="27"/>
      <c r="T10" s="27"/>
      <c r="U10" s="27"/>
      <c r="V10" s="27"/>
      <c r="W10" s="27"/>
      <c r="X10" s="27"/>
      <c r="Y10" s="27"/>
    </row>
    <row r="11" spans="1:25">
      <c r="A11" s="168" t="s">
        <v>408</v>
      </c>
      <c r="B11" s="65">
        <v>5673</v>
      </c>
      <c r="C11" s="65">
        <v>5673</v>
      </c>
      <c r="D11" s="65">
        <v>5673</v>
      </c>
      <c r="E11" s="65">
        <v>5673</v>
      </c>
      <c r="F11" s="65">
        <v>5673</v>
      </c>
      <c r="G11" s="65">
        <v>5673</v>
      </c>
      <c r="H11" s="65">
        <v>5673</v>
      </c>
      <c r="I11" s="65">
        <v>5673</v>
      </c>
      <c r="J11" s="65">
        <v>5673</v>
      </c>
      <c r="K11" s="65">
        <v>6300</v>
      </c>
      <c r="L11" s="65">
        <v>6300</v>
      </c>
      <c r="M11" s="65">
        <v>6300</v>
      </c>
      <c r="N11" s="169" t="str">
        <f>SUM(B11:M11)</f>
        <v>0</v>
      </c>
      <c r="O11" s="27"/>
      <c r="P11" s="282" t="str">
        <f>VLOOKUP(A11,'Předpis po mesici'!$A$1:$JQ$103,274,0)*12</f>
        <v>0</v>
      </c>
      <c r="Q11" s="284" t="str">
        <f>SUM(B11:M11)-P11</f>
        <v>0</v>
      </c>
      <c r="R11" s="27"/>
      <c r="S11" s="27"/>
      <c r="T11" s="27"/>
      <c r="U11" s="27"/>
      <c r="V11" s="27"/>
      <c r="W11" s="27"/>
      <c r="X11" s="27"/>
      <c r="Y11" s="27"/>
    </row>
    <row r="12" spans="1:25">
      <c r="A12" s="170" t="s">
        <v>414</v>
      </c>
      <c r="B12" s="171">
        <v>3731</v>
      </c>
      <c r="C12" s="171">
        <v>3731</v>
      </c>
      <c r="D12" s="171">
        <v>3731</v>
      </c>
      <c r="E12" s="171">
        <v>3731</v>
      </c>
      <c r="F12" s="171">
        <v>3731</v>
      </c>
      <c r="G12" s="171">
        <v>3731</v>
      </c>
      <c r="H12" s="171">
        <v>3731</v>
      </c>
      <c r="I12" s="171">
        <v>3731</v>
      </c>
      <c r="J12" s="171">
        <v>3731</v>
      </c>
      <c r="K12" s="171">
        <v>3731</v>
      </c>
      <c r="L12" s="171">
        <v>3731</v>
      </c>
      <c r="M12" s="171">
        <v>3731</v>
      </c>
      <c r="N12" s="169" t="str">
        <f>SUM(B12:M12)</f>
        <v>0</v>
      </c>
      <c r="O12" s="27"/>
      <c r="P12" s="282" t="str">
        <f>VLOOKUP(A12,'Předpis po mesici'!$A$1:$JQ$103,274,0)*12</f>
        <v>0</v>
      </c>
      <c r="Q12" s="284" t="str">
        <f>SUM(B12:M12)-P12</f>
        <v>0</v>
      </c>
      <c r="R12" s="27"/>
      <c r="S12" s="27"/>
      <c r="T12" s="27"/>
      <c r="U12" s="27"/>
      <c r="V12" s="27"/>
      <c r="W12" s="27"/>
      <c r="X12" s="27"/>
      <c r="Y12" s="27"/>
    </row>
    <row r="13" spans="1:25">
      <c r="A13" s="168" t="s">
        <v>420</v>
      </c>
      <c r="B13" s="65">
        <v>3363</v>
      </c>
      <c r="C13" s="65">
        <v>3363</v>
      </c>
      <c r="D13" s="65">
        <v>3363</v>
      </c>
      <c r="E13" s="65">
        <v>3363</v>
      </c>
      <c r="F13" s="65">
        <v>3363</v>
      </c>
      <c r="G13" s="65">
        <v>3363</v>
      </c>
      <c r="H13" s="65">
        <v>3363</v>
      </c>
      <c r="I13" s="65">
        <v>3363</v>
      </c>
      <c r="J13" s="65">
        <v>3363</v>
      </c>
      <c r="K13" s="65">
        <v>3363</v>
      </c>
      <c r="L13" s="65">
        <v>3363</v>
      </c>
      <c r="M13" s="65">
        <v>3363</v>
      </c>
      <c r="N13" s="169" t="str">
        <f>SUM(B13:M13)</f>
        <v>0</v>
      </c>
      <c r="O13" s="27"/>
      <c r="P13" s="282" t="str">
        <f>VLOOKUP(A13,'Předpis po mesici'!$A$1:$JQ$103,274,0)*12</f>
        <v>0</v>
      </c>
      <c r="Q13" s="284" t="str">
        <f>SUM(B13:M13)-P13</f>
        <v>0</v>
      </c>
      <c r="R13" s="27"/>
      <c r="S13" s="27"/>
      <c r="T13" s="27"/>
      <c r="U13" s="27"/>
      <c r="V13" s="27"/>
      <c r="W13" s="27"/>
      <c r="X13" s="27"/>
      <c r="Y13" s="27"/>
    </row>
    <row r="14" spans="1:25">
      <c r="A14" s="170" t="s">
        <v>430</v>
      </c>
      <c r="B14" s="171">
        <v>3974</v>
      </c>
      <c r="C14" s="171">
        <v>3974</v>
      </c>
      <c r="D14" s="171">
        <v>3974</v>
      </c>
      <c r="E14" s="171">
        <v>3974</v>
      </c>
      <c r="F14" s="171">
        <v>3974</v>
      </c>
      <c r="G14" s="171">
        <v>3974</v>
      </c>
      <c r="H14" s="171">
        <v>3974</v>
      </c>
      <c r="I14" s="171">
        <v>3974</v>
      </c>
      <c r="J14" s="171">
        <v>3974</v>
      </c>
      <c r="K14" s="171">
        <v>3974</v>
      </c>
      <c r="L14" s="171">
        <v>3974</v>
      </c>
      <c r="M14" s="171">
        <v>3974</v>
      </c>
      <c r="N14" s="169" t="str">
        <f>SUM(B14:M14)</f>
        <v>0</v>
      </c>
      <c r="O14" s="27"/>
      <c r="P14" s="282" t="str">
        <f>VLOOKUP(A14,'Předpis po mesici'!$A$1:$JQ$103,274,0)*12</f>
        <v>0</v>
      </c>
      <c r="Q14" s="284" t="str">
        <f>SUM(B14:M14)-P14</f>
        <v>0</v>
      </c>
      <c r="R14" s="27"/>
      <c r="S14" s="27"/>
      <c r="T14" s="27"/>
      <c r="U14" s="27"/>
      <c r="V14" s="27"/>
      <c r="W14" s="27"/>
      <c r="X14" s="27"/>
      <c r="Y14" s="27"/>
    </row>
    <row r="15" spans="1:25">
      <c r="A15" s="168" t="s">
        <v>435</v>
      </c>
      <c r="B15" s="65">
        <v>3334</v>
      </c>
      <c r="C15" s="65">
        <v>3334</v>
      </c>
      <c r="D15" s="65">
        <v>3334</v>
      </c>
      <c r="E15" s="65">
        <v>3334</v>
      </c>
      <c r="F15" s="65">
        <v>3334</v>
      </c>
      <c r="G15" s="65">
        <v>3334</v>
      </c>
      <c r="H15" s="65">
        <v>3334</v>
      </c>
      <c r="I15" s="65">
        <v>3334</v>
      </c>
      <c r="J15" s="65">
        <v>3334</v>
      </c>
      <c r="K15" s="65">
        <v>3334</v>
      </c>
      <c r="L15" s="65">
        <v>3334</v>
      </c>
      <c r="M15" s="65">
        <v>3334</v>
      </c>
      <c r="N15" s="169" t="str">
        <f>SUM(B15:M15)</f>
        <v>0</v>
      </c>
      <c r="O15" s="27"/>
      <c r="P15" s="282" t="str">
        <f>VLOOKUP(A15,'Předpis po mesici'!$A$1:$JQ$103,274,0)*12</f>
        <v>0</v>
      </c>
      <c r="Q15" s="284" t="str">
        <f>SUM(B15:M15)-P15</f>
        <v>0</v>
      </c>
      <c r="R15" s="27"/>
      <c r="S15" s="27"/>
      <c r="T15" s="27"/>
      <c r="U15" s="27"/>
      <c r="V15" s="27"/>
      <c r="W15" s="27"/>
      <c r="X15" s="27"/>
      <c r="Y15" s="27"/>
    </row>
    <row r="16" spans="1:25">
      <c r="A16" s="170" t="s">
        <v>437</v>
      </c>
      <c r="B16" s="171">
        <v>4405</v>
      </c>
      <c r="C16" s="171">
        <v>4405</v>
      </c>
      <c r="D16" s="171">
        <v>4405</v>
      </c>
      <c r="E16" s="171">
        <v>4405</v>
      </c>
      <c r="F16" s="171">
        <v>4405</v>
      </c>
      <c r="G16" s="171">
        <v>4405</v>
      </c>
      <c r="H16" s="171">
        <v>4405</v>
      </c>
      <c r="I16" s="171">
        <v>4405</v>
      </c>
      <c r="J16" s="171">
        <v>4405</v>
      </c>
      <c r="K16" s="171">
        <v>4405</v>
      </c>
      <c r="L16" s="171">
        <v>4405</v>
      </c>
      <c r="M16" s="171">
        <v>4405</v>
      </c>
      <c r="N16" s="169" t="str">
        <f>SUM(B16:M16)</f>
        <v>0</v>
      </c>
      <c r="O16" s="27"/>
      <c r="P16" s="282" t="str">
        <f>VLOOKUP(A16,'Předpis po mesici'!$A$1:$JQ$103,274,0)*12</f>
        <v>0</v>
      </c>
      <c r="Q16" s="284" t="str">
        <f>SUM(B16:M16)-P16</f>
        <v>0</v>
      </c>
      <c r="R16" s="27"/>
      <c r="S16" s="27"/>
      <c r="T16" s="27"/>
      <c r="U16" s="27"/>
      <c r="V16" s="27"/>
      <c r="W16" s="27"/>
      <c r="X16" s="27"/>
      <c r="Y16" s="27"/>
    </row>
    <row r="17" spans="1:25">
      <c r="A17" s="168" t="s">
        <v>448</v>
      </c>
      <c r="B17" s="65">
        <v>3945</v>
      </c>
      <c r="C17" s="65">
        <v>3945</v>
      </c>
      <c r="D17" s="65">
        <v>3945</v>
      </c>
      <c r="E17" s="65">
        <v>3945</v>
      </c>
      <c r="F17" s="65">
        <v>3945</v>
      </c>
      <c r="G17" s="65">
        <v>3945</v>
      </c>
      <c r="H17" s="65">
        <v>3945</v>
      </c>
      <c r="I17" s="65">
        <v>3945</v>
      </c>
      <c r="J17" s="65">
        <v>3945</v>
      </c>
      <c r="K17" s="65">
        <v>3945</v>
      </c>
      <c r="L17" s="65">
        <v>3945</v>
      </c>
      <c r="M17" s="65">
        <v>3945</v>
      </c>
      <c r="N17" s="169" t="str">
        <f>SUM(B17:M17)</f>
        <v>0</v>
      </c>
      <c r="O17" s="27"/>
      <c r="P17" s="282" t="str">
        <f>VLOOKUP(A17,'Předpis po mesici'!$A$1:$JQ$103,274,0)*12</f>
        <v>0</v>
      </c>
      <c r="Q17" s="284" t="str">
        <f>SUM(B17:M17)-P17</f>
        <v>0</v>
      </c>
      <c r="R17" s="27"/>
      <c r="S17" s="27"/>
      <c r="T17" s="27"/>
      <c r="U17" s="27"/>
      <c r="V17" s="27"/>
      <c r="W17" s="27"/>
      <c r="X17" s="27"/>
      <c r="Y17" s="27"/>
    </row>
    <row r="18" spans="1:25">
      <c r="A18" s="170" t="s">
        <v>454</v>
      </c>
      <c r="B18" s="171">
        <v>4212</v>
      </c>
      <c r="C18" s="171">
        <v>4212</v>
      </c>
      <c r="D18" s="171">
        <v>4212</v>
      </c>
      <c r="E18" s="171">
        <v>4212</v>
      </c>
      <c r="F18" s="171">
        <v>4212</v>
      </c>
      <c r="G18" s="171">
        <v>4212</v>
      </c>
      <c r="H18" s="171">
        <v>4212</v>
      </c>
      <c r="I18" s="171">
        <v>4212</v>
      </c>
      <c r="J18" s="171">
        <v>4212</v>
      </c>
      <c r="K18" s="171">
        <v>4212</v>
      </c>
      <c r="L18" s="171">
        <v>4212</v>
      </c>
      <c r="M18" s="171">
        <v>4212</v>
      </c>
      <c r="N18" s="169" t="str">
        <f>SUM(B18:M18)</f>
        <v>0</v>
      </c>
      <c r="O18" s="27"/>
      <c r="P18" s="282" t="str">
        <f>VLOOKUP(A18,'Předpis po mesici'!$A$1:$JQ$103,274,0)*12</f>
        <v>0</v>
      </c>
      <c r="Q18" s="284" t="str">
        <f>SUM(B18:M18)-P18</f>
        <v>0</v>
      </c>
      <c r="R18" s="27"/>
      <c r="S18" s="27"/>
      <c r="T18" s="27"/>
      <c r="U18" s="27"/>
      <c r="V18" s="27"/>
      <c r="W18" s="27"/>
      <c r="X18" s="27"/>
      <c r="Y18" s="27"/>
    </row>
    <row r="19" spans="1:25">
      <c r="A19" s="168" t="s">
        <v>459</v>
      </c>
      <c r="B19" s="65">
        <v>3008</v>
      </c>
      <c r="C19" s="65">
        <v>3008</v>
      </c>
      <c r="D19" s="65">
        <v>3008</v>
      </c>
      <c r="E19" s="65">
        <v>3008</v>
      </c>
      <c r="F19" s="65">
        <v>3008</v>
      </c>
      <c r="G19" s="65">
        <v>3008</v>
      </c>
      <c r="H19" s="65">
        <v>3008</v>
      </c>
      <c r="I19" s="65">
        <v>3008</v>
      </c>
      <c r="J19" s="65">
        <v>3008</v>
      </c>
      <c r="K19" s="65">
        <v>3008</v>
      </c>
      <c r="L19" s="65">
        <v>3008</v>
      </c>
      <c r="M19" s="65">
        <v>3008</v>
      </c>
      <c r="N19" s="169" t="str">
        <f>SUM(B19:M19)</f>
        <v>0</v>
      </c>
      <c r="O19" s="27"/>
      <c r="P19" s="282" t="str">
        <f>VLOOKUP(A19,'Předpis po mesici'!$A$1:$JQ$103,274,0)*12</f>
        <v>0</v>
      </c>
      <c r="Q19" s="284" t="str">
        <f>SUM(B19:M19)-P19</f>
        <v>0</v>
      </c>
      <c r="R19" s="27"/>
      <c r="S19" s="27"/>
      <c r="T19" s="27"/>
      <c r="U19" s="27"/>
      <c r="V19" s="27"/>
      <c r="W19" s="27"/>
      <c r="X19" s="27"/>
      <c r="Y19" s="27"/>
    </row>
    <row r="20" spans="1:25">
      <c r="A20" s="170" t="s">
        <v>331</v>
      </c>
      <c r="B20" s="171">
        <v>0</v>
      </c>
      <c r="C20" s="171">
        <v>0</v>
      </c>
      <c r="D20" s="171">
        <v>0</v>
      </c>
      <c r="E20" s="171">
        <v>0</v>
      </c>
      <c r="F20" s="171">
        <v>0</v>
      </c>
      <c r="G20" s="171">
        <v>0</v>
      </c>
      <c r="H20" s="171">
        <v>0</v>
      </c>
      <c r="I20" s="171">
        <v>0</v>
      </c>
      <c r="J20" s="171">
        <v>0</v>
      </c>
      <c r="K20" s="171">
        <v>0</v>
      </c>
      <c r="L20" s="171">
        <v>0</v>
      </c>
      <c r="M20" s="171">
        <v>0</v>
      </c>
      <c r="N20" s="169" t="str">
        <f>SUM(B20:M20)</f>
        <v>0</v>
      </c>
      <c r="O20" s="27"/>
      <c r="P20" s="282" t="str">
        <f>VLOOKUP(A20,'Předpis po mesici'!$A$1:$JQ$103,274,0)*12</f>
        <v>0</v>
      </c>
      <c r="Q20" s="284" t="str">
        <f>SUM(B20:M20)-P20</f>
        <v>0</v>
      </c>
      <c r="R20" s="27"/>
      <c r="S20" s="27"/>
      <c r="T20" s="27"/>
      <c r="U20" s="27"/>
      <c r="V20" s="27"/>
      <c r="W20" s="27"/>
      <c r="X20" s="27"/>
      <c r="Y20" s="27"/>
    </row>
    <row r="21" spans="1:25">
      <c r="A21" s="168" t="s">
        <v>425</v>
      </c>
      <c r="B21" s="65">
        <v>6456</v>
      </c>
      <c r="C21" s="65">
        <v>6456</v>
      </c>
      <c r="D21" s="65">
        <v>6456</v>
      </c>
      <c r="E21" s="65">
        <v>6456</v>
      </c>
      <c r="F21" s="65">
        <v>6456</v>
      </c>
      <c r="G21" s="65">
        <v>6456</v>
      </c>
      <c r="H21" s="65">
        <v>6456</v>
      </c>
      <c r="I21" s="65">
        <v>6456</v>
      </c>
      <c r="J21" s="65">
        <v>6456</v>
      </c>
      <c r="K21" s="65">
        <v>6456</v>
      </c>
      <c r="L21" s="65">
        <v>6456</v>
      </c>
      <c r="M21" s="65">
        <v>6456</v>
      </c>
      <c r="N21" s="169" t="str">
        <f>SUM(B21:M21)</f>
        <v>0</v>
      </c>
      <c r="O21" s="27"/>
      <c r="P21" s="282" t="str">
        <f>VLOOKUP(A21,'Předpis po mesici'!$A$1:$JQ$103,274,0)*12</f>
        <v>0</v>
      </c>
      <c r="Q21" s="284" t="str">
        <f>SUM(B21:M21)-P21</f>
        <v>0</v>
      </c>
      <c r="R21" s="27"/>
      <c r="S21" s="27"/>
      <c r="T21" s="27"/>
      <c r="U21" s="27"/>
      <c r="V21" s="27"/>
      <c r="W21" s="27"/>
      <c r="X21" s="27"/>
      <c r="Y21" s="27"/>
    </row>
    <row r="22" spans="1:25">
      <c r="A22" s="170" t="s">
        <v>442</v>
      </c>
      <c r="B22" s="171">
        <v>3874</v>
      </c>
      <c r="C22" s="171">
        <v>3874</v>
      </c>
      <c r="D22" s="171">
        <v>3874</v>
      </c>
      <c r="E22" s="171">
        <v>3874</v>
      </c>
      <c r="F22" s="171">
        <v>3874</v>
      </c>
      <c r="G22" s="171">
        <v>3874</v>
      </c>
      <c r="H22" s="171">
        <v>3874</v>
      </c>
      <c r="I22" s="171">
        <v>3874</v>
      </c>
      <c r="J22" s="171">
        <v>3874</v>
      </c>
      <c r="K22" s="171">
        <v>3874</v>
      </c>
      <c r="L22" s="171">
        <v>3874</v>
      </c>
      <c r="M22" s="171">
        <v>3874</v>
      </c>
      <c r="N22" s="169" t="str">
        <f>SUM(B22:M22)</f>
        <v>0</v>
      </c>
      <c r="O22" s="27"/>
      <c r="P22" s="282" t="str">
        <f>VLOOKUP(A22,'Předpis po mesici'!$A$1:$JQ$103,274,0)*12</f>
        <v>0</v>
      </c>
      <c r="Q22" s="284" t="str">
        <f>SUM(B22:M22)-P22</f>
        <v>0</v>
      </c>
      <c r="R22" s="27"/>
      <c r="S22" s="27"/>
      <c r="T22" s="27"/>
      <c r="U22" s="27"/>
      <c r="V22" s="27"/>
      <c r="W22" s="27"/>
      <c r="X22" s="27"/>
      <c r="Y22" s="27"/>
    </row>
    <row r="23" spans="1:25">
      <c r="A23" s="168" t="s">
        <v>379</v>
      </c>
      <c r="B23" s="65">
        <v>4472</v>
      </c>
      <c r="C23" s="65">
        <v>4472</v>
      </c>
      <c r="D23" s="65">
        <v>4472</v>
      </c>
      <c r="E23" s="65">
        <v>4472</v>
      </c>
      <c r="F23" s="65">
        <v>4472</v>
      </c>
      <c r="G23" s="65">
        <v>4472</v>
      </c>
      <c r="H23" s="65">
        <v>4472</v>
      </c>
      <c r="I23" s="65">
        <v>4472</v>
      </c>
      <c r="J23" s="65">
        <v>4472</v>
      </c>
      <c r="K23" s="65">
        <v>4472</v>
      </c>
      <c r="L23" s="65">
        <v>4472</v>
      </c>
      <c r="M23" s="65">
        <v>4472</v>
      </c>
      <c r="N23" s="169" t="str">
        <f>SUM(B23:M23)</f>
        <v>0</v>
      </c>
      <c r="O23" s="27"/>
      <c r="P23" s="282" t="str">
        <f>VLOOKUP(A23,'Předpis po mesici'!$A$1:$JQ$103,274,0)*12</f>
        <v>0</v>
      </c>
      <c r="Q23" s="284" t="str">
        <f>SUM(B23:M23)-P23</f>
        <v>0</v>
      </c>
      <c r="R23" s="27"/>
      <c r="S23" s="27"/>
      <c r="T23" s="27"/>
      <c r="U23" s="27"/>
      <c r="V23" s="27"/>
      <c r="W23" s="27"/>
      <c r="X23" s="27"/>
      <c r="Y23" s="27"/>
    </row>
    <row r="24" spans="1:25">
      <c r="A24" s="170" t="s">
        <v>402</v>
      </c>
      <c r="B24" s="171">
        <v>6598</v>
      </c>
      <c r="C24" s="171">
        <v>6598</v>
      </c>
      <c r="D24" s="171">
        <v>6598</v>
      </c>
      <c r="E24" s="171">
        <v>6598</v>
      </c>
      <c r="F24" s="171">
        <v>6598</v>
      </c>
      <c r="G24" s="171">
        <v>6598</v>
      </c>
      <c r="H24" s="171">
        <v>6598</v>
      </c>
      <c r="I24" s="171">
        <v>6598</v>
      </c>
      <c r="J24" s="171">
        <v>6598</v>
      </c>
      <c r="K24" s="171">
        <v>6598</v>
      </c>
      <c r="L24" s="171">
        <v>6598</v>
      </c>
      <c r="M24" s="171">
        <v>6598</v>
      </c>
      <c r="N24" s="169" t="str">
        <f>SUM(B24:M24)</f>
        <v>0</v>
      </c>
      <c r="O24" s="27"/>
      <c r="P24" s="282" t="str">
        <f>VLOOKUP(A24,'Předpis po mesici'!$A$1:$JQ$103,274,0)*12</f>
        <v>0</v>
      </c>
      <c r="Q24" s="284" t="str">
        <f>SUM(B24:M24)-P24</f>
        <v>0</v>
      </c>
      <c r="R24" s="27"/>
      <c r="S24" s="27"/>
      <c r="T24" s="27"/>
      <c r="U24" s="27"/>
      <c r="V24" s="27"/>
      <c r="W24" s="27"/>
      <c r="X24" s="27"/>
      <c r="Y24" s="27"/>
    </row>
    <row r="25" spans="1:25">
      <c r="A25" s="168" t="s">
        <v>337</v>
      </c>
      <c r="B25" s="65">
        <v>0</v>
      </c>
      <c r="C25" s="65">
        <v>0</v>
      </c>
      <c r="D25" s="65">
        <v>0</v>
      </c>
      <c r="E25" s="65">
        <v>0</v>
      </c>
      <c r="F25" s="65">
        <v>0</v>
      </c>
      <c r="G25" s="65">
        <v>0</v>
      </c>
      <c r="H25" s="65">
        <v>0</v>
      </c>
      <c r="I25" s="65">
        <v>0</v>
      </c>
      <c r="J25" s="65">
        <v>0</v>
      </c>
      <c r="K25" s="65">
        <v>4177</v>
      </c>
      <c r="L25" s="65">
        <v>4177</v>
      </c>
      <c r="M25" s="65">
        <v>4177</v>
      </c>
      <c r="N25" s="169" t="str">
        <f>SUM(B25:M25)</f>
        <v>0</v>
      </c>
      <c r="O25" s="27"/>
      <c r="P25" s="282" t="str">
        <f>VLOOKUP(A25,'Předpis po mesici'!$A$1:$JQ$103,274,0)*12</f>
        <v>0</v>
      </c>
      <c r="Q25" s="284" t="str">
        <f>SUM(B25:M25)-P25</f>
        <v>0</v>
      </c>
      <c r="R25" s="27"/>
      <c r="S25" s="27"/>
      <c r="T25" s="27"/>
      <c r="U25" s="27"/>
      <c r="V25" s="27"/>
      <c r="W25" s="27"/>
      <c r="X25" s="27"/>
      <c r="Y25" s="27"/>
    </row>
    <row r="26" spans="1:25">
      <c r="A26" s="170"/>
      <c r="B26" s="171"/>
      <c r="C26" s="171"/>
      <c r="D26" s="171"/>
      <c r="E26" s="171"/>
      <c r="F26" s="171"/>
      <c r="G26" s="171"/>
      <c r="H26" s="171"/>
      <c r="I26" s="171"/>
      <c r="J26" s="171"/>
      <c r="K26" s="171"/>
      <c r="L26" s="171"/>
      <c r="M26" s="171"/>
      <c r="N26" s="169" t="str">
        <f>SUM(B26:M26)</f>
        <v>0</v>
      </c>
      <c r="O26" s="27"/>
      <c r="P26" s="282" t="str">
        <f>VLOOKUP(A26,'Předpis po mesici'!$A$1:$JQ$103,274,0)*12</f>
        <v>0</v>
      </c>
      <c r="Q26" s="284" t="str">
        <f>SUM(B26:M26)-P26</f>
        <v>0</v>
      </c>
      <c r="R26" s="27"/>
      <c r="S26" s="27"/>
      <c r="T26" s="27"/>
      <c r="U26" s="27"/>
      <c r="V26" s="27"/>
      <c r="W26" s="27"/>
      <c r="X26" s="27"/>
      <c r="Y26" s="27"/>
    </row>
    <row r="27" spans="1:25">
      <c r="A27" s="168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169" t="str">
        <f>SUM(B27:M27)</f>
        <v>0</v>
      </c>
      <c r="O27" s="27"/>
      <c r="P27" s="282" t="str">
        <f>VLOOKUP(A27,'Předpis po mesici'!$A$1:$JQ$103,274,0)*12</f>
        <v>0</v>
      </c>
      <c r="Q27" s="284" t="str">
        <f>SUM(B27:M27)-P27</f>
        <v>0</v>
      </c>
      <c r="R27" s="27"/>
      <c r="S27" s="27"/>
      <c r="T27" s="27"/>
      <c r="U27" s="27"/>
      <c r="V27" s="27"/>
      <c r="W27" s="27"/>
      <c r="X27" s="27"/>
      <c r="Y27" s="27"/>
    </row>
    <row r="28" spans="1:25">
      <c r="A28" s="170"/>
      <c r="B28" s="171"/>
      <c r="C28" s="171"/>
      <c r="D28" s="171"/>
      <c r="E28" s="171"/>
      <c r="F28" s="171"/>
      <c r="G28" s="171"/>
      <c r="H28" s="171"/>
      <c r="I28" s="171"/>
      <c r="J28" s="171"/>
      <c r="K28" s="171"/>
      <c r="L28" s="171"/>
      <c r="M28" s="171"/>
      <c r="N28" s="169" t="str">
        <f>SUM(B28:M28)</f>
        <v>0</v>
      </c>
      <c r="O28" s="27"/>
      <c r="P28" s="282" t="str">
        <f>VLOOKUP(A28,'Předpis po mesici'!$A$1:$JQ$103,274,0)*12</f>
        <v>0</v>
      </c>
      <c r="Q28" s="284" t="str">
        <f>SUM(B28:M28)-P28</f>
        <v>0</v>
      </c>
      <c r="R28" s="27"/>
      <c r="S28" s="27"/>
      <c r="T28" s="27"/>
      <c r="U28" s="27"/>
      <c r="V28" s="27"/>
      <c r="W28" s="27"/>
      <c r="X28" s="27"/>
      <c r="Y28" s="27"/>
    </row>
    <row r="29" spans="1:25">
      <c r="A29" s="168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169" t="str">
        <f>SUM(B29:M29)</f>
        <v>0</v>
      </c>
      <c r="O29" s="27"/>
      <c r="P29" s="282" t="str">
        <f>VLOOKUP(A29,'Předpis po mesici'!$A$1:$JQ$103,274,0)*12</f>
        <v>0</v>
      </c>
      <c r="Q29" s="284" t="str">
        <f>SUM(B29:M29)-P29</f>
        <v>0</v>
      </c>
      <c r="R29" s="27"/>
      <c r="S29" s="27"/>
      <c r="T29" s="27"/>
      <c r="U29" s="27"/>
      <c r="V29" s="27"/>
      <c r="W29" s="27"/>
      <c r="X29" s="27"/>
      <c r="Y29" s="27"/>
    </row>
    <row r="30" spans="1:25">
      <c r="A30" s="170"/>
      <c r="B30" s="171"/>
      <c r="C30" s="171"/>
      <c r="D30" s="171"/>
      <c r="E30" s="171"/>
      <c r="F30" s="171"/>
      <c r="G30" s="171"/>
      <c r="H30" s="171"/>
      <c r="I30" s="171"/>
      <c r="J30" s="171"/>
      <c r="K30" s="171"/>
      <c r="L30" s="171"/>
      <c r="M30" s="171"/>
      <c r="N30" s="169" t="str">
        <f>SUM(B30:M30)</f>
        <v>0</v>
      </c>
      <c r="O30" s="27"/>
      <c r="P30" s="282" t="str">
        <f>VLOOKUP(A30,'Předpis po mesici'!$A$1:$JQ$103,274,0)*12</f>
        <v>0</v>
      </c>
      <c r="Q30" s="284" t="str">
        <f>SUM(B30:M30)-P30</f>
        <v>0</v>
      </c>
      <c r="R30" s="27"/>
      <c r="S30" s="27"/>
      <c r="T30" s="27"/>
      <c r="U30" s="27"/>
      <c r="V30" s="27"/>
      <c r="W30" s="27"/>
      <c r="X30" s="27"/>
      <c r="Y30" s="27"/>
    </row>
    <row r="31" spans="1:25">
      <c r="A31" s="168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169" t="str">
        <f>SUM(B31:M31)</f>
        <v>0</v>
      </c>
      <c r="O31" s="27"/>
      <c r="P31" s="282" t="str">
        <f>VLOOKUP(A31,'Předpis po mesici'!$A$1:$JQ$103,274,0)*12</f>
        <v>0</v>
      </c>
      <c r="Q31" s="284" t="str">
        <f>SUM(B31:M31)-P31</f>
        <v>0</v>
      </c>
      <c r="R31" s="27"/>
      <c r="S31" s="27"/>
      <c r="T31" s="27"/>
      <c r="U31" s="27"/>
      <c r="V31" s="27"/>
      <c r="W31" s="27"/>
      <c r="X31" s="27"/>
      <c r="Y31" s="27"/>
    </row>
    <row r="32" spans="1:25">
      <c r="A32" s="170"/>
      <c r="B32" s="171"/>
      <c r="C32" s="171"/>
      <c r="D32" s="171"/>
      <c r="E32" s="171"/>
      <c r="F32" s="171"/>
      <c r="G32" s="171"/>
      <c r="H32" s="171"/>
      <c r="I32" s="171"/>
      <c r="J32" s="171"/>
      <c r="K32" s="171"/>
      <c r="L32" s="171"/>
      <c r="M32" s="171"/>
      <c r="N32" s="169" t="str">
        <f>SUM(B32:M32)</f>
        <v>0</v>
      </c>
      <c r="O32" s="27"/>
      <c r="P32" s="282" t="str">
        <f>VLOOKUP(A32,'Předpis po mesici'!$A$1:$JQ$103,274,0)*12</f>
        <v>0</v>
      </c>
      <c r="Q32" s="284" t="str">
        <f>SUM(B32:M32)-P32</f>
        <v>0</v>
      </c>
      <c r="R32" s="27"/>
      <c r="S32" s="27"/>
      <c r="T32" s="27"/>
      <c r="U32" s="27"/>
      <c r="V32" s="27"/>
      <c r="W32" s="27"/>
      <c r="X32" s="27"/>
      <c r="Y32" s="27"/>
    </row>
    <row r="33" spans="1:25">
      <c r="A33" s="168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169" t="str">
        <f>SUM(B33:M33)</f>
        <v>0</v>
      </c>
      <c r="O33" s="27"/>
      <c r="P33" s="282" t="str">
        <f>VLOOKUP(A33,'Předpis po mesici'!$A$1:$JQ$103,274,0)*12</f>
        <v>0</v>
      </c>
      <c r="Q33" s="284" t="str">
        <f>SUM(B33:M33)-P33</f>
        <v>0</v>
      </c>
      <c r="R33" s="27"/>
      <c r="S33" s="27"/>
      <c r="T33" s="27"/>
      <c r="U33" s="27"/>
      <c r="V33" s="27"/>
      <c r="W33" s="27"/>
      <c r="X33" s="27"/>
      <c r="Y33" s="27"/>
    </row>
    <row r="34" spans="1:25">
      <c r="A34" s="170"/>
      <c r="B34" s="171"/>
      <c r="C34" s="171"/>
      <c r="D34" s="171"/>
      <c r="E34" s="171"/>
      <c r="F34" s="171"/>
      <c r="G34" s="171"/>
      <c r="H34" s="171"/>
      <c r="I34" s="171"/>
      <c r="J34" s="171"/>
      <c r="K34" s="171"/>
      <c r="L34" s="171"/>
      <c r="M34" s="171"/>
      <c r="N34" s="169" t="str">
        <f>SUM(B34:M34)</f>
        <v>0</v>
      </c>
      <c r="O34" s="27"/>
      <c r="P34" s="282" t="str">
        <f>VLOOKUP(A34,'Předpis po mesici'!$A$1:$JQ$103,274,0)*12</f>
        <v>0</v>
      </c>
      <c r="Q34" s="284" t="str">
        <f>SUM(B34:M34)-P34</f>
        <v>0</v>
      </c>
      <c r="R34" s="27"/>
      <c r="S34" s="27"/>
      <c r="T34" s="27"/>
      <c r="U34" s="27"/>
      <c r="V34" s="27"/>
      <c r="W34" s="27"/>
      <c r="X34" s="27"/>
      <c r="Y34" s="27"/>
    </row>
    <row r="35" spans="1:25">
      <c r="A35" s="168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169" t="str">
        <f>SUM(B35:M35)</f>
        <v>0</v>
      </c>
      <c r="O35" s="27"/>
      <c r="P35" s="282" t="str">
        <f>VLOOKUP(A35,'Předpis po mesici'!$A$1:$JQ$103,274,0)*12</f>
        <v>0</v>
      </c>
      <c r="Q35" s="284" t="str">
        <f>SUM(B35:M35)-P35</f>
        <v>0</v>
      </c>
      <c r="R35" s="27"/>
      <c r="S35" s="27"/>
      <c r="T35" s="27"/>
      <c r="U35" s="27"/>
      <c r="V35" s="27"/>
      <c r="W35" s="27"/>
      <c r="X35" s="27"/>
      <c r="Y35" s="27"/>
    </row>
    <row r="36" spans="1:25">
      <c r="A36" s="170"/>
      <c r="B36" s="171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69" t="str">
        <f>SUM(B36:M36)</f>
        <v>0</v>
      </c>
      <c r="O36" s="27"/>
      <c r="P36" s="282" t="str">
        <f>VLOOKUP(A36,'Předpis po mesici'!$A$1:$JQ$103,274,0)*12</f>
        <v>0</v>
      </c>
      <c r="Q36" s="284" t="str">
        <f>SUM(B36:M36)-P36</f>
        <v>0</v>
      </c>
      <c r="R36" s="27"/>
      <c r="S36" s="27"/>
      <c r="T36" s="27"/>
      <c r="U36" s="27"/>
      <c r="V36" s="27"/>
      <c r="W36" s="27"/>
      <c r="X36" s="27"/>
      <c r="Y36" s="27"/>
    </row>
    <row r="37" spans="1:25">
      <c r="A37" s="168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169" t="str">
        <f>SUM(B37:M37)</f>
        <v>0</v>
      </c>
      <c r="O37" s="27"/>
      <c r="P37" s="282" t="str">
        <f>VLOOKUP(A37,'Předpis po mesici'!$A$1:$JQ$103,274,0)*12</f>
        <v>0</v>
      </c>
      <c r="Q37" s="284" t="str">
        <f>SUM(B37:M37)-P37</f>
        <v>0</v>
      </c>
      <c r="R37" s="27"/>
      <c r="S37" s="27"/>
      <c r="T37" s="27"/>
      <c r="U37" s="27"/>
      <c r="V37" s="27"/>
      <c r="W37" s="27"/>
      <c r="X37" s="27"/>
      <c r="Y37" s="27"/>
    </row>
    <row r="38" spans="1:25">
      <c r="A38" s="170"/>
      <c r="B38" s="171"/>
      <c r="C38" s="171"/>
      <c r="D38" s="171"/>
      <c r="E38" s="171"/>
      <c r="F38" s="171"/>
      <c r="G38" s="171"/>
      <c r="H38" s="171"/>
      <c r="I38" s="171"/>
      <c r="J38" s="171"/>
      <c r="K38" s="171"/>
      <c r="L38" s="171"/>
      <c r="M38" s="171"/>
      <c r="N38" s="169" t="str">
        <f>SUM(B38:M38)</f>
        <v>0</v>
      </c>
      <c r="O38" s="27"/>
      <c r="P38" s="282" t="str">
        <f>VLOOKUP(A38,'Předpis po mesici'!$A$1:$JQ$103,274,0)*12</f>
        <v>0</v>
      </c>
      <c r="Q38" s="284" t="str">
        <f>SUM(B38:M38)-P38</f>
        <v>0</v>
      </c>
      <c r="R38" s="27"/>
      <c r="S38" s="27"/>
      <c r="T38" s="27"/>
      <c r="U38" s="27"/>
      <c r="V38" s="27"/>
      <c r="W38" s="27"/>
      <c r="X38" s="27"/>
      <c r="Y38" s="27"/>
    </row>
    <row r="39" spans="1:25">
      <c r="A39" s="168"/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169" t="str">
        <f>SUM(B39:M39)</f>
        <v>0</v>
      </c>
      <c r="O39" s="27"/>
      <c r="P39" s="282" t="str">
        <f>VLOOKUP(A39,'Předpis po mesici'!$A$1:$JQ$103,274,0)*12</f>
        <v>0</v>
      </c>
      <c r="Q39" s="284" t="str">
        <f>SUM(B39:M39)-P39</f>
        <v>0</v>
      </c>
      <c r="R39" s="27"/>
      <c r="S39" s="27"/>
      <c r="T39" s="27"/>
      <c r="U39" s="27"/>
      <c r="V39" s="27"/>
      <c r="W39" s="27"/>
      <c r="X39" s="27"/>
      <c r="Y39" s="27"/>
    </row>
    <row r="40" spans="1:25">
      <c r="A40" s="170"/>
      <c r="B40" s="171"/>
      <c r="C40" s="171"/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69" t="str">
        <f>SUM(B40:M40)</f>
        <v>0</v>
      </c>
      <c r="O40" s="27"/>
      <c r="P40" s="282" t="str">
        <f>VLOOKUP(A40,'Předpis po mesici'!$A$1:$JQ$103,274,0)*12</f>
        <v>0</v>
      </c>
      <c r="Q40" s="284" t="str">
        <f>SUM(B40:M40)-P40</f>
        <v>0</v>
      </c>
      <c r="R40" s="27"/>
      <c r="S40" s="27"/>
      <c r="T40" s="27"/>
      <c r="U40" s="27"/>
      <c r="V40" s="27"/>
      <c r="W40" s="27"/>
      <c r="X40" s="27"/>
      <c r="Y40" s="27"/>
    </row>
    <row r="41" spans="1:25">
      <c r="A41" s="168"/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169" t="str">
        <f>SUM(B41:M41)</f>
        <v>0</v>
      </c>
      <c r="O41" s="27"/>
      <c r="P41" s="282" t="str">
        <f>VLOOKUP(A41,'Předpis po mesici'!$A$1:$JQ$103,274,0)*12</f>
        <v>0</v>
      </c>
      <c r="Q41" s="284" t="str">
        <f>SUM(B41:M41)-P41</f>
        <v>0</v>
      </c>
      <c r="R41" s="27"/>
      <c r="S41" s="27"/>
      <c r="T41" s="27"/>
      <c r="U41" s="27"/>
      <c r="V41" s="27"/>
      <c r="W41" s="27"/>
      <c r="X41" s="27"/>
      <c r="Y41" s="27"/>
    </row>
    <row r="42" spans="1:25">
      <c r="A42" s="170"/>
      <c r="B42" s="171"/>
      <c r="C42" s="171"/>
      <c r="D42" s="171"/>
      <c r="E42" s="171"/>
      <c r="F42" s="171"/>
      <c r="G42" s="171"/>
      <c r="H42" s="171"/>
      <c r="I42" s="171"/>
      <c r="J42" s="171"/>
      <c r="K42" s="171"/>
      <c r="L42" s="171"/>
      <c r="M42" s="171"/>
      <c r="N42" s="169" t="str">
        <f>SUM(B42:M42)</f>
        <v>0</v>
      </c>
      <c r="O42" s="27"/>
      <c r="P42" s="282" t="str">
        <f>VLOOKUP(A42,'Předpis po mesici'!$A$1:$JQ$103,274,0)*12</f>
        <v>0</v>
      </c>
      <c r="Q42" s="284" t="str">
        <f>SUM(B42:M42)-P42</f>
        <v>0</v>
      </c>
      <c r="R42" s="27"/>
      <c r="S42" s="27"/>
      <c r="T42" s="27"/>
      <c r="U42" s="27"/>
      <c r="V42" s="27"/>
      <c r="W42" s="27"/>
      <c r="X42" s="27"/>
      <c r="Y42" s="27"/>
    </row>
    <row r="43" spans="1:25">
      <c r="A43" s="168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169" t="str">
        <f>SUM(B43:M43)</f>
        <v>0</v>
      </c>
      <c r="O43" s="27"/>
      <c r="P43" s="282" t="str">
        <f>VLOOKUP(A43,'Předpis po mesici'!$A$1:$JQ$103,274,0)*12</f>
        <v>0</v>
      </c>
      <c r="Q43" s="284" t="str">
        <f>SUM(B43:M43)-P43</f>
        <v>0</v>
      </c>
      <c r="R43" s="27"/>
      <c r="S43" s="27"/>
      <c r="T43" s="27"/>
      <c r="U43" s="27"/>
      <c r="V43" s="27"/>
      <c r="W43" s="27"/>
      <c r="X43" s="27"/>
      <c r="Y43" s="27"/>
    </row>
    <row r="44" spans="1:25">
      <c r="A44" s="170"/>
      <c r="B44" s="171"/>
      <c r="C44" s="171"/>
      <c r="D44" s="171"/>
      <c r="E44" s="171"/>
      <c r="F44" s="171"/>
      <c r="G44" s="171"/>
      <c r="H44" s="171"/>
      <c r="I44" s="171"/>
      <c r="J44" s="171"/>
      <c r="K44" s="171"/>
      <c r="L44" s="171"/>
      <c r="M44" s="171"/>
      <c r="N44" s="169" t="str">
        <f>SUM(B44:M44)</f>
        <v>0</v>
      </c>
      <c r="O44" s="27"/>
      <c r="P44" s="282" t="str">
        <f>VLOOKUP(A44,'Předpis po mesici'!$A$1:$JQ$103,274,0)*12</f>
        <v>0</v>
      </c>
      <c r="Q44" s="284" t="str">
        <f>SUM(B44:M44)-P44</f>
        <v>0</v>
      </c>
      <c r="R44" s="27"/>
      <c r="S44" s="27"/>
      <c r="T44" s="27"/>
      <c r="U44" s="27"/>
      <c r="V44" s="27"/>
      <c r="W44" s="27"/>
      <c r="X44" s="27"/>
      <c r="Y44" s="27"/>
    </row>
    <row r="45" spans="1:25">
      <c r="A45" s="168"/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169" t="str">
        <f>SUM(B45:M45)</f>
        <v>0</v>
      </c>
      <c r="O45" s="27"/>
      <c r="P45" s="282" t="str">
        <f>VLOOKUP(A45,'Předpis po mesici'!$A$1:$JQ$103,274,0)*12</f>
        <v>0</v>
      </c>
      <c r="Q45" s="284" t="str">
        <f>SUM(B45:M45)-P45</f>
        <v>0</v>
      </c>
      <c r="R45" s="27"/>
      <c r="S45" s="27"/>
      <c r="T45" s="27"/>
      <c r="U45" s="27"/>
      <c r="V45" s="27"/>
      <c r="W45" s="27"/>
      <c r="X45" s="27"/>
      <c r="Y45" s="27"/>
    </row>
    <row r="46" spans="1:25">
      <c r="A46" s="170"/>
      <c r="B46" s="171"/>
      <c r="C46" s="171"/>
      <c r="D46" s="171"/>
      <c r="E46" s="171"/>
      <c r="F46" s="171"/>
      <c r="G46" s="171"/>
      <c r="H46" s="171"/>
      <c r="I46" s="171"/>
      <c r="J46" s="171"/>
      <c r="K46" s="171"/>
      <c r="L46" s="171"/>
      <c r="M46" s="171"/>
      <c r="N46" s="169" t="str">
        <f>SUM(B46:M46)</f>
        <v>0</v>
      </c>
      <c r="O46" s="27"/>
      <c r="P46" s="282" t="str">
        <f>VLOOKUP(A46,'Předpis po mesici'!$A$1:$JQ$103,274,0)*12</f>
        <v>0</v>
      </c>
      <c r="Q46" s="284" t="str">
        <f>SUM(B46:M46)-P46</f>
        <v>0</v>
      </c>
      <c r="R46" s="27"/>
      <c r="S46" s="27"/>
      <c r="T46" s="27"/>
      <c r="U46" s="27"/>
      <c r="V46" s="27"/>
      <c r="W46" s="27"/>
      <c r="X46" s="27"/>
      <c r="Y46" s="27"/>
    </row>
    <row r="47" spans="1:25">
      <c r="A47" s="168"/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169" t="str">
        <f>SUM(B47:M47)</f>
        <v>0</v>
      </c>
      <c r="O47" s="27"/>
      <c r="P47" s="282" t="str">
        <f>VLOOKUP(A47,'Předpis po mesici'!$A$1:$JQ$103,274,0)*12</f>
        <v>0</v>
      </c>
      <c r="Q47" s="284" t="str">
        <f>SUM(B47:M47)-P47</f>
        <v>0</v>
      </c>
      <c r="R47" s="27"/>
      <c r="S47" s="27"/>
      <c r="T47" s="27"/>
      <c r="U47" s="27"/>
      <c r="V47" s="27"/>
      <c r="W47" s="27"/>
      <c r="X47" s="27"/>
      <c r="Y47" s="27"/>
    </row>
    <row r="48" spans="1:25">
      <c r="A48" s="170"/>
      <c r="B48" s="171"/>
      <c r="C48" s="171"/>
      <c r="D48" s="171"/>
      <c r="E48" s="171"/>
      <c r="F48" s="171"/>
      <c r="G48" s="171"/>
      <c r="H48" s="171"/>
      <c r="I48" s="171"/>
      <c r="J48" s="171"/>
      <c r="K48" s="171"/>
      <c r="L48" s="171"/>
      <c r="M48" s="171"/>
      <c r="N48" s="169" t="str">
        <f>SUM(B48:M48)</f>
        <v>0</v>
      </c>
      <c r="O48" s="27"/>
      <c r="P48" s="282" t="str">
        <f>VLOOKUP(A48,'Předpis po mesici'!$A$1:$JQ$103,274,0)*12</f>
        <v>0</v>
      </c>
      <c r="Q48" s="284" t="str">
        <f>SUM(B48:M48)-P48</f>
        <v>0</v>
      </c>
      <c r="R48" s="27"/>
      <c r="S48" s="27"/>
      <c r="T48" s="27"/>
      <c r="U48" s="27"/>
      <c r="V48" s="27"/>
      <c r="W48" s="27"/>
      <c r="X48" s="27"/>
      <c r="Y48" s="27"/>
    </row>
    <row r="49" spans="1:25">
      <c r="A49" s="168"/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169" t="str">
        <f>SUM(B49:M49)</f>
        <v>0</v>
      </c>
      <c r="O49" s="27"/>
      <c r="P49" s="282" t="str">
        <f>VLOOKUP(A49,'Předpis po mesici'!$A$1:$JQ$103,274,0)*12</f>
        <v>0</v>
      </c>
      <c r="Q49" s="284" t="str">
        <f>SUM(B49:M49)-P49</f>
        <v>0</v>
      </c>
      <c r="R49" s="27"/>
      <c r="S49" s="27"/>
      <c r="T49" s="27"/>
      <c r="U49" s="27"/>
      <c r="V49" s="27"/>
      <c r="W49" s="27"/>
      <c r="X49" s="27"/>
      <c r="Y49" s="27"/>
    </row>
    <row r="50" spans="1:25">
      <c r="A50" s="170"/>
      <c r="B50" s="171"/>
      <c r="C50" s="171"/>
      <c r="D50" s="171"/>
      <c r="E50" s="171"/>
      <c r="F50" s="171"/>
      <c r="G50" s="171"/>
      <c r="H50" s="171"/>
      <c r="I50" s="171"/>
      <c r="J50" s="171"/>
      <c r="K50" s="171"/>
      <c r="L50" s="171"/>
      <c r="M50" s="171"/>
      <c r="N50" s="169" t="str">
        <f>SUM(B50:M50)</f>
        <v>0</v>
      </c>
      <c r="O50" s="27"/>
      <c r="P50" s="282" t="str">
        <f>VLOOKUP(A50,'Předpis po mesici'!$A$1:$JQ$103,274,0)*12</f>
        <v>0</v>
      </c>
      <c r="Q50" s="284" t="str">
        <f>SUM(B50:M50)-P50</f>
        <v>0</v>
      </c>
      <c r="R50" s="27"/>
      <c r="S50" s="27"/>
      <c r="T50" s="27"/>
      <c r="U50" s="27"/>
      <c r="V50" s="27"/>
      <c r="W50" s="27"/>
      <c r="X50" s="27"/>
      <c r="Y50" s="27"/>
    </row>
    <row r="51" spans="1:25">
      <c r="A51" s="168"/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169" t="str">
        <f>SUM(B51:M51)</f>
        <v>0</v>
      </c>
      <c r="O51" s="27"/>
      <c r="P51" s="282" t="str">
        <f>VLOOKUP(A51,'Předpis po mesici'!$A$1:$JQ$103,274,0)*12</f>
        <v>0</v>
      </c>
      <c r="Q51" s="284" t="str">
        <f>SUM(B51:M51)-P51</f>
        <v>0</v>
      </c>
      <c r="R51" s="27"/>
      <c r="S51" s="27"/>
      <c r="T51" s="27"/>
      <c r="U51" s="27"/>
      <c r="V51" s="27"/>
      <c r="W51" s="27"/>
      <c r="X51" s="27"/>
      <c r="Y51" s="27"/>
    </row>
    <row r="52" spans="1:25">
      <c r="A52" s="170"/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69" t="str">
        <f>SUM(B52:M52)</f>
        <v>0</v>
      </c>
      <c r="O52" s="27"/>
      <c r="P52" s="282" t="str">
        <f>VLOOKUP(A52,'Předpis po mesici'!$A$1:$JQ$103,274,0)*12</f>
        <v>0</v>
      </c>
      <c r="Q52" s="284" t="str">
        <f>SUM(B52:M52)-P52</f>
        <v>0</v>
      </c>
      <c r="R52" s="27"/>
      <c r="S52" s="27"/>
      <c r="T52" s="27"/>
      <c r="U52" s="27"/>
      <c r="V52" s="27"/>
      <c r="W52" s="27"/>
      <c r="X52" s="27"/>
      <c r="Y52" s="27"/>
    </row>
    <row r="53" spans="1:25">
      <c r="A53" s="168"/>
      <c r="B53" s="65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169" t="str">
        <f>SUM(B53:M53)</f>
        <v>0</v>
      </c>
      <c r="O53" s="27"/>
      <c r="P53" s="282" t="str">
        <f>VLOOKUP(A53,'Předpis po mesici'!$A$1:$JQ$103,274,0)*12</f>
        <v>0</v>
      </c>
      <c r="Q53" s="284" t="str">
        <f>SUM(B53:M53)-P53</f>
        <v>0</v>
      </c>
      <c r="R53" s="27"/>
      <c r="S53" s="27"/>
      <c r="T53" s="27"/>
      <c r="U53" s="27"/>
      <c r="V53" s="27"/>
      <c r="W53" s="27"/>
      <c r="X53" s="27"/>
      <c r="Y53" s="27"/>
    </row>
    <row r="54" spans="1:25">
      <c r="A54" s="170"/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69" t="str">
        <f>SUM(B54:M54)</f>
        <v>0</v>
      </c>
      <c r="O54" s="27"/>
      <c r="P54" s="282" t="str">
        <f>VLOOKUP(A54,'Předpis po mesici'!$A$1:$JQ$103,274,0)*12</f>
        <v>0</v>
      </c>
      <c r="Q54" s="284" t="str">
        <f>SUM(B54:M54)-P54</f>
        <v>0</v>
      </c>
      <c r="R54" s="27"/>
      <c r="S54" s="27"/>
      <c r="T54" s="27"/>
      <c r="U54" s="27"/>
      <c r="V54" s="27"/>
      <c r="W54" s="27"/>
      <c r="X54" s="27"/>
      <c r="Y54" s="27"/>
    </row>
    <row r="55" spans="1:25">
      <c r="A55" s="168"/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169" t="str">
        <f>SUM(B55:M55)</f>
        <v>0</v>
      </c>
      <c r="O55" s="27"/>
      <c r="P55" s="282" t="str">
        <f>VLOOKUP(A55,'Předpis po mesici'!$A$1:$JQ$103,274,0)*12</f>
        <v>0</v>
      </c>
      <c r="Q55" s="284" t="str">
        <f>SUM(B55:M55)-P55</f>
        <v>0</v>
      </c>
      <c r="R55" s="27"/>
      <c r="S55" s="27"/>
      <c r="T55" s="27"/>
      <c r="U55" s="27"/>
      <c r="V55" s="27"/>
      <c r="W55" s="27"/>
      <c r="X55" s="27"/>
      <c r="Y55" s="27"/>
    </row>
    <row r="56" spans="1:25">
      <c r="A56" s="170"/>
      <c r="B56" s="171"/>
      <c r="C56" s="171"/>
      <c r="D56" s="171"/>
      <c r="E56" s="171"/>
      <c r="F56" s="171"/>
      <c r="G56" s="171"/>
      <c r="H56" s="171"/>
      <c r="I56" s="171"/>
      <c r="J56" s="171"/>
      <c r="K56" s="171"/>
      <c r="L56" s="171"/>
      <c r="M56" s="171"/>
      <c r="N56" s="169" t="str">
        <f>SUM(B56:M56)</f>
        <v>0</v>
      </c>
      <c r="O56" s="27"/>
      <c r="P56" s="282" t="str">
        <f>VLOOKUP(A56,'Předpis po mesici'!$A$1:$JQ$103,274,0)*12</f>
        <v>0</v>
      </c>
      <c r="Q56" s="284" t="str">
        <f>SUM(B56:M56)-P56</f>
        <v>0</v>
      </c>
      <c r="R56" s="27"/>
      <c r="S56" s="27"/>
      <c r="T56" s="27"/>
      <c r="U56" s="27"/>
      <c r="V56" s="27"/>
      <c r="W56" s="27"/>
      <c r="X56" s="27"/>
      <c r="Y56" s="27"/>
    </row>
    <row r="57" spans="1:25">
      <c r="A57" s="168"/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169" t="str">
        <f>SUM(B57:M57)</f>
        <v>0</v>
      </c>
      <c r="O57" s="27"/>
      <c r="P57" s="282" t="str">
        <f>VLOOKUP(A57,'Předpis po mesici'!$A$1:$JQ$103,274,0)*12</f>
        <v>0</v>
      </c>
      <c r="Q57" s="284" t="str">
        <f>SUM(B57:M57)-P57</f>
        <v>0</v>
      </c>
      <c r="R57" s="27"/>
      <c r="S57" s="27"/>
      <c r="T57" s="27"/>
      <c r="U57" s="27"/>
      <c r="V57" s="27"/>
      <c r="W57" s="27"/>
      <c r="X57" s="27"/>
      <c r="Y57" s="27"/>
    </row>
    <row r="58" spans="1:25">
      <c r="A58" s="170"/>
      <c r="B58" s="171"/>
      <c r="C58" s="171"/>
      <c r="D58" s="171"/>
      <c r="E58" s="171"/>
      <c r="F58" s="171"/>
      <c r="G58" s="171"/>
      <c r="H58" s="171"/>
      <c r="I58" s="171"/>
      <c r="J58" s="171"/>
      <c r="K58" s="171"/>
      <c r="L58" s="171"/>
      <c r="M58" s="171"/>
      <c r="N58" s="169" t="str">
        <f>SUM(B58:M58)</f>
        <v>0</v>
      </c>
      <c r="O58" s="27"/>
      <c r="P58" s="282" t="str">
        <f>VLOOKUP(A58,'Předpis po mesici'!$A$1:$JQ$103,274,0)*12</f>
        <v>0</v>
      </c>
      <c r="Q58" s="284" t="str">
        <f>SUM(B58:M58)-P58</f>
        <v>0</v>
      </c>
      <c r="R58" s="27"/>
      <c r="S58" s="27"/>
      <c r="T58" s="27"/>
      <c r="U58" s="27"/>
      <c r="V58" s="27"/>
      <c r="W58" s="27"/>
      <c r="X58" s="27"/>
      <c r="Y58" s="27"/>
    </row>
    <row r="59" spans="1:25">
      <c r="A59" s="168"/>
      <c r="B59" s="65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169" t="str">
        <f>SUM(B59:M59)</f>
        <v>0</v>
      </c>
      <c r="O59" s="27"/>
      <c r="P59" s="282" t="str">
        <f>VLOOKUP(A59,'Předpis po mesici'!$A$1:$JQ$103,274,0)*12</f>
        <v>0</v>
      </c>
      <c r="Q59" s="284" t="str">
        <f>SUM(B59:M59)-P59</f>
        <v>0</v>
      </c>
      <c r="R59" s="27"/>
      <c r="S59" s="27"/>
      <c r="T59" s="27"/>
      <c r="U59" s="27"/>
      <c r="V59" s="27"/>
      <c r="W59" s="27"/>
      <c r="X59" s="27"/>
      <c r="Y59" s="27"/>
    </row>
    <row r="60" spans="1:25">
      <c r="A60" s="170"/>
      <c r="B60" s="171"/>
      <c r="C60" s="171"/>
      <c r="D60" s="171"/>
      <c r="E60" s="171"/>
      <c r="F60" s="171"/>
      <c r="G60" s="171"/>
      <c r="H60" s="171"/>
      <c r="I60" s="171"/>
      <c r="J60" s="171"/>
      <c r="K60" s="171"/>
      <c r="L60" s="171"/>
      <c r="M60" s="171"/>
      <c r="N60" s="169" t="str">
        <f>SUM(B60:M60)</f>
        <v>0</v>
      </c>
      <c r="O60" s="27"/>
      <c r="P60" s="282" t="str">
        <f>VLOOKUP(A60,'Předpis po mesici'!$A$1:$JQ$103,274,0)*12</f>
        <v>0</v>
      </c>
      <c r="Q60" s="284" t="str">
        <f>SUM(B60:M60)-P60</f>
        <v>0</v>
      </c>
      <c r="R60" s="27"/>
      <c r="S60" s="27"/>
      <c r="T60" s="27"/>
      <c r="U60" s="27"/>
      <c r="V60" s="27"/>
      <c r="W60" s="27"/>
      <c r="X60" s="27"/>
      <c r="Y60" s="27"/>
    </row>
    <row r="61" spans="1:25">
      <c r="A61" s="168"/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169" t="str">
        <f>SUM(B61:M61)</f>
        <v>0</v>
      </c>
      <c r="O61" s="27"/>
      <c r="P61" s="282" t="str">
        <f>VLOOKUP(A61,'Předpis po mesici'!$A$1:$JQ$103,274,0)*12</f>
        <v>0</v>
      </c>
      <c r="Q61" s="284" t="str">
        <f>SUM(B61:M61)-P61</f>
        <v>0</v>
      </c>
      <c r="R61" s="27"/>
      <c r="S61" s="27"/>
      <c r="T61" s="27"/>
      <c r="U61" s="27"/>
      <c r="V61" s="27"/>
      <c r="W61" s="27"/>
      <c r="X61" s="27"/>
      <c r="Y61" s="27"/>
    </row>
    <row r="62" spans="1:25">
      <c r="A62" s="170"/>
      <c r="B62" s="171"/>
      <c r="C62" s="171"/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69" t="str">
        <f>SUM(B62:M62)</f>
        <v>0</v>
      </c>
      <c r="O62" s="27"/>
      <c r="P62" s="282" t="str">
        <f>VLOOKUP(A62,'Předpis po mesici'!$A$1:$JQ$103,274,0)*12</f>
        <v>0</v>
      </c>
      <c r="Q62" s="284" t="str">
        <f>SUM(B62:M62)-P62</f>
        <v>0</v>
      </c>
      <c r="R62" s="27"/>
      <c r="S62" s="27"/>
      <c r="T62" s="27"/>
      <c r="U62" s="27"/>
      <c r="V62" s="27"/>
      <c r="W62" s="27"/>
      <c r="X62" s="27"/>
      <c r="Y62" s="27"/>
    </row>
    <row r="63" spans="1:25">
      <c r="A63" s="168"/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169" t="str">
        <f>SUM(B63:M63)</f>
        <v>0</v>
      </c>
      <c r="O63" s="27"/>
      <c r="P63" s="282" t="str">
        <f>VLOOKUP(A63,'Předpis po mesici'!$A$1:$JQ$103,274,0)*12</f>
        <v>0</v>
      </c>
      <c r="Q63" s="284" t="str">
        <f>SUM(B63:M63)-P63</f>
        <v>0</v>
      </c>
      <c r="R63" s="27"/>
      <c r="S63" s="27"/>
      <c r="T63" s="27"/>
      <c r="U63" s="27"/>
      <c r="V63" s="27"/>
      <c r="W63" s="27"/>
      <c r="X63" s="27"/>
      <c r="Y63" s="27"/>
    </row>
    <row r="64" spans="1:25">
      <c r="A64" s="170"/>
      <c r="B64" s="171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69" t="str">
        <f>SUM(B64:M64)</f>
        <v>0</v>
      </c>
      <c r="O64" s="27"/>
      <c r="P64" s="282" t="str">
        <f>VLOOKUP(A64,'Předpis po mesici'!$A$1:$JQ$103,274,0)*12</f>
        <v>0</v>
      </c>
      <c r="Q64" s="284" t="str">
        <f>SUM(B64:M64)-P64</f>
        <v>0</v>
      </c>
      <c r="R64" s="27"/>
      <c r="S64" s="27"/>
      <c r="T64" s="27"/>
      <c r="U64" s="27"/>
      <c r="V64" s="27"/>
      <c r="W64" s="27"/>
      <c r="X64" s="27"/>
      <c r="Y64" s="27"/>
    </row>
    <row r="65" spans="1:25">
      <c r="A65" s="168"/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169" t="str">
        <f>SUM(B65:M65)</f>
        <v>0</v>
      </c>
      <c r="O65" s="27"/>
      <c r="P65" s="282" t="str">
        <f>VLOOKUP(A65,'Předpis po mesici'!$A$1:$JQ$103,274,0)*12</f>
        <v>0</v>
      </c>
      <c r="Q65" s="284" t="str">
        <f>SUM(B65:M65)-P65</f>
        <v>0</v>
      </c>
      <c r="R65" s="27"/>
      <c r="S65" s="27"/>
      <c r="T65" s="27"/>
      <c r="U65" s="27"/>
      <c r="V65" s="27"/>
      <c r="W65" s="27"/>
      <c r="X65" s="27"/>
      <c r="Y65" s="27"/>
    </row>
    <row r="66" spans="1:25">
      <c r="A66" s="170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69" t="str">
        <f>SUM(B66:M66)</f>
        <v>0</v>
      </c>
      <c r="O66" s="27"/>
      <c r="P66" s="282" t="str">
        <f>VLOOKUP(A66,'Předpis po mesici'!$A$1:$JQ$103,274,0)*12</f>
        <v>0</v>
      </c>
      <c r="Q66" s="284" t="str">
        <f>SUM(B66:M66)-P66</f>
        <v>0</v>
      </c>
      <c r="R66" s="27"/>
      <c r="S66" s="27"/>
      <c r="T66" s="27"/>
      <c r="U66" s="27"/>
      <c r="V66" s="27"/>
      <c r="W66" s="27"/>
      <c r="X66" s="27"/>
      <c r="Y66" s="27"/>
    </row>
    <row r="67" spans="1:25">
      <c r="A67" s="168"/>
      <c r="B67" s="65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169" t="str">
        <f>SUM(B67:M67)</f>
        <v>0</v>
      </c>
      <c r="O67" s="27"/>
      <c r="P67" s="282" t="str">
        <f>VLOOKUP(A67,'Předpis po mesici'!$A$1:$JQ$103,274,0)*12</f>
        <v>0</v>
      </c>
      <c r="Q67" s="284" t="str">
        <f>SUM(B67:M67)-P67</f>
        <v>0</v>
      </c>
      <c r="R67" s="27"/>
      <c r="S67" s="27"/>
      <c r="T67" s="27"/>
      <c r="U67" s="27"/>
      <c r="V67" s="27"/>
      <c r="W67" s="27"/>
      <c r="X67" s="27"/>
      <c r="Y67" s="27"/>
    </row>
    <row r="68" spans="1:25">
      <c r="A68" s="170"/>
      <c r="B68" s="171"/>
      <c r="C68" s="171"/>
      <c r="D68" s="171"/>
      <c r="E68" s="171"/>
      <c r="F68" s="171"/>
      <c r="G68" s="171"/>
      <c r="H68" s="171"/>
      <c r="I68" s="171"/>
      <c r="J68" s="171"/>
      <c r="K68" s="171"/>
      <c r="L68" s="171"/>
      <c r="M68" s="171"/>
      <c r="N68" s="169" t="str">
        <f>SUM(B68:M68)</f>
        <v>0</v>
      </c>
      <c r="O68" s="27"/>
      <c r="P68" s="282" t="str">
        <f>VLOOKUP(A68,'Předpis po mesici'!$A$1:$JQ$103,274,0)*12</f>
        <v>0</v>
      </c>
      <c r="Q68" s="284" t="str">
        <f>SUM(B68:M68)-P68</f>
        <v>0</v>
      </c>
      <c r="R68" s="27"/>
      <c r="S68" s="27"/>
      <c r="T68" s="27"/>
      <c r="U68" s="27"/>
      <c r="V68" s="27"/>
      <c r="W68" s="27"/>
      <c r="X68" s="27"/>
      <c r="Y68" s="27"/>
    </row>
    <row r="69" spans="1:25">
      <c r="A69" s="168"/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169" t="str">
        <f>SUM(B69:M69)</f>
        <v>0</v>
      </c>
      <c r="O69" s="27"/>
      <c r="P69" s="282" t="str">
        <f>VLOOKUP(A69,'Předpis po mesici'!$A$1:$JQ$103,274,0)*12</f>
        <v>0</v>
      </c>
      <c r="Q69" s="284" t="str">
        <f>SUM(B69:M69)-P69</f>
        <v>0</v>
      </c>
      <c r="R69" s="27"/>
      <c r="S69" s="27"/>
      <c r="T69" s="27"/>
      <c r="U69" s="27"/>
      <c r="V69" s="27"/>
      <c r="W69" s="27"/>
      <c r="X69" s="27"/>
      <c r="Y69" s="27"/>
    </row>
    <row r="70" spans="1:25">
      <c r="A70" s="170"/>
      <c r="B70" s="171"/>
      <c r="C70" s="171"/>
      <c r="D70" s="171"/>
      <c r="E70" s="171"/>
      <c r="F70" s="171"/>
      <c r="G70" s="171"/>
      <c r="H70" s="171"/>
      <c r="I70" s="171"/>
      <c r="J70" s="171"/>
      <c r="K70" s="171"/>
      <c r="L70" s="171"/>
      <c r="M70" s="171"/>
      <c r="N70" s="169" t="str">
        <f>SUM(B70:M70)</f>
        <v>0</v>
      </c>
      <c r="O70" s="27"/>
      <c r="P70" s="282" t="str">
        <f>VLOOKUP(A70,'Předpis po mesici'!$A$1:$JQ$103,274,0)*12</f>
        <v>0</v>
      </c>
      <c r="Q70" s="284" t="str">
        <f>SUM(B70:M70)-P70</f>
        <v>0</v>
      </c>
      <c r="R70" s="27"/>
      <c r="S70" s="27"/>
      <c r="T70" s="27"/>
      <c r="U70" s="27"/>
      <c r="V70" s="27"/>
      <c r="W70" s="27"/>
      <c r="X70" s="27"/>
      <c r="Y70" s="27"/>
    </row>
    <row r="71" spans="1:25">
      <c r="A71" s="168"/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169" t="str">
        <f>SUM(B71:M71)</f>
        <v>0</v>
      </c>
      <c r="O71" s="27"/>
      <c r="P71" s="282" t="str">
        <f>VLOOKUP(A71,'Předpis po mesici'!$A$1:$JQ$103,274,0)*12</f>
        <v>0</v>
      </c>
      <c r="Q71" s="284" t="str">
        <f>SUM(B71:M71)-P71</f>
        <v>0</v>
      </c>
      <c r="R71" s="27"/>
      <c r="S71" s="27"/>
      <c r="T71" s="27"/>
      <c r="U71" s="27"/>
      <c r="V71" s="27"/>
      <c r="W71" s="27"/>
      <c r="X71" s="27"/>
      <c r="Y71" s="27"/>
    </row>
    <row r="72" spans="1:25">
      <c r="A72" s="170"/>
      <c r="B72" s="171"/>
      <c r="C72" s="171"/>
      <c r="D72" s="171"/>
      <c r="E72" s="171"/>
      <c r="F72" s="171"/>
      <c r="G72" s="171"/>
      <c r="H72" s="171"/>
      <c r="I72" s="171"/>
      <c r="J72" s="171"/>
      <c r="K72" s="171"/>
      <c r="L72" s="171"/>
      <c r="M72" s="171"/>
      <c r="N72" s="169" t="str">
        <f>SUM(B72:M72)</f>
        <v>0</v>
      </c>
      <c r="O72" s="27"/>
      <c r="P72" s="282" t="str">
        <f>VLOOKUP(A72,'Předpis po mesici'!$A$1:$JQ$103,274,0)*12</f>
        <v>0</v>
      </c>
      <c r="Q72" s="284" t="str">
        <f>SUM(B72:M72)-P72</f>
        <v>0</v>
      </c>
      <c r="R72" s="27"/>
      <c r="S72" s="27"/>
      <c r="T72" s="27"/>
      <c r="U72" s="27"/>
      <c r="V72" s="27"/>
      <c r="W72" s="27"/>
      <c r="X72" s="27"/>
      <c r="Y72" s="27"/>
    </row>
    <row r="73" spans="1:25">
      <c r="A73" s="168"/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169" t="str">
        <f>SUM(B73:M73)</f>
        <v>0</v>
      </c>
      <c r="O73" s="27"/>
      <c r="P73" s="282" t="str">
        <f>VLOOKUP(A73,'Předpis po mesici'!$A$1:$JQ$103,274,0)*12</f>
        <v>0</v>
      </c>
      <c r="Q73" s="284" t="str">
        <f>SUM(B73:M73)-P73</f>
        <v>0</v>
      </c>
      <c r="R73" s="27"/>
      <c r="S73" s="27"/>
      <c r="T73" s="27"/>
      <c r="U73" s="27"/>
      <c r="V73" s="27"/>
      <c r="W73" s="27"/>
      <c r="X73" s="27"/>
      <c r="Y73" s="27"/>
    </row>
    <row r="74" spans="1:25">
      <c r="A74" s="170"/>
      <c r="B74" s="171"/>
      <c r="C74" s="171"/>
      <c r="D74" s="171"/>
      <c r="E74" s="171"/>
      <c r="F74" s="171"/>
      <c r="G74" s="171"/>
      <c r="H74" s="171"/>
      <c r="I74" s="171"/>
      <c r="J74" s="171"/>
      <c r="K74" s="171"/>
      <c r="L74" s="171"/>
      <c r="M74" s="171"/>
      <c r="N74" s="169" t="str">
        <f>SUM(B74:M74)</f>
        <v>0</v>
      </c>
      <c r="O74" s="27"/>
      <c r="P74" s="282" t="str">
        <f>VLOOKUP(A74,'Předpis po mesici'!$A$1:$JQ$103,274,0)*12</f>
        <v>0</v>
      </c>
      <c r="Q74" s="284" t="str">
        <f>SUM(B74:M74)-P74</f>
        <v>0</v>
      </c>
      <c r="R74" s="27"/>
      <c r="S74" s="27"/>
      <c r="T74" s="27"/>
      <c r="U74" s="27"/>
      <c r="V74" s="27"/>
      <c r="W74" s="27"/>
      <c r="X74" s="27"/>
      <c r="Y74" s="27"/>
    </row>
    <row r="75" spans="1:25">
      <c r="A75" s="168"/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169" t="str">
        <f>SUM(B75:M75)</f>
        <v>0</v>
      </c>
      <c r="O75" s="27"/>
      <c r="P75" s="282" t="str">
        <f>VLOOKUP(A75,'Předpis po mesici'!$A$1:$JQ$103,274,0)*12</f>
        <v>0</v>
      </c>
      <c r="Q75" s="284" t="str">
        <f>SUM(B75:M75)-P75</f>
        <v>0</v>
      </c>
      <c r="R75" s="27"/>
      <c r="S75" s="27"/>
      <c r="T75" s="27"/>
      <c r="U75" s="27"/>
      <c r="V75" s="27"/>
      <c r="W75" s="27"/>
      <c r="X75" s="27"/>
      <c r="Y75" s="27"/>
    </row>
    <row r="76" spans="1:25">
      <c r="A76" s="170"/>
      <c r="B76" s="171"/>
      <c r="C76" s="171"/>
      <c r="D76" s="171"/>
      <c r="E76" s="171"/>
      <c r="F76" s="171"/>
      <c r="G76" s="171"/>
      <c r="H76" s="171"/>
      <c r="I76" s="171"/>
      <c r="J76" s="171"/>
      <c r="K76" s="171"/>
      <c r="L76" s="171"/>
      <c r="M76" s="171"/>
      <c r="N76" s="169" t="str">
        <f>SUM(B76:M76)</f>
        <v>0</v>
      </c>
      <c r="O76" s="27"/>
      <c r="P76" s="282" t="str">
        <f>VLOOKUP(A76,'Předpis po mesici'!$A$1:$JQ$103,274,0)*12</f>
        <v>0</v>
      </c>
      <c r="Q76" s="284" t="str">
        <f>SUM(B76:M76)-P76</f>
        <v>0</v>
      </c>
      <c r="R76" s="27"/>
      <c r="S76" s="27"/>
      <c r="T76" s="27"/>
      <c r="U76" s="27"/>
      <c r="V76" s="27"/>
      <c r="W76" s="27"/>
      <c r="X76" s="27"/>
      <c r="Y76" s="27"/>
    </row>
    <row r="77" spans="1:25">
      <c r="A77" s="168"/>
      <c r="B77" s="65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169" t="str">
        <f>SUM(B77:M77)</f>
        <v>0</v>
      </c>
      <c r="O77" s="27"/>
      <c r="P77" s="282" t="str">
        <f>VLOOKUP(A77,'Předpis po mesici'!$A$1:$JQ$103,274,0)*12</f>
        <v>0</v>
      </c>
      <c r="Q77" s="284" t="str">
        <f>SUM(B77:M77)-P77</f>
        <v>0</v>
      </c>
      <c r="R77" s="27"/>
      <c r="S77" s="27"/>
      <c r="T77" s="27"/>
      <c r="U77" s="27"/>
      <c r="V77" s="27"/>
      <c r="W77" s="27"/>
      <c r="X77" s="27"/>
      <c r="Y77" s="27"/>
    </row>
    <row r="78" spans="1:25">
      <c r="A78" s="170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69" t="str">
        <f>SUM(B78:M78)</f>
        <v>0</v>
      </c>
      <c r="O78" s="27"/>
      <c r="P78" s="282" t="str">
        <f>VLOOKUP(A78,'Předpis po mesici'!$A$1:$JQ$103,274,0)*12</f>
        <v>0</v>
      </c>
      <c r="Q78" s="284" t="str">
        <f>SUM(B78:M78)-P78</f>
        <v>0</v>
      </c>
      <c r="R78" s="27"/>
      <c r="S78" s="27"/>
      <c r="T78" s="27"/>
      <c r="U78" s="27"/>
      <c r="V78" s="27"/>
      <c r="W78" s="27"/>
      <c r="X78" s="27"/>
      <c r="Y78" s="27"/>
    </row>
    <row r="79" spans="1:25">
      <c r="A79" s="168"/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169" t="str">
        <f>SUM(B79:M79)</f>
        <v>0</v>
      </c>
      <c r="O79" s="27"/>
      <c r="P79" s="282" t="str">
        <f>VLOOKUP(A79,'Předpis po mesici'!$A$1:$JQ$103,274,0)*12</f>
        <v>0</v>
      </c>
      <c r="Q79" s="284" t="str">
        <f>SUM(B79:M79)-P79</f>
        <v>0</v>
      </c>
      <c r="R79" s="27"/>
      <c r="S79" s="27"/>
      <c r="T79" s="27"/>
      <c r="U79" s="27"/>
      <c r="V79" s="27"/>
      <c r="W79" s="27"/>
      <c r="X79" s="27"/>
      <c r="Y79" s="27"/>
    </row>
    <row r="80" spans="1:25">
      <c r="A80" s="170"/>
      <c r="B80" s="171"/>
      <c r="C80" s="171"/>
      <c r="D80" s="171"/>
      <c r="E80" s="171"/>
      <c r="F80" s="171"/>
      <c r="G80" s="171"/>
      <c r="H80" s="171"/>
      <c r="I80" s="171"/>
      <c r="J80" s="171"/>
      <c r="K80" s="171"/>
      <c r="L80" s="171"/>
      <c r="M80" s="171"/>
      <c r="N80" s="169" t="str">
        <f>SUM(B80:M80)</f>
        <v>0</v>
      </c>
      <c r="O80" s="27"/>
      <c r="P80" s="282" t="str">
        <f>VLOOKUP(A80,'Předpis po mesici'!$A$1:$JQ$103,274,0)*12</f>
        <v>0</v>
      </c>
      <c r="Q80" s="284" t="str">
        <f>SUM(B80:M80)-P80</f>
        <v>0</v>
      </c>
      <c r="R80" s="27"/>
      <c r="S80" s="27"/>
      <c r="T80" s="27"/>
      <c r="U80" s="27"/>
      <c r="V80" s="27"/>
      <c r="W80" s="27"/>
      <c r="X80" s="27"/>
      <c r="Y80" s="27"/>
    </row>
    <row r="81" spans="1:25">
      <c r="A81" s="168"/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169" t="str">
        <f>SUM(B81:M81)</f>
        <v>0</v>
      </c>
      <c r="O81" s="27"/>
      <c r="P81" s="282" t="str">
        <f>VLOOKUP(A81,'Předpis po mesici'!$A$1:$JQ$103,274,0)*12</f>
        <v>0</v>
      </c>
      <c r="Q81" s="284" t="str">
        <f>SUM(B81:M81)-P81</f>
        <v>0</v>
      </c>
      <c r="R81" s="27"/>
      <c r="S81" s="27"/>
      <c r="T81" s="27"/>
      <c r="U81" s="27"/>
      <c r="V81" s="27"/>
      <c r="W81" s="27"/>
      <c r="X81" s="27"/>
      <c r="Y81" s="27"/>
    </row>
    <row r="82" spans="1:25">
      <c r="A82" s="170"/>
      <c r="B82" s="171"/>
      <c r="C82" s="171"/>
      <c r="D82" s="171"/>
      <c r="E82" s="171"/>
      <c r="F82" s="171"/>
      <c r="G82" s="171"/>
      <c r="H82" s="171"/>
      <c r="I82" s="171"/>
      <c r="J82" s="171"/>
      <c r="K82" s="171"/>
      <c r="L82" s="171"/>
      <c r="M82" s="171"/>
      <c r="N82" s="169" t="str">
        <f>SUM(B82:M82)</f>
        <v>0</v>
      </c>
      <c r="O82" s="27"/>
      <c r="P82" s="282" t="str">
        <f>VLOOKUP(A82,'Předpis po mesici'!$A$1:$JQ$103,274,0)*12</f>
        <v>0</v>
      </c>
      <c r="Q82" s="284" t="str">
        <f>SUM(B82:M82)-P82</f>
        <v>0</v>
      </c>
      <c r="R82" s="27"/>
      <c r="S82" s="27"/>
      <c r="T82" s="27"/>
      <c r="U82" s="27"/>
      <c r="V82" s="27"/>
      <c r="W82" s="27"/>
      <c r="X82" s="27"/>
      <c r="Y82" s="27"/>
    </row>
    <row r="83" spans="1:25">
      <c r="A83" s="168"/>
      <c r="B83" s="65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169" t="str">
        <f>SUM(B83:M83)</f>
        <v>0</v>
      </c>
      <c r="O83" s="27"/>
      <c r="P83" s="282" t="str">
        <f>VLOOKUP(A83,'Předpis po mesici'!$A$1:$JQ$103,274,0)*12</f>
        <v>0</v>
      </c>
      <c r="Q83" s="284" t="str">
        <f>SUM(B83:M83)-P83</f>
        <v>0</v>
      </c>
      <c r="R83" s="27"/>
      <c r="S83" s="27"/>
      <c r="T83" s="27"/>
      <c r="U83" s="27"/>
      <c r="V83" s="27"/>
      <c r="W83" s="27"/>
      <c r="X83" s="27"/>
      <c r="Y83" s="27"/>
    </row>
    <row r="84" spans="1:25">
      <c r="A84" s="170"/>
      <c r="B84" s="171"/>
      <c r="C84" s="171"/>
      <c r="D84" s="171"/>
      <c r="E84" s="171"/>
      <c r="F84" s="171"/>
      <c r="G84" s="171"/>
      <c r="H84" s="171"/>
      <c r="I84" s="171"/>
      <c r="J84" s="171"/>
      <c r="K84" s="171"/>
      <c r="L84" s="171"/>
      <c r="M84" s="171"/>
      <c r="N84" s="169" t="str">
        <f>SUM(B84:M84)</f>
        <v>0</v>
      </c>
      <c r="O84" s="27"/>
      <c r="P84" s="282" t="str">
        <f>VLOOKUP(A84,'Předpis po mesici'!$A$1:$JQ$103,274,0)*12</f>
        <v>0</v>
      </c>
      <c r="Q84" s="284" t="str">
        <f>SUM(B84:M84)-P84</f>
        <v>0</v>
      </c>
      <c r="R84" s="27"/>
      <c r="S84" s="27"/>
      <c r="T84" s="27"/>
      <c r="U84" s="27"/>
      <c r="V84" s="27"/>
      <c r="W84" s="27"/>
      <c r="X84" s="27"/>
      <c r="Y84" s="27"/>
    </row>
    <row r="85" spans="1:25">
      <c r="A85" s="168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169" t="str">
        <f>SUM(B85:M85)</f>
        <v>0</v>
      </c>
      <c r="O85" s="27"/>
      <c r="P85" s="282" t="str">
        <f>VLOOKUP(A85,'Předpis po mesici'!$A$1:$JQ$103,274,0)*12</f>
        <v>0</v>
      </c>
      <c r="Q85" s="284" t="str">
        <f>SUM(B85:M85)-P85</f>
        <v>0</v>
      </c>
      <c r="R85" s="27"/>
      <c r="S85" s="27"/>
      <c r="T85" s="27"/>
      <c r="U85" s="27"/>
      <c r="V85" s="27"/>
      <c r="W85" s="27"/>
      <c r="X85" s="27"/>
      <c r="Y85" s="27"/>
    </row>
    <row r="86" spans="1:25">
      <c r="A86" s="170"/>
      <c r="B86" s="171"/>
      <c r="C86" s="171"/>
      <c r="D86" s="171"/>
      <c r="E86" s="171"/>
      <c r="F86" s="171"/>
      <c r="G86" s="171"/>
      <c r="H86" s="171"/>
      <c r="I86" s="171"/>
      <c r="J86" s="171"/>
      <c r="K86" s="171"/>
      <c r="L86" s="171"/>
      <c r="M86" s="171"/>
      <c r="N86" s="169" t="str">
        <f>SUM(B86:M86)</f>
        <v>0</v>
      </c>
      <c r="O86" s="27"/>
      <c r="P86" s="282" t="str">
        <f>VLOOKUP(A86,'Předpis po mesici'!$A$1:$JQ$103,274,0)*12</f>
        <v>0</v>
      </c>
      <c r="Q86" s="284" t="str">
        <f>SUM(B86:M86)-P86</f>
        <v>0</v>
      </c>
      <c r="R86" s="27"/>
      <c r="S86" s="27"/>
      <c r="T86" s="27"/>
      <c r="U86" s="27"/>
      <c r="V86" s="27"/>
      <c r="W86" s="27"/>
      <c r="X86" s="27"/>
      <c r="Y86" s="27"/>
    </row>
    <row r="87" spans="1:25">
      <c r="A87" s="168"/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169" t="str">
        <f>SUM(B87:M87)</f>
        <v>0</v>
      </c>
      <c r="O87" s="27"/>
      <c r="P87" s="282" t="str">
        <f>VLOOKUP(A87,'Předpis po mesici'!$A$1:$JQ$103,274,0)*12</f>
        <v>0</v>
      </c>
      <c r="Q87" s="284" t="str">
        <f>SUM(B87:M87)-P87</f>
        <v>0</v>
      </c>
      <c r="R87" s="27"/>
      <c r="S87" s="27"/>
      <c r="T87" s="27"/>
      <c r="U87" s="27"/>
      <c r="V87" s="27"/>
      <c r="W87" s="27"/>
      <c r="X87" s="27"/>
      <c r="Y87" s="27"/>
    </row>
    <row r="88" spans="1:25">
      <c r="A88" s="170"/>
      <c r="B88" s="171"/>
      <c r="C88" s="171"/>
      <c r="D88" s="171"/>
      <c r="E88" s="171"/>
      <c r="F88" s="171"/>
      <c r="G88" s="171"/>
      <c r="H88" s="171"/>
      <c r="I88" s="171"/>
      <c r="J88" s="171"/>
      <c r="K88" s="171"/>
      <c r="L88" s="171"/>
      <c r="M88" s="171"/>
      <c r="N88" s="169" t="str">
        <f>SUM(B88:M88)</f>
        <v>0</v>
      </c>
      <c r="O88" s="27"/>
      <c r="P88" s="282" t="str">
        <f>VLOOKUP(A88,'Předpis po mesici'!$A$1:$JQ$103,274,0)*12</f>
        <v>0</v>
      </c>
      <c r="Q88" s="284" t="str">
        <f>SUM(B88:M88)-P88</f>
        <v>0</v>
      </c>
      <c r="R88" s="27"/>
      <c r="S88" s="27"/>
      <c r="T88" s="27"/>
      <c r="U88" s="27"/>
      <c r="V88" s="27"/>
      <c r="W88" s="27"/>
      <c r="X88" s="27"/>
      <c r="Y88" s="27"/>
    </row>
    <row r="89" spans="1:25">
      <c r="A89" s="168"/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169" t="str">
        <f>SUM(B89:M89)</f>
        <v>0</v>
      </c>
      <c r="O89" s="27"/>
      <c r="P89" s="282" t="str">
        <f>VLOOKUP(A89,'Předpis po mesici'!$A$1:$JQ$103,274,0)*12</f>
        <v>0</v>
      </c>
      <c r="Q89" s="284" t="str">
        <f>SUM(B89:M89)-P89</f>
        <v>0</v>
      </c>
      <c r="R89" s="27"/>
      <c r="S89" s="27"/>
      <c r="T89" s="27"/>
      <c r="U89" s="27"/>
      <c r="V89" s="27"/>
      <c r="W89" s="27"/>
      <c r="X89" s="27"/>
      <c r="Y89" s="27"/>
    </row>
    <row r="90" spans="1:25">
      <c r="A90" s="170"/>
      <c r="B90" s="171"/>
      <c r="C90" s="171"/>
      <c r="D90" s="171"/>
      <c r="E90" s="171"/>
      <c r="F90" s="171"/>
      <c r="G90" s="171"/>
      <c r="H90" s="171"/>
      <c r="I90" s="171"/>
      <c r="J90" s="171"/>
      <c r="K90" s="171"/>
      <c r="L90" s="171"/>
      <c r="M90" s="171"/>
      <c r="N90" s="169" t="str">
        <f>SUM(B90:M90)</f>
        <v>0</v>
      </c>
      <c r="O90" s="27"/>
      <c r="P90" s="282" t="str">
        <f>VLOOKUP(A90,'Předpis po mesici'!$A$1:$JQ$103,274,0)*12</f>
        <v>0</v>
      </c>
      <c r="Q90" s="284" t="str">
        <f>SUM(B90:M90)-P90</f>
        <v>0</v>
      </c>
      <c r="R90" s="27"/>
      <c r="S90" s="27"/>
      <c r="T90" s="27"/>
      <c r="U90" s="27"/>
      <c r="V90" s="27"/>
      <c r="W90" s="27"/>
      <c r="X90" s="27"/>
      <c r="Y90" s="27"/>
    </row>
    <row r="91" spans="1:25">
      <c r="A91" s="168"/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169" t="str">
        <f>SUM(B91:M91)</f>
        <v>0</v>
      </c>
      <c r="O91" s="27"/>
      <c r="P91" s="282" t="str">
        <f>VLOOKUP(A91,'Předpis po mesici'!$A$1:$JQ$103,274,0)*12</f>
        <v>0</v>
      </c>
      <c r="Q91" s="284" t="str">
        <f>SUM(B91:M91)-P91</f>
        <v>0</v>
      </c>
      <c r="R91" s="27"/>
      <c r="S91" s="27"/>
      <c r="T91" s="27"/>
      <c r="U91" s="27"/>
      <c r="V91" s="27"/>
      <c r="W91" s="27"/>
      <c r="X91" s="27"/>
      <c r="Y91" s="27"/>
    </row>
    <row r="92" spans="1:25">
      <c r="A92" s="170"/>
      <c r="B92" s="171"/>
      <c r="C92" s="171"/>
      <c r="D92" s="171"/>
      <c r="E92" s="171"/>
      <c r="F92" s="171"/>
      <c r="G92" s="171"/>
      <c r="H92" s="171"/>
      <c r="I92" s="171"/>
      <c r="J92" s="171"/>
      <c r="K92" s="171"/>
      <c r="L92" s="171"/>
      <c r="M92" s="171"/>
      <c r="N92" s="169" t="str">
        <f>SUM(B92:M92)</f>
        <v>0</v>
      </c>
      <c r="O92" s="27"/>
      <c r="P92" s="282" t="str">
        <f>VLOOKUP(A92,'Předpis po mesici'!$A$1:$JQ$103,274,0)*12</f>
        <v>0</v>
      </c>
      <c r="Q92" s="284" t="str">
        <f>SUM(B92:M92)-P92</f>
        <v>0</v>
      </c>
      <c r="R92" s="27"/>
      <c r="S92" s="27"/>
      <c r="T92" s="27"/>
      <c r="U92" s="27"/>
      <c r="V92" s="27"/>
      <c r="W92" s="27"/>
      <c r="X92" s="27"/>
      <c r="Y92" s="27"/>
    </row>
    <row r="93" spans="1:25">
      <c r="A93" s="168"/>
      <c r="B93" s="65"/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169" t="str">
        <f>SUM(B93:M93)</f>
        <v>0</v>
      </c>
      <c r="O93" s="27"/>
      <c r="P93" s="282" t="str">
        <f>VLOOKUP(A93,'Předpis po mesici'!$A$1:$JQ$103,274,0)*12</f>
        <v>0</v>
      </c>
      <c r="Q93" s="284" t="str">
        <f>SUM(B93:M93)-P93</f>
        <v>0</v>
      </c>
      <c r="R93" s="27"/>
      <c r="S93" s="27"/>
      <c r="T93" s="27"/>
      <c r="U93" s="27"/>
      <c r="V93" s="27"/>
      <c r="W93" s="27"/>
      <c r="X93" s="27"/>
      <c r="Y93" s="27"/>
    </row>
    <row r="94" spans="1:25">
      <c r="A94" s="170"/>
      <c r="B94" s="171"/>
      <c r="C94" s="171"/>
      <c r="D94" s="171"/>
      <c r="E94" s="171"/>
      <c r="F94" s="171"/>
      <c r="G94" s="171"/>
      <c r="H94" s="171"/>
      <c r="I94" s="171"/>
      <c r="J94" s="171"/>
      <c r="K94" s="171"/>
      <c r="L94" s="171"/>
      <c r="M94" s="171"/>
      <c r="N94" s="169" t="str">
        <f>SUM(B94:M94)</f>
        <v>0</v>
      </c>
      <c r="O94" s="27"/>
      <c r="P94" s="282" t="str">
        <f>VLOOKUP(A94,'Předpis po mesici'!$A$1:$JQ$103,274,0)*12</f>
        <v>0</v>
      </c>
      <c r="Q94" s="284" t="str">
        <f>SUM(B94:M94)-P94</f>
        <v>0</v>
      </c>
      <c r="R94" s="27"/>
      <c r="S94" s="27"/>
      <c r="T94" s="27"/>
      <c r="U94" s="27"/>
      <c r="V94" s="27"/>
      <c r="W94" s="27"/>
      <c r="X94" s="27"/>
      <c r="Y94" s="27"/>
    </row>
    <row r="95" spans="1:25">
      <c r="A95" s="168"/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169" t="str">
        <f>SUM(B95:M95)</f>
        <v>0</v>
      </c>
      <c r="O95" s="27"/>
      <c r="P95" s="282" t="str">
        <f>VLOOKUP(A95,'Předpis po mesici'!$A$1:$JQ$103,274,0)*12</f>
        <v>0</v>
      </c>
      <c r="Q95" s="284" t="str">
        <f>SUM(B95:M95)-P95</f>
        <v>0</v>
      </c>
      <c r="R95" s="27"/>
      <c r="S95" s="27"/>
      <c r="T95" s="27"/>
      <c r="U95" s="27"/>
      <c r="V95" s="27"/>
      <c r="W95" s="27"/>
      <c r="X95" s="27"/>
      <c r="Y95" s="27"/>
    </row>
    <row r="96" spans="1:25">
      <c r="A96" s="170"/>
      <c r="B96" s="171"/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69" t="str">
        <f>SUM(B96:M96)</f>
        <v>0</v>
      </c>
      <c r="O96" s="27"/>
      <c r="P96" s="282" t="str">
        <f>VLOOKUP(A96,'Předpis po mesici'!$A$1:$JQ$103,274,0)*12</f>
        <v>0</v>
      </c>
      <c r="Q96" s="284" t="str">
        <f>SUM(B96:M96)-P96</f>
        <v>0</v>
      </c>
      <c r="R96" s="27"/>
      <c r="S96" s="27"/>
      <c r="T96" s="27"/>
      <c r="U96" s="27"/>
      <c r="V96" s="27"/>
      <c r="W96" s="27"/>
      <c r="X96" s="27"/>
      <c r="Y96" s="27"/>
    </row>
    <row r="97" spans="1:25">
      <c r="A97" s="168"/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169" t="str">
        <f>SUM(B97:M97)</f>
        <v>0</v>
      </c>
      <c r="O97" s="27"/>
      <c r="P97" s="282" t="str">
        <f>VLOOKUP(A97,'Předpis po mesici'!$A$1:$JQ$103,274,0)*12</f>
        <v>0</v>
      </c>
      <c r="Q97" s="284" t="str">
        <f>SUM(B97:M97)-P97</f>
        <v>0</v>
      </c>
      <c r="R97" s="27"/>
      <c r="S97" s="27"/>
      <c r="T97" s="27"/>
      <c r="U97" s="27"/>
      <c r="V97" s="27"/>
      <c r="W97" s="27"/>
      <c r="X97" s="27"/>
      <c r="Y97" s="27"/>
    </row>
    <row r="98" spans="1:25">
      <c r="A98" s="170"/>
      <c r="B98" s="171"/>
      <c r="C98" s="171"/>
      <c r="D98" s="171"/>
      <c r="E98" s="171"/>
      <c r="F98" s="171"/>
      <c r="G98" s="171"/>
      <c r="H98" s="171"/>
      <c r="I98" s="171"/>
      <c r="J98" s="171"/>
      <c r="K98" s="171"/>
      <c r="L98" s="171"/>
      <c r="M98" s="171"/>
      <c r="N98" s="169" t="str">
        <f>SUM(B98:M98)</f>
        <v>0</v>
      </c>
      <c r="O98" s="27"/>
      <c r="P98" s="282" t="str">
        <f>VLOOKUP(A98,'Předpis po mesici'!$A$1:$JQ$103,274,0)*12</f>
        <v>0</v>
      </c>
      <c r="Q98" s="284" t="str">
        <f>SUM(B98:M98)-P98</f>
        <v>0</v>
      </c>
      <c r="R98" s="27"/>
      <c r="S98" s="27"/>
      <c r="T98" s="27"/>
      <c r="U98" s="27"/>
      <c r="V98" s="27"/>
      <c r="W98" s="27"/>
      <c r="X98" s="27"/>
      <c r="Y98" s="27"/>
    </row>
    <row r="99" spans="1:25">
      <c r="A99" s="168"/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169" t="str">
        <f>SUM(B99:M99)</f>
        <v>0</v>
      </c>
      <c r="O99" s="27"/>
      <c r="P99" s="282" t="str">
        <f>VLOOKUP(A99,'Předpis po mesici'!$A$1:$JQ$103,274,0)*12</f>
        <v>0</v>
      </c>
      <c r="Q99" s="284" t="str">
        <f>SUM(B99:M99)-P99</f>
        <v>0</v>
      </c>
      <c r="R99" s="27"/>
      <c r="S99" s="27"/>
      <c r="T99" s="27"/>
      <c r="U99" s="27"/>
      <c r="V99" s="27"/>
      <c r="W99" s="27"/>
      <c r="X99" s="27"/>
      <c r="Y99" s="27"/>
    </row>
    <row r="100" spans="1:25">
      <c r="A100" s="170"/>
      <c r="B100" s="171"/>
      <c r="C100" s="171"/>
      <c r="D100" s="171"/>
      <c r="E100" s="171"/>
      <c r="F100" s="171"/>
      <c r="G100" s="171"/>
      <c r="H100" s="171"/>
      <c r="I100" s="171"/>
      <c r="J100" s="171"/>
      <c r="K100" s="171"/>
      <c r="L100" s="171"/>
      <c r="M100" s="171"/>
      <c r="N100" s="169" t="str">
        <f>SUM(B100:M100)</f>
        <v>0</v>
      </c>
      <c r="O100" s="27"/>
      <c r="P100" s="282" t="str">
        <f>VLOOKUP(A100,'Předpis po mesici'!$A$1:$JQ$103,274,0)*12</f>
        <v>0</v>
      </c>
      <c r="Q100" s="284" t="str">
        <f>SUM(B100:M100)-P100</f>
        <v>0</v>
      </c>
      <c r="R100" s="27"/>
      <c r="S100" s="27"/>
      <c r="T100" s="27"/>
      <c r="U100" s="27"/>
      <c r="V100" s="27"/>
      <c r="W100" s="27"/>
      <c r="X100" s="27"/>
      <c r="Y100" s="27"/>
    </row>
    <row r="101" spans="1:25">
      <c r="A101" s="168"/>
      <c r="B101" s="65"/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169" t="str">
        <f>SUM(B101:M101)</f>
        <v>0</v>
      </c>
      <c r="O101" s="27"/>
      <c r="P101" s="282" t="str">
        <f>VLOOKUP(A101,'Předpis po mesici'!$A$1:$JQ$103,274,0)*12</f>
        <v>0</v>
      </c>
      <c r="Q101" s="284" t="str">
        <f>SUM(B101:M101)-P101</f>
        <v>0</v>
      </c>
      <c r="R101" s="27"/>
      <c r="S101" s="27"/>
      <c r="T101" s="27"/>
      <c r="U101" s="27"/>
      <c r="V101" s="27"/>
      <c r="W101" s="27"/>
      <c r="X101" s="27"/>
      <c r="Y101" s="27"/>
    </row>
    <row r="102" spans="1:25">
      <c r="A102" s="170"/>
      <c r="B102" s="171"/>
      <c r="C102" s="171"/>
      <c r="D102" s="171"/>
      <c r="E102" s="171"/>
      <c r="F102" s="171"/>
      <c r="G102" s="171"/>
      <c r="H102" s="171"/>
      <c r="I102" s="171"/>
      <c r="J102" s="171"/>
      <c r="K102" s="171"/>
      <c r="L102" s="171"/>
      <c r="M102" s="171"/>
      <c r="N102" s="169" t="str">
        <f>SUM(B102:M102)</f>
        <v>0</v>
      </c>
      <c r="O102" s="27"/>
      <c r="P102" s="282" t="str">
        <f>VLOOKUP(A102,'Předpis po mesici'!$A$1:$JQ$103,274,0)*12</f>
        <v>0</v>
      </c>
      <c r="Q102" s="284" t="str">
        <f>SUM(B102:M102)-P102</f>
        <v>0</v>
      </c>
      <c r="R102" s="27"/>
      <c r="S102" s="27"/>
      <c r="T102" s="27"/>
      <c r="U102" s="27"/>
      <c r="V102" s="27"/>
      <c r="W102" s="27"/>
      <c r="X102" s="27"/>
      <c r="Y102" s="27"/>
    </row>
    <row r="103" spans="1:25">
      <c r="A103" s="172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80"/>
      <c r="Q103" s="620" t="str">
        <f>SUM(Q2:Q102)</f>
        <v>0</v>
      </c>
      <c r="R103" s="27"/>
      <c r="S103" s="27"/>
      <c r="T103" s="27"/>
      <c r="U103" s="27"/>
      <c r="V103" s="27"/>
    </row>
    <row r="104" spans="1:25">
      <c r="A104" s="172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80"/>
      <c r="Q104" s="285"/>
      <c r="R104" s="27"/>
      <c r="S104" s="27"/>
      <c r="T104" s="27"/>
      <c r="U104" s="27"/>
      <c r="V104" s="27"/>
    </row>
    <row r="105" spans="1:25">
      <c r="A105" s="172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80"/>
      <c r="Q105" s="285"/>
      <c r="R105" s="27"/>
      <c r="S105" s="27"/>
      <c r="T105" s="27"/>
      <c r="U105" s="27"/>
      <c r="V105" s="27"/>
    </row>
    <row r="106" spans="1:25">
      <c r="A106" s="172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80"/>
      <c r="Q106" s="285"/>
      <c r="R106" s="27"/>
      <c r="S106" s="27"/>
      <c r="T106" s="27"/>
      <c r="U106" s="27"/>
      <c r="V106" s="27"/>
    </row>
    <row r="107" spans="1:25">
      <c r="A107" s="172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80"/>
      <c r="Q107" s="285"/>
      <c r="R107" s="27"/>
      <c r="S107" s="27"/>
      <c r="T107" s="27"/>
      <c r="U107" s="27"/>
      <c r="V107" s="27"/>
    </row>
    <row r="108" spans="1:25">
      <c r="A108" s="172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80"/>
      <c r="Q108" s="285"/>
      <c r="R108" s="27"/>
      <c r="S108" s="27"/>
      <c r="T108" s="27"/>
      <c r="U108" s="27"/>
      <c r="V108" s="27"/>
    </row>
    <row r="109" spans="1:25">
      <c r="A109" s="172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80"/>
      <c r="Q109" s="285"/>
      <c r="R109" s="27"/>
      <c r="S109" s="27"/>
      <c r="T109" s="27"/>
      <c r="U109" s="27"/>
      <c r="V109" s="27"/>
    </row>
    <row r="110" spans="1:25">
      <c r="A110" s="172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80"/>
      <c r="Q110" s="285"/>
      <c r="R110" s="27"/>
      <c r="S110" s="27"/>
      <c r="T110" s="27"/>
      <c r="U110" s="27"/>
      <c r="V110" s="27"/>
    </row>
    <row r="111" spans="1:25">
      <c r="A111" s="172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80"/>
      <c r="Q111" s="285"/>
      <c r="R111" s="27"/>
      <c r="S111" s="27"/>
      <c r="T111" s="27"/>
      <c r="U111" s="27"/>
      <c r="V111" s="27"/>
    </row>
    <row r="112" spans="1:25">
      <c r="A112" s="172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80"/>
      <c r="Q112" s="285"/>
      <c r="R112" s="27"/>
      <c r="S112" s="27"/>
      <c r="T112" s="27"/>
      <c r="U112" s="27"/>
      <c r="V112" s="27"/>
    </row>
    <row r="113" spans="1:25">
      <c r="A113" s="172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80"/>
      <c r="Q113" s="285"/>
      <c r="R113" s="27"/>
      <c r="S113" s="27"/>
      <c r="T113" s="27"/>
      <c r="U113" s="27"/>
      <c r="V113" s="27"/>
    </row>
    <row r="114" spans="1:25">
      <c r="A114" s="172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80"/>
      <c r="Q114" s="285"/>
      <c r="R114" s="27"/>
      <c r="S114" s="27"/>
      <c r="T114" s="27"/>
      <c r="U114" s="27"/>
      <c r="V114" s="27"/>
    </row>
    <row r="115" spans="1:25">
      <c r="A115" s="172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80"/>
      <c r="Q115" s="285"/>
      <c r="R115" s="27"/>
      <c r="S115" s="27"/>
      <c r="T115" s="27"/>
      <c r="U115" s="27"/>
      <c r="V115" s="27"/>
    </row>
    <row r="116" spans="1:25">
      <c r="A116" s="172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80"/>
      <c r="Q116" s="285"/>
      <c r="R116" s="27"/>
      <c r="S116" s="27"/>
      <c r="T116" s="27"/>
      <c r="U116" s="27"/>
      <c r="V116" s="27"/>
    </row>
    <row r="117" spans="1:25">
      <c r="A117" s="172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80"/>
      <c r="Q117" s="285"/>
      <c r="R117" s="27"/>
      <c r="S117" s="27"/>
      <c r="T117" s="27"/>
      <c r="U117" s="27"/>
      <c r="V117" s="27"/>
    </row>
    <row r="118" spans="1:25">
      <c r="A118" s="172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80"/>
      <c r="Q118" s="285"/>
      <c r="R118" s="27"/>
      <c r="S118" s="27"/>
      <c r="T118" s="27"/>
      <c r="U118" s="27"/>
      <c r="V118" s="27"/>
    </row>
    <row r="119" spans="1:25">
      <c r="A119" s="172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80"/>
      <c r="Q119" s="285"/>
      <c r="R119" s="27"/>
      <c r="S119" s="27"/>
      <c r="T119" s="27"/>
      <c r="U119" s="27"/>
      <c r="V119" s="27"/>
    </row>
    <row r="120" spans="1:25">
      <c r="A120" s="172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80"/>
      <c r="Q120" s="285"/>
      <c r="R120" s="27"/>
      <c r="S120" s="27"/>
      <c r="T120" s="27"/>
      <c r="U120" s="27"/>
      <c r="V120" s="27"/>
    </row>
    <row r="121" spans="1:25">
      <c r="A121" s="172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80"/>
      <c r="Q121" s="285"/>
      <c r="R121" s="27"/>
      <c r="S121" s="27"/>
      <c r="T121" s="27"/>
      <c r="U121" s="27"/>
      <c r="V121" s="27"/>
    </row>
    <row r="122" spans="1:25">
      <c r="A122" s="172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80"/>
      <c r="Q122" s="285"/>
      <c r="R122" s="27"/>
      <c r="S122" s="27"/>
      <c r="T122" s="27"/>
      <c r="U122" s="27"/>
      <c r="V122" s="27"/>
    </row>
    <row r="123" spans="1:25">
      <c r="A123" s="172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80"/>
      <c r="Q123" s="285"/>
      <c r="R123" s="27"/>
      <c r="S123" s="27"/>
      <c r="T123" s="27"/>
      <c r="U123" s="27"/>
      <c r="V123" s="27"/>
    </row>
    <row r="124" spans="1:25">
      <c r="A124" s="172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80"/>
      <c r="Q124" s="285"/>
      <c r="R124" s="27"/>
      <c r="S124" s="27"/>
      <c r="T124" s="27"/>
      <c r="U124" s="27"/>
      <c r="V124" s="27"/>
    </row>
    <row r="125" spans="1:25">
      <c r="A125" s="172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80"/>
      <c r="Q125" s="285"/>
      <c r="R125" s="27"/>
      <c r="S125" s="27"/>
      <c r="T125" s="27"/>
      <c r="U125" s="27"/>
      <c r="V125" s="27"/>
    </row>
    <row r="126" spans="1:25">
      <c r="A126" s="172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80"/>
      <c r="Q126" s="285"/>
      <c r="R126" s="27"/>
      <c r="S126" s="27"/>
      <c r="T126" s="27"/>
      <c r="U126" s="27"/>
      <c r="V126" s="27"/>
    </row>
    <row r="127" spans="1:25">
      <c r="A127" s="172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80"/>
      <c r="Q127" s="285"/>
      <c r="R127" s="27"/>
      <c r="S127" s="27"/>
      <c r="T127" s="27"/>
      <c r="U127" s="27"/>
      <c r="V127" s="27"/>
    </row>
    <row r="128" spans="1:25">
      <c r="A128" s="172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80"/>
      <c r="Q128" s="285"/>
      <c r="R128" s="27"/>
      <c r="S128" s="27"/>
      <c r="T128" s="27"/>
      <c r="U128" s="27"/>
      <c r="V128" s="27"/>
    </row>
    <row r="129" spans="1:25">
      <c r="A129" s="172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80"/>
      <c r="Q129" s="285"/>
      <c r="R129" s="27"/>
      <c r="S129" s="27"/>
      <c r="T129" s="27"/>
      <c r="U129" s="27"/>
      <c r="V129" s="27"/>
    </row>
    <row r="130" spans="1:25">
      <c r="A130" s="172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80"/>
      <c r="Q130" s="285"/>
      <c r="R130" s="27"/>
      <c r="S130" s="27"/>
      <c r="T130" s="27"/>
      <c r="U130" s="27"/>
      <c r="V130" s="27"/>
    </row>
    <row r="131" spans="1:25">
      <c r="A131" s="172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80"/>
      <c r="Q131" s="285"/>
      <c r="R131" s="27"/>
      <c r="S131" s="27"/>
      <c r="T131" s="27"/>
      <c r="U131" s="27"/>
      <c r="V131" s="27"/>
    </row>
    <row r="132" spans="1:25">
      <c r="A132" s="172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80"/>
      <c r="Q132" s="285"/>
      <c r="R132" s="27"/>
      <c r="S132" s="27"/>
      <c r="T132" s="27"/>
      <c r="U132" s="27"/>
      <c r="V132" s="27"/>
    </row>
    <row r="133" spans="1:25">
      <c r="A133" s="172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80"/>
      <c r="Q133" s="285"/>
      <c r="R133" s="27"/>
      <c r="S133" s="27"/>
      <c r="T133" s="27"/>
      <c r="U133" s="27"/>
      <c r="V133" s="27"/>
    </row>
    <row r="134" spans="1:25">
      <c r="A134" s="172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80"/>
      <c r="Q134" s="285"/>
      <c r="R134" s="27"/>
      <c r="S134" s="27"/>
      <c r="T134" s="27"/>
      <c r="U134" s="27"/>
      <c r="V134" s="27"/>
    </row>
    <row r="135" spans="1:25">
      <c r="A135" s="172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80"/>
      <c r="Q135" s="285"/>
      <c r="R135" s="27"/>
      <c r="S135" s="27"/>
      <c r="T135" s="27"/>
      <c r="U135" s="27"/>
      <c r="V135" s="27"/>
    </row>
    <row r="136" spans="1:25">
      <c r="A136" s="172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80"/>
      <c r="Q136" s="285"/>
      <c r="R136" s="27"/>
      <c r="S136" s="27"/>
      <c r="T136" s="27"/>
      <c r="U136" s="27"/>
      <c r="V136" s="27"/>
    </row>
    <row r="137" spans="1:25">
      <c r="A137" s="172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80"/>
      <c r="Q137" s="285"/>
      <c r="R137" s="27"/>
      <c r="S137" s="27"/>
      <c r="T137" s="27"/>
      <c r="U137" s="27"/>
      <c r="V137" s="27"/>
    </row>
    <row r="138" spans="1:25">
      <c r="A138" s="172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80"/>
      <c r="Q138" s="285"/>
      <c r="R138" s="27"/>
      <c r="S138" s="27"/>
      <c r="T138" s="27"/>
      <c r="U138" s="27"/>
      <c r="V138" s="27"/>
    </row>
    <row r="139" spans="1:25">
      <c r="A139" s="172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80"/>
      <c r="Q139" s="285"/>
      <c r="R139" s="27"/>
      <c r="S139" s="27"/>
      <c r="T139" s="27"/>
      <c r="U139" s="27"/>
      <c r="V139" s="27"/>
    </row>
    <row r="140" spans="1:25">
      <c r="A140" s="172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80"/>
      <c r="Q140" s="285"/>
      <c r="R140" s="27"/>
      <c r="S140" s="27"/>
      <c r="T140" s="27"/>
      <c r="U140" s="27"/>
      <c r="V140" s="27"/>
    </row>
    <row r="141" spans="1:25">
      <c r="A141" s="172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80"/>
      <c r="Q141" s="285"/>
      <c r="R141" s="27"/>
      <c r="S141" s="27"/>
      <c r="T141" s="27"/>
      <c r="U141" s="27"/>
      <c r="V141" s="27"/>
    </row>
    <row r="142" spans="1:25">
      <c r="A142" s="172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80"/>
      <c r="Q142" s="285"/>
      <c r="R142" s="27"/>
      <c r="S142" s="27"/>
      <c r="T142" s="27"/>
      <c r="U142" s="27"/>
      <c r="V142" s="27"/>
    </row>
    <row r="143" spans="1:25">
      <c r="A143" s="172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80"/>
      <c r="Q143" s="285"/>
      <c r="R143" s="27"/>
      <c r="S143" s="27"/>
      <c r="T143" s="27"/>
      <c r="U143" s="27"/>
      <c r="V143" s="27"/>
    </row>
    <row r="144" spans="1:25">
      <c r="A144" s="172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80"/>
      <c r="Q144" s="285"/>
      <c r="R144" s="27"/>
      <c r="S144" s="27"/>
      <c r="T144" s="27"/>
      <c r="U144" s="27"/>
      <c r="V144" s="27"/>
    </row>
    <row r="145" spans="1:25">
      <c r="A145" s="172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80"/>
      <c r="Q145" s="285"/>
      <c r="R145" s="27"/>
      <c r="S145" s="27"/>
      <c r="T145" s="27"/>
      <c r="U145" s="27"/>
      <c r="V145" s="27"/>
    </row>
    <row r="146" spans="1:25">
      <c r="A146" s="172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80"/>
      <c r="Q146" s="285"/>
      <c r="R146" s="27"/>
      <c r="S146" s="27"/>
      <c r="T146" s="27"/>
      <c r="U146" s="27"/>
      <c r="V146" s="27"/>
    </row>
    <row r="147" spans="1:25">
      <c r="A147" s="172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80"/>
      <c r="Q147" s="285"/>
      <c r="R147" s="27"/>
      <c r="S147" s="27"/>
      <c r="T147" s="27"/>
      <c r="U147" s="27"/>
      <c r="V147" s="27"/>
    </row>
    <row r="148" spans="1:25">
      <c r="A148" s="172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80"/>
      <c r="Q148" s="285"/>
      <c r="R148" s="27"/>
      <c r="S148" s="27"/>
      <c r="T148" s="27"/>
      <c r="U148" s="27"/>
      <c r="V148" s="27"/>
    </row>
    <row r="149" spans="1:25">
      <c r="A149" s="172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80"/>
      <c r="Q149" s="285"/>
      <c r="R149" s="27"/>
      <c r="S149" s="27"/>
      <c r="T149" s="27"/>
      <c r="U149" s="27"/>
      <c r="V149" s="27"/>
    </row>
    <row r="150" spans="1:25">
      <c r="A150" s="172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80"/>
      <c r="Q150" s="285"/>
      <c r="R150" s="27"/>
      <c r="S150" s="27"/>
      <c r="T150" s="27"/>
      <c r="U150" s="27"/>
      <c r="V150" s="27"/>
    </row>
    <row r="151" spans="1:25">
      <c r="A151" s="172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80"/>
      <c r="Q151" s="285"/>
      <c r="R151" s="27"/>
      <c r="S151" s="27"/>
      <c r="T151" s="27"/>
      <c r="U151" s="27"/>
      <c r="V151" s="27"/>
    </row>
    <row r="152" spans="1:25">
      <c r="A152" s="172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80"/>
      <c r="Q152" s="285"/>
      <c r="R152" s="27"/>
      <c r="S152" s="27"/>
      <c r="T152" s="27"/>
      <c r="U152" s="27"/>
      <c r="V152" s="27"/>
    </row>
    <row r="153" spans="1:25">
      <c r="A153" s="172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80"/>
      <c r="Q153" s="285"/>
      <c r="R153" s="27"/>
      <c r="S153" s="27"/>
      <c r="T153" s="27"/>
      <c r="U153" s="27"/>
      <c r="V153" s="27"/>
    </row>
    <row r="154" spans="1:25">
      <c r="A154" s="172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80"/>
      <c r="Q154" s="285"/>
      <c r="R154" s="27"/>
      <c r="S154" s="27"/>
      <c r="T154" s="27"/>
      <c r="U154" s="27"/>
      <c r="V154" s="27"/>
    </row>
    <row r="155" spans="1:25">
      <c r="A155" s="172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80"/>
      <c r="Q155" s="285"/>
      <c r="R155" s="27"/>
      <c r="S155" s="27"/>
      <c r="T155" s="27"/>
      <c r="U155" s="27"/>
      <c r="V155" s="27"/>
    </row>
    <row r="156" spans="1:25">
      <c r="A156" s="172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80"/>
      <c r="Q156" s="285"/>
      <c r="R156" s="27"/>
      <c r="S156" s="27"/>
      <c r="T156" s="27"/>
      <c r="U156" s="27"/>
      <c r="V156" s="27"/>
    </row>
    <row r="157" spans="1:25">
      <c r="A157" s="172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80"/>
      <c r="Q157" s="285"/>
      <c r="R157" s="27"/>
      <c r="S157" s="27"/>
      <c r="T157" s="27"/>
      <c r="U157" s="27"/>
      <c r="V157" s="27"/>
    </row>
    <row r="158" spans="1:25">
      <c r="A158" s="172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80"/>
      <c r="Q158" s="285"/>
      <c r="R158" s="27"/>
      <c r="S158" s="27"/>
      <c r="T158" s="27"/>
      <c r="U158" s="27"/>
      <c r="V158" s="27"/>
    </row>
    <row r="159" spans="1:25">
      <c r="A159" s="172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80"/>
      <c r="Q159" s="285"/>
      <c r="R159" s="27"/>
      <c r="S159" s="27"/>
      <c r="T159" s="27"/>
      <c r="U159" s="27"/>
      <c r="V159" s="27"/>
    </row>
    <row r="160" spans="1:25">
      <c r="A160" s="172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80"/>
      <c r="Q160" s="285"/>
      <c r="R160" s="27"/>
      <c r="S160" s="27"/>
      <c r="T160" s="27"/>
      <c r="U160" s="27"/>
      <c r="V160" s="27"/>
    </row>
    <row r="161" spans="1:25">
      <c r="A161" s="172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80"/>
      <c r="Q161" s="285"/>
      <c r="R161" s="27"/>
      <c r="S161" s="27"/>
      <c r="T161" s="27"/>
      <c r="U161" s="27"/>
      <c r="V161" s="27"/>
    </row>
    <row r="162" spans="1:25">
      <c r="A162" s="172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80"/>
      <c r="Q162" s="285"/>
      <c r="R162" s="27"/>
      <c r="S162" s="27"/>
      <c r="T162" s="27"/>
      <c r="U162" s="27"/>
      <c r="V162" s="27"/>
    </row>
    <row r="163" spans="1:25">
      <c r="A163" s="172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80"/>
      <c r="Q163" s="285"/>
      <c r="R163" s="27"/>
      <c r="S163" s="27"/>
      <c r="T163" s="27"/>
      <c r="U163" s="27"/>
      <c r="V163" s="27"/>
    </row>
    <row r="164" spans="1:25">
      <c r="A164" s="172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80"/>
      <c r="Q164" s="285"/>
      <c r="R164" s="27"/>
      <c r="S164" s="27"/>
      <c r="T164" s="27"/>
      <c r="U164" s="27"/>
      <c r="V164" s="27"/>
    </row>
    <row r="165" spans="1:25">
      <c r="A165" s="172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80"/>
      <c r="Q165" s="285"/>
      <c r="R165" s="27"/>
      <c r="S165" s="27"/>
      <c r="T165" s="27"/>
      <c r="U165" s="27"/>
      <c r="V165" s="27"/>
    </row>
    <row r="166" spans="1:25">
      <c r="A166" s="172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80"/>
      <c r="Q166" s="285"/>
      <c r="R166" s="27"/>
      <c r="S166" s="27"/>
      <c r="T166" s="27"/>
      <c r="U166" s="27"/>
      <c r="V166" s="27"/>
    </row>
    <row r="167" spans="1:25">
      <c r="A167" s="172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80"/>
      <c r="Q167" s="285"/>
      <c r="R167" s="27"/>
      <c r="S167" s="27"/>
      <c r="T167" s="27"/>
      <c r="U167" s="27"/>
      <c r="V167" s="27"/>
    </row>
    <row r="168" spans="1:25">
      <c r="A168" s="172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80"/>
      <c r="Q168" s="285"/>
      <c r="R168" s="27"/>
      <c r="S168" s="27"/>
      <c r="T168" s="27"/>
      <c r="U168" s="27"/>
      <c r="V168" s="27"/>
    </row>
    <row r="169" spans="1:25">
      <c r="A169" s="172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80"/>
      <c r="Q169" s="285"/>
      <c r="R169" s="27"/>
      <c r="S169" s="27"/>
      <c r="T169" s="27"/>
      <c r="U169" s="27"/>
      <c r="V169" s="27"/>
    </row>
    <row r="170" spans="1:25">
      <c r="A170" s="172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80"/>
      <c r="Q170" s="285"/>
      <c r="R170" s="27"/>
      <c r="S170" s="27"/>
      <c r="T170" s="27"/>
      <c r="U170" s="27"/>
      <c r="V170" s="27"/>
    </row>
    <row r="171" spans="1:25">
      <c r="A171" s="172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80"/>
      <c r="Q171" s="285"/>
      <c r="R171" s="27"/>
      <c r="S171" s="27"/>
      <c r="T171" s="27"/>
      <c r="U171" s="27"/>
      <c r="V171" s="27"/>
    </row>
    <row r="172" spans="1:25">
      <c r="A172" s="172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80"/>
      <c r="Q172" s="285"/>
      <c r="R172" s="27"/>
      <c r="S172" s="27"/>
      <c r="T172" s="27"/>
      <c r="U172" s="27"/>
      <c r="V172" s="27"/>
    </row>
    <row r="173" spans="1:25">
      <c r="A173" s="172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80"/>
      <c r="Q173" s="285"/>
      <c r="R173" s="27"/>
      <c r="S173" s="27"/>
      <c r="T173" s="27"/>
      <c r="U173" s="27"/>
      <c r="V173" s="27"/>
    </row>
    <row r="174" spans="1:25">
      <c r="A174" s="172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80"/>
      <c r="Q174" s="285"/>
      <c r="R174" s="27"/>
      <c r="S174" s="27"/>
      <c r="T174" s="27"/>
      <c r="U174" s="27"/>
      <c r="V174" s="27"/>
    </row>
    <row r="175" spans="1:25">
      <c r="A175" s="172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80"/>
      <c r="Q175" s="285"/>
      <c r="R175" s="27"/>
      <c r="S175" s="27"/>
      <c r="T175" s="27"/>
      <c r="U175" s="27"/>
      <c r="V175" s="27"/>
    </row>
    <row r="176" spans="1:25">
      <c r="A176" s="172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80"/>
      <c r="Q176" s="285"/>
      <c r="R176" s="27"/>
      <c r="S176" s="27"/>
      <c r="T176" s="27"/>
      <c r="U176" s="27"/>
      <c r="V176" s="27"/>
    </row>
    <row r="177" spans="1:25">
      <c r="A177" s="172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80"/>
      <c r="Q177" s="285"/>
      <c r="R177" s="27"/>
      <c r="S177" s="27"/>
      <c r="T177" s="27"/>
      <c r="U177" s="27"/>
      <c r="V177" s="27"/>
    </row>
    <row r="178" spans="1:25">
      <c r="A178" s="172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80"/>
      <c r="Q178" s="285"/>
      <c r="R178" s="27"/>
      <c r="S178" s="27"/>
      <c r="T178" s="27"/>
      <c r="U178" s="27"/>
      <c r="V178" s="27"/>
    </row>
    <row r="179" spans="1:25">
      <c r="A179" s="172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80"/>
      <c r="Q179" s="285"/>
      <c r="R179" s="27"/>
      <c r="S179" s="27"/>
      <c r="T179" s="27"/>
      <c r="U179" s="27"/>
      <c r="V179" s="27"/>
    </row>
    <row r="180" spans="1:25">
      <c r="A180" s="172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80"/>
      <c r="Q180" s="285"/>
      <c r="R180" s="27"/>
      <c r="S180" s="27"/>
      <c r="T180" s="27"/>
      <c r="U180" s="27"/>
      <c r="V180" s="27"/>
    </row>
    <row r="181" spans="1:25">
      <c r="A181" s="172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80"/>
      <c r="Q181" s="285"/>
      <c r="R181" s="27"/>
      <c r="S181" s="27"/>
      <c r="T181" s="27"/>
      <c r="U181" s="27"/>
      <c r="V181" s="27"/>
    </row>
    <row r="182" spans="1:25">
      <c r="A182" s="172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80"/>
      <c r="Q182" s="285"/>
      <c r="R182" s="27"/>
      <c r="S182" s="27"/>
      <c r="T182" s="27"/>
      <c r="U182" s="27"/>
      <c r="V182" s="27"/>
    </row>
    <row r="183" spans="1:25">
      <c r="A183" s="172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80"/>
      <c r="Q183" s="285"/>
      <c r="R183" s="27"/>
      <c r="S183" s="27"/>
      <c r="T183" s="27"/>
      <c r="U183" s="27"/>
      <c r="V183" s="27"/>
    </row>
    <row r="184" spans="1:25">
      <c r="A184" s="172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80"/>
      <c r="Q184" s="285"/>
      <c r="R184" s="27"/>
      <c r="S184" s="27"/>
      <c r="T184" s="27"/>
      <c r="U184" s="27"/>
      <c r="V184" s="27"/>
    </row>
    <row r="185" spans="1:25">
      <c r="A185" s="172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80"/>
      <c r="Q185" s="285"/>
      <c r="R185" s="27"/>
      <c r="S185" s="27"/>
      <c r="T185" s="27"/>
      <c r="U185" s="27"/>
      <c r="V185" s="27"/>
    </row>
    <row r="186" spans="1:25">
      <c r="A186" s="172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80"/>
      <c r="Q186" s="285"/>
      <c r="R186" s="27"/>
      <c r="S186" s="27"/>
      <c r="T186" s="27"/>
      <c r="U186" s="27"/>
      <c r="V186" s="27"/>
    </row>
    <row r="187" spans="1:25">
      <c r="A187" s="172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80"/>
      <c r="Q187" s="285"/>
      <c r="R187" s="27"/>
      <c r="S187" s="27"/>
      <c r="T187" s="27"/>
      <c r="U187" s="27"/>
      <c r="V187" s="27"/>
    </row>
    <row r="188" spans="1:25">
      <c r="A188" s="172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80"/>
      <c r="Q188" s="285"/>
      <c r="R188" s="27"/>
      <c r="S188" s="27"/>
      <c r="T188" s="27"/>
      <c r="U188" s="27"/>
      <c r="V188" s="27"/>
    </row>
    <row r="189" spans="1:25">
      <c r="A189" s="172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80"/>
      <c r="Q189" s="285"/>
      <c r="R189" s="27"/>
      <c r="S189" s="27"/>
      <c r="T189" s="27"/>
      <c r="U189" s="27"/>
      <c r="V189" s="27"/>
    </row>
    <row r="190" spans="1:25">
      <c r="A190" s="172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80"/>
      <c r="Q190" s="285"/>
      <c r="R190" s="27"/>
      <c r="S190" s="27"/>
      <c r="T190" s="27"/>
      <c r="U190" s="27"/>
      <c r="V190" s="27"/>
    </row>
    <row r="191" spans="1:25">
      <c r="A191" s="172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80"/>
      <c r="Q191" s="285"/>
      <c r="R191" s="27"/>
      <c r="S191" s="27"/>
      <c r="T191" s="27"/>
      <c r="U191" s="27"/>
      <c r="V191" s="27"/>
    </row>
    <row r="192" spans="1:25">
      <c r="A192" s="172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80"/>
      <c r="Q192" s="285"/>
      <c r="R192" s="27"/>
      <c r="S192" s="27"/>
      <c r="T192" s="27"/>
      <c r="U192" s="27"/>
      <c r="V192" s="27"/>
    </row>
    <row r="193" spans="1:25">
      <c r="A193" s="172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80"/>
      <c r="Q193" s="285"/>
      <c r="R193" s="27"/>
      <c r="S193" s="27"/>
      <c r="T193" s="27"/>
      <c r="U193" s="27"/>
      <c r="V193" s="27"/>
    </row>
    <row r="194" spans="1:25">
      <c r="A194" s="172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80"/>
      <c r="Q194" s="285"/>
      <c r="R194" s="27"/>
      <c r="S194" s="27"/>
      <c r="T194" s="27"/>
      <c r="U194" s="27"/>
      <c r="V194" s="27"/>
    </row>
    <row r="195" spans="1:25">
      <c r="A195" s="172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80"/>
      <c r="Q195" s="285"/>
      <c r="R195" s="27"/>
      <c r="S195" s="27"/>
      <c r="T195" s="27"/>
      <c r="U195" s="27"/>
      <c r="V195" s="27"/>
    </row>
    <row r="196" spans="1:25">
      <c r="A196" s="172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80"/>
      <c r="Q196" s="285"/>
      <c r="R196" s="27"/>
      <c r="S196" s="27"/>
      <c r="T196" s="27"/>
      <c r="U196" s="27"/>
      <c r="V196" s="27"/>
    </row>
    <row r="197" spans="1:25">
      <c r="A197" s="172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80"/>
      <c r="Q197" s="285"/>
      <c r="R197" s="27"/>
      <c r="S197" s="27"/>
      <c r="T197" s="27"/>
      <c r="U197" s="27"/>
      <c r="V197" s="27"/>
    </row>
    <row r="198" spans="1:25">
      <c r="A198" s="172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80"/>
      <c r="Q198" s="285"/>
      <c r="R198" s="27"/>
      <c r="S198" s="27"/>
      <c r="T198" s="27"/>
      <c r="U198" s="27"/>
      <c r="V198" s="27"/>
    </row>
    <row r="199" spans="1:25">
      <c r="A199" s="172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80"/>
      <c r="Q199" s="285"/>
      <c r="R199" s="27"/>
      <c r="S199" s="27"/>
      <c r="T199" s="27"/>
      <c r="U199" s="27"/>
      <c r="V199" s="27"/>
    </row>
    <row r="200" spans="1:25">
      <c r="A200" s="172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80"/>
      <c r="Q200" s="285"/>
      <c r="R200" s="27"/>
      <c r="S200" s="27"/>
      <c r="T200" s="27"/>
      <c r="U200" s="27"/>
      <c r="V200" s="27"/>
    </row>
    <row r="201" spans="1:25">
      <c r="A201" s="172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80"/>
      <c r="Q201" s="285"/>
      <c r="R201" s="27"/>
      <c r="S201" s="27"/>
      <c r="T201" s="27"/>
      <c r="U201" s="27"/>
      <c r="V201" s="2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N102"/>
  <hyperlinks>
    <hyperlink ref="A1" location="Seznam!A1"/>
  </hyperlinks>
  <printOptions gridLines="false" gridLinesSet="true"/>
  <pageMargins left="0.7" right="0.7" top="0.787401575" bottom="0.787401575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R237"/>
  <sheetViews>
    <sheetView tabSelected="0" workbookViewId="0" showGridLines="true" showRowColHeaders="1">
      <selection activeCell="A5" sqref="A5"/>
    </sheetView>
  </sheetViews>
  <sheetFormatPr defaultRowHeight="14.4" outlineLevelRow="0" outlineLevelCol="0"/>
  <cols>
    <col min="1" max="1" width="23" customWidth="true" style="0"/>
    <col min="2" max="2" width="22" customWidth="true" style="0"/>
    <col min="3" max="3" width="14.73046875" customWidth="true" style="0"/>
    <col min="4" max="4" width="10.59765625" customWidth="true" style="212"/>
    <col min="5" max="5" width="14.73046875" customWidth="true" style="0"/>
    <col min="6" max="6" width="10.59765625" customWidth="true" style="0"/>
    <col min="7" max="7" width="16.59765625" customWidth="true" style="0"/>
    <col min="8" max="8" width="27" customWidth="true" style="0"/>
    <col min="9" max="9" width="26.59765625" customWidth="true" style="0"/>
  </cols>
  <sheetData>
    <row r="1" spans="1:18" customHeight="1" ht="26.25">
      <c r="A1" s="818" t="str">
        <f>("Hromadné odečty energií k datu 31.12."&amp;'vstupní data'!B12&amp;"")</f>
        <v>0</v>
      </c>
      <c r="B1" s="818"/>
      <c r="C1" s="818"/>
      <c r="D1" s="818"/>
      <c r="E1" s="818"/>
      <c r="F1" s="818"/>
      <c r="G1" s="818"/>
      <c r="H1" s="818"/>
      <c r="I1" s="301"/>
      <c r="Q1" s="301"/>
    </row>
    <row r="2" spans="1:18" customHeight="1" ht="37.5">
      <c r="A2" s="300" t="s">
        <v>635</v>
      </c>
      <c r="B2" s="299"/>
      <c r="C2" s="819" t="s">
        <v>587</v>
      </c>
      <c r="D2" s="820"/>
      <c r="E2" s="821"/>
      <c r="F2" s="822"/>
      <c r="G2" s="300" t="s">
        <v>636</v>
      </c>
      <c r="H2" s="299"/>
      <c r="I2" s="587" t="s">
        <v>60</v>
      </c>
    </row>
    <row r="3" spans="1:18" customHeight="1" ht="15.75">
      <c r="A3" s="300" t="s">
        <v>637</v>
      </c>
      <c r="B3" s="815" t="str">
        <f>'vstupní data'!B3</f>
        <v>0</v>
      </c>
      <c r="C3" s="816"/>
      <c r="D3" s="816"/>
      <c r="E3" s="816"/>
      <c r="F3" s="816"/>
      <c r="G3" s="816"/>
      <c r="H3" s="817"/>
      <c r="Q3" s="153"/>
    </row>
    <row r="4" spans="1:18" customHeight="1" ht="30">
      <c r="A4" s="294" t="s">
        <v>638</v>
      </c>
      <c r="B4" s="294" t="s">
        <v>65</v>
      </c>
      <c r="C4" s="294" t="s">
        <v>639</v>
      </c>
      <c r="D4" s="294" t="s">
        <v>640</v>
      </c>
      <c r="E4" s="294" t="s">
        <v>587</v>
      </c>
      <c r="F4" s="295" t="s">
        <v>641</v>
      </c>
      <c r="G4" s="294" t="s">
        <v>642</v>
      </c>
      <c r="H4" s="296" t="s">
        <v>643</v>
      </c>
      <c r="I4" s="292"/>
    </row>
    <row r="5" spans="1:18" customHeight="1" ht="29.25" s="292" customFormat="1">
      <c r="A5" s="297" t="s">
        <v>337</v>
      </c>
      <c r="B5" s="297" t="s">
        <v>338</v>
      </c>
      <c r="C5" s="297">
        <v>76884887</v>
      </c>
      <c r="D5" s="298" t="s">
        <v>591</v>
      </c>
      <c r="E5" s="297" t="s">
        <v>592</v>
      </c>
      <c r="F5" s="297">
        <v>25.441</v>
      </c>
      <c r="G5" s="297">
        <v>70.832</v>
      </c>
      <c r="H5" s="297"/>
      <c r="Q5" s="292" t="str">
        <f>A5</f>
        <v>0</v>
      </c>
      <c r="R5" s="292" t="str">
        <f>IF(COUNTIF(A$5:A5,A5)=1,MAX(R$4:R4)+1,VLOOKUP(A5,Q$4:R4,2,0))</f>
        <v>0</v>
      </c>
    </row>
    <row r="6" spans="1:18" customHeight="1" ht="29.25" s="292" customFormat="1">
      <c r="A6" s="297" t="s">
        <v>337</v>
      </c>
      <c r="B6" s="297" t="s">
        <v>338</v>
      </c>
      <c r="C6" s="297">
        <v>77028346</v>
      </c>
      <c r="D6" s="298" t="s">
        <v>626</v>
      </c>
      <c r="E6" s="297" t="s">
        <v>592</v>
      </c>
      <c r="F6" s="297">
        <v>31.388</v>
      </c>
      <c r="G6" s="297">
        <v>55.517</v>
      </c>
      <c r="H6" s="297"/>
      <c r="Q6" s="292" t="str">
        <f>A6</f>
        <v>0</v>
      </c>
      <c r="R6" s="292" t="str">
        <f>IF(COUNTIF(A$5:A6,A6)=1,MAX(R$4:R5)+1,VLOOKUP(A6,Q$4:R5,2,0))</f>
        <v>0</v>
      </c>
    </row>
    <row r="7" spans="1:18" customHeight="1" ht="29.25" s="292" customFormat="1">
      <c r="A7" s="297" t="s">
        <v>337</v>
      </c>
      <c r="B7" s="297" t="s">
        <v>338</v>
      </c>
      <c r="C7" s="297">
        <v>19544718</v>
      </c>
      <c r="D7" s="298" t="s">
        <v>115</v>
      </c>
      <c r="E7" s="297" t="s">
        <v>627</v>
      </c>
      <c r="F7" s="297">
        <v>22.685</v>
      </c>
      <c r="G7" s="297">
        <v>29.035</v>
      </c>
      <c r="H7" s="297"/>
      <c r="Q7" s="292" t="str">
        <f>A7</f>
        <v>0</v>
      </c>
      <c r="R7" s="292" t="str">
        <f>IF(COUNTIF(A$5:A7,A7)=1,MAX(R$4:R6)+1,VLOOKUP(A7,Q$4:R6,2,0))</f>
        <v>0</v>
      </c>
    </row>
    <row r="8" spans="1:18" customHeight="1" ht="29.25" s="292" customFormat="1">
      <c r="A8" s="297" t="s">
        <v>346</v>
      </c>
      <c r="B8" s="297" t="s">
        <v>558</v>
      </c>
      <c r="C8" s="297">
        <v>76884887</v>
      </c>
      <c r="D8" s="298" t="s">
        <v>591</v>
      </c>
      <c r="E8" s="297" t="s">
        <v>594</v>
      </c>
      <c r="F8" s="297">
        <v>17.568</v>
      </c>
      <c r="G8" s="297">
        <v>25.441</v>
      </c>
      <c r="H8" s="297"/>
      <c r="Q8" s="292" t="str">
        <f>A8</f>
        <v>0</v>
      </c>
      <c r="R8" s="292" t="str">
        <f>IF(COUNTIF(A$5:A8,A8)=1,MAX(R$4:R7)+1,VLOOKUP(A8,Q$4:R7,2,0))</f>
        <v>0</v>
      </c>
    </row>
    <row r="9" spans="1:18" customHeight="1" ht="29.25" s="292" customFormat="1">
      <c r="A9" s="297" t="s">
        <v>346</v>
      </c>
      <c r="B9" s="297" t="s">
        <v>558</v>
      </c>
      <c r="C9" s="297">
        <v>77028346</v>
      </c>
      <c r="D9" s="298" t="s">
        <v>626</v>
      </c>
      <c r="E9" s="297" t="s">
        <v>594</v>
      </c>
      <c r="F9" s="297">
        <v>22.2</v>
      </c>
      <c r="G9" s="297">
        <v>31.388</v>
      </c>
      <c r="H9" s="297"/>
      <c r="I9" s="293"/>
      <c r="Q9" s="292" t="str">
        <f>A9</f>
        <v>0</v>
      </c>
      <c r="R9" s="292" t="str">
        <f>IF(COUNTIF(A$5:A9,A9)=1,MAX(R$4:R8)+1,VLOOKUP(A9,Q$4:R8,2,0))</f>
        <v>0</v>
      </c>
    </row>
    <row r="10" spans="1:18" customHeight="1" ht="29.25" s="292" customFormat="1">
      <c r="A10" s="297" t="s">
        <v>346</v>
      </c>
      <c r="B10" s="297" t="s">
        <v>558</v>
      </c>
      <c r="C10" s="297">
        <v>19544718</v>
      </c>
      <c r="D10" s="298" t="s">
        <v>115</v>
      </c>
      <c r="E10" s="297" t="s">
        <v>627</v>
      </c>
      <c r="F10" s="297">
        <v>17.66</v>
      </c>
      <c r="G10" s="297">
        <v>22.685</v>
      </c>
      <c r="H10" s="297"/>
      <c r="Q10" s="292" t="str">
        <f>A10</f>
        <v>0</v>
      </c>
      <c r="R10" s="292" t="str">
        <f>IF(COUNTIF(A$5:A10,A10)=1,MAX(R$4:R9)+1,VLOOKUP(A10,Q$4:R9,2,0))</f>
        <v>0</v>
      </c>
    </row>
    <row r="11" spans="1:18" customHeight="1" ht="29.25" s="292" customFormat="1">
      <c r="A11" s="297" t="s">
        <v>353</v>
      </c>
      <c r="B11" s="297" t="s">
        <v>354</v>
      </c>
      <c r="C11" s="297">
        <v>76888144</v>
      </c>
      <c r="D11" s="298" t="s">
        <v>591</v>
      </c>
      <c r="E11" s="297" t="s">
        <v>596</v>
      </c>
      <c r="F11" s="297">
        <v>8.789</v>
      </c>
      <c r="G11" s="297">
        <v>14.432</v>
      </c>
      <c r="H11" s="297"/>
      <c r="Q11" s="292" t="str">
        <f>A11</f>
        <v>0</v>
      </c>
      <c r="R11" s="292" t="str">
        <f>IF(COUNTIF(A$5:A11,A11)=1,MAX(R$4:R10)+1,VLOOKUP(A11,Q$4:R10,2,0))</f>
        <v>0</v>
      </c>
    </row>
    <row r="12" spans="1:18" customHeight="1" ht="29.25" s="292" customFormat="1">
      <c r="A12" s="297" t="s">
        <v>353</v>
      </c>
      <c r="B12" s="297" t="s">
        <v>354</v>
      </c>
      <c r="C12" s="297">
        <v>77028403</v>
      </c>
      <c r="D12" s="298" t="s">
        <v>626</v>
      </c>
      <c r="E12" s="297" t="s">
        <v>596</v>
      </c>
      <c r="F12" s="297">
        <v>14.824</v>
      </c>
      <c r="G12" s="297">
        <v>25.573</v>
      </c>
      <c r="H12" s="297"/>
      <c r="Q12" s="292" t="str">
        <f>A12</f>
        <v>0</v>
      </c>
      <c r="R12" s="292" t="str">
        <f>IF(COUNTIF(A$5:A12,A12)=1,MAX(R$4:R11)+1,VLOOKUP(A12,Q$4:R11,2,0))</f>
        <v>0</v>
      </c>
    </row>
    <row r="13" spans="1:18" customHeight="1" ht="29.25" s="292" customFormat="1">
      <c r="A13" s="297" t="s">
        <v>353</v>
      </c>
      <c r="B13" s="297" t="s">
        <v>354</v>
      </c>
      <c r="C13" s="297">
        <v>19544711</v>
      </c>
      <c r="D13" s="298" t="s">
        <v>115</v>
      </c>
      <c r="E13" s="297" t="s">
        <v>627</v>
      </c>
      <c r="F13" s="297">
        <v>1.29</v>
      </c>
      <c r="G13" s="297">
        <v>2.507</v>
      </c>
      <c r="H13" s="297"/>
      <c r="Q13" s="292" t="str">
        <f>A13</f>
        <v>0</v>
      </c>
      <c r="R13" s="292" t="str">
        <f>IF(COUNTIF(A$5:A13,A13)=1,MAX(R$4:R12)+1,VLOOKUP(A13,Q$4:R12,2,0))</f>
        <v>0</v>
      </c>
    </row>
    <row r="14" spans="1:18" customHeight="1" ht="29.25" s="292" customFormat="1">
      <c r="A14" s="297" t="s">
        <v>359</v>
      </c>
      <c r="B14" s="297" t="s">
        <v>559</v>
      </c>
      <c r="C14" s="297">
        <v>76884839</v>
      </c>
      <c r="D14" s="298" t="s">
        <v>591</v>
      </c>
      <c r="E14" s="297" t="s">
        <v>598</v>
      </c>
      <c r="F14" s="297">
        <v>28.354</v>
      </c>
      <c r="G14" s="297">
        <v>35.474</v>
      </c>
      <c r="H14" s="297"/>
      <c r="Q14" s="292" t="str">
        <f>A14</f>
        <v>0</v>
      </c>
      <c r="R14" s="292" t="str">
        <f>IF(COUNTIF(A$5:A14,A14)=1,MAX(R$4:R13)+1,VLOOKUP(A14,Q$4:R13,2,0))</f>
        <v>0</v>
      </c>
    </row>
    <row r="15" spans="1:18" customHeight="1" ht="29.25" s="292" customFormat="1">
      <c r="A15" s="297" t="s">
        <v>359</v>
      </c>
      <c r="B15" s="297" t="s">
        <v>559</v>
      </c>
      <c r="C15" s="297">
        <v>77028292</v>
      </c>
      <c r="D15" s="298" t="s">
        <v>626</v>
      </c>
      <c r="E15" s="297" t="s">
        <v>598</v>
      </c>
      <c r="F15" s="297">
        <v>46.613</v>
      </c>
      <c r="G15" s="297">
        <v>61.622</v>
      </c>
      <c r="H15" s="297"/>
      <c r="Q15" s="292" t="str">
        <f>A15</f>
        <v>0</v>
      </c>
      <c r="R15" s="292" t="str">
        <f>IF(COUNTIF(A$5:A15,A15)=1,MAX(R$4:R14)+1,VLOOKUP(A15,Q$4:R14,2,0))</f>
        <v>0</v>
      </c>
    </row>
    <row r="16" spans="1:18" customHeight="1" ht="29.25" s="292" customFormat="1">
      <c r="A16" s="297" t="s">
        <v>359</v>
      </c>
      <c r="B16" s="297" t="s">
        <v>559</v>
      </c>
      <c r="C16" s="297">
        <v>19544608</v>
      </c>
      <c r="D16" s="298" t="s">
        <v>115</v>
      </c>
      <c r="E16" s="297" t="s">
        <v>627</v>
      </c>
      <c r="F16" s="297">
        <v>5.786</v>
      </c>
      <c r="G16" s="297">
        <v>8.572</v>
      </c>
      <c r="H16" s="297"/>
      <c r="Q16" s="292" t="str">
        <f>A16</f>
        <v>0</v>
      </c>
      <c r="R16" s="292" t="str">
        <f>IF(COUNTIF(A$5:A16,A16)=1,MAX(R$4:R15)+1,VLOOKUP(A16,Q$4:R15,2,0))</f>
        <v>0</v>
      </c>
    </row>
    <row r="17" spans="1:18" customHeight="1" ht="29.25" s="292" customFormat="1">
      <c r="A17" s="297" t="s">
        <v>365</v>
      </c>
      <c r="B17" s="297" t="s">
        <v>560</v>
      </c>
      <c r="C17" s="297">
        <v>76884863</v>
      </c>
      <c r="D17" s="298" t="s">
        <v>591</v>
      </c>
      <c r="E17" s="297" t="s">
        <v>596</v>
      </c>
      <c r="F17" s="297">
        <v>23.421</v>
      </c>
      <c r="G17" s="297">
        <v>45.701</v>
      </c>
      <c r="H17" s="297"/>
      <c r="Q17" s="292" t="str">
        <f>A17</f>
        <v>0</v>
      </c>
      <c r="R17" s="292" t="str">
        <f>IF(COUNTIF(A$5:A17,A17)=1,MAX(R$4:R16)+1,VLOOKUP(A17,Q$4:R16,2,0))</f>
        <v>0</v>
      </c>
    </row>
    <row r="18" spans="1:18" customHeight="1" ht="29.25" s="292" customFormat="1">
      <c r="A18" s="297" t="s">
        <v>365</v>
      </c>
      <c r="B18" s="297" t="s">
        <v>560</v>
      </c>
      <c r="C18" s="297">
        <v>77029087</v>
      </c>
      <c r="D18" s="298" t="s">
        <v>626</v>
      </c>
      <c r="E18" s="297" t="s">
        <v>596</v>
      </c>
      <c r="F18" s="297">
        <v>98.756</v>
      </c>
      <c r="G18" s="297">
        <v>175.528</v>
      </c>
      <c r="H18" s="297"/>
      <c r="Q18" s="292" t="str">
        <f>A18</f>
        <v>0</v>
      </c>
      <c r="R18" s="292" t="str">
        <f>IF(COUNTIF(A$5:A18,A18)=1,MAX(R$4:R17)+1,VLOOKUP(A18,Q$4:R17,2,0))</f>
        <v>0</v>
      </c>
    </row>
    <row r="19" spans="1:18" customHeight="1" ht="29.25" s="292" customFormat="1">
      <c r="A19" s="297" t="s">
        <v>365</v>
      </c>
      <c r="B19" s="297" t="s">
        <v>560</v>
      </c>
      <c r="C19" s="297">
        <v>19544630</v>
      </c>
      <c r="D19" s="298" t="s">
        <v>115</v>
      </c>
      <c r="E19" s="297" t="s">
        <v>627</v>
      </c>
      <c r="F19" s="297">
        <v>5.054</v>
      </c>
      <c r="G19" s="297">
        <v>9.876</v>
      </c>
      <c r="H19" s="297"/>
      <c r="Q19" s="292" t="str">
        <f>A19</f>
        <v>0</v>
      </c>
      <c r="R19" s="292" t="str">
        <f>IF(COUNTIF(A$5:A19,A19)=1,MAX(R$4:R18)+1,VLOOKUP(A19,Q$4:R18,2,0))</f>
        <v>0</v>
      </c>
    </row>
    <row r="20" spans="1:18" customHeight="1" ht="29.25" s="292" customFormat="1">
      <c r="A20" s="297" t="s">
        <v>371</v>
      </c>
      <c r="B20" s="297" t="s">
        <v>372</v>
      </c>
      <c r="C20" s="297">
        <v>76884913</v>
      </c>
      <c r="D20" s="298" t="s">
        <v>591</v>
      </c>
      <c r="E20" s="297" t="s">
        <v>601</v>
      </c>
      <c r="F20" s="297">
        <v>11.034</v>
      </c>
      <c r="G20" s="297">
        <v>17.345</v>
      </c>
      <c r="H20" s="297"/>
      <c r="Q20" s="292" t="str">
        <f>A20</f>
        <v>0</v>
      </c>
      <c r="R20" s="292" t="str">
        <f>IF(COUNTIF(A$5:A20,A20)=1,MAX(R$4:R19)+1,VLOOKUP(A20,Q$4:R19,2,0))</f>
        <v>0</v>
      </c>
    </row>
    <row r="21" spans="1:18" customHeight="1" ht="29.25" s="292" customFormat="1">
      <c r="A21" s="297" t="s">
        <v>371</v>
      </c>
      <c r="B21" s="297" t="s">
        <v>372</v>
      </c>
      <c r="C21" s="297">
        <v>77029088</v>
      </c>
      <c r="D21" s="298" t="s">
        <v>626</v>
      </c>
      <c r="E21" s="297" t="s">
        <v>601</v>
      </c>
      <c r="F21" s="297">
        <v>86.755</v>
      </c>
      <c r="G21" s="297">
        <v>123.869</v>
      </c>
      <c r="H21" s="297"/>
      <c r="Q21" s="292" t="str">
        <f>A21</f>
        <v>0</v>
      </c>
      <c r="R21" s="292" t="str">
        <f>IF(COUNTIF(A$5:A21,A21)=1,MAX(R$4:R20)+1,VLOOKUP(A21,Q$4:R20,2,0))</f>
        <v>0</v>
      </c>
    </row>
    <row r="22" spans="1:18" customHeight="1" ht="29.25" s="292" customFormat="1">
      <c r="A22" s="297" t="s">
        <v>371</v>
      </c>
      <c r="B22" s="297" t="s">
        <v>372</v>
      </c>
      <c r="C22" s="297">
        <v>19544714</v>
      </c>
      <c r="D22" s="298" t="s">
        <v>115</v>
      </c>
      <c r="E22" s="297" t="s">
        <v>627</v>
      </c>
      <c r="F22" s="297">
        <v>7.663</v>
      </c>
      <c r="G22" s="297">
        <v>15.992</v>
      </c>
      <c r="H22" s="297"/>
      <c r="Q22" s="292" t="str">
        <f>A22</f>
        <v>0</v>
      </c>
      <c r="R22" s="292" t="str">
        <f>IF(COUNTIF(A$5:A22,A22)=1,MAX(R$4:R21)+1,VLOOKUP(A22,Q$4:R21,2,0))</f>
        <v>0</v>
      </c>
    </row>
    <row r="23" spans="1:18" customHeight="1" ht="29.25" s="292" customFormat="1">
      <c r="A23" s="297" t="s">
        <v>377</v>
      </c>
      <c r="B23" s="297" t="s">
        <v>354</v>
      </c>
      <c r="C23" s="297">
        <v>76884844</v>
      </c>
      <c r="D23" s="298" t="s">
        <v>591</v>
      </c>
      <c r="E23" s="297" t="s">
        <v>603</v>
      </c>
      <c r="F23" s="297">
        <v>1.74</v>
      </c>
      <c r="G23" s="297">
        <v>5.143</v>
      </c>
      <c r="H23" s="297"/>
      <c r="Q23" s="292" t="str">
        <f>A23</f>
        <v>0</v>
      </c>
      <c r="R23" s="292" t="str">
        <f>IF(COUNTIF(A$5:A23,A23)=1,MAX(R$4:R22)+1,VLOOKUP(A23,Q$4:R22,2,0))</f>
        <v>0</v>
      </c>
    </row>
    <row r="24" spans="1:18" customHeight="1" ht="29.25" s="292" customFormat="1">
      <c r="A24" s="297" t="s">
        <v>377</v>
      </c>
      <c r="B24" s="297" t="s">
        <v>354</v>
      </c>
      <c r="C24" s="297">
        <v>77029055</v>
      </c>
      <c r="D24" s="298" t="s">
        <v>626</v>
      </c>
      <c r="E24" s="297" t="s">
        <v>603</v>
      </c>
      <c r="F24" s="297">
        <v>18.67</v>
      </c>
      <c r="G24" s="297">
        <v>35.582</v>
      </c>
      <c r="H24" s="297"/>
      <c r="Q24" s="292" t="str">
        <f>A24</f>
        <v>0</v>
      </c>
      <c r="R24" s="292" t="str">
        <f>IF(COUNTIF(A$5:A24,A24)=1,MAX(R$4:R23)+1,VLOOKUP(A24,Q$4:R23,2,0))</f>
        <v>0</v>
      </c>
    </row>
    <row r="25" spans="1:18" customHeight="1" ht="29.25" s="292" customFormat="1">
      <c r="A25" s="297" t="s">
        <v>377</v>
      </c>
      <c r="B25" s="297" t="s">
        <v>354</v>
      </c>
      <c r="C25" s="297">
        <v>19544604</v>
      </c>
      <c r="D25" s="298" t="s">
        <v>115</v>
      </c>
      <c r="E25" s="297" t="s">
        <v>627</v>
      </c>
      <c r="F25" s="297">
        <v>0.438</v>
      </c>
      <c r="G25" s="297">
        <v>2.617</v>
      </c>
      <c r="H25" s="297"/>
      <c r="Q25" s="292" t="str">
        <f>A25</f>
        <v>0</v>
      </c>
      <c r="R25" s="292" t="str">
        <f>IF(COUNTIF(A$5:A25,A25)=1,MAX(R$4:R24)+1,VLOOKUP(A25,Q$4:R24,2,0))</f>
        <v>0</v>
      </c>
    </row>
    <row r="26" spans="1:18" customHeight="1" ht="29.25" s="292" customFormat="1">
      <c r="A26" s="297" t="s">
        <v>379</v>
      </c>
      <c r="B26" s="297" t="s">
        <v>380</v>
      </c>
      <c r="C26" s="297">
        <v>77050479</v>
      </c>
      <c r="D26" s="298" t="s">
        <v>591</v>
      </c>
      <c r="E26" s="297" t="s">
        <v>596</v>
      </c>
      <c r="F26" s="297">
        <v>38.538</v>
      </c>
      <c r="G26" s="297">
        <v>63.644</v>
      </c>
      <c r="H26" s="297"/>
      <c r="Q26" s="292" t="str">
        <f>A26</f>
        <v>0</v>
      </c>
      <c r="R26" s="292" t="str">
        <f>IF(COUNTIF(A$5:A26,A26)=1,MAX(R$4:R25)+1,VLOOKUP(A26,Q$4:R25,2,0))</f>
        <v>0</v>
      </c>
    </row>
    <row r="27" spans="1:18" customHeight="1" ht="29.25" s="292" customFormat="1">
      <c r="A27" s="297" t="s">
        <v>379</v>
      </c>
      <c r="B27" s="297" t="s">
        <v>380</v>
      </c>
      <c r="C27" s="297">
        <v>77050425</v>
      </c>
      <c r="D27" s="298" t="s">
        <v>626</v>
      </c>
      <c r="E27" s="297" t="s">
        <v>596</v>
      </c>
      <c r="F27" s="297">
        <v>68.501</v>
      </c>
      <c r="G27" s="297">
        <v>111.253</v>
      </c>
      <c r="H27" s="297"/>
      <c r="Q27" s="292" t="str">
        <f>A27</f>
        <v>0</v>
      </c>
      <c r="R27" s="292" t="str">
        <f>IF(COUNTIF(A$5:A27,A27)=1,MAX(R$4:R26)+1,VLOOKUP(A27,Q$4:R26,2,0))</f>
        <v>0</v>
      </c>
    </row>
    <row r="28" spans="1:18" customHeight="1" ht="29.25" s="292" customFormat="1">
      <c r="A28" s="297" t="s">
        <v>379</v>
      </c>
      <c r="B28" s="297" t="s">
        <v>380</v>
      </c>
      <c r="C28" s="297">
        <v>28982833</v>
      </c>
      <c r="D28" s="298" t="s">
        <v>115</v>
      </c>
      <c r="E28" s="297" t="s">
        <v>627</v>
      </c>
      <c r="F28" s="297">
        <v>34.642</v>
      </c>
      <c r="G28" s="297">
        <v>53.664</v>
      </c>
      <c r="H28" s="297"/>
      <c r="Q28" s="292" t="str">
        <f>A28</f>
        <v>0</v>
      </c>
      <c r="R28" s="292" t="str">
        <f>IF(COUNTIF(A$5:A28,A28)=1,MAX(R$4:R27)+1,VLOOKUP(A28,Q$4:R27,2,0))</f>
        <v>0</v>
      </c>
    </row>
    <row r="29" spans="1:18" customHeight="1" ht="29.25" s="292" customFormat="1">
      <c r="A29" s="297" t="s">
        <v>385</v>
      </c>
      <c r="B29" s="297" t="s">
        <v>386</v>
      </c>
      <c r="C29" s="297">
        <v>76888101</v>
      </c>
      <c r="D29" s="298" t="s">
        <v>591</v>
      </c>
      <c r="E29" s="297" t="s">
        <v>606</v>
      </c>
      <c r="F29" s="297">
        <v>54.254</v>
      </c>
      <c r="G29" s="297">
        <v>102.97</v>
      </c>
      <c r="H29" s="297"/>
      <c r="Q29" s="292" t="str">
        <f>A29</f>
        <v>0</v>
      </c>
      <c r="R29" s="292" t="str">
        <f>IF(COUNTIF(A$5:A29,A29)=1,MAX(R$4:R28)+1,VLOOKUP(A29,Q$4:R28,2,0))</f>
        <v>0</v>
      </c>
    </row>
    <row r="30" spans="1:18" customHeight="1" ht="29.25" s="292" customFormat="1">
      <c r="A30" s="297" t="s">
        <v>385</v>
      </c>
      <c r="B30" s="297" t="s">
        <v>386</v>
      </c>
      <c r="C30" s="297">
        <v>77028353</v>
      </c>
      <c r="D30" s="298" t="s">
        <v>626</v>
      </c>
      <c r="E30" s="297" t="s">
        <v>606</v>
      </c>
      <c r="F30" s="297">
        <v>130.774</v>
      </c>
      <c r="G30" s="297">
        <v>230.899</v>
      </c>
      <c r="H30" s="297"/>
      <c r="Q30" s="292" t="str">
        <f>A30</f>
        <v>0</v>
      </c>
      <c r="R30" s="292" t="str">
        <f>IF(COUNTIF(A$5:A30,A30)=1,MAX(R$4:R29)+1,VLOOKUP(A30,Q$4:R29,2,0))</f>
        <v>0</v>
      </c>
    </row>
    <row r="31" spans="1:18" customHeight="1" ht="29.25" s="292" customFormat="1">
      <c r="A31" s="297" t="s">
        <v>385</v>
      </c>
      <c r="B31" s="297" t="s">
        <v>386</v>
      </c>
      <c r="C31" s="297">
        <v>19544715</v>
      </c>
      <c r="D31" s="298" t="s">
        <v>115</v>
      </c>
      <c r="E31" s="297" t="s">
        <v>627</v>
      </c>
      <c r="F31" s="297">
        <v>11.546</v>
      </c>
      <c r="G31" s="297">
        <v>21.191</v>
      </c>
      <c r="H31" s="297"/>
      <c r="Q31" s="292" t="str">
        <f>A31</f>
        <v>0</v>
      </c>
      <c r="R31" s="292" t="str">
        <f>IF(COUNTIF(A$5:A31,A31)=1,MAX(R$4:R30)+1,VLOOKUP(A31,Q$4:R30,2,0))</f>
        <v>0</v>
      </c>
    </row>
    <row r="32" spans="1:18" customHeight="1" ht="29.25" s="292" customFormat="1">
      <c r="A32" s="297" t="s">
        <v>391</v>
      </c>
      <c r="B32" s="297" t="s">
        <v>392</v>
      </c>
      <c r="C32" s="297">
        <v>76884866</v>
      </c>
      <c r="D32" s="298" t="s">
        <v>591</v>
      </c>
      <c r="E32" s="297" t="s">
        <v>603</v>
      </c>
      <c r="F32" s="297">
        <v>1.494</v>
      </c>
      <c r="G32" s="297">
        <v>2.507</v>
      </c>
      <c r="H32" s="297"/>
      <c r="Q32" s="292" t="str">
        <f>A32</f>
        <v>0</v>
      </c>
      <c r="R32" s="292" t="str">
        <f>IF(COUNTIF(A$5:A32,A32)=1,MAX(R$4:R31)+1,VLOOKUP(A32,Q$4:R31,2,0))</f>
        <v>0</v>
      </c>
    </row>
    <row r="33" spans="1:18" customHeight="1" ht="29.25" s="292" customFormat="1">
      <c r="A33" s="297" t="s">
        <v>391</v>
      </c>
      <c r="B33" s="297" t="s">
        <v>392</v>
      </c>
      <c r="C33" s="297">
        <v>77029071</v>
      </c>
      <c r="D33" s="298" t="s">
        <v>626</v>
      </c>
      <c r="E33" s="297" t="s">
        <v>603</v>
      </c>
      <c r="F33" s="297">
        <v>2.007</v>
      </c>
      <c r="G33" s="297">
        <v>3.837</v>
      </c>
      <c r="H33" s="297"/>
      <c r="Q33" s="292" t="str">
        <f>A33</f>
        <v>0</v>
      </c>
      <c r="R33" s="292" t="str">
        <f>IF(COUNTIF(A$5:A33,A33)=1,MAX(R$4:R32)+1,VLOOKUP(A33,Q$4:R32,2,0))</f>
        <v>0</v>
      </c>
    </row>
    <row r="34" spans="1:18" customHeight="1" ht="29.25" s="292" customFormat="1">
      <c r="A34" s="297" t="s">
        <v>391</v>
      </c>
      <c r="B34" s="297" t="s">
        <v>392</v>
      </c>
      <c r="C34" s="297">
        <v>19544576</v>
      </c>
      <c r="D34" s="298" t="s">
        <v>115</v>
      </c>
      <c r="E34" s="297" t="s">
        <v>627</v>
      </c>
      <c r="F34" s="297">
        <v>4.388</v>
      </c>
      <c r="G34" s="297">
        <v>6.183</v>
      </c>
      <c r="H34" s="297"/>
      <c r="Q34" s="292" t="str">
        <f>A34</f>
        <v>0</v>
      </c>
      <c r="R34" s="292" t="str">
        <f>IF(COUNTIF(A$5:A34,A34)=1,MAX(R$4:R33)+1,VLOOKUP(A34,Q$4:R33,2,0))</f>
        <v>0</v>
      </c>
    </row>
    <row r="35" spans="1:18" customHeight="1" ht="29.25" s="292" customFormat="1">
      <c r="A35" s="297" t="s">
        <v>397</v>
      </c>
      <c r="B35" s="297" t="s">
        <v>398</v>
      </c>
      <c r="C35" s="297">
        <v>76884884</v>
      </c>
      <c r="D35" s="298" t="s">
        <v>591</v>
      </c>
      <c r="E35" s="297" t="s">
        <v>609</v>
      </c>
      <c r="F35" s="297">
        <v>21.81</v>
      </c>
      <c r="G35" s="297">
        <v>31.012</v>
      </c>
      <c r="H35" s="297"/>
      <c r="Q35" s="292" t="str">
        <f>A35</f>
        <v>0</v>
      </c>
      <c r="R35" s="292" t="str">
        <f>IF(COUNTIF(A$5:A35,A35)=1,MAX(R$4:R34)+1,VLOOKUP(A35,Q$4:R34,2,0))</f>
        <v>0</v>
      </c>
    </row>
    <row r="36" spans="1:18" customHeight="1" ht="29.25" s="292" customFormat="1">
      <c r="A36" s="297" t="s">
        <v>397</v>
      </c>
      <c r="B36" s="297" t="s">
        <v>398</v>
      </c>
      <c r="C36" s="297">
        <v>77029062</v>
      </c>
      <c r="D36" s="298" t="s">
        <v>626</v>
      </c>
      <c r="E36" s="297" t="s">
        <v>609</v>
      </c>
      <c r="F36" s="297">
        <v>29.332</v>
      </c>
      <c r="G36" s="297">
        <v>40.577</v>
      </c>
      <c r="H36" s="297"/>
      <c r="Q36" s="292" t="str">
        <f>A36</f>
        <v>0</v>
      </c>
      <c r="R36" s="292" t="str">
        <f>IF(COUNTIF(A$5:A36,A36)=1,MAX(R$4:R35)+1,VLOOKUP(A36,Q$4:R35,2,0))</f>
        <v>0</v>
      </c>
    </row>
    <row r="37" spans="1:18" customHeight="1" ht="29.25" s="292" customFormat="1">
      <c r="A37" s="297" t="s">
        <v>397</v>
      </c>
      <c r="B37" s="297" t="s">
        <v>398</v>
      </c>
      <c r="C37" s="297">
        <v>19544614</v>
      </c>
      <c r="D37" s="298" t="s">
        <v>115</v>
      </c>
      <c r="E37" s="297" t="s">
        <v>609</v>
      </c>
      <c r="F37" s="297">
        <v>4.654</v>
      </c>
      <c r="G37" s="297">
        <v>5.694</v>
      </c>
      <c r="H37" s="297"/>
      <c r="Q37" s="292" t="str">
        <f>A37</f>
        <v>0</v>
      </c>
      <c r="R37" s="292" t="str">
        <f>IF(COUNTIF(A$5:A37,A37)=1,MAX(R$4:R36)+1,VLOOKUP(A37,Q$4:R36,2,0))</f>
        <v>0</v>
      </c>
    </row>
    <row r="38" spans="1:18" customHeight="1" ht="29.25" s="292" customFormat="1">
      <c r="A38" s="297" t="s">
        <v>402</v>
      </c>
      <c r="B38" s="297" t="s">
        <v>403</v>
      </c>
      <c r="C38" s="297">
        <v>76884860</v>
      </c>
      <c r="D38" s="298" t="s">
        <v>591</v>
      </c>
      <c r="E38" s="297" t="s">
        <v>610</v>
      </c>
      <c r="F38" s="297">
        <v>85.509</v>
      </c>
      <c r="G38" s="297">
        <v>121.356</v>
      </c>
      <c r="H38" s="297"/>
      <c r="Q38" s="292" t="str">
        <f>A38</f>
        <v>0</v>
      </c>
      <c r="R38" s="292" t="str">
        <f>IF(COUNTIF(A$5:A38,A38)=1,MAX(R$4:R37)+1,VLOOKUP(A38,Q$4:R37,2,0))</f>
        <v>0</v>
      </c>
    </row>
    <row r="39" spans="1:18" customHeight="1" ht="29.25" s="292" customFormat="1">
      <c r="A39" s="297" t="s">
        <v>402</v>
      </c>
      <c r="B39" s="297" t="s">
        <v>403</v>
      </c>
      <c r="C39" s="297">
        <v>77028351</v>
      </c>
      <c r="D39" s="298" t="s">
        <v>626</v>
      </c>
      <c r="E39" s="297" t="s">
        <v>610</v>
      </c>
      <c r="F39" s="297">
        <v>106.786</v>
      </c>
      <c r="G39" s="297">
        <v>164.081</v>
      </c>
      <c r="H39" s="297"/>
      <c r="Q39" s="292" t="str">
        <f>A39</f>
        <v>0</v>
      </c>
      <c r="R39" s="292" t="str">
        <f>IF(COUNTIF(A$5:A39,A39)=1,MAX(R$4:R38)+1,VLOOKUP(A39,Q$4:R38,2,0))</f>
        <v>0</v>
      </c>
    </row>
    <row r="40" spans="1:18" customHeight="1" ht="29.25" s="292" customFormat="1">
      <c r="A40" s="297" t="s">
        <v>402</v>
      </c>
      <c r="B40" s="297" t="s">
        <v>403</v>
      </c>
      <c r="C40" s="297">
        <v>19544638</v>
      </c>
      <c r="D40" s="298" t="s">
        <v>115</v>
      </c>
      <c r="E40" s="297" t="s">
        <v>627</v>
      </c>
      <c r="F40" s="297">
        <v>9.036</v>
      </c>
      <c r="G40" s="297">
        <v>15.077</v>
      </c>
      <c r="H40" s="297"/>
      <c r="Q40" s="292" t="str">
        <f>A40</f>
        <v>0</v>
      </c>
      <c r="R40" s="292" t="str">
        <f>IF(COUNTIF(A$5:A40,A40)=1,MAX(R$4:R39)+1,VLOOKUP(A40,Q$4:R39,2,0))</f>
        <v>0</v>
      </c>
    </row>
    <row r="41" spans="1:18" customHeight="1" ht="29.25" s="292" customFormat="1">
      <c r="A41" s="297" t="s">
        <v>408</v>
      </c>
      <c r="B41" s="297" t="s">
        <v>561</v>
      </c>
      <c r="C41" s="297">
        <v>76884829</v>
      </c>
      <c r="D41" s="298" t="s">
        <v>591</v>
      </c>
      <c r="E41" s="297" t="s">
        <v>603</v>
      </c>
      <c r="F41" s="297">
        <v>58.161</v>
      </c>
      <c r="G41" s="297">
        <v>98.212</v>
      </c>
      <c r="H41" s="297"/>
      <c r="Q41" s="292" t="str">
        <f>A41</f>
        <v>0</v>
      </c>
      <c r="R41" s="292" t="str">
        <f>IF(COUNTIF(A$5:A41,A41)=1,MAX(R$4:R40)+1,VLOOKUP(A41,Q$4:R40,2,0))</f>
        <v>0</v>
      </c>
    </row>
    <row r="42" spans="1:18" customHeight="1" ht="29.25" s="292" customFormat="1">
      <c r="A42" s="297" t="s">
        <v>408</v>
      </c>
      <c r="B42" s="297" t="s">
        <v>561</v>
      </c>
      <c r="C42" s="297">
        <v>77029089</v>
      </c>
      <c r="D42" s="298" t="s">
        <v>626</v>
      </c>
      <c r="E42" s="297" t="s">
        <v>603</v>
      </c>
      <c r="F42" s="297">
        <v>111.711</v>
      </c>
      <c r="G42" s="297">
        <v>198.337</v>
      </c>
      <c r="H42" s="297"/>
      <c r="Q42" s="292" t="str">
        <f>A42</f>
        <v>0</v>
      </c>
      <c r="R42" s="292" t="str">
        <f>IF(COUNTIF(A$5:A42,A42)=1,MAX(R$4:R41)+1,VLOOKUP(A42,Q$4:R41,2,0))</f>
        <v>0</v>
      </c>
    </row>
    <row r="43" spans="1:18" customHeight="1" ht="29.25" s="292" customFormat="1">
      <c r="A43" s="297" t="s">
        <v>408</v>
      </c>
      <c r="B43" s="297" t="s">
        <v>561</v>
      </c>
      <c r="C43" s="297">
        <v>19544629</v>
      </c>
      <c r="D43" s="298" t="s">
        <v>115</v>
      </c>
      <c r="E43" s="297" t="s">
        <v>627</v>
      </c>
      <c r="F43" s="297">
        <v>2.703</v>
      </c>
      <c r="G43" s="297">
        <v>3.124</v>
      </c>
      <c r="H43" s="297"/>
      <c r="Q43" s="292" t="str">
        <f>A43</f>
        <v>0</v>
      </c>
      <c r="R43" s="292" t="str">
        <f>IF(COUNTIF(A$5:A43,A43)=1,MAX(R$4:R42)+1,VLOOKUP(A43,Q$4:R42,2,0))</f>
        <v>0</v>
      </c>
    </row>
    <row r="44" spans="1:18" customHeight="1" ht="29.25" s="292" customFormat="1">
      <c r="A44" s="297" t="s">
        <v>414</v>
      </c>
      <c r="B44" s="297" t="s">
        <v>562</v>
      </c>
      <c r="C44" s="297">
        <v>76884842</v>
      </c>
      <c r="D44" s="298" t="s">
        <v>591</v>
      </c>
      <c r="E44" s="297" t="s">
        <v>603</v>
      </c>
      <c r="F44" s="297">
        <v>42.429</v>
      </c>
      <c r="G44" s="297">
        <v>75.047</v>
      </c>
      <c r="H44" s="297"/>
      <c r="Q44" s="292" t="str">
        <f>A44</f>
        <v>0</v>
      </c>
      <c r="R44" s="292" t="str">
        <f>IF(COUNTIF(A$5:A44,A44)=1,MAX(R$4:R43)+1,VLOOKUP(A44,Q$4:R43,2,0))</f>
        <v>0</v>
      </c>
    </row>
    <row r="45" spans="1:18" customHeight="1" ht="29.25" s="292" customFormat="1">
      <c r="A45" s="297" t="s">
        <v>414</v>
      </c>
      <c r="B45" s="297" t="s">
        <v>562</v>
      </c>
      <c r="C45" s="297">
        <v>77028330</v>
      </c>
      <c r="D45" s="298" t="s">
        <v>626</v>
      </c>
      <c r="E45" s="297" t="s">
        <v>603</v>
      </c>
      <c r="F45" s="297">
        <v>80.443</v>
      </c>
      <c r="G45" s="297">
        <v>140.887</v>
      </c>
      <c r="H45" s="297"/>
      <c r="Q45" s="292" t="str">
        <f>A45</f>
        <v>0</v>
      </c>
      <c r="R45" s="292" t="str">
        <f>IF(COUNTIF(A$5:A45,A45)=1,MAX(R$4:R44)+1,VLOOKUP(A45,Q$4:R44,2,0))</f>
        <v>0</v>
      </c>
    </row>
    <row r="46" spans="1:18" customHeight="1" ht="29.25" s="292" customFormat="1">
      <c r="A46" s="297" t="s">
        <v>414</v>
      </c>
      <c r="B46" s="297" t="s">
        <v>562</v>
      </c>
      <c r="C46" s="297">
        <v>19544584</v>
      </c>
      <c r="D46" s="298" t="s">
        <v>115</v>
      </c>
      <c r="E46" s="297" t="s">
        <v>627</v>
      </c>
      <c r="F46" s="297">
        <v>4.078</v>
      </c>
      <c r="G46" s="297">
        <v>6.408</v>
      </c>
      <c r="H46" s="297"/>
      <c r="Q46" s="292" t="str">
        <f>A46</f>
        <v>0</v>
      </c>
      <c r="R46" s="292" t="str">
        <f>IF(COUNTIF(A$5:A46,A46)=1,MAX(R$4:R45)+1,VLOOKUP(A46,Q$4:R45,2,0))</f>
        <v>0</v>
      </c>
    </row>
    <row r="47" spans="1:18" customHeight="1" ht="29.25" s="292" customFormat="1">
      <c r="A47" s="297" t="s">
        <v>420</v>
      </c>
      <c r="B47" s="297" t="s">
        <v>563</v>
      </c>
      <c r="C47" s="297">
        <v>76884865</v>
      </c>
      <c r="D47" s="298" t="s">
        <v>591</v>
      </c>
      <c r="E47" s="297" t="s">
        <v>614</v>
      </c>
      <c r="F47" s="297">
        <v>39.682</v>
      </c>
      <c r="G47" s="297">
        <v>69.779</v>
      </c>
      <c r="H47" s="297"/>
      <c r="Q47" s="292" t="str">
        <f>A47</f>
        <v>0</v>
      </c>
      <c r="R47" s="292" t="str">
        <f>IF(COUNTIF(A$5:A47,A47)=1,MAX(R$4:R46)+1,VLOOKUP(A47,Q$4:R46,2,0))</f>
        <v>0</v>
      </c>
    </row>
    <row r="48" spans="1:18" customHeight="1" ht="29.25" s="292" customFormat="1">
      <c r="A48" s="297" t="s">
        <v>420</v>
      </c>
      <c r="B48" s="297" t="s">
        <v>563</v>
      </c>
      <c r="C48" s="297">
        <v>77029090</v>
      </c>
      <c r="D48" s="298" t="s">
        <v>626</v>
      </c>
      <c r="E48" s="297" t="s">
        <v>614</v>
      </c>
      <c r="F48" s="297">
        <v>64.529</v>
      </c>
      <c r="G48" s="297">
        <v>108.381</v>
      </c>
      <c r="H48" s="297"/>
      <c r="Q48" s="292" t="str">
        <f>A48</f>
        <v>0</v>
      </c>
      <c r="R48" s="292" t="str">
        <f>IF(COUNTIF(A$5:A48,A48)=1,MAX(R$4:R47)+1,VLOOKUP(A48,Q$4:R47,2,0))</f>
        <v>0</v>
      </c>
    </row>
    <row r="49" spans="1:18" customHeight="1" ht="29.25" s="292" customFormat="1">
      <c r="A49" s="297" t="s">
        <v>420</v>
      </c>
      <c r="B49" s="297" t="s">
        <v>563</v>
      </c>
      <c r="C49" s="297">
        <v>19544622</v>
      </c>
      <c r="D49" s="298" t="s">
        <v>115</v>
      </c>
      <c r="E49" s="297" t="s">
        <v>627</v>
      </c>
      <c r="F49" s="297">
        <v>9.855</v>
      </c>
      <c r="G49" s="297">
        <v>15.919</v>
      </c>
      <c r="H49" s="297"/>
      <c r="Q49" s="292" t="str">
        <f>A49</f>
        <v>0</v>
      </c>
      <c r="R49" s="292" t="str">
        <f>IF(COUNTIF(A$5:A49,A49)=1,MAX(R$4:R48)+1,VLOOKUP(A49,Q$4:R48,2,0))</f>
        <v>0</v>
      </c>
    </row>
    <row r="50" spans="1:18" customHeight="1" ht="29.25" s="292" customFormat="1">
      <c r="A50" s="297" t="s">
        <v>425</v>
      </c>
      <c r="B50" s="297" t="s">
        <v>564</v>
      </c>
      <c r="C50" s="297">
        <v>76884899</v>
      </c>
      <c r="D50" s="298" t="s">
        <v>591</v>
      </c>
      <c r="E50" s="297" t="s">
        <v>616</v>
      </c>
      <c r="F50" s="297">
        <v>45.343</v>
      </c>
      <c r="G50" s="297">
        <v>80.254</v>
      </c>
      <c r="H50" s="297"/>
      <c r="Q50" s="292" t="str">
        <f>A50</f>
        <v>0</v>
      </c>
      <c r="R50" s="292" t="str">
        <f>IF(COUNTIF(A$5:A50,A50)=1,MAX(R$4:R49)+1,VLOOKUP(A50,Q$4:R49,2,0))</f>
        <v>0</v>
      </c>
    </row>
    <row r="51" spans="1:18" customHeight="1" ht="29.25" s="292" customFormat="1">
      <c r="A51" s="297" t="s">
        <v>425</v>
      </c>
      <c r="B51" s="297" t="s">
        <v>564</v>
      </c>
      <c r="C51" s="297">
        <v>77028333</v>
      </c>
      <c r="D51" s="298" t="s">
        <v>626</v>
      </c>
      <c r="E51" s="297" t="s">
        <v>616</v>
      </c>
      <c r="F51" s="297">
        <v>95.615</v>
      </c>
      <c r="G51" s="297">
        <v>172.978</v>
      </c>
      <c r="H51" s="297"/>
      <c r="Q51" s="292" t="str">
        <f>A51</f>
        <v>0</v>
      </c>
      <c r="R51" s="292" t="str">
        <f>IF(COUNTIF(A$5:A51,A51)=1,MAX(R$4:R50)+1,VLOOKUP(A51,Q$4:R50,2,0))</f>
        <v>0</v>
      </c>
    </row>
    <row r="52" spans="1:18" customHeight="1" ht="29.25" s="292" customFormat="1">
      <c r="A52" s="297" t="s">
        <v>425</v>
      </c>
      <c r="B52" s="297" t="s">
        <v>564</v>
      </c>
      <c r="C52" s="297">
        <v>19544592</v>
      </c>
      <c r="D52" s="298" t="s">
        <v>115</v>
      </c>
      <c r="E52" s="297" t="s">
        <v>627</v>
      </c>
      <c r="F52" s="297">
        <v>9.623</v>
      </c>
      <c r="G52" s="297">
        <v>14.469</v>
      </c>
      <c r="H52" s="297"/>
      <c r="Q52" s="292" t="str">
        <f>A52</f>
        <v>0</v>
      </c>
      <c r="R52" s="292" t="str">
        <f>IF(COUNTIF(A$5:A52,A52)=1,MAX(R$4:R51)+1,VLOOKUP(A52,Q$4:R51,2,0))</f>
        <v>0</v>
      </c>
    </row>
    <row r="53" spans="1:18" customHeight="1" ht="29.25" s="292" customFormat="1">
      <c r="A53" s="297" t="s">
        <v>430</v>
      </c>
      <c r="B53" s="297" t="s">
        <v>565</v>
      </c>
      <c r="C53" s="297">
        <v>76884836</v>
      </c>
      <c r="D53" s="298" t="s">
        <v>591</v>
      </c>
      <c r="E53" s="297" t="s">
        <v>601</v>
      </c>
      <c r="F53" s="297">
        <v>60.203</v>
      </c>
      <c r="G53" s="297">
        <v>108.6</v>
      </c>
      <c r="H53" s="297"/>
      <c r="Q53" s="292" t="str">
        <f>A53</f>
        <v>0</v>
      </c>
      <c r="R53" s="292" t="str">
        <f>IF(COUNTIF(A$5:A53,A53)=1,MAX(R$4:R52)+1,VLOOKUP(A53,Q$4:R52,2,0))</f>
        <v>0</v>
      </c>
    </row>
    <row r="54" spans="1:18" customHeight="1" ht="29.25" s="292" customFormat="1">
      <c r="A54" s="297" t="s">
        <v>430</v>
      </c>
      <c r="B54" s="297" t="s">
        <v>565</v>
      </c>
      <c r="C54" s="297">
        <v>77028311</v>
      </c>
      <c r="D54" s="298" t="s">
        <v>626</v>
      </c>
      <c r="E54" s="297" t="s">
        <v>601</v>
      </c>
      <c r="F54" s="297">
        <v>98.239</v>
      </c>
      <c r="G54" s="297">
        <v>172.372</v>
      </c>
      <c r="H54" s="297"/>
      <c r="Q54" s="292" t="str">
        <f>A54</f>
        <v>0</v>
      </c>
      <c r="R54" s="292" t="str">
        <f>IF(COUNTIF(A$5:A54,A54)=1,MAX(R$4:R53)+1,VLOOKUP(A54,Q$4:R53,2,0))</f>
        <v>0</v>
      </c>
    </row>
    <row r="55" spans="1:18" customHeight="1" ht="29.25" s="292" customFormat="1">
      <c r="A55" s="297" t="s">
        <v>430</v>
      </c>
      <c r="B55" s="297" t="s">
        <v>565</v>
      </c>
      <c r="C55" s="297">
        <v>19544646</v>
      </c>
      <c r="D55" s="298" t="s">
        <v>115</v>
      </c>
      <c r="E55" s="297" t="s">
        <v>627</v>
      </c>
      <c r="F55" s="297">
        <v>14.724</v>
      </c>
      <c r="G55" s="297">
        <v>23.539</v>
      </c>
      <c r="H55" s="297"/>
      <c r="Q55" s="292" t="str">
        <f>A55</f>
        <v>0</v>
      </c>
      <c r="R55" s="292" t="str">
        <f>IF(COUNTIF(A$5:A55,A55)=1,MAX(R$4:R54)+1,VLOOKUP(A55,Q$4:R54,2,0))</f>
        <v>0</v>
      </c>
    </row>
    <row r="56" spans="1:18" customHeight="1" ht="29.25" s="292" customFormat="1">
      <c r="A56" s="297" t="s">
        <v>435</v>
      </c>
      <c r="B56" s="297" t="s">
        <v>565</v>
      </c>
      <c r="C56" s="297">
        <v>76884835</v>
      </c>
      <c r="D56" s="298" t="s">
        <v>591</v>
      </c>
      <c r="E56" s="297" t="s">
        <v>601</v>
      </c>
      <c r="F56" s="297">
        <v>13.068</v>
      </c>
      <c r="G56" s="297">
        <v>23.489</v>
      </c>
      <c r="H56" s="297"/>
      <c r="Q56" s="292" t="str">
        <f>A56</f>
        <v>0</v>
      </c>
      <c r="R56" s="292" t="str">
        <f>IF(COUNTIF(A$5:A56,A56)=1,MAX(R$4:R55)+1,VLOOKUP(A56,Q$4:R55,2,0))</f>
        <v>0</v>
      </c>
    </row>
    <row r="57" spans="1:18" customHeight="1" ht="30" s="292" customFormat="1">
      <c r="A57" s="297" t="s">
        <v>435</v>
      </c>
      <c r="B57" s="297" t="s">
        <v>565</v>
      </c>
      <c r="C57" s="297">
        <v>77028320</v>
      </c>
      <c r="D57" s="298" t="s">
        <v>626</v>
      </c>
      <c r="E57" s="297" t="s">
        <v>601</v>
      </c>
      <c r="F57" s="297">
        <v>18.009</v>
      </c>
      <c r="G57" s="297">
        <v>32.744</v>
      </c>
      <c r="H57" s="297"/>
      <c r="Q57" s="292" t="str">
        <f>A57</f>
        <v>0</v>
      </c>
      <c r="R57" s="292" t="str">
        <f>IF(COUNTIF(A$5:A57,A57)=1,MAX(R$4:R56)+1,VLOOKUP(A57,Q$4:R56,2,0))</f>
        <v>0</v>
      </c>
    </row>
    <row r="58" spans="1:18" customHeight="1" ht="30">
      <c r="A58" s="297" t="s">
        <v>435</v>
      </c>
      <c r="B58" s="297" t="s">
        <v>565</v>
      </c>
      <c r="C58" s="297">
        <v>19544634</v>
      </c>
      <c r="D58" s="298" t="s">
        <v>115</v>
      </c>
      <c r="E58" s="297" t="s">
        <v>627</v>
      </c>
      <c r="F58" s="297">
        <v>6.885</v>
      </c>
      <c r="G58" s="297">
        <v>11.055</v>
      </c>
      <c r="H58" s="297"/>
      <c r="Q58" s="292" t="str">
        <f>A58</f>
        <v>0</v>
      </c>
      <c r="R58" s="292" t="str">
        <f>IF(COUNTIF(A$5:A58,A58)=1,MAX(R$4:R57)+1,VLOOKUP(A58,Q$4:R57,2,0))</f>
        <v>0</v>
      </c>
    </row>
    <row r="59" spans="1:18" customHeight="1" ht="30">
      <c r="A59" s="297" t="s">
        <v>437</v>
      </c>
      <c r="B59" s="297" t="s">
        <v>566</v>
      </c>
      <c r="C59" s="297">
        <v>76884837</v>
      </c>
      <c r="D59" s="298" t="s">
        <v>591</v>
      </c>
      <c r="E59" s="297" t="s">
        <v>620</v>
      </c>
      <c r="F59" s="297">
        <v>28.46</v>
      </c>
      <c r="G59" s="297">
        <v>51.72</v>
      </c>
      <c r="H59" s="297"/>
      <c r="Q59" s="292" t="str">
        <f>A59</f>
        <v>0</v>
      </c>
      <c r="R59" s="292" t="str">
        <f>IF(COUNTIF(A$5:A59,A59)=1,MAX(R$4:R58)+1,VLOOKUP(A59,Q$4:R58,2,0))</f>
        <v>0</v>
      </c>
    </row>
    <row r="60" spans="1:18" customHeight="1" ht="30">
      <c r="A60" s="297" t="s">
        <v>437</v>
      </c>
      <c r="B60" s="297" t="s">
        <v>566</v>
      </c>
      <c r="C60" s="297">
        <v>77029086</v>
      </c>
      <c r="D60" s="298" t="s">
        <v>626</v>
      </c>
      <c r="E60" s="297" t="s">
        <v>620</v>
      </c>
      <c r="F60" s="297">
        <v>63.282</v>
      </c>
      <c r="G60" s="297">
        <v>119.034</v>
      </c>
      <c r="H60" s="297"/>
      <c r="Q60" s="292" t="str">
        <f>A60</f>
        <v>0</v>
      </c>
      <c r="R60" s="292" t="str">
        <f>IF(COUNTIF(A$5:A60,A60)=1,MAX(R$4:R59)+1,VLOOKUP(A60,Q$4:R59,2,0))</f>
        <v>0</v>
      </c>
    </row>
    <row r="61" spans="1:18" customHeight="1" ht="30">
      <c r="A61" s="297" t="s">
        <v>437</v>
      </c>
      <c r="B61" s="297" t="s">
        <v>566</v>
      </c>
      <c r="C61" s="297">
        <v>19544642</v>
      </c>
      <c r="D61" s="298" t="s">
        <v>115</v>
      </c>
      <c r="E61" s="297" t="s">
        <v>627</v>
      </c>
      <c r="F61" s="297">
        <v>11.228</v>
      </c>
      <c r="G61" s="297">
        <v>19.708</v>
      </c>
      <c r="H61" s="297"/>
      <c r="Q61" s="292" t="str">
        <f>A61</f>
        <v>0</v>
      </c>
      <c r="R61" s="292" t="str">
        <f>IF(COUNTIF(A$5:A61,A61)=1,MAX(R$4:R60)+1,VLOOKUP(A61,Q$4:R60,2,0))</f>
        <v>0</v>
      </c>
    </row>
    <row r="62" spans="1:18" customHeight="1" ht="30">
      <c r="A62" s="297" t="s">
        <v>442</v>
      </c>
      <c r="B62" s="297" t="s">
        <v>567</v>
      </c>
      <c r="C62" s="297">
        <v>76884827</v>
      </c>
      <c r="D62" s="298" t="s">
        <v>591</v>
      </c>
      <c r="E62" s="297" t="s">
        <v>596</v>
      </c>
      <c r="F62" s="297">
        <v>31.575</v>
      </c>
      <c r="G62" s="297">
        <v>51.543</v>
      </c>
      <c r="H62" s="297"/>
      <c r="Q62" s="292" t="str">
        <f>A62</f>
        <v>0</v>
      </c>
      <c r="R62" s="292" t="str">
        <f>IF(COUNTIF(A$5:A62,A62)=1,MAX(R$4:R61)+1,VLOOKUP(A62,Q$4:R61,2,0))</f>
        <v>0</v>
      </c>
    </row>
    <row r="63" spans="1:18" customHeight="1" ht="30">
      <c r="A63" s="297" t="s">
        <v>442</v>
      </c>
      <c r="B63" s="297" t="s">
        <v>567</v>
      </c>
      <c r="C63" s="297">
        <v>77029073</v>
      </c>
      <c r="D63" s="298" t="s">
        <v>626</v>
      </c>
      <c r="E63" s="297" t="s">
        <v>596</v>
      </c>
      <c r="F63" s="297">
        <v>56.019</v>
      </c>
      <c r="G63" s="297">
        <v>84.737</v>
      </c>
      <c r="H63" s="297"/>
      <c r="Q63" s="292" t="str">
        <f>A63</f>
        <v>0</v>
      </c>
      <c r="R63" s="292" t="str">
        <f>IF(COUNTIF(A$5:A63,A63)=1,MAX(R$4:R62)+1,VLOOKUP(A63,Q$4:R62,2,0))</f>
        <v>0</v>
      </c>
    </row>
    <row r="64" spans="1:18" customHeight="1" ht="30">
      <c r="A64" s="297" t="s">
        <v>442</v>
      </c>
      <c r="B64" s="297" t="s">
        <v>567</v>
      </c>
      <c r="C64" s="297">
        <v>19544645</v>
      </c>
      <c r="D64" s="298" t="s">
        <v>115</v>
      </c>
      <c r="E64" s="297" t="s">
        <v>627</v>
      </c>
      <c r="F64" s="297">
        <v>10.035</v>
      </c>
      <c r="G64" s="297">
        <v>18.772</v>
      </c>
      <c r="H64" s="297"/>
      <c r="Q64" s="292" t="str">
        <f>A64</f>
        <v>0</v>
      </c>
      <c r="R64" s="292" t="str">
        <f>IF(COUNTIF(A$5:A64,A64)=1,MAX(R$4:R63)+1,VLOOKUP(A64,Q$4:R63,2,0))</f>
        <v>0</v>
      </c>
    </row>
    <row r="65" spans="1:18" customHeight="1" ht="30">
      <c r="A65" s="297" t="s">
        <v>448</v>
      </c>
      <c r="B65" s="297" t="s">
        <v>568</v>
      </c>
      <c r="C65" s="297">
        <v>76884830</v>
      </c>
      <c r="D65" s="298" t="s">
        <v>591</v>
      </c>
      <c r="E65" s="297" t="s">
        <v>596</v>
      </c>
      <c r="F65" s="297">
        <v>41.879</v>
      </c>
      <c r="G65" s="297">
        <v>63.988</v>
      </c>
      <c r="H65" s="297"/>
      <c r="Q65" s="292" t="str">
        <f>A65</f>
        <v>0</v>
      </c>
      <c r="R65" s="292" t="str">
        <f>IF(COUNTIF(A$5:A65,A65)=1,MAX(R$4:R64)+1,VLOOKUP(A65,Q$4:R64,2,0))</f>
        <v>0</v>
      </c>
    </row>
    <row r="66" spans="1:18" customHeight="1" ht="30">
      <c r="A66" s="297" t="s">
        <v>448</v>
      </c>
      <c r="B66" s="297" t="s">
        <v>568</v>
      </c>
      <c r="C66" s="297">
        <v>77028316</v>
      </c>
      <c r="D66" s="298" t="s">
        <v>626</v>
      </c>
      <c r="E66" s="297" t="s">
        <v>596</v>
      </c>
      <c r="F66" s="297">
        <v>65.235</v>
      </c>
      <c r="G66" s="297">
        <v>101.05</v>
      </c>
      <c r="H66" s="297"/>
      <c r="Q66" s="292" t="str">
        <f>A66</f>
        <v>0</v>
      </c>
      <c r="R66" s="292" t="str">
        <f>IF(COUNTIF(A$5:A66,A66)=1,MAX(R$4:R65)+1,VLOOKUP(A66,Q$4:R65,2,0))</f>
        <v>0</v>
      </c>
    </row>
    <row r="67" spans="1:18" customHeight="1" ht="30">
      <c r="A67" s="297" t="s">
        <v>448</v>
      </c>
      <c r="B67" s="297" t="s">
        <v>568</v>
      </c>
      <c r="C67" s="297">
        <v>19544610</v>
      </c>
      <c r="D67" s="298" t="s">
        <v>115</v>
      </c>
      <c r="E67" s="297" t="s">
        <v>627</v>
      </c>
      <c r="F67" s="297">
        <v>9.498</v>
      </c>
      <c r="G67" s="297">
        <v>14.018</v>
      </c>
      <c r="H67" s="297"/>
      <c r="Q67" s="292" t="str">
        <f>A67</f>
        <v>0</v>
      </c>
      <c r="R67" s="292" t="str">
        <f>IF(COUNTIF(A$5:A67,A67)=1,MAX(R$4:R66)+1,VLOOKUP(A67,Q$4:R66,2,0))</f>
        <v>0</v>
      </c>
    </row>
    <row r="68" spans="1:18" customHeight="1" ht="30">
      <c r="A68" s="297" t="s">
        <v>454</v>
      </c>
      <c r="B68" s="297" t="s">
        <v>569</v>
      </c>
      <c r="C68" s="297">
        <v>76884895</v>
      </c>
      <c r="D68" s="298" t="s">
        <v>591</v>
      </c>
      <c r="E68" s="297" t="s">
        <v>592</v>
      </c>
      <c r="F68" s="297">
        <v>26.001</v>
      </c>
      <c r="G68" s="297">
        <v>43.58</v>
      </c>
      <c r="H68" s="297"/>
      <c r="Q68" s="292" t="str">
        <f>A68</f>
        <v>0</v>
      </c>
      <c r="R68" s="292" t="str">
        <f>IF(COUNTIF(A$5:A68,A68)=1,MAX(R$4:R67)+1,VLOOKUP(A68,Q$4:R67,2,0))</f>
        <v>0</v>
      </c>
    </row>
    <row r="69" spans="1:18" customHeight="1" ht="30">
      <c r="A69" s="297" t="s">
        <v>454</v>
      </c>
      <c r="B69" s="297" t="s">
        <v>569</v>
      </c>
      <c r="C69" s="297">
        <v>77029085</v>
      </c>
      <c r="D69" s="298" t="s">
        <v>626</v>
      </c>
      <c r="E69" s="297" t="s">
        <v>592</v>
      </c>
      <c r="F69" s="297">
        <v>58.032</v>
      </c>
      <c r="G69" s="297">
        <v>105.961</v>
      </c>
      <c r="H69" s="297"/>
      <c r="Q69" s="292" t="str">
        <f>A69</f>
        <v>0</v>
      </c>
      <c r="R69" s="292" t="str">
        <f>IF(COUNTIF(A$5:A69,A69)=1,MAX(R$4:R68)+1,VLOOKUP(A69,Q$4:R68,2,0))</f>
        <v>0</v>
      </c>
    </row>
    <row r="70" spans="1:18" customHeight="1" ht="30">
      <c r="A70" s="297" t="s">
        <v>454</v>
      </c>
      <c r="B70" s="297" t="s">
        <v>569</v>
      </c>
      <c r="C70" s="297">
        <v>19544722</v>
      </c>
      <c r="D70" s="298" t="s">
        <v>115</v>
      </c>
      <c r="E70" s="297" t="s">
        <v>627</v>
      </c>
      <c r="F70" s="297">
        <v>7.022</v>
      </c>
      <c r="G70" s="297">
        <v>12.699</v>
      </c>
      <c r="H70" s="297"/>
      <c r="Q70" s="292" t="str">
        <f>A70</f>
        <v>0</v>
      </c>
      <c r="R70" s="292" t="str">
        <f>IF(COUNTIF(A$5:A70,A70)=1,MAX(R$4:R69)+1,VLOOKUP(A70,Q$4:R69,2,0))</f>
        <v>0</v>
      </c>
    </row>
    <row r="71" spans="1:18" customHeight="1" ht="30">
      <c r="A71" s="297" t="s">
        <v>459</v>
      </c>
      <c r="B71" s="297" t="s">
        <v>460</v>
      </c>
      <c r="C71" s="297">
        <v>76884847</v>
      </c>
      <c r="D71" s="298" t="s">
        <v>591</v>
      </c>
      <c r="E71" s="297" t="s">
        <v>609</v>
      </c>
      <c r="F71" s="297">
        <v>6.098</v>
      </c>
      <c r="G71" s="297">
        <v>9.139</v>
      </c>
      <c r="H71" s="297"/>
      <c r="Q71" s="292" t="str">
        <f>A71</f>
        <v>0</v>
      </c>
      <c r="R71" s="292" t="str">
        <f>IF(COUNTIF(A$5:A71,A71)=1,MAX(R$4:R70)+1,VLOOKUP(A71,Q$4:R70,2,0))</f>
        <v>0</v>
      </c>
    </row>
    <row r="72" spans="1:18" customHeight="1" ht="30">
      <c r="A72" s="297" t="s">
        <v>459</v>
      </c>
      <c r="B72" s="297" t="s">
        <v>460</v>
      </c>
      <c r="C72" s="297">
        <v>77029063</v>
      </c>
      <c r="D72" s="298" t="s">
        <v>626</v>
      </c>
      <c r="E72" s="297" t="s">
        <v>609</v>
      </c>
      <c r="F72" s="297">
        <v>16.79</v>
      </c>
      <c r="G72" s="297">
        <v>29.045</v>
      </c>
      <c r="H72" s="297"/>
      <c r="Q72" s="292" t="str">
        <f>A72</f>
        <v>0</v>
      </c>
      <c r="R72" s="292" t="str">
        <f>IF(COUNTIF(A$5:A72,A72)=1,MAX(R$4:R71)+1,VLOOKUP(A72,Q$4:R71,2,0))</f>
        <v>0</v>
      </c>
    </row>
    <row r="73" spans="1:18" customHeight="1" ht="30">
      <c r="A73" s="297" t="s">
        <v>459</v>
      </c>
      <c r="B73" s="297" t="s">
        <v>460</v>
      </c>
      <c r="C73" s="297">
        <v>19544726</v>
      </c>
      <c r="D73" s="298" t="s">
        <v>115</v>
      </c>
      <c r="E73" s="297" t="s">
        <v>627</v>
      </c>
      <c r="F73" s="297">
        <v>7.557</v>
      </c>
      <c r="G73" s="297">
        <v>11.852</v>
      </c>
      <c r="H73" s="297"/>
      <c r="Q73" s="292" t="str">
        <f>A73</f>
        <v>0</v>
      </c>
      <c r="R73" s="292" t="str">
        <f>IF(COUNTIF(A$5:A73,A73)=1,MAX(R$4:R72)+1,VLOOKUP(A73,Q$4:R72,2,0))</f>
        <v>0</v>
      </c>
    </row>
    <row r="74" spans="1:18" customHeight="1" ht="30">
      <c r="A74" s="297"/>
      <c r="B74" s="297"/>
      <c r="C74" s="297"/>
      <c r="D74" s="298"/>
      <c r="E74" s="297"/>
      <c r="F74" s="297"/>
      <c r="G74" s="297"/>
      <c r="H74" s="297"/>
      <c r="Q74" s="292" t="str">
        <f>A74</f>
        <v>0</v>
      </c>
      <c r="R74" s="292" t="str">
        <f>IF(COUNTIF(A$5:A74,A74)=1,MAX(R$4:R73)+1,VLOOKUP(A74,Q$4:R73,2,0))</f>
        <v>0</v>
      </c>
    </row>
    <row r="75" spans="1:18" customHeight="1" ht="30">
      <c r="A75" s="297"/>
      <c r="B75" s="297"/>
      <c r="C75" s="297"/>
      <c r="D75" s="298"/>
      <c r="E75" s="297"/>
      <c r="F75" s="297"/>
      <c r="G75" s="297"/>
      <c r="H75" s="297"/>
      <c r="Q75" s="292" t="str">
        <f>A75</f>
        <v>0</v>
      </c>
      <c r="R75" s="292" t="str">
        <f>IF(COUNTIF(A$5:A75,A75)=1,MAX(R$4:R74)+1,VLOOKUP(A75,Q$4:R74,2,0))</f>
        <v>0</v>
      </c>
    </row>
    <row r="76" spans="1:18" customHeight="1" ht="30">
      <c r="A76" s="297"/>
      <c r="B76" s="297"/>
      <c r="C76" s="297"/>
      <c r="D76" s="298"/>
      <c r="E76" s="297"/>
      <c r="F76" s="297"/>
      <c r="G76" s="297"/>
      <c r="H76" s="297"/>
      <c r="Q76" s="292" t="str">
        <f>A76</f>
        <v>0</v>
      </c>
      <c r="R76" s="292" t="str">
        <f>IF(COUNTIF(A$5:A76,A76)=1,MAX(R$4:R75)+1,VLOOKUP(A76,Q$4:R75,2,0))</f>
        <v>0</v>
      </c>
    </row>
    <row r="77" spans="1:18" customHeight="1" ht="30">
      <c r="A77" s="297"/>
      <c r="B77" s="297"/>
      <c r="C77" s="297"/>
      <c r="D77" s="298"/>
      <c r="E77" s="297"/>
      <c r="F77" s="297"/>
      <c r="G77" s="297"/>
      <c r="H77" s="297"/>
      <c r="Q77" s="292" t="str">
        <f>A77</f>
        <v>0</v>
      </c>
      <c r="R77" s="292" t="str">
        <f>IF(COUNTIF(A$5:A77,A77)=1,MAX(R$4:R76)+1,VLOOKUP(A77,Q$4:R76,2,0))</f>
        <v>0</v>
      </c>
    </row>
    <row r="78" spans="1:18" customHeight="1" ht="30">
      <c r="A78" s="297"/>
      <c r="B78" s="297"/>
      <c r="C78" s="297"/>
      <c r="D78" s="298"/>
      <c r="E78" s="297"/>
      <c r="F78" s="297"/>
      <c r="G78" s="297"/>
      <c r="H78" s="297"/>
      <c r="Q78" s="292" t="str">
        <f>A78</f>
        <v>0</v>
      </c>
      <c r="R78" s="292" t="str">
        <f>IF(COUNTIF(A$5:A78,A78)=1,MAX(R$4:R77)+1,VLOOKUP(A78,Q$4:R77,2,0))</f>
        <v>0</v>
      </c>
    </row>
    <row r="79" spans="1:18" customHeight="1" ht="30">
      <c r="A79" s="297"/>
      <c r="B79" s="297"/>
      <c r="C79" s="297"/>
      <c r="D79" s="298"/>
      <c r="E79" s="297"/>
      <c r="F79" s="297"/>
      <c r="G79" s="297"/>
      <c r="H79" s="297"/>
      <c r="Q79" s="292" t="str">
        <f>A79</f>
        <v>0</v>
      </c>
      <c r="R79" s="292" t="str">
        <f>IF(COUNTIF(A$5:A79,A79)=1,MAX(R$4:R78)+1,VLOOKUP(A79,Q$4:R78,2,0))</f>
        <v>0</v>
      </c>
    </row>
    <row r="80" spans="1:18" customHeight="1" ht="30">
      <c r="A80" s="297"/>
      <c r="B80" s="297"/>
      <c r="C80" s="297"/>
      <c r="D80" s="298"/>
      <c r="E80" s="297"/>
      <c r="F80" s="297"/>
      <c r="G80" s="297"/>
      <c r="H80" s="297"/>
      <c r="Q80" s="292" t="str">
        <f>A80</f>
        <v>0</v>
      </c>
      <c r="R80" s="292" t="str">
        <f>IF(COUNTIF(A$5:A80,A80)=1,MAX(R$4:R79)+1,VLOOKUP(A80,Q$4:R79,2,0))</f>
        <v>0</v>
      </c>
    </row>
    <row r="81" spans="1:18" customHeight="1" ht="30">
      <c r="A81" s="297"/>
      <c r="B81" s="297"/>
      <c r="C81" s="297"/>
      <c r="D81" s="298"/>
      <c r="E81" s="297"/>
      <c r="F81" s="297"/>
      <c r="G81" s="297"/>
      <c r="H81" s="297"/>
      <c r="Q81" s="292" t="str">
        <f>A81</f>
        <v>0</v>
      </c>
      <c r="R81" s="292" t="str">
        <f>IF(COUNTIF(A$5:A81,A81)=1,MAX(R$4:R80)+1,VLOOKUP(A81,Q$4:R80,2,0))</f>
        <v>0</v>
      </c>
    </row>
    <row r="82" spans="1:18" customHeight="1" ht="30">
      <c r="A82" s="297"/>
      <c r="B82" s="297"/>
      <c r="C82" s="297"/>
      <c r="D82" s="298"/>
      <c r="E82" s="297"/>
      <c r="F82" s="297"/>
      <c r="G82" s="297"/>
      <c r="H82" s="297"/>
      <c r="Q82" s="292" t="str">
        <f>A82</f>
        <v>0</v>
      </c>
      <c r="R82" s="292" t="str">
        <f>IF(COUNTIF(A$5:A82,A82)=1,MAX(R$4:R81)+1,VLOOKUP(A82,Q$4:R81,2,0))</f>
        <v>0</v>
      </c>
    </row>
    <row r="83" spans="1:18" customHeight="1" ht="30">
      <c r="A83" s="297"/>
      <c r="B83" s="297"/>
      <c r="C83" s="297"/>
      <c r="D83" s="298"/>
      <c r="E83" s="297"/>
      <c r="F83" s="297"/>
      <c r="G83" s="297"/>
      <c r="H83" s="297"/>
      <c r="Q83" s="292" t="str">
        <f>A83</f>
        <v>0</v>
      </c>
      <c r="R83" s="292" t="str">
        <f>IF(COUNTIF(A$5:A83,A83)=1,MAX(R$4:R82)+1,VLOOKUP(A83,Q$4:R82,2,0))</f>
        <v>0</v>
      </c>
    </row>
    <row r="84" spans="1:18" customHeight="1" ht="30">
      <c r="A84" s="297"/>
      <c r="B84" s="297"/>
      <c r="C84" s="297"/>
      <c r="D84" s="298"/>
      <c r="E84" s="297"/>
      <c r="F84" s="297"/>
      <c r="G84" s="297"/>
      <c r="H84" s="297"/>
      <c r="Q84" s="292" t="str">
        <f>A84</f>
        <v>0</v>
      </c>
      <c r="R84" s="292" t="str">
        <f>IF(COUNTIF(A$5:A84,A84)=1,MAX(R$4:R83)+1,VLOOKUP(A84,Q$4:R83,2,0))</f>
        <v>0</v>
      </c>
    </row>
    <row r="85" spans="1:18" customHeight="1" ht="30">
      <c r="A85" s="297"/>
      <c r="B85" s="297"/>
      <c r="C85" s="297"/>
      <c r="D85" s="298"/>
      <c r="E85" s="297"/>
      <c r="F85" s="297"/>
      <c r="G85" s="297"/>
      <c r="H85" s="297"/>
      <c r="Q85" s="292" t="str">
        <f>A85</f>
        <v>0</v>
      </c>
      <c r="R85" s="292" t="str">
        <f>IF(COUNTIF(A$5:A85,A85)=1,MAX(R$4:R84)+1,VLOOKUP(A85,Q$4:R84,2,0))</f>
        <v>0</v>
      </c>
    </row>
    <row r="86" spans="1:18" customHeight="1" ht="30">
      <c r="A86" s="297"/>
      <c r="B86" s="297"/>
      <c r="C86" s="297"/>
      <c r="D86" s="298"/>
      <c r="E86" s="297"/>
      <c r="F86" s="297"/>
      <c r="G86" s="297"/>
      <c r="H86" s="297"/>
      <c r="Q86" s="292" t="str">
        <f>A86</f>
        <v>0</v>
      </c>
      <c r="R86" s="292" t="str">
        <f>IF(COUNTIF(A$5:A86,A86)=1,MAX(R$4:R85)+1,VLOOKUP(A86,Q$4:R85,2,0))</f>
        <v>0</v>
      </c>
    </row>
    <row r="87" spans="1:18" customHeight="1" ht="30">
      <c r="A87" s="297"/>
      <c r="B87" s="297"/>
      <c r="C87" s="297"/>
      <c r="D87" s="298"/>
      <c r="E87" s="297"/>
      <c r="F87" s="297"/>
      <c r="G87" s="297"/>
      <c r="H87" s="297"/>
      <c r="Q87" s="292" t="str">
        <f>A87</f>
        <v>0</v>
      </c>
      <c r="R87" s="292" t="str">
        <f>IF(COUNTIF(A$5:A87,A87)=1,MAX(R$4:R86)+1,VLOOKUP(A87,Q$4:R86,2,0))</f>
        <v>0</v>
      </c>
    </row>
    <row r="88" spans="1:18" customHeight="1" ht="30">
      <c r="A88" s="297"/>
      <c r="B88" s="297"/>
      <c r="C88" s="297"/>
      <c r="D88" s="298"/>
      <c r="E88" s="297"/>
      <c r="F88" s="297"/>
      <c r="G88" s="297"/>
      <c r="H88" s="297"/>
      <c r="Q88" s="292" t="str">
        <f>A88</f>
        <v>0</v>
      </c>
      <c r="R88" s="292" t="str">
        <f>IF(COUNTIF(A$5:A88,A88)=1,MAX(R$4:R87)+1,VLOOKUP(A88,Q$4:R87,2,0))</f>
        <v>0</v>
      </c>
    </row>
    <row r="89" spans="1:18" customHeight="1" ht="30">
      <c r="A89" s="297"/>
      <c r="B89" s="297"/>
      <c r="C89" s="297"/>
      <c r="D89" s="298"/>
      <c r="E89" s="297"/>
      <c r="F89" s="297"/>
      <c r="G89" s="297"/>
      <c r="H89" s="297"/>
      <c r="Q89" s="292" t="str">
        <f>A89</f>
        <v>0</v>
      </c>
      <c r="R89" s="292" t="str">
        <f>IF(COUNTIF(A$5:A89,A89)=1,MAX(R$4:R88)+1,VLOOKUP(A89,Q$4:R88,2,0))</f>
        <v>0</v>
      </c>
    </row>
    <row r="90" spans="1:18" customHeight="1" ht="30">
      <c r="A90" s="297"/>
      <c r="B90" s="297"/>
      <c r="C90" s="297"/>
      <c r="D90" s="298"/>
      <c r="E90" s="297"/>
      <c r="F90" s="297"/>
      <c r="G90" s="297"/>
      <c r="H90" s="297"/>
      <c r="Q90" s="292" t="str">
        <f>A90</f>
        <v>0</v>
      </c>
      <c r="R90" s="292" t="str">
        <f>IF(COUNTIF(A$5:A90,A90)=1,MAX(R$4:R89)+1,VLOOKUP(A90,Q$4:R89,2,0))</f>
        <v>0</v>
      </c>
    </row>
    <row r="91" spans="1:18" customHeight="1" ht="30">
      <c r="A91" s="297"/>
      <c r="B91" s="297"/>
      <c r="C91" s="297"/>
      <c r="D91" s="298"/>
      <c r="E91" s="297"/>
      <c r="F91" s="297"/>
      <c r="G91" s="297"/>
      <c r="H91" s="297"/>
      <c r="Q91" s="292" t="str">
        <f>A91</f>
        <v>0</v>
      </c>
      <c r="R91" s="292" t="str">
        <f>IF(COUNTIF(A$5:A91,A91)=1,MAX(R$4:R90)+1,VLOOKUP(A91,Q$4:R90,2,0))</f>
        <v>0</v>
      </c>
    </row>
    <row r="92" spans="1:18" customHeight="1" ht="30">
      <c r="A92" s="297"/>
      <c r="B92" s="297"/>
      <c r="C92" s="297"/>
      <c r="D92" s="298"/>
      <c r="E92" s="297"/>
      <c r="F92" s="297"/>
      <c r="G92" s="297"/>
      <c r="H92" s="297"/>
      <c r="Q92" s="292" t="str">
        <f>A92</f>
        <v>0</v>
      </c>
      <c r="R92" s="292" t="str">
        <f>IF(COUNTIF(A$5:A92,A92)=1,MAX(R$4:R91)+1,VLOOKUP(A92,Q$4:R91,2,0))</f>
        <v>0</v>
      </c>
    </row>
    <row r="93" spans="1:18" customHeight="1" ht="30">
      <c r="A93" s="297"/>
      <c r="B93" s="297"/>
      <c r="C93" s="297"/>
      <c r="D93" s="298"/>
      <c r="E93" s="297"/>
      <c r="F93" s="297"/>
      <c r="G93" s="297"/>
      <c r="H93" s="297"/>
      <c r="Q93" s="292" t="str">
        <f>A93</f>
        <v>0</v>
      </c>
      <c r="R93" s="292" t="str">
        <f>IF(COUNTIF(A$5:A93,A93)=1,MAX(R$4:R92)+1,VLOOKUP(A93,Q$4:R92,2,0))</f>
        <v>0</v>
      </c>
    </row>
    <row r="94" spans="1:18" customHeight="1" ht="30">
      <c r="A94" s="297"/>
      <c r="B94" s="297"/>
      <c r="C94" s="297"/>
      <c r="D94" s="298"/>
      <c r="E94" s="297"/>
      <c r="F94" s="297"/>
      <c r="G94" s="297"/>
      <c r="H94" s="297"/>
      <c r="Q94" s="292" t="str">
        <f>A94</f>
        <v>0</v>
      </c>
      <c r="R94" s="292" t="str">
        <f>IF(COUNTIF(A$5:A94,A94)=1,MAX(R$4:R93)+1,VLOOKUP(A94,Q$4:R93,2,0))</f>
        <v>0</v>
      </c>
    </row>
    <row r="95" spans="1:18" customHeight="1" ht="30">
      <c r="A95" s="297"/>
      <c r="B95" s="297"/>
      <c r="C95" s="297"/>
      <c r="D95" s="298"/>
      <c r="E95" s="297"/>
      <c r="F95" s="297"/>
      <c r="G95" s="297"/>
      <c r="H95" s="297"/>
      <c r="Q95" s="292" t="str">
        <f>A95</f>
        <v>0</v>
      </c>
      <c r="R95" s="292" t="str">
        <f>IF(COUNTIF(A$5:A95,A95)=1,MAX(R$4:R94)+1,VLOOKUP(A95,Q$4:R94,2,0))</f>
        <v>0</v>
      </c>
    </row>
    <row r="96" spans="1:18" customHeight="1" ht="30">
      <c r="A96" s="297"/>
      <c r="B96" s="297"/>
      <c r="C96" s="297"/>
      <c r="D96" s="298"/>
      <c r="E96" s="297"/>
      <c r="F96" s="297"/>
      <c r="G96" s="297"/>
      <c r="H96" s="297"/>
      <c r="Q96" s="292" t="str">
        <f>A96</f>
        <v>0</v>
      </c>
      <c r="R96" s="292" t="str">
        <f>IF(COUNTIF(A$5:A96,A96)=1,MAX(R$4:R95)+1,VLOOKUP(A96,Q$4:R95,2,0))</f>
        <v>0</v>
      </c>
    </row>
    <row r="97" spans="1:18" customHeight="1" ht="30">
      <c r="A97" s="297"/>
      <c r="B97" s="297"/>
      <c r="C97" s="297"/>
      <c r="D97" s="298"/>
      <c r="E97" s="297"/>
      <c r="F97" s="297"/>
      <c r="G97" s="297"/>
      <c r="H97" s="297"/>
      <c r="Q97" s="292" t="str">
        <f>A97</f>
        <v>0</v>
      </c>
      <c r="R97" s="292" t="str">
        <f>IF(COUNTIF(A$5:A97,A97)=1,MAX(R$4:R96)+1,VLOOKUP(A97,Q$4:R96,2,0))</f>
        <v>0</v>
      </c>
    </row>
    <row r="98" spans="1:18" customHeight="1" ht="30">
      <c r="A98" s="297"/>
      <c r="B98" s="297"/>
      <c r="C98" s="297"/>
      <c r="D98" s="298"/>
      <c r="E98" s="297"/>
      <c r="F98" s="297"/>
      <c r="G98" s="297"/>
      <c r="H98" s="297"/>
      <c r="Q98" s="292" t="str">
        <f>A98</f>
        <v>0</v>
      </c>
      <c r="R98" s="292" t="str">
        <f>IF(COUNTIF(A$5:A98,A98)=1,MAX(R$4:R97)+1,VLOOKUP(A98,Q$4:R97,2,0))</f>
        <v>0</v>
      </c>
    </row>
    <row r="99" spans="1:18" customHeight="1" ht="30">
      <c r="A99" s="297"/>
      <c r="B99" s="297"/>
      <c r="C99" s="297"/>
      <c r="D99" s="298"/>
      <c r="E99" s="297"/>
      <c r="F99" s="297"/>
      <c r="G99" s="297"/>
      <c r="H99" s="297"/>
      <c r="Q99" s="292" t="str">
        <f>A99</f>
        <v>0</v>
      </c>
      <c r="R99" s="292" t="str">
        <f>IF(COUNTIF(A$5:A99,A99)=1,MAX(R$4:R98)+1,VLOOKUP(A99,Q$4:R98,2,0))</f>
        <v>0</v>
      </c>
    </row>
    <row r="100" spans="1:18" customHeight="1" ht="30">
      <c r="A100" s="297"/>
      <c r="B100" s="297"/>
      <c r="C100" s="297"/>
      <c r="D100" s="298"/>
      <c r="E100" s="297"/>
      <c r="F100" s="297"/>
      <c r="G100" s="297"/>
      <c r="H100" s="297"/>
      <c r="Q100" s="292" t="str">
        <f>A100</f>
        <v>0</v>
      </c>
      <c r="R100" s="292" t="str">
        <f>IF(COUNTIF(A$5:A100,A100)=1,MAX(R$4:R99)+1,VLOOKUP(A100,Q$4:R99,2,0))</f>
        <v>0</v>
      </c>
    </row>
    <row r="101" spans="1:18" customHeight="1" ht="30">
      <c r="A101" s="297"/>
      <c r="B101" s="297"/>
      <c r="C101" s="297"/>
      <c r="D101" s="298"/>
      <c r="E101" s="297"/>
      <c r="F101" s="297"/>
      <c r="G101" s="297"/>
      <c r="H101" s="297"/>
      <c r="Q101" s="292" t="str">
        <f>A101</f>
        <v>0</v>
      </c>
      <c r="R101" s="292" t="str">
        <f>IF(COUNTIF(A$5:A101,A101)=1,MAX(R$4:R100)+1,VLOOKUP(A101,Q$4:R100,2,0))</f>
        <v>0</v>
      </c>
    </row>
    <row r="102" spans="1:18" customHeight="1" ht="30">
      <c r="A102" s="297"/>
      <c r="B102" s="297"/>
      <c r="C102" s="297"/>
      <c r="D102" s="298"/>
      <c r="E102" s="297"/>
      <c r="F102" s="297"/>
      <c r="G102" s="297"/>
      <c r="H102" s="297"/>
      <c r="Q102" s="292" t="str">
        <f>A102</f>
        <v>0</v>
      </c>
      <c r="R102" s="292" t="str">
        <f>IF(COUNTIF(A$5:A102,A102)=1,MAX(R$4:R101)+1,VLOOKUP(A102,Q$4:R101,2,0))</f>
        <v>0</v>
      </c>
    </row>
    <row r="103" spans="1:18" customHeight="1" ht="30">
      <c r="A103" s="297"/>
      <c r="B103" s="297"/>
      <c r="C103" s="297"/>
      <c r="D103" s="298"/>
      <c r="E103" s="297"/>
      <c r="F103" s="297"/>
      <c r="G103" s="297"/>
      <c r="H103" s="297"/>
      <c r="Q103" s="292" t="str">
        <f>A103</f>
        <v>0</v>
      </c>
      <c r="R103" s="292" t="str">
        <f>IF(COUNTIF(A$5:A103,A103)=1,MAX(R$4:R102)+1,VLOOKUP(A103,Q$4:R102,2,0))</f>
        <v>0</v>
      </c>
    </row>
    <row r="104" spans="1:18" customHeight="1" ht="30">
      <c r="A104" s="297"/>
      <c r="B104" s="297"/>
      <c r="C104" s="297"/>
      <c r="D104" s="298"/>
      <c r="E104" s="297"/>
      <c r="F104" s="297"/>
      <c r="G104" s="297"/>
      <c r="H104" s="297"/>
      <c r="Q104" s="292" t="str">
        <f>A104</f>
        <v>0</v>
      </c>
      <c r="R104" s="292" t="str">
        <f>IF(COUNTIF(A$5:A104,A104)=1,MAX(R$4:R103)+1,VLOOKUP(A104,Q$4:R103,2,0))</f>
        <v>0</v>
      </c>
    </row>
    <row r="105" spans="1:18" customHeight="1" ht="30">
      <c r="A105" s="297"/>
      <c r="B105" s="297"/>
      <c r="C105" s="297"/>
      <c r="D105" s="298"/>
      <c r="E105" s="297"/>
      <c r="F105" s="297"/>
      <c r="G105" s="297"/>
      <c r="H105" s="297"/>
      <c r="Q105" s="292" t="str">
        <f>A105</f>
        <v>0</v>
      </c>
      <c r="R105" s="292" t="str">
        <f>IF(COUNTIF(A$5:A105,A105)=1,MAX(R$4:R104)+1,VLOOKUP(A105,Q$4:R104,2,0))</f>
        <v>0</v>
      </c>
    </row>
    <row r="106" spans="1:18" customHeight="1" ht="30">
      <c r="A106" s="297"/>
      <c r="B106" s="297"/>
      <c r="C106" s="297"/>
      <c r="D106" s="298"/>
      <c r="E106" s="297"/>
      <c r="F106" s="297"/>
      <c r="G106" s="297"/>
      <c r="H106" s="297"/>
      <c r="Q106" s="292" t="str">
        <f>A106</f>
        <v>0</v>
      </c>
      <c r="R106" s="292" t="str">
        <f>IF(COUNTIF(A$5:A106,A106)=1,MAX(R$4:R105)+1,VLOOKUP(A106,Q$4:R105,2,0))</f>
        <v>0</v>
      </c>
    </row>
    <row r="107" spans="1:18" customHeight="1" ht="30">
      <c r="A107" s="297"/>
      <c r="B107" s="297"/>
      <c r="C107" s="297"/>
      <c r="D107" s="298"/>
      <c r="E107" s="297"/>
      <c r="F107" s="297"/>
      <c r="G107" s="297"/>
      <c r="H107" s="297"/>
      <c r="Q107" s="292" t="str">
        <f>A107</f>
        <v>0</v>
      </c>
      <c r="R107" s="292" t="str">
        <f>IF(COUNTIF(A$5:A107,A107)=1,MAX(R$4:R106)+1,VLOOKUP(A107,Q$4:R106,2,0))</f>
        <v>0</v>
      </c>
    </row>
    <row r="108" spans="1:18" customHeight="1" ht="30">
      <c r="A108" s="297"/>
      <c r="B108" s="297"/>
      <c r="C108" s="297"/>
      <c r="D108" s="298"/>
      <c r="E108" s="297"/>
      <c r="F108" s="297"/>
      <c r="G108" s="297"/>
      <c r="H108" s="297"/>
      <c r="Q108" s="292" t="str">
        <f>A108</f>
        <v>0</v>
      </c>
      <c r="R108" s="292" t="str">
        <f>IF(COUNTIF(A$5:A108,A108)=1,MAX(R$4:R107)+1,VLOOKUP(A108,Q$4:R107,2,0))</f>
        <v>0</v>
      </c>
    </row>
    <row r="109" spans="1:18" customHeight="1" ht="30">
      <c r="A109" s="297"/>
      <c r="B109" s="297"/>
      <c r="C109" s="297"/>
      <c r="D109" s="298"/>
      <c r="E109" s="297"/>
      <c r="F109" s="297"/>
      <c r="G109" s="297"/>
      <c r="H109" s="297"/>
      <c r="Q109" s="292" t="str">
        <f>A109</f>
        <v>0</v>
      </c>
      <c r="R109" s="292" t="str">
        <f>IF(COUNTIF(A$5:A109,A109)=1,MAX(R$4:R108)+1,VLOOKUP(A109,Q$4:R108,2,0))</f>
        <v>0</v>
      </c>
    </row>
    <row r="110" spans="1:18" customHeight="1" ht="30">
      <c r="A110" s="297"/>
      <c r="B110" s="297"/>
      <c r="C110" s="297"/>
      <c r="D110" s="298"/>
      <c r="E110" s="297"/>
      <c r="F110" s="297"/>
      <c r="G110" s="297"/>
      <c r="H110" s="297"/>
      <c r="Q110" s="292" t="str">
        <f>A110</f>
        <v>0</v>
      </c>
      <c r="R110" s="292" t="str">
        <f>IF(COUNTIF(A$5:A110,A110)=1,MAX(R$4:R109)+1,VLOOKUP(A110,Q$4:R109,2,0))</f>
        <v>0</v>
      </c>
    </row>
    <row r="111" spans="1:18" customHeight="1" ht="30">
      <c r="A111" s="297"/>
      <c r="B111" s="297"/>
      <c r="C111" s="297"/>
      <c r="D111" s="298"/>
      <c r="E111" s="297"/>
      <c r="F111" s="297"/>
      <c r="G111" s="297"/>
      <c r="H111" s="297"/>
      <c r="Q111" s="292" t="str">
        <f>A111</f>
        <v>0</v>
      </c>
      <c r="R111" s="292" t="str">
        <f>IF(COUNTIF(A$5:A111,A111)=1,MAX(R$4:R110)+1,VLOOKUP(A111,Q$4:R110,2,0))</f>
        <v>0</v>
      </c>
    </row>
    <row r="112" spans="1:18" customHeight="1" ht="30">
      <c r="A112" s="297"/>
      <c r="B112" s="297"/>
      <c r="C112" s="297"/>
      <c r="D112" s="298"/>
      <c r="E112" s="297"/>
      <c r="F112" s="297"/>
      <c r="G112" s="297"/>
      <c r="H112" s="297"/>
      <c r="Q112" s="292" t="str">
        <f>A112</f>
        <v>0</v>
      </c>
      <c r="R112" s="292" t="str">
        <f>IF(COUNTIF(A$5:A112,A112)=1,MAX(R$4:R111)+1,VLOOKUP(A112,Q$4:R111,2,0))</f>
        <v>0</v>
      </c>
    </row>
    <row r="113" spans="1:18" customHeight="1" ht="30">
      <c r="A113" s="297"/>
      <c r="B113" s="297"/>
      <c r="C113" s="297"/>
      <c r="D113" s="298"/>
      <c r="E113" s="297"/>
      <c r="F113" s="297"/>
      <c r="G113" s="297"/>
      <c r="H113" s="297"/>
      <c r="Q113" s="292" t="str">
        <f>A113</f>
        <v>0</v>
      </c>
      <c r="R113" s="292" t="str">
        <f>IF(COUNTIF(A$5:A113,A113)=1,MAX(R$4:R112)+1,VLOOKUP(A113,Q$4:R112,2,0))</f>
        <v>0</v>
      </c>
    </row>
    <row r="114" spans="1:18" customHeight="1" ht="30">
      <c r="A114" s="297"/>
      <c r="B114" s="297"/>
      <c r="C114" s="297"/>
      <c r="D114" s="298"/>
      <c r="E114" s="297"/>
      <c r="F114" s="297"/>
      <c r="G114" s="297"/>
      <c r="H114" s="297"/>
      <c r="Q114" s="292" t="str">
        <f>A114</f>
        <v>0</v>
      </c>
      <c r="R114" s="292" t="str">
        <f>IF(COUNTIF(A$5:A114,A114)=1,MAX(R$4:R113)+1,VLOOKUP(A114,Q$4:R113,2,0))</f>
        <v>0</v>
      </c>
    </row>
    <row r="115" spans="1:18" customHeight="1" ht="30">
      <c r="A115" s="297"/>
      <c r="B115" s="297"/>
      <c r="C115" s="297"/>
      <c r="D115" s="298"/>
      <c r="E115" s="297"/>
      <c r="F115" s="297"/>
      <c r="G115" s="297"/>
      <c r="H115" s="297"/>
      <c r="Q115" s="292" t="str">
        <f>A115</f>
        <v>0</v>
      </c>
      <c r="R115" s="292" t="str">
        <f>IF(COUNTIF(A$5:A115,A115)=1,MAX(R$4:R114)+1,VLOOKUP(A115,Q$4:R114,2,0))</f>
        <v>0</v>
      </c>
    </row>
    <row r="116" spans="1:18" customHeight="1" ht="30">
      <c r="A116" s="297"/>
      <c r="B116" s="297"/>
      <c r="C116" s="297"/>
      <c r="D116" s="298"/>
      <c r="E116" s="297"/>
      <c r="F116" s="297"/>
      <c r="G116" s="297"/>
      <c r="H116" s="297"/>
      <c r="Q116" s="292" t="str">
        <f>A116</f>
        <v>0</v>
      </c>
      <c r="R116" s="292" t="str">
        <f>IF(COUNTIF(A$5:A116,A116)=1,MAX(R$4:R115)+1,VLOOKUP(A116,Q$4:R115,2,0))</f>
        <v>0</v>
      </c>
    </row>
    <row r="117" spans="1:18" customHeight="1" ht="30">
      <c r="A117" s="297"/>
      <c r="B117" s="297"/>
      <c r="C117" s="297"/>
      <c r="D117" s="298"/>
      <c r="E117" s="297"/>
      <c r="F117" s="297"/>
      <c r="G117" s="297"/>
      <c r="H117" s="297"/>
      <c r="Q117" s="292" t="str">
        <f>A117</f>
        <v>0</v>
      </c>
      <c r="R117" s="292" t="str">
        <f>IF(COUNTIF(A$5:A117,A117)=1,MAX(R$4:R116)+1,VLOOKUP(A117,Q$4:R116,2,0))</f>
        <v>0</v>
      </c>
    </row>
    <row r="118" spans="1:18" customHeight="1" ht="30">
      <c r="A118" s="297"/>
      <c r="B118" s="297"/>
      <c r="C118" s="297"/>
      <c r="D118" s="298"/>
      <c r="E118" s="297"/>
      <c r="F118" s="297"/>
      <c r="G118" s="297"/>
      <c r="H118" s="297"/>
      <c r="Q118" s="292" t="str">
        <f>A118</f>
        <v>0</v>
      </c>
      <c r="R118" s="292" t="str">
        <f>IF(COUNTIF(A$5:A118,A118)=1,MAX(R$4:R117)+1,VLOOKUP(A118,Q$4:R117,2,0))</f>
        <v>0</v>
      </c>
    </row>
    <row r="119" spans="1:18" customHeight="1" ht="30">
      <c r="A119" s="297"/>
      <c r="B119" s="297"/>
      <c r="C119" s="297"/>
      <c r="D119" s="298"/>
      <c r="E119" s="297"/>
      <c r="F119" s="297"/>
      <c r="G119" s="297"/>
      <c r="H119" s="297"/>
      <c r="Q119" s="292" t="str">
        <f>A119</f>
        <v>0</v>
      </c>
      <c r="R119" s="292" t="str">
        <f>IF(COUNTIF(A$5:A119,A119)=1,MAX(R$4:R118)+1,VLOOKUP(A119,Q$4:R118,2,0))</f>
        <v>0</v>
      </c>
    </row>
    <row r="120" spans="1:18" customHeight="1" ht="30">
      <c r="A120" s="297"/>
      <c r="B120" s="297"/>
      <c r="C120" s="297"/>
      <c r="D120" s="298"/>
      <c r="E120" s="297"/>
      <c r="F120" s="297"/>
      <c r="G120" s="297"/>
      <c r="H120" s="297"/>
      <c r="Q120" s="292" t="str">
        <f>A120</f>
        <v>0</v>
      </c>
      <c r="R120" s="292" t="str">
        <f>IF(COUNTIF(A$5:A120,A120)=1,MAX(R$4:R119)+1,VLOOKUP(A120,Q$4:R119,2,0))</f>
        <v>0</v>
      </c>
    </row>
    <row r="121" spans="1:18" customHeight="1" ht="30">
      <c r="A121" s="297"/>
      <c r="B121" s="297"/>
      <c r="C121" s="297"/>
      <c r="D121" s="298"/>
      <c r="E121" s="297"/>
      <c r="F121" s="297"/>
      <c r="G121" s="297"/>
      <c r="H121" s="297"/>
      <c r="Q121" s="292" t="str">
        <f>A121</f>
        <v>0</v>
      </c>
      <c r="R121" s="292" t="str">
        <f>IF(COUNTIF(A$5:A121,A121)=1,MAX(R$4:R120)+1,VLOOKUP(A121,Q$4:R120,2,0))</f>
        <v>0</v>
      </c>
    </row>
    <row r="122" spans="1:18" customHeight="1" ht="30">
      <c r="A122" s="297"/>
      <c r="B122" s="297"/>
      <c r="C122" s="297"/>
      <c r="D122" s="298"/>
      <c r="E122" s="297"/>
      <c r="F122" s="297"/>
      <c r="G122" s="297"/>
      <c r="H122" s="297"/>
      <c r="Q122" s="292" t="str">
        <f>A122</f>
        <v>0</v>
      </c>
      <c r="R122" s="292" t="str">
        <f>IF(COUNTIF(A$5:A122,A122)=1,MAX(R$4:R121)+1,VLOOKUP(A122,Q$4:R121,2,0))</f>
        <v>0</v>
      </c>
    </row>
    <row r="123" spans="1:18" customHeight="1" ht="30">
      <c r="A123" s="297"/>
      <c r="B123" s="297"/>
      <c r="C123" s="297"/>
      <c r="D123" s="298"/>
      <c r="E123" s="297"/>
      <c r="F123" s="297"/>
      <c r="G123" s="297"/>
      <c r="H123" s="297"/>
      <c r="Q123" s="292" t="str">
        <f>A123</f>
        <v>0</v>
      </c>
      <c r="R123" s="292" t="str">
        <f>IF(COUNTIF(A$5:A123,A123)=1,MAX(R$4:R122)+1,VLOOKUP(A123,Q$4:R122,2,0))</f>
        <v>0</v>
      </c>
    </row>
    <row r="124" spans="1:18" customHeight="1" ht="30">
      <c r="A124" s="297"/>
      <c r="B124" s="297"/>
      <c r="C124" s="297"/>
      <c r="D124" s="298"/>
      <c r="E124" s="297"/>
      <c r="F124" s="297"/>
      <c r="G124" s="297"/>
      <c r="H124" s="297"/>
      <c r="Q124" s="292" t="str">
        <f>A124</f>
        <v>0</v>
      </c>
      <c r="R124" s="292" t="str">
        <f>IF(COUNTIF(A$5:A124,A124)=1,MAX(R$4:R123)+1,VLOOKUP(A124,Q$4:R123,2,0))</f>
        <v>0</v>
      </c>
    </row>
    <row r="125" spans="1:18" customHeight="1" ht="30">
      <c r="A125" s="297"/>
      <c r="B125" s="297"/>
      <c r="C125" s="297"/>
      <c r="D125" s="298"/>
      <c r="E125" s="297"/>
      <c r="F125" s="297"/>
      <c r="G125" s="297"/>
      <c r="H125" s="297"/>
      <c r="Q125" s="292" t="str">
        <f>A125</f>
        <v>0</v>
      </c>
      <c r="R125" s="292" t="str">
        <f>IF(COUNTIF(A$5:A125,A125)=1,MAX(R$4:R124)+1,VLOOKUP(A125,Q$4:R124,2,0))</f>
        <v>0</v>
      </c>
    </row>
    <row r="126" spans="1:18" customHeight="1" ht="30">
      <c r="A126" s="297"/>
      <c r="B126" s="297"/>
      <c r="C126" s="297"/>
      <c r="D126" s="298"/>
      <c r="E126" s="297"/>
      <c r="F126" s="297"/>
      <c r="G126" s="297"/>
      <c r="H126" s="297"/>
      <c r="Q126" s="292" t="str">
        <f>A126</f>
        <v>0</v>
      </c>
      <c r="R126" s="292" t="str">
        <f>IF(COUNTIF(A$5:A126,A126)=1,MAX(R$4:R125)+1,VLOOKUP(A126,Q$4:R125,2,0))</f>
        <v>0</v>
      </c>
    </row>
    <row r="127" spans="1:18" customHeight="1" ht="30">
      <c r="A127" s="297"/>
      <c r="B127" s="297"/>
      <c r="C127" s="297"/>
      <c r="D127" s="298"/>
      <c r="E127" s="297"/>
      <c r="F127" s="297"/>
      <c r="G127" s="297"/>
      <c r="H127" s="297"/>
      <c r="Q127" s="292" t="str">
        <f>A127</f>
        <v>0</v>
      </c>
      <c r="R127" s="292" t="str">
        <f>IF(COUNTIF(A$5:A127,A127)=1,MAX(R$4:R126)+1,VLOOKUP(A127,Q$4:R126,2,0))</f>
        <v>0</v>
      </c>
    </row>
    <row r="128" spans="1:18" customHeight="1" ht="30">
      <c r="A128" s="297"/>
      <c r="B128" s="297"/>
      <c r="C128" s="297"/>
      <c r="D128" s="298"/>
      <c r="E128" s="297"/>
      <c r="F128" s="297"/>
      <c r="G128" s="297"/>
      <c r="H128" s="297"/>
      <c r="Q128" s="292" t="str">
        <f>A128</f>
        <v>0</v>
      </c>
      <c r="R128" s="292" t="str">
        <f>IF(COUNTIF(A$5:A128,A128)=1,MAX(R$4:R127)+1,VLOOKUP(A128,Q$4:R127,2,0))</f>
        <v>0</v>
      </c>
    </row>
    <row r="129" spans="1:18" customHeight="1" ht="30">
      <c r="A129" s="297"/>
      <c r="B129" s="297"/>
      <c r="C129" s="297"/>
      <c r="D129" s="298"/>
      <c r="E129" s="297"/>
      <c r="F129" s="297"/>
      <c r="G129" s="297"/>
      <c r="H129" s="297"/>
      <c r="Q129" s="292" t="str">
        <f>A129</f>
        <v>0</v>
      </c>
      <c r="R129" s="292" t="str">
        <f>IF(COUNTIF(A$5:A129,A129)=1,MAX(R$4:R128)+1,VLOOKUP(A129,Q$4:R128,2,0))</f>
        <v>0</v>
      </c>
    </row>
    <row r="130" spans="1:18" customHeight="1" ht="30">
      <c r="A130" s="297"/>
      <c r="B130" s="297"/>
      <c r="C130" s="297"/>
      <c r="D130" s="298"/>
      <c r="E130" s="297"/>
      <c r="F130" s="297"/>
      <c r="G130" s="297"/>
      <c r="H130" s="297"/>
      <c r="Q130" s="292" t="str">
        <f>A130</f>
        <v>0</v>
      </c>
      <c r="R130" s="292" t="str">
        <f>IF(COUNTIF(A$5:A130,A130)=1,MAX(R$4:R129)+1,VLOOKUP(A130,Q$4:R129,2,0))</f>
        <v>0</v>
      </c>
    </row>
    <row r="131" spans="1:18" customHeight="1" ht="30">
      <c r="A131" s="297"/>
      <c r="B131" s="297"/>
      <c r="C131" s="297"/>
      <c r="D131" s="298"/>
      <c r="E131" s="297"/>
      <c r="F131" s="297"/>
      <c r="G131" s="297"/>
      <c r="H131" s="297"/>
      <c r="Q131" s="292" t="str">
        <f>A131</f>
        <v>0</v>
      </c>
      <c r="R131" s="292" t="str">
        <f>IF(COUNTIF(A$5:A131,A131)=1,MAX(R$4:R130)+1,VLOOKUP(A131,Q$4:R130,2,0))</f>
        <v>0</v>
      </c>
    </row>
    <row r="132" spans="1:18" customHeight="1" ht="30">
      <c r="A132" s="297"/>
      <c r="B132" s="297"/>
      <c r="C132" s="297"/>
      <c r="D132" s="298"/>
      <c r="E132" s="297"/>
      <c r="F132" s="297"/>
      <c r="G132" s="297"/>
      <c r="H132" s="297"/>
      <c r="Q132" s="292" t="str">
        <f>A132</f>
        <v>0</v>
      </c>
      <c r="R132" s="292" t="str">
        <f>IF(COUNTIF(A$5:A132,A132)=1,MAX(R$4:R131)+1,VLOOKUP(A132,Q$4:R131,2,0))</f>
        <v>0</v>
      </c>
    </row>
    <row r="133" spans="1:18" customHeight="1" ht="30">
      <c r="A133" s="297"/>
      <c r="B133" s="297"/>
      <c r="C133" s="297"/>
      <c r="D133" s="298"/>
      <c r="E133" s="297"/>
      <c r="F133" s="297"/>
      <c r="G133" s="297"/>
      <c r="H133" s="297"/>
      <c r="Q133" s="292" t="str">
        <f>A133</f>
        <v>0</v>
      </c>
      <c r="R133" s="292" t="str">
        <f>IF(COUNTIF(A$5:A133,A133)=1,MAX(R$4:R132)+1,VLOOKUP(A133,Q$4:R132,2,0))</f>
        <v>0</v>
      </c>
    </row>
    <row r="134" spans="1:18" customHeight="1" ht="30">
      <c r="A134" s="297"/>
      <c r="B134" s="297"/>
      <c r="C134" s="297"/>
      <c r="D134" s="298"/>
      <c r="E134" s="297"/>
      <c r="F134" s="297"/>
      <c r="G134" s="297"/>
      <c r="H134" s="297"/>
      <c r="Q134" s="292" t="str">
        <f>A134</f>
        <v>0</v>
      </c>
      <c r="R134" s="292" t="str">
        <f>IF(COUNTIF(A$5:A134,A134)=1,MAX(R$4:R133)+1,VLOOKUP(A134,Q$4:R133,2,0))</f>
        <v>0</v>
      </c>
    </row>
    <row r="135" spans="1:18" customHeight="1" ht="30">
      <c r="A135" s="297"/>
      <c r="B135" s="297"/>
      <c r="C135" s="297"/>
      <c r="D135" s="298"/>
      <c r="E135" s="297"/>
      <c r="F135" s="297"/>
      <c r="G135" s="297"/>
      <c r="H135" s="297"/>
      <c r="Q135" s="292" t="str">
        <f>A135</f>
        <v>0</v>
      </c>
      <c r="R135" s="292" t="str">
        <f>IF(COUNTIF(A$5:A135,A135)=1,MAX(R$4:R134)+1,VLOOKUP(A135,Q$4:R134,2,0))</f>
        <v>0</v>
      </c>
    </row>
    <row r="136" spans="1:18" customHeight="1" ht="30">
      <c r="A136" s="297"/>
      <c r="B136" s="297"/>
      <c r="C136" s="297"/>
      <c r="D136" s="298"/>
      <c r="E136" s="297"/>
      <c r="F136" s="297"/>
      <c r="G136" s="297"/>
      <c r="H136" s="297"/>
      <c r="Q136" s="292" t="str">
        <f>A136</f>
        <v>0</v>
      </c>
      <c r="R136" s="292" t="str">
        <f>IF(COUNTIF(A$5:A136,A136)=1,MAX(R$4:R135)+1,VLOOKUP(A136,Q$4:R135,2,0))</f>
        <v>0</v>
      </c>
    </row>
    <row r="137" spans="1:18" customHeight="1" ht="30">
      <c r="A137" s="297"/>
      <c r="B137" s="297"/>
      <c r="C137" s="297"/>
      <c r="D137" s="298"/>
      <c r="E137" s="297"/>
      <c r="F137" s="297"/>
      <c r="G137" s="297"/>
      <c r="H137" s="297"/>
      <c r="Q137" s="292" t="str">
        <f>A137</f>
        <v>0</v>
      </c>
      <c r="R137" s="292" t="str">
        <f>IF(COUNTIF(A$5:A137,A137)=1,MAX(R$4:R136)+1,VLOOKUP(A137,Q$4:R136,2,0))</f>
        <v>0</v>
      </c>
    </row>
    <row r="138" spans="1:18" customHeight="1" ht="30">
      <c r="A138" s="297"/>
      <c r="B138" s="297"/>
      <c r="C138" s="297"/>
      <c r="D138" s="298"/>
      <c r="E138" s="297"/>
      <c r="F138" s="297"/>
      <c r="G138" s="297"/>
      <c r="H138" s="297"/>
      <c r="Q138" s="292" t="str">
        <f>A138</f>
        <v>0</v>
      </c>
      <c r="R138" s="292" t="str">
        <f>IF(COUNTIF(A$5:A138,A138)=1,MAX(R$4:R137)+1,VLOOKUP(A138,Q$4:R137,2,0))</f>
        <v>0</v>
      </c>
    </row>
    <row r="139" spans="1:18" customHeight="1" ht="30">
      <c r="A139" s="297"/>
      <c r="B139" s="297"/>
      <c r="C139" s="297"/>
      <c r="D139" s="298"/>
      <c r="E139" s="297"/>
      <c r="F139" s="297"/>
      <c r="G139" s="297"/>
      <c r="H139" s="297"/>
      <c r="Q139" s="292" t="str">
        <f>A139</f>
        <v>0</v>
      </c>
      <c r="R139" s="292" t="str">
        <f>IF(COUNTIF(A$5:A139,A139)=1,MAX(R$4:R138)+1,VLOOKUP(A139,Q$4:R138,2,0))</f>
        <v>0</v>
      </c>
    </row>
    <row r="140" spans="1:18" customHeight="1" ht="30">
      <c r="A140" s="297"/>
      <c r="B140" s="297"/>
      <c r="C140" s="297"/>
      <c r="D140" s="298"/>
      <c r="E140" s="297"/>
      <c r="F140" s="297"/>
      <c r="G140" s="297"/>
      <c r="H140" s="297"/>
      <c r="Q140" s="292" t="str">
        <f>A140</f>
        <v>0</v>
      </c>
      <c r="R140" s="292" t="str">
        <f>IF(COUNTIF(A$5:A140,A140)=1,MAX(R$4:R139)+1,VLOOKUP(A140,Q$4:R139,2,0))</f>
        <v>0</v>
      </c>
    </row>
    <row r="141" spans="1:18" customHeight="1" ht="30">
      <c r="A141" s="297"/>
      <c r="B141" s="297"/>
      <c r="C141" s="297"/>
      <c r="D141" s="298"/>
      <c r="E141" s="297"/>
      <c r="F141" s="297"/>
      <c r="G141" s="297"/>
      <c r="H141" s="297"/>
      <c r="Q141" s="292" t="str">
        <f>A141</f>
        <v>0</v>
      </c>
      <c r="R141" s="292" t="str">
        <f>IF(COUNTIF(A$5:A141,A141)=1,MAX(R$4:R140)+1,VLOOKUP(A141,Q$4:R140,2,0))</f>
        <v>0</v>
      </c>
    </row>
    <row r="142" spans="1:18" customHeight="1" ht="30">
      <c r="A142" s="297"/>
      <c r="B142" s="297"/>
      <c r="C142" s="297"/>
      <c r="D142" s="298"/>
      <c r="E142" s="297"/>
      <c r="F142" s="297"/>
      <c r="G142" s="297"/>
      <c r="H142" s="297"/>
      <c r="Q142" s="292" t="str">
        <f>A142</f>
        <v>0</v>
      </c>
      <c r="R142" s="292" t="str">
        <f>IF(COUNTIF(A$5:A142,A142)=1,MAX(R$4:R141)+1,VLOOKUP(A142,Q$4:R141,2,0))</f>
        <v>0</v>
      </c>
    </row>
    <row r="143" spans="1:18" customHeight="1" ht="30">
      <c r="A143" s="297"/>
      <c r="B143" s="297"/>
      <c r="C143" s="297"/>
      <c r="D143" s="298"/>
      <c r="E143" s="297"/>
      <c r="F143" s="297"/>
      <c r="G143" s="297"/>
      <c r="H143" s="297"/>
      <c r="Q143" s="292" t="str">
        <f>A143</f>
        <v>0</v>
      </c>
      <c r="R143" s="292" t="str">
        <f>IF(COUNTIF(A$5:A143,A143)=1,MAX(R$4:R142)+1,VLOOKUP(A143,Q$4:R142,2,0))</f>
        <v>0</v>
      </c>
    </row>
    <row r="144" spans="1:18" customHeight="1" ht="30">
      <c r="A144" s="297"/>
      <c r="B144" s="297"/>
      <c r="C144" s="297"/>
      <c r="D144" s="298"/>
      <c r="E144" s="297"/>
      <c r="F144" s="297"/>
      <c r="G144" s="297"/>
      <c r="H144" s="297"/>
      <c r="Q144" s="292" t="str">
        <f>A144</f>
        <v>0</v>
      </c>
      <c r="R144" s="292" t="str">
        <f>IF(COUNTIF(A$5:A144,A144)=1,MAX(R$4:R143)+1,VLOOKUP(A144,Q$4:R143,2,0))</f>
        <v>0</v>
      </c>
    </row>
    <row r="145" spans="1:18" customHeight="1" ht="30">
      <c r="A145" s="297"/>
      <c r="B145" s="297"/>
      <c r="C145" s="297"/>
      <c r="D145" s="298"/>
      <c r="E145" s="297"/>
      <c r="F145" s="297"/>
      <c r="G145" s="297"/>
      <c r="H145" s="297"/>
      <c r="Q145" s="292" t="str">
        <f>A145</f>
        <v>0</v>
      </c>
      <c r="R145" s="292" t="str">
        <f>IF(COUNTIF(A$5:A145,A145)=1,MAX(R$4:R144)+1,VLOOKUP(A145,Q$4:R144,2,0))</f>
        <v>0</v>
      </c>
    </row>
    <row r="146" spans="1:18" customHeight="1" ht="30">
      <c r="A146" s="297"/>
      <c r="B146" s="297"/>
      <c r="C146" s="297"/>
      <c r="D146" s="298"/>
      <c r="E146" s="297"/>
      <c r="F146" s="297"/>
      <c r="G146" s="297"/>
      <c r="H146" s="297"/>
      <c r="Q146" s="292" t="str">
        <f>A146</f>
        <v>0</v>
      </c>
      <c r="R146" s="292" t="str">
        <f>IF(COUNTIF(A$5:A146,A146)=1,MAX(R$4:R145)+1,VLOOKUP(A146,Q$4:R145,2,0))</f>
        <v>0</v>
      </c>
    </row>
    <row r="147" spans="1:18" customHeight="1" ht="30">
      <c r="A147" s="297"/>
      <c r="B147" s="297"/>
      <c r="C147" s="297"/>
      <c r="D147" s="298"/>
      <c r="E147" s="297"/>
      <c r="F147" s="297"/>
      <c r="G147" s="297"/>
      <c r="H147" s="297"/>
      <c r="Q147" s="292" t="str">
        <f>A147</f>
        <v>0</v>
      </c>
      <c r="R147" s="292" t="str">
        <f>IF(COUNTIF(A$5:A147,A147)=1,MAX(R$4:R146)+1,VLOOKUP(A147,Q$4:R146,2,0))</f>
        <v>0</v>
      </c>
    </row>
    <row r="148" spans="1:18" customHeight="1" ht="30">
      <c r="A148" s="297"/>
      <c r="B148" s="297"/>
      <c r="C148" s="297"/>
      <c r="D148" s="298"/>
      <c r="E148" s="297"/>
      <c r="F148" s="297"/>
      <c r="G148" s="297"/>
      <c r="H148" s="297"/>
      <c r="Q148" s="292" t="str">
        <f>A148</f>
        <v>0</v>
      </c>
      <c r="R148" s="292" t="str">
        <f>IF(COUNTIF(A$5:A148,A148)=1,MAX(R$4:R147)+1,VLOOKUP(A148,Q$4:R147,2,0))</f>
        <v>0</v>
      </c>
    </row>
    <row r="149" spans="1:18" customHeight="1" ht="30">
      <c r="A149" s="297"/>
      <c r="B149" s="297"/>
      <c r="C149" s="297"/>
      <c r="D149" s="298"/>
      <c r="E149" s="297"/>
      <c r="F149" s="297"/>
      <c r="G149" s="297"/>
      <c r="H149" s="297"/>
      <c r="Q149" s="292" t="str">
        <f>A149</f>
        <v>0</v>
      </c>
      <c r="R149" s="292" t="str">
        <f>IF(COUNTIF(A$5:A149,A149)=1,MAX(R$4:R148)+1,VLOOKUP(A149,Q$4:R148,2,0))</f>
        <v>0</v>
      </c>
    </row>
    <row r="150" spans="1:18" customHeight="1" ht="30">
      <c r="A150" s="297"/>
      <c r="B150" s="297"/>
      <c r="C150" s="297"/>
      <c r="D150" s="298"/>
      <c r="E150" s="297"/>
      <c r="F150" s="297"/>
      <c r="G150" s="297"/>
      <c r="H150" s="297"/>
      <c r="Q150" s="292" t="str">
        <f>A150</f>
        <v>0</v>
      </c>
      <c r="R150" s="292" t="str">
        <f>IF(COUNTIF(A$5:A150,A150)=1,MAX(R$4:R149)+1,VLOOKUP(A150,Q$4:R149,2,0))</f>
        <v>0</v>
      </c>
    </row>
    <row r="151" spans="1:18" customHeight="1" ht="30">
      <c r="A151" s="297"/>
      <c r="B151" s="297"/>
      <c r="C151" s="297"/>
      <c r="D151" s="298"/>
      <c r="E151" s="297"/>
      <c r="F151" s="297"/>
      <c r="G151" s="297"/>
      <c r="H151" s="297"/>
      <c r="Q151" s="292" t="str">
        <f>A151</f>
        <v>0</v>
      </c>
      <c r="R151" s="292" t="str">
        <f>IF(COUNTIF(A$5:A151,A151)=1,MAX(R$4:R150)+1,VLOOKUP(A151,Q$4:R150,2,0))</f>
        <v>0</v>
      </c>
    </row>
    <row r="152" spans="1:18" customHeight="1" ht="30">
      <c r="A152" s="297"/>
      <c r="B152" s="297"/>
      <c r="C152" s="297"/>
      <c r="D152" s="298"/>
      <c r="E152" s="297"/>
      <c r="F152" s="297"/>
      <c r="G152" s="297"/>
      <c r="H152" s="297"/>
      <c r="Q152" s="292" t="str">
        <f>A152</f>
        <v>0</v>
      </c>
      <c r="R152" s="292" t="str">
        <f>IF(COUNTIF(A$5:A152,A152)=1,MAX(R$4:R151)+1,VLOOKUP(A152,Q$4:R151,2,0))</f>
        <v>0</v>
      </c>
    </row>
    <row r="153" spans="1:18" customHeight="1" ht="30">
      <c r="A153" s="297"/>
      <c r="B153" s="297"/>
      <c r="C153" s="297"/>
      <c r="D153" s="298"/>
      <c r="E153" s="297"/>
      <c r="F153" s="297"/>
      <c r="G153" s="297"/>
      <c r="H153" s="297"/>
      <c r="Q153" s="292" t="str">
        <f>A153</f>
        <v>0</v>
      </c>
      <c r="R153" s="292" t="str">
        <f>IF(COUNTIF(A$5:A153,A153)=1,MAX(R$4:R152)+1,VLOOKUP(A153,Q$4:R152,2,0))</f>
        <v>0</v>
      </c>
    </row>
    <row r="154" spans="1:18" customHeight="1" ht="30">
      <c r="A154" s="297"/>
      <c r="B154" s="297"/>
      <c r="C154" s="297"/>
      <c r="D154" s="298"/>
      <c r="E154" s="297"/>
      <c r="F154" s="297"/>
      <c r="G154" s="297"/>
      <c r="H154" s="297"/>
      <c r="Q154" s="292" t="str">
        <f>A154</f>
        <v>0</v>
      </c>
      <c r="R154" s="292" t="str">
        <f>IF(COUNTIF(A$5:A154,A154)=1,MAX(R$4:R153)+1,VLOOKUP(A154,Q$4:R153,2,0))</f>
        <v>0</v>
      </c>
    </row>
    <row r="155" spans="1:18" customHeight="1" ht="30">
      <c r="A155" s="297"/>
      <c r="B155" s="297"/>
      <c r="C155" s="297"/>
      <c r="D155" s="298"/>
      <c r="E155" s="297"/>
      <c r="F155" s="297"/>
      <c r="G155" s="297"/>
      <c r="H155" s="297"/>
      <c r="Q155" s="292" t="str">
        <f>A155</f>
        <v>0</v>
      </c>
      <c r="R155" s="292" t="str">
        <f>IF(COUNTIF(A$5:A155,A155)=1,MAX(R$4:R154)+1,VLOOKUP(A155,Q$4:R154,2,0))</f>
        <v>0</v>
      </c>
    </row>
    <row r="156" spans="1:18" customHeight="1" ht="30">
      <c r="A156" s="297"/>
      <c r="B156" s="297"/>
      <c r="C156" s="297"/>
      <c r="D156" s="298"/>
      <c r="E156" s="297"/>
      <c r="F156" s="297"/>
      <c r="G156" s="297"/>
      <c r="H156" s="297"/>
      <c r="Q156" s="292" t="str">
        <f>A156</f>
        <v>0</v>
      </c>
      <c r="R156" s="292" t="str">
        <f>IF(COUNTIF(A$5:A156,A156)=1,MAX(R$4:R155)+1,VLOOKUP(A156,Q$4:R155,2,0))</f>
        <v>0</v>
      </c>
    </row>
    <row r="157" spans="1:18" customHeight="1" ht="30">
      <c r="A157" s="297"/>
      <c r="B157" s="297"/>
      <c r="C157" s="297"/>
      <c r="D157" s="298"/>
      <c r="E157" s="297"/>
      <c r="F157" s="297"/>
      <c r="G157" s="297"/>
      <c r="H157" s="297"/>
      <c r="Q157" s="292" t="str">
        <f>A157</f>
        <v>0</v>
      </c>
      <c r="R157" s="292" t="str">
        <f>IF(COUNTIF(A$5:A157,A157)=1,MAX(R$4:R156)+1,VLOOKUP(A157,Q$4:R156,2,0))</f>
        <v>0</v>
      </c>
    </row>
    <row r="158" spans="1:18" customHeight="1" ht="30">
      <c r="A158" s="297"/>
      <c r="B158" s="297"/>
      <c r="C158" s="297"/>
      <c r="D158" s="298"/>
      <c r="E158" s="297"/>
      <c r="F158" s="297"/>
      <c r="G158" s="297"/>
      <c r="H158" s="297"/>
      <c r="Q158" s="292" t="str">
        <f>A158</f>
        <v>0</v>
      </c>
      <c r="R158" s="292" t="str">
        <f>IF(COUNTIF(A$5:A158,A158)=1,MAX(R$4:R157)+1,VLOOKUP(A158,Q$4:R157,2,0))</f>
        <v>0</v>
      </c>
    </row>
    <row r="159" spans="1:18" customHeight="1" ht="30">
      <c r="A159" s="297"/>
      <c r="B159" s="297"/>
      <c r="C159" s="297"/>
      <c r="D159" s="298"/>
      <c r="E159" s="297"/>
      <c r="F159" s="297"/>
      <c r="G159" s="297"/>
      <c r="H159" s="297"/>
      <c r="Q159" s="292" t="str">
        <f>A159</f>
        <v>0</v>
      </c>
      <c r="R159" s="292" t="str">
        <f>IF(COUNTIF(A$5:A159,A159)=1,MAX(R$4:R158)+1,VLOOKUP(A159,Q$4:R158,2,0))</f>
        <v>0</v>
      </c>
    </row>
    <row r="160" spans="1:18" customHeight="1" ht="30">
      <c r="A160" s="219"/>
      <c r="B160" s="219"/>
      <c r="C160" s="219"/>
      <c r="D160" s="65"/>
      <c r="E160" s="297"/>
      <c r="F160" s="297"/>
      <c r="G160" s="297"/>
      <c r="H160" s="219"/>
      <c r="Q160" s="292" t="str">
        <f>A160</f>
        <v>0</v>
      </c>
      <c r="R160" s="292" t="str">
        <f>IF(COUNTIF(A$5:A160,A160)=1,MAX(R$4:R159)+1,VLOOKUP(A160,Q$4:R159,2,0))</f>
        <v>0</v>
      </c>
    </row>
    <row r="161" spans="1:18" customHeight="1" ht="30">
      <c r="Q161" s="292" t="str">
        <f>A161</f>
        <v>0</v>
      </c>
      <c r="R161" s="292" t="str">
        <f>IF(COUNTIF(A$5:A161,A161)=1,MAX(R$4:R160)+1,VLOOKUP(A161,Q$4:R160,2,0))</f>
        <v>0</v>
      </c>
    </row>
    <row r="162" spans="1:18" customHeight="1" ht="30">
      <c r="Q162" s="292" t="str">
        <f>A162</f>
        <v>0</v>
      </c>
      <c r="R162" s="292" t="str">
        <f>IF(COUNTIF(A$5:A162,A162)=1,MAX(R$4:R161)+1,VLOOKUP(A162,Q$4:R161,2,0))</f>
        <v>0</v>
      </c>
    </row>
    <row r="163" spans="1:18" customHeight="1" ht="30">
      <c r="Q163" s="292" t="str">
        <f>A163</f>
        <v>0</v>
      </c>
      <c r="R163" s="292" t="str">
        <f>IF(COUNTIF(A$5:A163,A163)=1,MAX(R$4:R162)+1,VLOOKUP(A163,Q$4:R162,2,0))</f>
        <v>0</v>
      </c>
    </row>
    <row r="164" spans="1:18" customHeight="1" ht="30">
      <c r="Q164" s="292" t="str">
        <f>A164</f>
        <v>0</v>
      </c>
      <c r="R164" s="292" t="str">
        <f>IF(COUNTIF(A$5:A164,A164)=1,MAX(R$4:R163)+1,VLOOKUP(A164,Q$4:R163,2,0))</f>
        <v>0</v>
      </c>
    </row>
    <row r="165" spans="1:18" customHeight="1" ht="30">
      <c r="Q165" s="292" t="str">
        <f>A165</f>
        <v>0</v>
      </c>
      <c r="R165" s="292" t="str">
        <f>IF(COUNTIF(A$5:A165,A165)=1,MAX(R$4:R164)+1,VLOOKUP(A165,Q$4:R164,2,0))</f>
        <v>0</v>
      </c>
    </row>
    <row r="166" spans="1:18" customHeight="1" ht="30">
      <c r="Q166" s="292" t="str">
        <f>A166</f>
        <v>0</v>
      </c>
      <c r="R166" s="292" t="str">
        <f>IF(COUNTIF(A$5:A166,A166)=1,MAX(R$4:R165)+1,VLOOKUP(A166,Q$4:R165,2,0))</f>
        <v>0</v>
      </c>
    </row>
    <row r="167" spans="1:18" customHeight="1" ht="30">
      <c r="Q167" s="292" t="str">
        <f>A167</f>
        <v>0</v>
      </c>
      <c r="R167" s="292" t="str">
        <f>IF(COUNTIF(A$5:A167,A167)=1,MAX(R$4:R166)+1,VLOOKUP(A167,Q$4:R166,2,0))</f>
        <v>0</v>
      </c>
    </row>
    <row r="168" spans="1:18" customHeight="1" ht="30">
      <c r="Q168" s="292" t="str">
        <f>A168</f>
        <v>0</v>
      </c>
      <c r="R168" s="292" t="str">
        <f>IF(COUNTIF(A$5:A168,A168)=1,MAX(R$4:R167)+1,VLOOKUP(A168,Q$4:R167,2,0))</f>
        <v>0</v>
      </c>
    </row>
    <row r="169" spans="1:18" customHeight="1" ht="30">
      <c r="Q169" s="292" t="str">
        <f>A169</f>
        <v>0</v>
      </c>
      <c r="R169" s="292" t="str">
        <f>IF(COUNTIF(A$5:A169,A169)=1,MAX(R$4:R168)+1,VLOOKUP(A169,Q$4:R168,2,0))</f>
        <v>0</v>
      </c>
    </row>
    <row r="170" spans="1:18" customHeight="1" ht="30">
      <c r="Q170" s="292" t="str">
        <f>A170</f>
        <v>0</v>
      </c>
      <c r="R170" s="292" t="str">
        <f>IF(COUNTIF(A$5:A170,A170)=1,MAX(R$4:R169)+1,VLOOKUP(A170,Q$4:R169,2,0))</f>
        <v>0</v>
      </c>
    </row>
    <row r="171" spans="1:18" customHeight="1" ht="30">
      <c r="Q171" s="292" t="str">
        <f>A171</f>
        <v>0</v>
      </c>
      <c r="R171" s="292" t="str">
        <f>IF(COUNTIF(A$5:A171,A171)=1,MAX(R$4:R170)+1,VLOOKUP(A171,Q$4:R170,2,0))</f>
        <v>0</v>
      </c>
    </row>
    <row r="172" spans="1:18" customHeight="1" ht="30">
      <c r="Q172" s="292" t="str">
        <f>A172</f>
        <v>0</v>
      </c>
      <c r="R172" s="292" t="str">
        <f>IF(COUNTIF(A$5:A172,A172)=1,MAX(R$4:R171)+1,VLOOKUP(A172,Q$4:R171,2,0))</f>
        <v>0</v>
      </c>
    </row>
    <row r="173" spans="1:18" customHeight="1" ht="30">
      <c r="Q173" s="292" t="str">
        <f>A173</f>
        <v>0</v>
      </c>
      <c r="R173" s="292" t="str">
        <f>IF(COUNTIF(A$5:A173,A173)=1,MAX(R$4:R172)+1,VLOOKUP(A173,Q$4:R172,2,0))</f>
        <v>0</v>
      </c>
    </row>
    <row r="174" spans="1:18" customHeight="1" ht="30">
      <c r="Q174" s="292" t="str">
        <f>A174</f>
        <v>0</v>
      </c>
      <c r="R174" s="292" t="str">
        <f>IF(COUNTIF(A$5:A174,A174)=1,MAX(R$4:R173)+1,VLOOKUP(A174,Q$4:R173,2,0))</f>
        <v>0</v>
      </c>
    </row>
    <row r="175" spans="1:18" customHeight="1" ht="30">
      <c r="Q175" s="292" t="str">
        <f>A175</f>
        <v>0</v>
      </c>
      <c r="R175" s="292" t="str">
        <f>IF(COUNTIF(A$5:A175,A175)=1,MAX(R$4:R174)+1,VLOOKUP(A175,Q$4:R174,2,0))</f>
        <v>0</v>
      </c>
    </row>
    <row r="176" spans="1:18" customHeight="1" ht="30">
      <c r="Q176" s="292" t="str">
        <f>A176</f>
        <v>0</v>
      </c>
      <c r="R176" s="292" t="str">
        <f>IF(COUNTIF(A$5:A176,A176)=1,MAX(R$4:R175)+1,VLOOKUP(A176,Q$4:R175,2,0))</f>
        <v>0</v>
      </c>
    </row>
    <row r="177" spans="1:18" customHeight="1" ht="30">
      <c r="Q177" s="292" t="str">
        <f>A177</f>
        <v>0</v>
      </c>
      <c r="R177" s="292" t="str">
        <f>IF(COUNTIF(A$5:A177,A177)=1,MAX(R$4:R176)+1,VLOOKUP(A177,Q$4:R176,2,0))</f>
        <v>0</v>
      </c>
    </row>
    <row r="178" spans="1:18" customHeight="1" ht="30">
      <c r="Q178" s="292" t="str">
        <f>A178</f>
        <v>0</v>
      </c>
      <c r="R178" s="292" t="str">
        <f>IF(COUNTIF(A$5:A178,A178)=1,MAX(R$4:R177)+1,VLOOKUP(A178,Q$4:R177,2,0))</f>
        <v>0</v>
      </c>
    </row>
    <row r="179" spans="1:18" customHeight="1" ht="30">
      <c r="Q179" s="292" t="str">
        <f>A179</f>
        <v>0</v>
      </c>
      <c r="R179" s="292" t="str">
        <f>IF(COUNTIF(A$5:A179,A179)=1,MAX(R$4:R178)+1,VLOOKUP(A179,Q$4:R178,2,0))</f>
        <v>0</v>
      </c>
    </row>
    <row r="180" spans="1:18" customHeight="1" ht="30">
      <c r="Q180" s="292" t="str">
        <f>A180</f>
        <v>0</v>
      </c>
      <c r="R180" s="292" t="str">
        <f>IF(COUNTIF(A$5:A180,A180)=1,MAX(R$4:R179)+1,VLOOKUP(A180,Q$4:R179,2,0))</f>
        <v>0</v>
      </c>
    </row>
    <row r="181" spans="1:18" customHeight="1" ht="30">
      <c r="Q181" s="292" t="str">
        <f>A181</f>
        <v>0</v>
      </c>
      <c r="R181" s="292" t="str">
        <f>IF(COUNTIF(A$5:A181,A181)=1,MAX(R$4:R180)+1,VLOOKUP(A181,Q$4:R180,2,0))</f>
        <v>0</v>
      </c>
    </row>
    <row r="182" spans="1:18" customHeight="1" ht="30">
      <c r="Q182" s="292" t="str">
        <f>A182</f>
        <v>0</v>
      </c>
      <c r="R182" s="292" t="str">
        <f>IF(COUNTIF(A$5:A182,A182)=1,MAX(R$4:R181)+1,VLOOKUP(A182,Q$4:R181,2,0))</f>
        <v>0</v>
      </c>
    </row>
    <row r="183" spans="1:18" customHeight="1" ht="30">
      <c r="Q183" s="292" t="str">
        <f>A183</f>
        <v>0</v>
      </c>
      <c r="R183" s="292" t="str">
        <f>IF(COUNTIF(A$5:A183,A183)=1,MAX(R$4:R182)+1,VLOOKUP(A183,Q$4:R182,2,0))</f>
        <v>0</v>
      </c>
    </row>
    <row r="184" spans="1:18" customHeight="1" ht="30">
      <c r="Q184" s="292" t="str">
        <f>A184</f>
        <v>0</v>
      </c>
      <c r="R184" s="292" t="str">
        <f>IF(COUNTIF(A$5:A184,A184)=1,MAX(R$4:R183)+1,VLOOKUP(A184,Q$4:R183,2,0))</f>
        <v>0</v>
      </c>
    </row>
    <row r="185" spans="1:18" customHeight="1" ht="30">
      <c r="Q185" s="292" t="str">
        <f>A185</f>
        <v>0</v>
      </c>
      <c r="R185" s="292" t="str">
        <f>IF(COUNTIF(A$5:A185,A185)=1,MAX(R$4:R184)+1,VLOOKUP(A185,Q$4:R184,2,0))</f>
        <v>0</v>
      </c>
    </row>
    <row r="186" spans="1:18" customHeight="1" ht="30">
      <c r="Q186" s="292" t="str">
        <f>A186</f>
        <v>0</v>
      </c>
      <c r="R186" s="292" t="str">
        <f>IF(COUNTIF(A$5:A186,A186)=1,MAX(R$4:R185)+1,VLOOKUP(A186,Q$4:R185,2,0))</f>
        <v>0</v>
      </c>
    </row>
    <row r="187" spans="1:18" customHeight="1" ht="30">
      <c r="Q187" s="292" t="str">
        <f>A187</f>
        <v>0</v>
      </c>
      <c r="R187" s="292" t="str">
        <f>IF(COUNTIF(A$5:A187,A187)=1,MAX(R$4:R186)+1,VLOOKUP(A187,Q$4:R186,2,0))</f>
        <v>0</v>
      </c>
    </row>
    <row r="188" spans="1:18" customHeight="1" ht="30">
      <c r="Q188" s="292" t="str">
        <f>A188</f>
        <v>0</v>
      </c>
      <c r="R188" s="292" t="str">
        <f>IF(COUNTIF(A$5:A188,A188)=1,MAX(R$4:R187)+1,VLOOKUP(A188,Q$4:R187,2,0))</f>
        <v>0</v>
      </c>
    </row>
    <row r="189" spans="1:18" customHeight="1" ht="30">
      <c r="Q189" s="292" t="str">
        <f>A189</f>
        <v>0</v>
      </c>
      <c r="R189" s="292" t="str">
        <f>IF(COUNTIF(A$5:A189,A189)=1,MAX(R$4:R188)+1,VLOOKUP(A189,Q$4:R188,2,0))</f>
        <v>0</v>
      </c>
    </row>
    <row r="190" spans="1:18" customHeight="1" ht="30">
      <c r="Q190" s="292" t="str">
        <f>A190</f>
        <v>0</v>
      </c>
      <c r="R190" s="292" t="str">
        <f>IF(COUNTIF(A$5:A190,A190)=1,MAX(R$4:R189)+1,VLOOKUP(A190,Q$4:R189,2,0))</f>
        <v>0</v>
      </c>
    </row>
    <row r="191" spans="1:18" customHeight="1" ht="30">
      <c r="Q191" s="292" t="str">
        <f>A191</f>
        <v>0</v>
      </c>
      <c r="R191" s="292" t="str">
        <f>IF(COUNTIF(A$5:A191,A191)=1,MAX(R$4:R190)+1,VLOOKUP(A191,Q$4:R190,2,0))</f>
        <v>0</v>
      </c>
    </row>
    <row r="192" spans="1:18" customHeight="1" ht="30">
      <c r="Q192" s="292" t="str">
        <f>A192</f>
        <v>0</v>
      </c>
      <c r="R192" s="292" t="str">
        <f>IF(COUNTIF(A$5:A192,A192)=1,MAX(R$4:R191)+1,VLOOKUP(A192,Q$4:R191,2,0))</f>
        <v>0</v>
      </c>
    </row>
    <row r="193" spans="1:18" customHeight="1" ht="30">
      <c r="Q193" s="292" t="str">
        <f>A193</f>
        <v>0</v>
      </c>
      <c r="R193" s="292" t="str">
        <f>IF(COUNTIF(A$5:A193,A193)=1,MAX(R$4:R192)+1,VLOOKUP(A193,Q$4:R192,2,0))</f>
        <v>0</v>
      </c>
    </row>
    <row r="194" spans="1:18" customHeight="1" ht="30">
      <c r="Q194" s="292" t="str">
        <f>A194</f>
        <v>0</v>
      </c>
      <c r="R194" s="292" t="str">
        <f>IF(COUNTIF(A$5:A194,A194)=1,MAX(R$4:R193)+1,VLOOKUP(A194,Q$4:R193,2,0))</f>
        <v>0</v>
      </c>
    </row>
    <row r="195" spans="1:18" customHeight="1" ht="30">
      <c r="Q195" s="292" t="str">
        <f>A195</f>
        <v>0</v>
      </c>
      <c r="R195" s="292" t="str">
        <f>IF(COUNTIF(A$5:A195,A195)=1,MAX(R$4:R194)+1,VLOOKUP(A195,Q$4:R194,2,0))</f>
        <v>0</v>
      </c>
    </row>
    <row r="196" spans="1:18" customHeight="1" ht="30">
      <c r="Q196" s="292" t="str">
        <f>A196</f>
        <v>0</v>
      </c>
      <c r="R196" s="292" t="str">
        <f>IF(COUNTIF(A$5:A196,A196)=1,MAX(R$4:R195)+1,VLOOKUP(A196,Q$4:R195,2,0))</f>
        <v>0</v>
      </c>
    </row>
    <row r="197" spans="1:18" customHeight="1" ht="30">
      <c r="Q197" s="292" t="str">
        <f>A197</f>
        <v>0</v>
      </c>
      <c r="R197" s="292" t="str">
        <f>IF(COUNTIF(A$5:A197,A197)=1,MAX(R$4:R196)+1,VLOOKUP(A197,Q$4:R196,2,0))</f>
        <v>0</v>
      </c>
    </row>
    <row r="198" spans="1:18" customHeight="1" ht="30">
      <c r="Q198" s="292" t="str">
        <f>A198</f>
        <v>0</v>
      </c>
      <c r="R198" s="292" t="str">
        <f>IF(COUNTIF(A$5:A198,A198)=1,MAX(R$4:R197)+1,VLOOKUP(A198,Q$4:R197,2,0))</f>
        <v>0</v>
      </c>
    </row>
    <row r="199" spans="1:18" customHeight="1" ht="30">
      <c r="Q199" s="292" t="str">
        <f>A199</f>
        <v>0</v>
      </c>
      <c r="R199" s="292" t="str">
        <f>IF(COUNTIF(A$5:A199,A199)=1,MAX(R$4:R198)+1,VLOOKUP(A199,Q$4:R198,2,0))</f>
        <v>0</v>
      </c>
    </row>
    <row r="200" spans="1:18" customHeight="1" ht="30">
      <c r="Q200" s="292" t="str">
        <f>A200</f>
        <v>0</v>
      </c>
      <c r="R200" s="292" t="str">
        <f>IF(COUNTIF(A$5:A200,A200)=1,MAX(R$4:R199)+1,VLOOKUP(A200,Q$4:R199,2,0))</f>
        <v>0</v>
      </c>
    </row>
    <row r="201" spans="1:18" customHeight="1" ht="30">
      <c r="Q201" s="292" t="str">
        <f>A201</f>
        <v>0</v>
      </c>
      <c r="R201" s="292" t="str">
        <f>IF(COUNTIF(A$5:A201,A201)=1,MAX(R$4:R200)+1,VLOOKUP(A201,Q$4:R200,2,0))</f>
        <v>0</v>
      </c>
    </row>
    <row r="202" spans="1:18" customHeight="1" ht="30">
      <c r="Q202" s="292" t="str">
        <f>A202</f>
        <v>0</v>
      </c>
      <c r="R202" s="292" t="str">
        <f>IF(COUNTIF(A$5:A202,A202)=1,MAX(R$4:R201)+1,VLOOKUP(A202,Q$4:R201,2,0))</f>
        <v>0</v>
      </c>
    </row>
    <row r="203" spans="1:18" customHeight="1" ht="30">
      <c r="Q203" s="292" t="str">
        <f>A203</f>
        <v>0</v>
      </c>
      <c r="R203" s="292" t="str">
        <f>IF(COUNTIF(A$5:A203,A203)=1,MAX(R$4:R202)+1,VLOOKUP(A203,Q$4:R202,2,0))</f>
        <v>0</v>
      </c>
    </row>
    <row r="204" spans="1:18" customHeight="1" ht="30">
      <c r="Q204" s="292" t="str">
        <f>A204</f>
        <v>0</v>
      </c>
      <c r="R204" s="292" t="str">
        <f>IF(COUNTIF(A$5:A204,A204)=1,MAX(R$4:R203)+1,VLOOKUP(A204,Q$4:R203,2,0))</f>
        <v>0</v>
      </c>
    </row>
    <row r="205" spans="1:18" customHeight="1" ht="30">
      <c r="Q205" s="292" t="str">
        <f>A205</f>
        <v>0</v>
      </c>
      <c r="R205" s="292" t="str">
        <f>IF(COUNTIF(A$5:A205,A205)=1,MAX(R$4:R204)+1,VLOOKUP(A205,Q$4:R204,2,0))</f>
        <v>0</v>
      </c>
    </row>
    <row r="206" spans="1:18" customHeight="1" ht="30">
      <c r="Q206" s="292" t="str">
        <f>A206</f>
        <v>0</v>
      </c>
      <c r="R206" s="292" t="str">
        <f>IF(COUNTIF(A$5:A206,A206)=1,MAX(R$4:R205)+1,VLOOKUP(A206,Q$4:R205,2,0))</f>
        <v>0</v>
      </c>
    </row>
    <row r="207" spans="1:18" customHeight="1" ht="30">
      <c r="Q207" s="292" t="str">
        <f>A207</f>
        <v>0</v>
      </c>
      <c r="R207" s="292" t="str">
        <f>IF(COUNTIF(A$5:A207,A207)=1,MAX(R$4:R206)+1,VLOOKUP(A207,Q$4:R206,2,0))</f>
        <v>0</v>
      </c>
    </row>
    <row r="208" spans="1:18" customHeight="1" ht="30">
      <c r="Q208" s="292" t="str">
        <f>A208</f>
        <v>0</v>
      </c>
      <c r="R208" s="292" t="str">
        <f>IF(COUNTIF(A$5:A208,A208)=1,MAX(R$4:R207)+1,VLOOKUP(A208,Q$4:R207,2,0))</f>
        <v>0</v>
      </c>
    </row>
    <row r="209" spans="1:18" customHeight="1" ht="30">
      <c r="Q209" s="292" t="str">
        <f>A209</f>
        <v>0</v>
      </c>
      <c r="R209" s="292" t="str">
        <f>IF(COUNTIF(A$5:A209,A209)=1,MAX(R$4:R208)+1,VLOOKUP(A209,Q$4:R208,2,0))</f>
        <v>0</v>
      </c>
    </row>
    <row r="210" spans="1:18" customHeight="1" ht="30">
      <c r="Q210" s="292" t="str">
        <f>A210</f>
        <v>0</v>
      </c>
      <c r="R210" s="292" t="str">
        <f>IF(COUNTIF(A$5:A210,A210)=1,MAX(R$4:R209)+1,VLOOKUP(A210,Q$4:R209,2,0))</f>
        <v>0</v>
      </c>
    </row>
    <row r="211" spans="1:18" customHeight="1" ht="30">
      <c r="Q211" s="292" t="str">
        <f>A211</f>
        <v>0</v>
      </c>
      <c r="R211" s="292" t="str">
        <f>IF(COUNTIF(A$5:A211,A211)=1,MAX(R$4:R210)+1,VLOOKUP(A211,Q$4:R210,2,0))</f>
        <v>0</v>
      </c>
    </row>
    <row r="212" spans="1:18" customHeight="1" ht="30">
      <c r="Q212" s="292" t="str">
        <f>A212</f>
        <v>0</v>
      </c>
      <c r="R212" s="292" t="str">
        <f>IF(COUNTIF(A$5:A212,A212)=1,MAX(R$4:R211)+1,VLOOKUP(A212,Q$4:R211,2,0))</f>
        <v>0</v>
      </c>
    </row>
    <row r="213" spans="1:18" customHeight="1" ht="30">
      <c r="Q213" s="292" t="str">
        <f>A213</f>
        <v>0</v>
      </c>
      <c r="R213" s="292" t="str">
        <f>IF(COUNTIF(A$5:A213,A213)=1,MAX(R$4:R212)+1,VLOOKUP(A213,Q$4:R212,2,0))</f>
        <v>0</v>
      </c>
    </row>
    <row r="214" spans="1:18" customHeight="1" ht="30">
      <c r="Q214" s="292" t="str">
        <f>A214</f>
        <v>0</v>
      </c>
      <c r="R214" s="292" t="str">
        <f>IF(COUNTIF(A$5:A214,A214)=1,MAX(R$4:R213)+1,VLOOKUP(A214,Q$4:R213,2,0))</f>
        <v>0</v>
      </c>
    </row>
    <row r="215" spans="1:18" customHeight="1" ht="30">
      <c r="Q215" s="292" t="str">
        <f>A215</f>
        <v>0</v>
      </c>
      <c r="R215" s="292" t="str">
        <f>IF(COUNTIF(A$5:A215,A215)=1,MAX(R$4:R214)+1,VLOOKUP(A215,Q$4:R214,2,0))</f>
        <v>0</v>
      </c>
    </row>
    <row r="216" spans="1:18" customHeight="1" ht="30">
      <c r="Q216" s="292" t="str">
        <f>A216</f>
        <v>0</v>
      </c>
      <c r="R216" s="292" t="str">
        <f>IF(COUNTIF(A$5:A216,A216)=1,MAX(R$4:R215)+1,VLOOKUP(A216,Q$4:R215,2,0))</f>
        <v>0</v>
      </c>
    </row>
    <row r="217" spans="1:18" customHeight="1" ht="30">
      <c r="Q217" s="292" t="str">
        <f>A217</f>
        <v>0</v>
      </c>
      <c r="R217" s="292" t="str">
        <f>IF(COUNTIF(A$5:A217,A217)=1,MAX(R$4:R216)+1,VLOOKUP(A217,Q$4:R216,2,0))</f>
        <v>0</v>
      </c>
    </row>
    <row r="218" spans="1:18" customHeight="1" ht="30">
      <c r="Q218" s="292" t="str">
        <f>A218</f>
        <v>0</v>
      </c>
      <c r="R218" s="292" t="str">
        <f>IF(COUNTIF(A$5:A218,A218)=1,MAX(R$4:R217)+1,VLOOKUP(A218,Q$4:R217,2,0))</f>
        <v>0</v>
      </c>
    </row>
    <row r="219" spans="1:18" customHeight="1" ht="30">
      <c r="Q219" s="292" t="str">
        <f>A219</f>
        <v>0</v>
      </c>
      <c r="R219" s="292" t="str">
        <f>IF(COUNTIF(A$5:A219,A219)=1,MAX(R$4:R218)+1,VLOOKUP(A219,Q$4:R218,2,0))</f>
        <v>0</v>
      </c>
    </row>
    <row r="220" spans="1:18" customHeight="1" ht="30">
      <c r="Q220" s="292" t="str">
        <f>A220</f>
        <v>0</v>
      </c>
      <c r="R220" s="292" t="str">
        <f>IF(COUNTIF(A$5:A220,A220)=1,MAX(R$4:R219)+1,VLOOKUP(A220,Q$4:R219,2,0))</f>
        <v>0</v>
      </c>
    </row>
    <row r="221" spans="1:18" customHeight="1" ht="30">
      <c r="Q221" s="292" t="str">
        <f>A221</f>
        <v>0</v>
      </c>
      <c r="R221" s="292" t="str">
        <f>IF(COUNTIF(A$5:A221,A221)=1,MAX(R$4:R220)+1,VLOOKUP(A221,Q$4:R220,2,0))</f>
        <v>0</v>
      </c>
    </row>
    <row r="222" spans="1:18" customHeight="1" ht="30">
      <c r="Q222" s="292" t="str">
        <f>A222</f>
        <v>0</v>
      </c>
      <c r="R222" s="292" t="str">
        <f>IF(COUNTIF(A$5:A222,A222)=1,MAX(R$4:R221)+1,VLOOKUP(A222,Q$4:R221,2,0))</f>
        <v>0</v>
      </c>
    </row>
    <row r="223" spans="1:18" customHeight="1" ht="30">
      <c r="Q223" s="292" t="str">
        <f>A223</f>
        <v>0</v>
      </c>
      <c r="R223" s="292" t="str">
        <f>IF(COUNTIF(A$5:A223,A223)=1,MAX(R$4:R222)+1,VLOOKUP(A223,Q$4:R222,2,0))</f>
        <v>0</v>
      </c>
    </row>
    <row r="224" spans="1:18" customHeight="1" ht="30">
      <c r="Q224" s="292" t="str">
        <f>A224</f>
        <v>0</v>
      </c>
      <c r="R224" s="292" t="str">
        <f>IF(COUNTIF(A$5:A224,A224)=1,MAX(R$4:R223)+1,VLOOKUP(A224,Q$4:R223,2,0))</f>
        <v>0</v>
      </c>
    </row>
    <row r="225" spans="1:18" customHeight="1" ht="30">
      <c r="Q225" s="292" t="str">
        <f>A225</f>
        <v>0</v>
      </c>
      <c r="R225" s="292" t="str">
        <f>IF(COUNTIF(A$5:A225,A225)=1,MAX(R$4:R224)+1,VLOOKUP(A225,Q$4:R224,2,0))</f>
        <v>0</v>
      </c>
    </row>
    <row r="226" spans="1:18" customHeight="1" ht="30">
      <c r="Q226" s="292" t="str">
        <f>A226</f>
        <v>0</v>
      </c>
      <c r="R226" s="292" t="str">
        <f>IF(COUNTIF(A$5:A226,A226)=1,MAX(R$4:R225)+1,VLOOKUP(A226,Q$4:R225,2,0))</f>
        <v>0</v>
      </c>
    </row>
    <row r="227" spans="1:18" customHeight="1" ht="30">
      <c r="Q227" s="292" t="str">
        <f>A227</f>
        <v>0</v>
      </c>
      <c r="R227" s="292" t="str">
        <f>IF(COUNTIF(A$5:A227,A227)=1,MAX(R$4:R226)+1,VLOOKUP(A227,Q$4:R226,2,0))</f>
        <v>0</v>
      </c>
    </row>
    <row r="228" spans="1:18" customHeight="1" ht="30">
      <c r="Q228" s="292" t="str">
        <f>A228</f>
        <v>0</v>
      </c>
      <c r="R228" s="292" t="str">
        <f>IF(COUNTIF(A$5:A228,A228)=1,MAX(R$4:R227)+1,VLOOKUP(A228,Q$4:R227,2,0))</f>
        <v>0</v>
      </c>
    </row>
    <row r="229" spans="1:18" customHeight="1" ht="30">
      <c r="Q229" s="292" t="str">
        <f>A229</f>
        <v>0</v>
      </c>
      <c r="R229" s="292" t="str">
        <f>IF(COUNTIF(A$5:A229,A229)=1,MAX(R$4:R228)+1,VLOOKUP(A229,Q$4:R228,2,0))</f>
        <v>0</v>
      </c>
    </row>
    <row r="230" spans="1:18" customHeight="1" ht="30">
      <c r="Q230" s="292" t="str">
        <f>A230</f>
        <v>0</v>
      </c>
      <c r="R230" s="292" t="str">
        <f>IF(COUNTIF(A$5:A230,A230)=1,MAX(R$4:R229)+1,VLOOKUP(A230,Q$4:R229,2,0))</f>
        <v>0</v>
      </c>
    </row>
    <row r="231" spans="1:18" customHeight="1" ht="30">
      <c r="Q231" s="292" t="str">
        <f>A231</f>
        <v>0</v>
      </c>
      <c r="R231" s="292" t="str">
        <f>IF(COUNTIF(A$5:A231,A231)=1,MAX(R$4:R230)+1,VLOOKUP(A231,Q$4:R230,2,0))</f>
        <v>0</v>
      </c>
    </row>
    <row r="232" spans="1:18" customHeight="1" ht="30">
      <c r="Q232" s="292" t="str">
        <f>A232</f>
        <v>0</v>
      </c>
      <c r="R232" s="292" t="str">
        <f>IF(COUNTIF(A$5:A232,A232)=1,MAX(R$4:R231)+1,VLOOKUP(A232,Q$4:R231,2,0))</f>
        <v>0</v>
      </c>
    </row>
    <row r="233" spans="1:18" customHeight="1" ht="30">
      <c r="Q233" s="292" t="str">
        <f>A233</f>
        <v>0</v>
      </c>
      <c r="R233" s="292" t="str">
        <f>IF(COUNTIF(A$5:A233,A233)=1,MAX(R$4:R232)+1,VLOOKUP(A233,Q$4:R232,2,0))</f>
        <v>0</v>
      </c>
    </row>
    <row r="234" spans="1:18" customHeight="1" ht="30">
      <c r="Q234" s="292" t="str">
        <f>A234</f>
        <v>0</v>
      </c>
      <c r="R234" s="292" t="str">
        <f>IF(COUNTIF(A$5:A234,A234)=1,MAX(R$4:R233)+1,VLOOKUP(A234,Q$4:R233,2,0))</f>
        <v>0</v>
      </c>
    </row>
    <row r="235" spans="1:18" customHeight="1" ht="30">
      <c r="Q235" s="292" t="str">
        <f>A235</f>
        <v>0</v>
      </c>
      <c r="R235" s="292" t="str">
        <f>IF(COUNTIF(A$5:A235,A235)=1,MAX(R$4:R234)+1,VLOOKUP(A235,Q$4:R234,2,0))</f>
        <v>0</v>
      </c>
    </row>
    <row r="236" spans="1:18" customHeight="1" ht="30">
      <c r="Q236" s="292" t="str">
        <f>A236</f>
        <v>0</v>
      </c>
      <c r="R236" s="292" t="str">
        <f>IF(COUNTIF(A$5:A236,A236)=1,MAX(R$4:R235)+1,VLOOKUP(A236,Q$4:R235,2,0))</f>
        <v>0</v>
      </c>
    </row>
    <row r="237" spans="1:18" customHeight="1" ht="30">
      <c r="Q237" s="292" t="str">
        <f>A237</f>
        <v>0</v>
      </c>
      <c r="R237" s="292" t="str">
        <f>IF(COUNTIF(A$5:A237,A237)=1,MAX(R$4:R236)+1,VLOOKUP(A237,Q$4:R236,2,0))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H3"/>
    <mergeCell ref="A1:H1"/>
    <mergeCell ref="C2:D2"/>
    <mergeCell ref="E2:F2"/>
  </mergeCells>
  <conditionalFormatting sqref="A5:H237">
    <cfRule type="expression" dxfId="2" priority="1">
      <formula>ISEVEN($R5)</formula>
    </cfRule>
  </conditionalFormatting>
  <hyperlinks>
    <hyperlink ref="I2" location="Seznam!A1"/>
  </hyperlinks>
  <printOptions gridLines="false" gridLinesSet="true" horizontalCentered="true" verticalCentered="true"/>
  <pageMargins left="0.23622047244094" right="0.23622047244094" top="0.74803149606299" bottom="0.74803149606299" header="0" footer="0"/>
  <pageSetup paperSize="9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</sheetPr>
  <dimension ref="A1:K22"/>
  <sheetViews>
    <sheetView tabSelected="0" workbookViewId="0" showGridLines="true" showRowColHeaders="1">
      <selection activeCell="A1" sqref="A1"/>
    </sheetView>
  </sheetViews>
  <sheetFormatPr defaultRowHeight="14.4" defaultColWidth="9.1328125" outlineLevelRow="0" outlineLevelCol="0"/>
  <cols>
    <col min="1" max="1" width="70.3984375" customWidth="true" style="269"/>
    <col min="2" max="2" width="19.86328125" customWidth="true" style="269"/>
    <col min="3" max="3" width="22.1328125" customWidth="true" style="269"/>
    <col min="4" max="4" width="27.3984375" customWidth="true" style="269"/>
    <col min="5" max="5" width="33.3984375" customWidth="true" style="269"/>
    <col min="6" max="6" width="18" customWidth="true" style="269"/>
    <col min="7" max="7" width="73.265625" customWidth="true" style="269"/>
    <col min="8" max="8" width="8.59765625" customWidth="true" style="269"/>
    <col min="9" max="9" width="11" customWidth="true" style="269"/>
    <col min="10" max="10" width="10.1328125" customWidth="true" style="269"/>
    <col min="11" max="11" width="9.1328125" style="269"/>
  </cols>
  <sheetData>
    <row r="1" spans="1:11" customHeight="1" ht="18">
      <c r="A1" s="594" t="s">
        <v>113</v>
      </c>
      <c r="B1" s="278" t="s">
        <v>644</v>
      </c>
      <c r="C1" s="278" t="s">
        <v>645</v>
      </c>
      <c r="D1" s="278" t="s">
        <v>646</v>
      </c>
      <c r="E1" s="279" t="s">
        <v>8</v>
      </c>
      <c r="F1" s="279" t="s">
        <v>647</v>
      </c>
      <c r="G1" s="279" t="s">
        <v>648</v>
      </c>
      <c r="H1" s="457" t="s">
        <v>649</v>
      </c>
      <c r="I1" s="457" t="s">
        <v>650</v>
      </c>
      <c r="J1" s="457" t="s">
        <v>213</v>
      </c>
    </row>
    <row r="2" spans="1:11">
      <c r="A2" s="277" t="s">
        <v>651</v>
      </c>
      <c r="B2" s="277" t="s">
        <v>652</v>
      </c>
      <c r="C2" s="277"/>
      <c r="D2" s="277"/>
      <c r="E2" s="277" t="s">
        <v>653</v>
      </c>
      <c r="F2" s="277"/>
      <c r="G2" s="277"/>
      <c r="H2" s="458"/>
      <c r="I2" s="458">
        <v>2559968329</v>
      </c>
      <c r="J2" s="459" t="s">
        <v>654</v>
      </c>
    </row>
    <row r="3" spans="1:11">
      <c r="A3" s="273" t="s">
        <v>655</v>
      </c>
      <c r="B3" s="274" t="s">
        <v>656</v>
      </c>
      <c r="C3" s="272" t="str">
        <f>Evidence!$G$104</f>
        <v>0</v>
      </c>
      <c r="D3" s="272" t="str">
        <f>Evidence!$H$104</f>
        <v>0</v>
      </c>
      <c r="E3" s="273" t="s">
        <v>657</v>
      </c>
      <c r="F3" s="272" t="s">
        <v>658</v>
      </c>
      <c r="G3" s="272" t="s">
        <v>659</v>
      </c>
      <c r="H3" s="460"/>
      <c r="I3" s="272">
        <v>2100704207</v>
      </c>
      <c r="J3" s="459">
        <v>2010</v>
      </c>
    </row>
    <row r="4" spans="1:11" customHeight="1" ht="45">
      <c r="A4" s="331" t="s">
        <v>660</v>
      </c>
      <c r="B4" s="330" t="s">
        <v>661</v>
      </c>
      <c r="C4" s="330">
        <v>0</v>
      </c>
      <c r="D4" s="330">
        <v>0</v>
      </c>
      <c r="E4" s="331" t="s">
        <v>662</v>
      </c>
      <c r="F4" s="272" t="s">
        <v>658</v>
      </c>
      <c r="G4" s="329" t="s">
        <v>663</v>
      </c>
      <c r="H4" s="458"/>
      <c r="I4" s="330">
        <v>2101564752</v>
      </c>
      <c r="J4" s="459">
        <v>2010</v>
      </c>
    </row>
    <row r="5" spans="1:11">
      <c r="A5" s="277" t="s">
        <v>664</v>
      </c>
      <c r="B5" s="373" t="s">
        <v>665</v>
      </c>
      <c r="C5" s="373">
        <v>0</v>
      </c>
      <c r="D5" s="373">
        <v>0</v>
      </c>
      <c r="E5" s="382" t="s">
        <v>666</v>
      </c>
      <c r="F5" s="373"/>
      <c r="G5" s="373"/>
      <c r="H5" s="458"/>
      <c r="I5" s="373">
        <v>2401735074</v>
      </c>
      <c r="J5" s="459">
        <v>2010</v>
      </c>
    </row>
    <row r="6" spans="1:11">
      <c r="A6" s="277" t="s">
        <v>667</v>
      </c>
      <c r="B6" s="277"/>
      <c r="C6" s="277"/>
      <c r="D6" s="277"/>
      <c r="E6" s="277" t="s">
        <v>668</v>
      </c>
      <c r="F6" s="277"/>
      <c r="G6" s="277"/>
      <c r="H6" s="458"/>
      <c r="I6" s="373"/>
      <c r="J6" s="459"/>
    </row>
    <row r="7" spans="1:11">
      <c r="A7" s="271" t="s">
        <v>669</v>
      </c>
      <c r="B7" s="274" t="s">
        <v>670</v>
      </c>
      <c r="C7" s="275">
        <v>1023.2</v>
      </c>
      <c r="D7" s="275">
        <v>1023.2</v>
      </c>
      <c r="E7" s="383" t="s">
        <v>671</v>
      </c>
      <c r="F7" s="272" t="s">
        <v>658</v>
      </c>
      <c r="G7" s="272" t="s">
        <v>659</v>
      </c>
      <c r="H7" s="458"/>
      <c r="I7" s="272">
        <v>2400891032</v>
      </c>
      <c r="J7" s="459">
        <v>2010</v>
      </c>
    </row>
    <row r="8" spans="1:11">
      <c r="A8" s="277" t="s">
        <v>672</v>
      </c>
      <c r="B8" s="277" t="s">
        <v>673</v>
      </c>
      <c r="C8" s="277"/>
      <c r="D8" s="277"/>
      <c r="E8" s="277" t="s">
        <v>674</v>
      </c>
      <c r="F8" s="277"/>
      <c r="G8" s="277"/>
      <c r="H8" s="458"/>
      <c r="I8" s="373">
        <v>212701327</v>
      </c>
      <c r="J8" s="459" t="s">
        <v>675</v>
      </c>
    </row>
    <row r="9" spans="1:11">
      <c r="A9" s="270" t="s">
        <v>676</v>
      </c>
      <c r="B9" s="271" t="s">
        <v>677</v>
      </c>
      <c r="C9" s="272">
        <v>943.6</v>
      </c>
      <c r="D9" s="272">
        <v>943.6</v>
      </c>
      <c r="E9" s="270" t="s">
        <v>678</v>
      </c>
      <c r="F9" s="272" t="s">
        <v>658</v>
      </c>
      <c r="G9" s="272" t="s">
        <v>679</v>
      </c>
      <c r="H9" s="458"/>
      <c r="I9" s="272">
        <v>2601412333</v>
      </c>
      <c r="J9" s="459">
        <v>2010</v>
      </c>
    </row>
    <row r="10" spans="1:11">
      <c r="A10" s="271" t="s">
        <v>680</v>
      </c>
      <c r="B10" s="271" t="s">
        <v>681</v>
      </c>
      <c r="C10" s="272" t="str">
        <f>Evidence!$G$104</f>
        <v>0</v>
      </c>
      <c r="D10" s="272" t="str">
        <f>Evidence!$H$104</f>
        <v>0</v>
      </c>
      <c r="E10" s="276" t="s">
        <v>682</v>
      </c>
      <c r="F10" s="272" t="s">
        <v>658</v>
      </c>
      <c r="G10" s="272" t="s">
        <v>683</v>
      </c>
      <c r="H10" s="461"/>
      <c r="I10" s="272">
        <v>3443843369</v>
      </c>
      <c r="J10" s="462" t="s">
        <v>654</v>
      </c>
    </row>
    <row r="11" spans="1:11">
      <c r="A11" s="277" t="s">
        <v>684</v>
      </c>
      <c r="B11" s="277" t="s">
        <v>685</v>
      </c>
      <c r="C11" s="277"/>
      <c r="D11" s="277"/>
      <c r="E11" s="277" t="s">
        <v>686</v>
      </c>
      <c r="F11" s="277"/>
      <c r="G11" s="277"/>
      <c r="H11" s="461"/>
      <c r="I11" s="373">
        <v>2801810483</v>
      </c>
      <c r="J11" s="462" t="s">
        <v>687</v>
      </c>
    </row>
    <row r="12" spans="1:11">
      <c r="A12" s="271" t="s">
        <v>688</v>
      </c>
      <c r="B12" s="271" t="s">
        <v>689</v>
      </c>
      <c r="C12" s="272" t="str">
        <f>Evidence!$G$104</f>
        <v>0</v>
      </c>
      <c r="D12" s="272" t="str">
        <f>Evidence!$H$104</f>
        <v>0</v>
      </c>
      <c r="E12" s="276" t="s">
        <v>690</v>
      </c>
      <c r="F12" s="272" t="s">
        <v>658</v>
      </c>
      <c r="G12" s="272" t="s">
        <v>683</v>
      </c>
      <c r="H12" s="461"/>
      <c r="I12" s="272">
        <v>2001002103</v>
      </c>
      <c r="J12" s="462">
        <v>2010</v>
      </c>
    </row>
    <row r="13" spans="1:11">
      <c r="A13" s="277" t="s">
        <v>142</v>
      </c>
      <c r="B13" s="277" t="s">
        <v>209</v>
      </c>
      <c r="C13" s="277"/>
      <c r="D13" s="277"/>
      <c r="E13" s="277" t="s">
        <v>691</v>
      </c>
      <c r="F13" s="272" t="s">
        <v>658</v>
      </c>
      <c r="G13" s="272" t="s">
        <v>692</v>
      </c>
      <c r="H13" s="461"/>
      <c r="I13" s="373">
        <v>2701656546</v>
      </c>
      <c r="J13" s="462">
        <v>2010</v>
      </c>
    </row>
    <row r="14" spans="1:11">
      <c r="A14" s="271" t="s">
        <v>693</v>
      </c>
      <c r="B14" s="271" t="s">
        <v>694</v>
      </c>
      <c r="C14" s="272" t="str">
        <f>Evidence!$G$104</f>
        <v>0</v>
      </c>
      <c r="D14" s="272" t="str">
        <f>Evidence!$H$104</f>
        <v>0</v>
      </c>
      <c r="E14" s="276" t="s">
        <v>695</v>
      </c>
      <c r="F14" s="272" t="s">
        <v>658</v>
      </c>
      <c r="G14" s="272" t="s">
        <v>683</v>
      </c>
      <c r="H14" s="461"/>
      <c r="I14" s="272">
        <v>2201735109</v>
      </c>
      <c r="J14" s="462">
        <v>2010</v>
      </c>
    </row>
    <row r="15" spans="1:11">
      <c r="A15" s="273" t="s">
        <v>696</v>
      </c>
      <c r="B15" s="274" t="s">
        <v>697</v>
      </c>
      <c r="C15" s="272" t="str">
        <f>Evidence!$G$104</f>
        <v>0</v>
      </c>
      <c r="D15" s="272" t="str">
        <f>Evidence!$H$104</f>
        <v>0</v>
      </c>
      <c r="E15" s="273" t="s">
        <v>698</v>
      </c>
      <c r="F15" s="272" t="s">
        <v>658</v>
      </c>
      <c r="G15" s="272" t="s">
        <v>659</v>
      </c>
      <c r="H15" s="461">
        <v>43</v>
      </c>
      <c r="I15" s="272">
        <v>9898380257</v>
      </c>
      <c r="J15" s="462" t="s">
        <v>699</v>
      </c>
    </row>
    <row r="16" spans="1:11">
      <c r="A16" s="277" t="s">
        <v>700</v>
      </c>
      <c r="B16" s="277" t="s">
        <v>701</v>
      </c>
      <c r="C16" s="277"/>
      <c r="D16" s="277"/>
      <c r="E16" s="277" t="s">
        <v>702</v>
      </c>
      <c r="F16" s="277"/>
      <c r="G16" s="277"/>
      <c r="H16" s="461"/>
      <c r="I16" s="373">
        <v>2601061748</v>
      </c>
      <c r="J16" s="462" t="s">
        <v>687</v>
      </c>
    </row>
    <row r="17" spans="1:11">
      <c r="A17" s="529" t="s">
        <v>703</v>
      </c>
      <c r="B17" s="529" t="s">
        <v>704</v>
      </c>
      <c r="C17" s="530" t="str">
        <f>Evidence!$G$104</f>
        <v>0</v>
      </c>
      <c r="D17" s="530" t="str">
        <f>Evidence!$H$104</f>
        <v>0</v>
      </c>
      <c r="E17" s="531" t="s">
        <v>705</v>
      </c>
      <c r="F17" s="530" t="s">
        <v>658</v>
      </c>
      <c r="G17" s="530" t="s">
        <v>683</v>
      </c>
      <c r="H17" s="532"/>
      <c r="I17" s="530">
        <v>2401473895</v>
      </c>
      <c r="J17" s="533">
        <v>2010</v>
      </c>
    </row>
    <row r="18" spans="1:11">
      <c r="A18" s="534" t="s">
        <v>706</v>
      </c>
      <c r="B18" s="534" t="s">
        <v>707</v>
      </c>
      <c r="C18" s="534"/>
      <c r="D18" s="534"/>
      <c r="E18" s="534" t="s">
        <v>708</v>
      </c>
      <c r="F18" s="534"/>
      <c r="G18" s="534"/>
      <c r="H18" s="461"/>
      <c r="I18" s="461">
        <v>272581531</v>
      </c>
      <c r="J18" s="462" t="s">
        <v>675</v>
      </c>
    </row>
    <row r="19" spans="1:11">
      <c r="A19" s="534" t="s">
        <v>709</v>
      </c>
      <c r="B19" s="534" t="s">
        <v>710</v>
      </c>
      <c r="C19" s="534"/>
      <c r="D19" s="534"/>
      <c r="E19" s="534" t="s">
        <v>711</v>
      </c>
      <c r="F19" s="534"/>
      <c r="G19" s="534"/>
      <c r="H19" s="534">
        <v>123</v>
      </c>
      <c r="I19" s="534">
        <v>6309820207</v>
      </c>
      <c r="J19" s="461">
        <v>100</v>
      </c>
    </row>
    <row r="20" spans="1:11">
      <c r="A20" s="534" t="s">
        <v>712</v>
      </c>
      <c r="B20" s="534" t="s">
        <v>713</v>
      </c>
      <c r="C20" s="534"/>
      <c r="D20" s="534"/>
      <c r="E20" s="534" t="s">
        <v>714</v>
      </c>
      <c r="F20" s="534"/>
      <c r="G20" s="534"/>
      <c r="H20" s="534"/>
      <c r="I20" s="534">
        <v>6097414329</v>
      </c>
      <c r="J20" s="461">
        <v>800</v>
      </c>
    </row>
    <row r="21" spans="1:11">
      <c r="A21" s="534" t="s">
        <v>715</v>
      </c>
      <c r="B21" s="534" t="s">
        <v>716</v>
      </c>
      <c r="C21" s="534"/>
      <c r="D21" s="534"/>
      <c r="E21" s="534" t="s">
        <v>717</v>
      </c>
      <c r="F21" s="534"/>
      <c r="G21" s="534"/>
      <c r="H21" s="534"/>
      <c r="I21" s="534">
        <v>184181706</v>
      </c>
      <c r="J21" s="461">
        <v>300</v>
      </c>
    </row>
    <row r="22" spans="1:11">
      <c r="A22" s="534" t="s">
        <v>718</v>
      </c>
      <c r="B22" s="534" t="s">
        <v>719</v>
      </c>
      <c r="C22" s="534"/>
      <c r="D22" s="534"/>
      <c r="E22" s="534"/>
      <c r="F22" s="534"/>
      <c r="G22" s="534"/>
      <c r="H22" s="552">
        <v>43</v>
      </c>
      <c r="I22" s="534">
        <v>6885390217</v>
      </c>
      <c r="J22" s="461">
        <v>100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G13"/>
  <hyperlinks>
    <hyperlink ref="A1" location="Seznam!A1"/>
  </hyperlinks>
  <printOptions gridLines="false" gridLinesSet="true"/>
  <pageMargins left="0.7" right="0.7" top="0.787401575" bottom="0.787401575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</sheetPr>
  <dimension ref="A1:AMK31"/>
  <sheetViews>
    <sheetView tabSelected="0" workbookViewId="0" showGridLines="true" showRowColHeaders="1">
      <selection activeCell="AD51" sqref="AD51"/>
    </sheetView>
  </sheetViews>
  <sheetFormatPr defaultRowHeight="14.4" defaultColWidth="9.1328125" outlineLevelRow="0" outlineLevelCol="0"/>
  <cols>
    <col min="1" max="1" width="7" customWidth="true" style="2"/>
    <col min="2" max="2" width="28.59765625" customWidth="true" style="2"/>
    <col min="3" max="3" width="14.73046875" customWidth="true" style="2"/>
    <col min="4" max="4" width="16.59765625" customWidth="true" style="26"/>
    <col min="5" max="5" width="16.59765625" customWidth="true" style="2"/>
    <col min="6" max="6" width="20.73046875" customWidth="true" style="26"/>
    <col min="7" max="7" width="25.3984375" customWidth="true" style="2"/>
    <col min="8" max="8" width="20.59765625" customWidth="true" style="2"/>
    <col min="9" max="9" width="9.1328125" style="2"/>
    <col min="10" max="10" width="9.1328125" style="2"/>
    <col min="11" max="11" width="9.1328125" style="2"/>
    <col min="12" max="12" width="17.59765625" customWidth="true" style="2"/>
    <col min="13" max="13" width="9.1328125" style="2"/>
    <col min="14" max="14" width="9.1328125" style="2"/>
    <col min="15" max="15" width="9.1328125" style="2"/>
    <col min="16" max="16" width="9.1328125" style="2"/>
    <col min="17" max="17" width="9.1328125" style="2"/>
    <col min="18" max="18" width="9.1328125" style="2"/>
    <col min="19" max="19" width="9.1328125" style="2"/>
    <col min="20" max="20" width="9.1328125" style="2"/>
    <col min="21" max="21" width="9.1328125" style="2"/>
    <col min="22" max="22" width="9.1328125" style="2"/>
    <col min="23" max="23" width="9.1328125" style="2"/>
    <col min="24" max="24" width="9.1328125" style="2"/>
    <col min="25" max="25" width="9.1328125" style="2"/>
    <col min="26" max="26" width="9.1328125" style="2"/>
    <col min="27" max="27" width="9.1328125" style="2"/>
    <col min="28" max="28" width="9.1328125" style="2"/>
    <col min="29" max="29" width="9.1328125" style="2"/>
    <col min="30" max="30" width="9.1328125" style="2"/>
    <col min="31" max="31" width="9.1328125" style="2"/>
    <col min="32" max="32" width="9.1328125" style="2"/>
    <col min="33" max="33" width="9.1328125" style="2"/>
    <col min="34" max="34" width="9.1328125" style="2"/>
    <col min="35" max="35" width="9.1328125" style="2"/>
    <col min="36" max="36" width="9.1328125" style="2"/>
    <col min="37" max="37" width="9.1328125" style="2"/>
    <col min="38" max="38" width="9.1328125" style="2"/>
    <col min="39" max="39" width="9.1328125" style="2"/>
    <col min="40" max="40" width="9.1328125" style="2"/>
    <col min="41" max="41" width="9.1328125" style="2"/>
    <col min="42" max="42" width="9.1328125" style="2"/>
    <col min="43" max="43" width="9.1328125" style="2"/>
    <col min="44" max="44" width="9.1328125" style="2"/>
    <col min="45" max="45" width="9.1328125" style="2"/>
    <col min="46" max="46" width="9.1328125" style="2"/>
    <col min="47" max="47" width="9.1328125" style="2"/>
    <col min="48" max="48" width="9.1328125" style="2"/>
    <col min="49" max="49" width="9.1328125" style="2"/>
    <col min="50" max="50" width="9.1328125" style="2"/>
    <col min="51" max="51" width="9.1328125" style="2"/>
    <col min="52" max="52" width="9.1328125" style="2"/>
    <col min="53" max="53" width="9.1328125" style="2"/>
    <col min="54" max="54" width="9.1328125" style="2"/>
    <col min="55" max="55" width="9.1328125" style="2"/>
    <col min="56" max="56" width="9.1328125" style="2"/>
    <col min="57" max="57" width="9.1328125" style="2"/>
    <col min="58" max="58" width="9.1328125" style="2"/>
    <col min="59" max="59" width="9.1328125" style="2"/>
    <col min="60" max="60" width="9.1328125" style="2"/>
    <col min="61" max="61" width="9.1328125" style="2"/>
    <col min="62" max="62" width="9.1328125" style="2"/>
    <col min="63" max="63" width="9.1328125" style="2"/>
    <col min="64" max="64" width="9.1328125" style="2"/>
    <col min="65" max="65" width="9.1328125" style="2"/>
    <col min="66" max="66" width="9.1328125" style="2"/>
    <col min="67" max="67" width="9.1328125" style="2"/>
    <col min="68" max="68" width="9.1328125" style="2"/>
    <col min="69" max="69" width="9.1328125" style="2"/>
    <col min="70" max="70" width="9.1328125" style="2"/>
    <col min="71" max="71" width="9.1328125" style="2"/>
    <col min="72" max="72" width="9.1328125" style="2"/>
    <col min="73" max="73" width="9.1328125" style="2"/>
    <col min="74" max="74" width="9.1328125" style="2"/>
    <col min="75" max="75" width="9.1328125" style="2"/>
    <col min="76" max="76" width="9.1328125" style="2"/>
    <col min="77" max="77" width="9.1328125" style="2"/>
    <col min="78" max="78" width="9.1328125" style="2"/>
    <col min="79" max="79" width="9.1328125" style="2"/>
    <col min="80" max="80" width="9.1328125" style="2"/>
    <col min="81" max="81" width="9.1328125" style="2"/>
    <col min="82" max="82" width="9.1328125" style="2"/>
    <col min="83" max="83" width="9.1328125" style="2"/>
    <col min="84" max="84" width="9.1328125" style="2"/>
    <col min="85" max="85" width="9.1328125" style="2"/>
    <col min="86" max="86" width="9.1328125" style="2"/>
    <col min="87" max="87" width="9.1328125" style="2"/>
    <col min="88" max="88" width="9.1328125" style="2"/>
    <col min="89" max="89" width="9.1328125" style="2"/>
    <col min="90" max="90" width="9.1328125" style="2"/>
    <col min="91" max="91" width="9.1328125" style="2"/>
    <col min="92" max="92" width="9.1328125" style="2"/>
    <col min="93" max="93" width="9.1328125" style="2"/>
    <col min="94" max="94" width="9.1328125" style="2"/>
    <col min="95" max="95" width="9.1328125" style="2"/>
    <col min="96" max="96" width="9.1328125" style="2"/>
    <col min="97" max="97" width="9.1328125" style="2"/>
    <col min="98" max="98" width="9.1328125" style="2"/>
    <col min="99" max="99" width="9.1328125" style="2"/>
    <col min="100" max="100" width="9.1328125" style="2"/>
    <col min="101" max="101" width="9.1328125" style="2"/>
    <col min="102" max="102" width="9.1328125" style="2"/>
    <col min="103" max="103" width="9.1328125" style="2"/>
    <col min="104" max="104" width="9.1328125" style="2"/>
    <col min="105" max="105" width="9.1328125" style="2"/>
    <col min="106" max="106" width="9.1328125" style="2"/>
    <col min="107" max="107" width="9.1328125" style="2"/>
    <col min="108" max="108" width="9.1328125" style="2"/>
    <col min="109" max="109" width="9.1328125" style="2"/>
    <col min="110" max="110" width="9.1328125" style="2"/>
    <col min="111" max="111" width="9.1328125" style="2"/>
    <col min="112" max="112" width="9.1328125" style="2"/>
    <col min="113" max="113" width="9.1328125" style="2"/>
    <col min="114" max="114" width="9.1328125" style="2"/>
    <col min="115" max="115" width="9.1328125" style="2"/>
    <col min="116" max="116" width="9.1328125" style="2"/>
    <col min="117" max="117" width="9.1328125" style="2"/>
    <col min="118" max="118" width="9.1328125" style="2"/>
    <col min="119" max="119" width="9.1328125" style="2"/>
    <col min="120" max="120" width="9.1328125" style="2"/>
    <col min="121" max="121" width="9.1328125" style="2"/>
    <col min="122" max="122" width="9.1328125" style="2"/>
    <col min="123" max="123" width="9.1328125" style="2"/>
    <col min="124" max="124" width="9.1328125" style="2"/>
    <col min="125" max="125" width="9.1328125" style="2"/>
    <col min="126" max="126" width="9.1328125" style="2"/>
    <col min="127" max="127" width="9.1328125" style="2"/>
    <col min="128" max="128" width="9.1328125" style="2"/>
    <col min="129" max="129" width="9.1328125" style="2"/>
    <col min="130" max="130" width="9.1328125" style="2"/>
    <col min="131" max="131" width="9.1328125" style="2"/>
    <col min="132" max="132" width="9.1328125" style="2"/>
    <col min="133" max="133" width="9.1328125" style="2"/>
    <col min="134" max="134" width="9.1328125" style="2"/>
    <col min="135" max="135" width="9.1328125" style="2"/>
    <col min="136" max="136" width="9.1328125" style="2"/>
    <col min="137" max="137" width="9.1328125" style="2"/>
    <col min="138" max="138" width="9.1328125" style="2"/>
    <col min="139" max="139" width="9.1328125" style="2"/>
    <col min="140" max="140" width="9.1328125" style="2"/>
    <col min="141" max="141" width="9.1328125" style="2"/>
    <col min="142" max="142" width="9.1328125" style="2"/>
    <col min="143" max="143" width="9.1328125" style="2"/>
    <col min="144" max="144" width="9.1328125" style="2"/>
    <col min="145" max="145" width="9.1328125" style="2"/>
    <col min="146" max="146" width="9.1328125" style="2"/>
    <col min="147" max="147" width="9.1328125" style="2"/>
    <col min="148" max="148" width="9.1328125" style="2"/>
    <col min="149" max="149" width="9.1328125" style="2"/>
    <col min="150" max="150" width="9.1328125" style="2"/>
    <col min="151" max="151" width="9.1328125" style="2"/>
    <col min="152" max="152" width="9.1328125" style="2"/>
    <col min="153" max="153" width="9.1328125" style="2"/>
    <col min="154" max="154" width="9.1328125" style="2"/>
    <col min="155" max="155" width="9.1328125" style="2"/>
    <col min="156" max="156" width="9.1328125" style="2"/>
    <col min="157" max="157" width="9.1328125" style="2"/>
    <col min="158" max="158" width="9.1328125" style="2"/>
    <col min="159" max="159" width="9.1328125" style="2"/>
    <col min="160" max="160" width="9.1328125" style="2"/>
    <col min="161" max="161" width="9.1328125" style="2"/>
    <col min="162" max="162" width="9.1328125" style="2"/>
    <col min="163" max="163" width="9.1328125" style="2"/>
    <col min="164" max="164" width="9.1328125" style="2"/>
    <col min="165" max="165" width="9.1328125" style="2"/>
    <col min="166" max="166" width="9.1328125" style="2"/>
    <col min="167" max="167" width="9.1328125" style="2"/>
    <col min="168" max="168" width="9.1328125" style="2"/>
    <col min="169" max="169" width="9.1328125" style="2"/>
    <col min="170" max="170" width="9.1328125" style="2"/>
    <col min="171" max="171" width="9.1328125" style="2"/>
    <col min="172" max="172" width="9.1328125" style="2"/>
    <col min="173" max="173" width="9.1328125" style="2"/>
    <col min="174" max="174" width="9.1328125" style="2"/>
    <col min="175" max="175" width="9.1328125" style="2"/>
    <col min="176" max="176" width="9.1328125" style="2"/>
    <col min="177" max="177" width="9.1328125" style="2"/>
    <col min="178" max="178" width="9.1328125" style="2"/>
    <col min="179" max="179" width="9.1328125" style="2"/>
    <col min="180" max="180" width="9.1328125" style="2"/>
    <col min="181" max="181" width="9.1328125" style="2"/>
    <col min="182" max="182" width="9.1328125" style="2"/>
    <col min="183" max="183" width="9.1328125" style="2"/>
    <col min="184" max="184" width="9.1328125" style="2"/>
    <col min="185" max="185" width="9.1328125" style="2"/>
    <col min="186" max="186" width="9.1328125" style="2"/>
    <col min="187" max="187" width="9.1328125" style="2"/>
    <col min="188" max="188" width="9.1328125" style="2"/>
    <col min="189" max="189" width="9.1328125" style="2"/>
    <col min="190" max="190" width="9.1328125" style="2"/>
    <col min="191" max="191" width="9.1328125" style="2"/>
    <col min="192" max="192" width="9.1328125" style="2"/>
    <col min="193" max="193" width="9.1328125" style="2"/>
    <col min="194" max="194" width="9.1328125" style="2"/>
    <col min="195" max="195" width="9.1328125" style="2"/>
    <col min="196" max="196" width="9.1328125" style="2"/>
    <col min="197" max="197" width="9.1328125" style="2"/>
    <col min="198" max="198" width="9.1328125" style="2"/>
    <col min="199" max="199" width="9.1328125" style="2"/>
    <col min="200" max="200" width="9.1328125" style="2"/>
    <col min="201" max="201" width="9.1328125" style="2"/>
    <col min="202" max="202" width="9.1328125" style="2"/>
    <col min="203" max="203" width="9.1328125" style="2"/>
    <col min="204" max="204" width="9.1328125" style="2"/>
    <col min="205" max="205" width="9.1328125" style="2"/>
    <col min="206" max="206" width="9.1328125" style="2"/>
    <col min="207" max="207" width="9.1328125" style="2"/>
    <col min="208" max="208" width="9.1328125" style="2"/>
    <col min="209" max="209" width="9.1328125" style="2"/>
    <col min="210" max="210" width="9.1328125" style="2"/>
    <col min="211" max="211" width="9.1328125" style="2"/>
    <col min="212" max="212" width="9.1328125" style="2"/>
    <col min="213" max="213" width="9.1328125" style="2"/>
    <col min="214" max="214" width="9.1328125" style="2"/>
    <col min="215" max="215" width="9.1328125" style="2"/>
    <col min="216" max="216" width="9.1328125" style="2"/>
    <col min="217" max="217" width="9.1328125" style="2"/>
    <col min="218" max="218" width="9.1328125" style="2"/>
    <col min="219" max="219" width="9.1328125" style="2"/>
    <col min="220" max="220" width="9.1328125" style="2"/>
    <col min="221" max="221" width="9.1328125" style="2"/>
    <col min="222" max="222" width="9.1328125" style="2"/>
    <col min="223" max="223" width="9.1328125" style="2"/>
    <col min="224" max="224" width="9.1328125" style="2"/>
    <col min="225" max="225" width="9.1328125" style="2"/>
    <col min="226" max="226" width="9.1328125" style="2"/>
    <col min="227" max="227" width="9.1328125" style="2"/>
    <col min="228" max="228" width="9.1328125" style="2"/>
    <col min="229" max="229" width="9.1328125" style="2"/>
    <col min="230" max="230" width="9.1328125" style="2"/>
    <col min="231" max="231" width="9.1328125" style="2"/>
    <col min="232" max="232" width="9.1328125" style="2"/>
    <col min="233" max="233" width="9.1328125" style="2"/>
    <col min="234" max="234" width="9.1328125" style="2"/>
    <col min="235" max="235" width="9.1328125" style="2"/>
    <col min="236" max="236" width="9.1328125" style="2"/>
    <col min="237" max="237" width="9.1328125" style="2"/>
    <col min="238" max="238" width="9.1328125" style="2"/>
    <col min="239" max="239" width="9.1328125" style="2"/>
    <col min="240" max="240" width="9.1328125" style="2"/>
    <col min="241" max="241" width="9.1328125" style="2"/>
    <col min="242" max="242" width="9.1328125" style="2"/>
    <col min="243" max="243" width="9.1328125" style="2"/>
    <col min="244" max="244" width="9.1328125" style="2"/>
    <col min="245" max="245" width="9.1328125" style="2"/>
    <col min="246" max="246" width="9.1328125" style="2"/>
    <col min="247" max="247" width="9.1328125" style="2"/>
    <col min="248" max="248" width="9.1328125" style="2"/>
    <col min="249" max="249" width="9.1328125" style="2"/>
    <col min="250" max="250" width="9.1328125" style="2"/>
    <col min="251" max="251" width="9.1328125" style="2"/>
    <col min="252" max="252" width="9.1328125" style="2"/>
    <col min="253" max="253" width="9.1328125" style="2"/>
    <col min="254" max="254" width="9.1328125" style="2"/>
    <col min="255" max="255" width="9.1328125" style="2"/>
    <col min="256" max="256" width="9.1328125" style="2"/>
    <col min="257" max="257" width="9.1328125" style="2"/>
    <col min="258" max="258" width="9.1328125" style="2"/>
    <col min="259" max="259" width="9.1328125" style="2"/>
    <col min="260" max="260" width="9.1328125" style="2"/>
    <col min="261" max="261" width="9.1328125" style="2"/>
    <col min="262" max="262" width="9.1328125" style="2"/>
    <col min="263" max="263" width="9.1328125" style="2"/>
    <col min="264" max="264" width="9.1328125" style="2"/>
    <col min="265" max="265" width="9.1328125" style="2"/>
    <col min="266" max="266" width="9.1328125" style="2"/>
    <col min="267" max="267" width="9.1328125" style="2"/>
    <col min="268" max="268" width="9.1328125" style="2"/>
    <col min="269" max="269" width="9.1328125" style="2"/>
    <col min="270" max="270" width="9.1328125" style="2"/>
    <col min="271" max="271" width="9.1328125" style="2"/>
    <col min="272" max="272" width="9.1328125" style="2"/>
    <col min="273" max="273" width="9.1328125" style="2"/>
    <col min="274" max="274" width="9.1328125" style="2"/>
    <col min="275" max="275" width="9.1328125" style="2"/>
    <col min="276" max="276" width="9.1328125" style="2"/>
    <col min="277" max="277" width="9.1328125" style="2"/>
    <col min="278" max="278" width="9.1328125" style="2"/>
    <col min="279" max="279" width="9.1328125" style="2"/>
    <col min="280" max="280" width="9.1328125" style="2"/>
    <col min="281" max="281" width="9.1328125" style="2"/>
    <col min="282" max="282" width="9.1328125" style="2"/>
    <col min="283" max="283" width="9.1328125" style="2"/>
    <col min="284" max="284" width="9.1328125" style="2"/>
    <col min="285" max="285" width="9.1328125" style="2"/>
    <col min="286" max="286" width="9.1328125" style="2"/>
    <col min="287" max="287" width="9.1328125" style="2"/>
    <col min="288" max="288" width="9.1328125" style="2"/>
    <col min="289" max="289" width="9.1328125" style="2"/>
    <col min="290" max="290" width="9.1328125" style="2"/>
    <col min="291" max="291" width="9.1328125" style="2"/>
    <col min="292" max="292" width="9.1328125" style="2"/>
    <col min="293" max="293" width="9.1328125" style="2"/>
    <col min="294" max="294" width="9.1328125" style="2"/>
    <col min="295" max="295" width="9.1328125" style="2"/>
    <col min="296" max="296" width="9.1328125" style="2"/>
    <col min="297" max="297" width="9.1328125" style="2"/>
    <col min="298" max="298" width="9.1328125" style="2"/>
    <col min="299" max="299" width="9.1328125" style="2"/>
    <col min="300" max="300" width="9.1328125" style="2"/>
    <col min="301" max="301" width="9.1328125" style="2"/>
    <col min="302" max="302" width="9.1328125" style="2"/>
    <col min="303" max="303" width="9.1328125" style="2"/>
    <col min="304" max="304" width="9.1328125" style="2"/>
    <col min="305" max="305" width="9.1328125" style="2"/>
    <col min="306" max="306" width="9.1328125" style="2"/>
    <col min="307" max="307" width="9.1328125" style="2"/>
    <col min="308" max="308" width="9.1328125" style="2"/>
    <col min="309" max="309" width="9.1328125" style="2"/>
    <col min="310" max="310" width="9.1328125" style="2"/>
    <col min="311" max="311" width="9.1328125" style="2"/>
    <col min="312" max="312" width="9.1328125" style="2"/>
    <col min="313" max="313" width="9.1328125" style="2"/>
    <col min="314" max="314" width="9.1328125" style="2"/>
    <col min="315" max="315" width="9.1328125" style="2"/>
    <col min="316" max="316" width="9.1328125" style="2"/>
    <col min="317" max="317" width="9.1328125" style="2"/>
    <col min="318" max="318" width="9.1328125" style="2"/>
    <col min="319" max="319" width="9.1328125" style="2"/>
    <col min="320" max="320" width="9.1328125" style="2"/>
    <col min="321" max="321" width="9.1328125" style="2"/>
    <col min="322" max="322" width="9.1328125" style="2"/>
    <col min="323" max="323" width="9.1328125" style="2"/>
    <col min="324" max="324" width="9.1328125" style="2"/>
    <col min="325" max="325" width="9.1328125" style="2"/>
    <col min="326" max="326" width="9.1328125" style="2"/>
    <col min="327" max="327" width="9.1328125" style="2"/>
    <col min="328" max="328" width="9.1328125" style="2"/>
    <col min="329" max="329" width="9.1328125" style="2"/>
    <col min="330" max="330" width="9.1328125" style="2"/>
    <col min="331" max="331" width="9.1328125" style="2"/>
    <col min="332" max="332" width="9.1328125" style="2"/>
    <col min="333" max="333" width="9.1328125" style="2"/>
    <col min="334" max="334" width="9.1328125" style="2"/>
    <col min="335" max="335" width="9.1328125" style="2"/>
    <col min="336" max="336" width="9.1328125" style="2"/>
    <col min="337" max="337" width="9.1328125" style="2"/>
    <col min="338" max="338" width="9.1328125" style="2"/>
    <col min="339" max="339" width="9.1328125" style="2"/>
    <col min="340" max="340" width="9.1328125" style="2"/>
    <col min="341" max="341" width="9.1328125" style="2"/>
    <col min="342" max="342" width="9.1328125" style="2"/>
    <col min="343" max="343" width="9.1328125" style="2"/>
    <col min="344" max="344" width="9.1328125" style="2"/>
    <col min="345" max="345" width="9.1328125" style="2"/>
    <col min="346" max="346" width="9.1328125" style="2"/>
    <col min="347" max="347" width="9.1328125" style="2"/>
    <col min="348" max="348" width="9.1328125" style="2"/>
    <col min="349" max="349" width="9.1328125" style="2"/>
    <col min="350" max="350" width="9.1328125" style="2"/>
    <col min="351" max="351" width="9.1328125" style="2"/>
    <col min="352" max="352" width="9.1328125" style="2"/>
    <col min="353" max="353" width="9.1328125" style="2"/>
    <col min="354" max="354" width="9.1328125" style="2"/>
    <col min="355" max="355" width="9.1328125" style="2"/>
    <col min="356" max="356" width="9.1328125" style="2"/>
    <col min="357" max="357" width="9.1328125" style="2"/>
    <col min="358" max="358" width="9.1328125" style="2"/>
    <col min="359" max="359" width="9.1328125" style="2"/>
    <col min="360" max="360" width="9.1328125" style="2"/>
    <col min="361" max="361" width="9.1328125" style="2"/>
    <col min="362" max="362" width="9.1328125" style="2"/>
    <col min="363" max="363" width="9.1328125" style="2"/>
    <col min="364" max="364" width="9.1328125" style="2"/>
    <col min="365" max="365" width="9.1328125" style="2"/>
    <col min="366" max="366" width="9.1328125" style="2"/>
    <col min="367" max="367" width="9.1328125" style="2"/>
    <col min="368" max="368" width="9.1328125" style="2"/>
    <col min="369" max="369" width="9.1328125" style="2"/>
    <col min="370" max="370" width="9.1328125" style="2"/>
    <col min="371" max="371" width="9.1328125" style="2"/>
    <col min="372" max="372" width="9.1328125" style="2"/>
    <col min="373" max="373" width="9.1328125" style="2"/>
    <col min="374" max="374" width="9.1328125" style="2"/>
    <col min="375" max="375" width="9.1328125" style="2"/>
    <col min="376" max="376" width="9.1328125" style="2"/>
    <col min="377" max="377" width="9.1328125" style="2"/>
    <col min="378" max="378" width="9.1328125" style="2"/>
    <col min="379" max="379" width="9.1328125" style="2"/>
    <col min="380" max="380" width="9.1328125" style="2"/>
    <col min="381" max="381" width="9.1328125" style="2"/>
    <col min="382" max="382" width="9.1328125" style="2"/>
    <col min="383" max="383" width="9.1328125" style="2"/>
    <col min="384" max="384" width="9.1328125" style="2"/>
    <col min="385" max="385" width="9.1328125" style="2"/>
    <col min="386" max="386" width="9.1328125" style="2"/>
    <col min="387" max="387" width="9.1328125" style="2"/>
    <col min="388" max="388" width="9.1328125" style="2"/>
    <col min="389" max="389" width="9.1328125" style="2"/>
    <col min="390" max="390" width="9.1328125" style="2"/>
    <col min="391" max="391" width="9.1328125" style="2"/>
    <col min="392" max="392" width="9.1328125" style="2"/>
    <col min="393" max="393" width="9.1328125" style="2"/>
    <col min="394" max="394" width="9.1328125" style="2"/>
    <col min="395" max="395" width="9.1328125" style="2"/>
    <col min="396" max="396" width="9.1328125" style="2"/>
    <col min="397" max="397" width="9.1328125" style="2"/>
    <col min="398" max="398" width="9.1328125" style="2"/>
    <col min="399" max="399" width="9.1328125" style="2"/>
    <col min="400" max="400" width="9.1328125" style="2"/>
    <col min="401" max="401" width="9.1328125" style="2"/>
    <col min="402" max="402" width="9.1328125" style="2"/>
    <col min="403" max="403" width="9.1328125" style="2"/>
    <col min="404" max="404" width="9.1328125" style="2"/>
    <col min="405" max="405" width="9.1328125" style="2"/>
    <col min="406" max="406" width="9.1328125" style="2"/>
    <col min="407" max="407" width="9.1328125" style="2"/>
    <col min="408" max="408" width="9.1328125" style="2"/>
    <col min="409" max="409" width="9.1328125" style="2"/>
    <col min="410" max="410" width="9.1328125" style="2"/>
    <col min="411" max="411" width="9.1328125" style="2"/>
    <col min="412" max="412" width="9.1328125" style="2"/>
    <col min="413" max="413" width="9.1328125" style="2"/>
    <col min="414" max="414" width="9.1328125" style="2"/>
    <col min="415" max="415" width="9.1328125" style="2"/>
    <col min="416" max="416" width="9.1328125" style="2"/>
    <col min="417" max="417" width="9.1328125" style="2"/>
    <col min="418" max="418" width="9.1328125" style="2"/>
    <col min="419" max="419" width="9.1328125" style="2"/>
    <col min="420" max="420" width="9.1328125" style="2"/>
    <col min="421" max="421" width="9.1328125" style="2"/>
    <col min="422" max="422" width="9.1328125" style="2"/>
    <col min="423" max="423" width="9.1328125" style="2"/>
    <col min="424" max="424" width="9.1328125" style="2"/>
    <col min="425" max="425" width="9.1328125" style="2"/>
    <col min="426" max="426" width="9.1328125" style="2"/>
    <col min="427" max="427" width="9.1328125" style="2"/>
    <col min="428" max="428" width="9.1328125" style="2"/>
    <col min="429" max="429" width="9.1328125" style="2"/>
    <col min="430" max="430" width="9.1328125" style="2"/>
    <col min="431" max="431" width="9.1328125" style="2"/>
    <col min="432" max="432" width="9.1328125" style="2"/>
    <col min="433" max="433" width="9.1328125" style="2"/>
    <col min="434" max="434" width="9.1328125" style="2"/>
    <col min="435" max="435" width="9.1328125" style="2"/>
    <col min="436" max="436" width="9.1328125" style="2"/>
    <col min="437" max="437" width="9.1328125" style="2"/>
    <col min="438" max="438" width="9.1328125" style="2"/>
    <col min="439" max="439" width="9.1328125" style="2"/>
    <col min="440" max="440" width="9.1328125" style="2"/>
    <col min="441" max="441" width="9.1328125" style="2"/>
    <col min="442" max="442" width="9.1328125" style="2"/>
    <col min="443" max="443" width="9.1328125" style="2"/>
    <col min="444" max="444" width="9.1328125" style="2"/>
    <col min="445" max="445" width="9.1328125" style="2"/>
    <col min="446" max="446" width="9.1328125" style="2"/>
    <col min="447" max="447" width="9.1328125" style="2"/>
    <col min="448" max="448" width="9.1328125" style="2"/>
    <col min="449" max="449" width="9.1328125" style="2"/>
    <col min="450" max="450" width="9.1328125" style="2"/>
    <col min="451" max="451" width="9.1328125" style="2"/>
    <col min="452" max="452" width="9.1328125" style="2"/>
    <col min="453" max="453" width="9.1328125" style="2"/>
    <col min="454" max="454" width="9.1328125" style="2"/>
    <col min="455" max="455" width="9.1328125" style="2"/>
    <col min="456" max="456" width="9.1328125" style="2"/>
    <col min="457" max="457" width="9.1328125" style="2"/>
    <col min="458" max="458" width="9.1328125" style="2"/>
    <col min="459" max="459" width="9.1328125" style="2"/>
    <col min="460" max="460" width="9.1328125" style="2"/>
    <col min="461" max="461" width="9.1328125" style="2"/>
    <col min="462" max="462" width="9.1328125" style="2"/>
    <col min="463" max="463" width="9.1328125" style="2"/>
    <col min="464" max="464" width="9.1328125" style="2"/>
    <col min="465" max="465" width="9.1328125" style="2"/>
    <col min="466" max="466" width="9.1328125" style="2"/>
    <col min="467" max="467" width="9.1328125" style="2"/>
    <col min="468" max="468" width="9.1328125" style="2"/>
    <col min="469" max="469" width="9.1328125" style="2"/>
    <col min="470" max="470" width="9.1328125" style="2"/>
    <col min="471" max="471" width="9.1328125" style="2"/>
    <col min="472" max="472" width="9.1328125" style="2"/>
    <col min="473" max="473" width="9.1328125" style="2"/>
    <col min="474" max="474" width="9.1328125" style="2"/>
    <col min="475" max="475" width="9.1328125" style="2"/>
    <col min="476" max="476" width="9.1328125" style="2"/>
    <col min="477" max="477" width="9.1328125" style="2"/>
    <col min="478" max="478" width="9.1328125" style="2"/>
    <col min="479" max="479" width="9.1328125" style="2"/>
    <col min="480" max="480" width="9.1328125" style="2"/>
    <col min="481" max="481" width="9.1328125" style="2"/>
    <col min="482" max="482" width="9.1328125" style="2"/>
    <col min="483" max="483" width="9.1328125" style="2"/>
    <col min="484" max="484" width="9.1328125" style="2"/>
    <col min="485" max="485" width="9.1328125" style="2"/>
    <col min="486" max="486" width="9.1328125" style="2"/>
    <col min="487" max="487" width="9.1328125" style="2"/>
    <col min="488" max="488" width="9.1328125" style="2"/>
    <col min="489" max="489" width="9.1328125" style="2"/>
    <col min="490" max="490" width="9.1328125" style="2"/>
    <col min="491" max="491" width="9.1328125" style="2"/>
    <col min="492" max="492" width="9.1328125" style="2"/>
    <col min="493" max="493" width="9.1328125" style="2"/>
    <col min="494" max="494" width="9.1328125" style="2"/>
    <col min="495" max="495" width="9.1328125" style="2"/>
    <col min="496" max="496" width="9.1328125" style="2"/>
    <col min="497" max="497" width="9.1328125" style="2"/>
    <col min="498" max="498" width="9.1328125" style="2"/>
    <col min="499" max="499" width="9.1328125" style="2"/>
    <col min="500" max="500" width="9.1328125" style="2"/>
    <col min="501" max="501" width="9.1328125" style="2"/>
    <col min="502" max="502" width="9.1328125" style="2"/>
    <col min="503" max="503" width="9.1328125" style="2"/>
    <col min="504" max="504" width="9.1328125" style="2"/>
    <col min="505" max="505" width="9.1328125" style="2"/>
    <col min="506" max="506" width="9.1328125" style="2"/>
    <col min="507" max="507" width="9.1328125" style="2"/>
    <col min="508" max="508" width="9.1328125" style="2"/>
    <col min="509" max="509" width="9.1328125" style="2"/>
    <col min="510" max="510" width="9.1328125" style="2"/>
    <col min="511" max="511" width="9.1328125" style="2"/>
    <col min="512" max="512" width="9.1328125" style="2"/>
    <col min="513" max="513" width="9.1328125" style="2"/>
    <col min="514" max="514" width="9.1328125" style="2"/>
    <col min="515" max="515" width="9.1328125" style="2"/>
    <col min="516" max="516" width="9.1328125" style="2"/>
    <col min="517" max="517" width="9.1328125" style="2"/>
    <col min="518" max="518" width="9.1328125" style="2"/>
    <col min="519" max="519" width="9.1328125" style="2"/>
    <col min="520" max="520" width="9.1328125" style="2"/>
    <col min="521" max="521" width="9.1328125" style="2"/>
    <col min="522" max="522" width="9.1328125" style="2"/>
    <col min="523" max="523" width="9.1328125" style="2"/>
    <col min="524" max="524" width="9.1328125" style="2"/>
    <col min="525" max="525" width="9.1328125" style="2"/>
    <col min="526" max="526" width="9.1328125" style="2"/>
    <col min="527" max="527" width="9.1328125" style="2"/>
    <col min="528" max="528" width="9.1328125" style="2"/>
    <col min="529" max="529" width="9.1328125" style="2"/>
    <col min="530" max="530" width="9.1328125" style="2"/>
    <col min="531" max="531" width="9.1328125" style="2"/>
    <col min="532" max="532" width="9.1328125" style="2"/>
    <col min="533" max="533" width="9.1328125" style="2"/>
    <col min="534" max="534" width="9.1328125" style="2"/>
    <col min="535" max="535" width="9.1328125" style="2"/>
    <col min="536" max="536" width="9.1328125" style="2"/>
    <col min="537" max="537" width="9.1328125" style="2"/>
    <col min="538" max="538" width="9.1328125" style="2"/>
    <col min="539" max="539" width="9.1328125" style="2"/>
    <col min="540" max="540" width="9.1328125" style="2"/>
    <col min="541" max="541" width="9.1328125" style="2"/>
    <col min="542" max="542" width="9.1328125" style="2"/>
    <col min="543" max="543" width="9.1328125" style="2"/>
    <col min="544" max="544" width="9.1328125" style="2"/>
    <col min="545" max="545" width="9.1328125" style="2"/>
    <col min="546" max="546" width="9.1328125" style="2"/>
    <col min="547" max="547" width="9.1328125" style="2"/>
    <col min="548" max="548" width="9.1328125" style="2"/>
    <col min="549" max="549" width="9.1328125" style="2"/>
    <col min="550" max="550" width="9.1328125" style="2"/>
    <col min="551" max="551" width="9.1328125" style="2"/>
    <col min="552" max="552" width="9.1328125" style="2"/>
    <col min="553" max="553" width="9.1328125" style="2"/>
    <col min="554" max="554" width="9.1328125" style="2"/>
    <col min="555" max="555" width="9.1328125" style="2"/>
    <col min="556" max="556" width="9.1328125" style="2"/>
    <col min="557" max="557" width="9.1328125" style="2"/>
    <col min="558" max="558" width="9.1328125" style="2"/>
    <col min="559" max="559" width="9.1328125" style="2"/>
    <col min="560" max="560" width="9.1328125" style="2"/>
    <col min="561" max="561" width="9.1328125" style="2"/>
    <col min="562" max="562" width="9.1328125" style="2"/>
    <col min="563" max="563" width="9.1328125" style="2"/>
    <col min="564" max="564" width="9.1328125" style="2"/>
    <col min="565" max="565" width="9.1328125" style="2"/>
    <col min="566" max="566" width="9.1328125" style="2"/>
    <col min="567" max="567" width="9.1328125" style="2"/>
    <col min="568" max="568" width="9.1328125" style="2"/>
    <col min="569" max="569" width="9.1328125" style="2"/>
    <col min="570" max="570" width="9.1328125" style="2"/>
    <col min="571" max="571" width="9.1328125" style="2"/>
    <col min="572" max="572" width="9.1328125" style="2"/>
    <col min="573" max="573" width="9.1328125" style="2"/>
    <col min="574" max="574" width="9.1328125" style="2"/>
    <col min="575" max="575" width="9.1328125" style="2"/>
    <col min="576" max="576" width="9.1328125" style="2"/>
    <col min="577" max="577" width="9.1328125" style="2"/>
    <col min="578" max="578" width="9.1328125" style="2"/>
    <col min="579" max="579" width="9.1328125" style="2"/>
    <col min="580" max="580" width="9.1328125" style="2"/>
    <col min="581" max="581" width="9.1328125" style="2"/>
    <col min="582" max="582" width="9.1328125" style="2"/>
    <col min="583" max="583" width="9.1328125" style="2"/>
    <col min="584" max="584" width="9.1328125" style="2"/>
    <col min="585" max="585" width="9.1328125" style="2"/>
    <col min="586" max="586" width="9.1328125" style="2"/>
    <col min="587" max="587" width="9.1328125" style="2"/>
    <col min="588" max="588" width="9.1328125" style="2"/>
    <col min="589" max="589" width="9.1328125" style="2"/>
    <col min="590" max="590" width="9.1328125" style="2"/>
    <col min="591" max="591" width="9.1328125" style="2"/>
    <col min="592" max="592" width="9.1328125" style="2"/>
    <col min="593" max="593" width="9.1328125" style="2"/>
    <col min="594" max="594" width="9.1328125" style="2"/>
    <col min="595" max="595" width="9.1328125" style="2"/>
    <col min="596" max="596" width="9.1328125" style="2"/>
    <col min="597" max="597" width="9.1328125" style="2"/>
    <col min="598" max="598" width="9.1328125" style="2"/>
    <col min="599" max="599" width="9.1328125" style="2"/>
    <col min="600" max="600" width="9.1328125" style="2"/>
    <col min="601" max="601" width="9.1328125" style="2"/>
    <col min="602" max="602" width="9.1328125" style="2"/>
    <col min="603" max="603" width="9.1328125" style="2"/>
    <col min="604" max="604" width="9.1328125" style="2"/>
    <col min="605" max="605" width="9.1328125" style="2"/>
    <col min="606" max="606" width="9.1328125" style="2"/>
    <col min="607" max="607" width="9.1328125" style="2"/>
    <col min="608" max="608" width="9.1328125" style="2"/>
    <col min="609" max="609" width="9.1328125" style="2"/>
    <col min="610" max="610" width="9.1328125" style="2"/>
    <col min="611" max="611" width="9.1328125" style="2"/>
    <col min="612" max="612" width="9.1328125" style="2"/>
    <col min="613" max="613" width="9.1328125" style="2"/>
    <col min="614" max="614" width="9.1328125" style="2"/>
    <col min="615" max="615" width="9.1328125" style="2"/>
    <col min="616" max="616" width="9.1328125" style="2"/>
    <col min="617" max="617" width="9.1328125" style="2"/>
    <col min="618" max="618" width="9.1328125" style="2"/>
    <col min="619" max="619" width="9.1328125" style="2"/>
    <col min="620" max="620" width="9.1328125" style="2"/>
    <col min="621" max="621" width="9.1328125" style="2"/>
    <col min="622" max="622" width="9.1328125" style="2"/>
    <col min="623" max="623" width="9.1328125" style="2"/>
    <col min="624" max="624" width="9.1328125" style="2"/>
    <col min="625" max="625" width="9.1328125" style="2"/>
    <col min="626" max="626" width="9.1328125" style="2"/>
    <col min="627" max="627" width="9.1328125" style="2"/>
    <col min="628" max="628" width="9.1328125" style="2"/>
    <col min="629" max="629" width="9.1328125" style="2"/>
    <col min="630" max="630" width="9.1328125" style="2"/>
    <col min="631" max="631" width="9.1328125" style="2"/>
    <col min="632" max="632" width="9.1328125" style="2"/>
    <col min="633" max="633" width="9.1328125" style="2"/>
    <col min="634" max="634" width="9.1328125" style="2"/>
    <col min="635" max="635" width="9.1328125" style="2"/>
    <col min="636" max="636" width="9.1328125" style="2"/>
    <col min="637" max="637" width="9.1328125" style="2"/>
    <col min="638" max="638" width="9.1328125" style="2"/>
    <col min="639" max="639" width="9.1328125" style="2"/>
    <col min="640" max="640" width="9.1328125" style="2"/>
    <col min="641" max="641" width="9.1328125" style="2"/>
    <col min="642" max="642" width="9.1328125" style="2"/>
    <col min="643" max="643" width="9.1328125" style="2"/>
    <col min="644" max="644" width="9.1328125" style="2"/>
    <col min="645" max="645" width="9.1328125" style="2"/>
    <col min="646" max="646" width="9.1328125" style="2"/>
    <col min="647" max="647" width="9.1328125" style="2"/>
    <col min="648" max="648" width="9.1328125" style="2"/>
    <col min="649" max="649" width="9.1328125" style="2"/>
    <col min="650" max="650" width="9.1328125" style="2"/>
    <col min="651" max="651" width="9.1328125" style="2"/>
    <col min="652" max="652" width="9.1328125" style="2"/>
    <col min="653" max="653" width="9.1328125" style="2"/>
    <col min="654" max="654" width="9.1328125" style="2"/>
    <col min="655" max="655" width="9.1328125" style="2"/>
    <col min="656" max="656" width="9.1328125" style="2"/>
    <col min="657" max="657" width="9.1328125" style="2"/>
    <col min="658" max="658" width="9.1328125" style="2"/>
    <col min="659" max="659" width="9.1328125" style="2"/>
    <col min="660" max="660" width="9.1328125" style="2"/>
    <col min="661" max="661" width="9.1328125" style="2"/>
    <col min="662" max="662" width="9.1328125" style="2"/>
    <col min="663" max="663" width="9.1328125" style="2"/>
    <col min="664" max="664" width="9.1328125" style="2"/>
    <col min="665" max="665" width="9.1328125" style="2"/>
    <col min="666" max="666" width="9.1328125" style="2"/>
    <col min="667" max="667" width="9.1328125" style="2"/>
    <col min="668" max="668" width="9.1328125" style="2"/>
    <col min="669" max="669" width="9.1328125" style="2"/>
    <col min="670" max="670" width="9.1328125" style="2"/>
    <col min="671" max="671" width="9.1328125" style="2"/>
    <col min="672" max="672" width="9.1328125" style="2"/>
    <col min="673" max="673" width="9.1328125" style="2"/>
    <col min="674" max="674" width="9.1328125" style="2"/>
    <col min="675" max="675" width="9.1328125" style="2"/>
    <col min="676" max="676" width="9.1328125" style="2"/>
    <col min="677" max="677" width="9.1328125" style="2"/>
    <col min="678" max="678" width="9.1328125" style="2"/>
    <col min="679" max="679" width="9.1328125" style="2"/>
    <col min="680" max="680" width="9.1328125" style="2"/>
    <col min="681" max="681" width="9.1328125" style="2"/>
    <col min="682" max="682" width="9.1328125" style="2"/>
    <col min="683" max="683" width="9.1328125" style="2"/>
    <col min="684" max="684" width="9.1328125" style="2"/>
    <col min="685" max="685" width="9.1328125" style="2"/>
    <col min="686" max="686" width="9.1328125" style="2"/>
    <col min="687" max="687" width="9.1328125" style="2"/>
    <col min="688" max="688" width="9.1328125" style="2"/>
    <col min="689" max="689" width="9.1328125" style="2"/>
    <col min="690" max="690" width="9.1328125" style="2"/>
    <col min="691" max="691" width="9.1328125" style="2"/>
    <col min="692" max="692" width="9.1328125" style="2"/>
    <col min="693" max="693" width="9.1328125" style="2"/>
    <col min="694" max="694" width="9.1328125" style="2"/>
    <col min="695" max="695" width="9.1328125" style="2"/>
    <col min="696" max="696" width="9.1328125" style="2"/>
    <col min="697" max="697" width="9.1328125" style="2"/>
    <col min="698" max="698" width="9.1328125" style="2"/>
    <col min="699" max="699" width="9.1328125" style="2"/>
    <col min="700" max="700" width="9.1328125" style="2"/>
    <col min="701" max="701" width="9.1328125" style="2"/>
    <col min="702" max="702" width="9.1328125" style="2"/>
    <col min="703" max="703" width="9.1328125" style="2"/>
    <col min="704" max="704" width="9.1328125" style="2"/>
    <col min="705" max="705" width="9.1328125" style="2"/>
    <col min="706" max="706" width="9.1328125" style="2"/>
    <col min="707" max="707" width="9.1328125" style="2"/>
    <col min="708" max="708" width="9.1328125" style="2"/>
    <col min="709" max="709" width="9.1328125" style="2"/>
    <col min="710" max="710" width="9.1328125" style="2"/>
    <col min="711" max="711" width="9.1328125" style="2"/>
    <col min="712" max="712" width="9.1328125" style="2"/>
    <col min="713" max="713" width="9.1328125" style="2"/>
    <col min="714" max="714" width="9.1328125" style="2"/>
    <col min="715" max="715" width="9.1328125" style="2"/>
    <col min="716" max="716" width="9.1328125" style="2"/>
    <col min="717" max="717" width="9.1328125" style="2"/>
    <col min="718" max="718" width="9.1328125" style="2"/>
    <col min="719" max="719" width="9.1328125" style="2"/>
    <col min="720" max="720" width="9.1328125" style="2"/>
    <col min="721" max="721" width="9.1328125" style="2"/>
    <col min="722" max="722" width="9.1328125" style="2"/>
    <col min="723" max="723" width="9.1328125" style="2"/>
    <col min="724" max="724" width="9.1328125" style="2"/>
    <col min="725" max="725" width="9.1328125" style="2"/>
    <col min="726" max="726" width="9.1328125" style="2"/>
    <col min="727" max="727" width="9.1328125" style="2"/>
    <col min="728" max="728" width="9.1328125" style="2"/>
    <col min="729" max="729" width="9.1328125" style="2"/>
    <col min="730" max="730" width="9.1328125" style="2"/>
    <col min="731" max="731" width="9.1328125" style="2"/>
    <col min="732" max="732" width="9.1328125" style="2"/>
    <col min="733" max="733" width="9.1328125" style="2"/>
    <col min="734" max="734" width="9.1328125" style="2"/>
    <col min="735" max="735" width="9.1328125" style="2"/>
    <col min="736" max="736" width="9.1328125" style="2"/>
    <col min="737" max="737" width="9.1328125" style="2"/>
    <col min="738" max="738" width="9.1328125" style="2"/>
    <col min="739" max="739" width="9.1328125" style="2"/>
    <col min="740" max="740" width="9.1328125" style="2"/>
    <col min="741" max="741" width="9.1328125" style="2"/>
    <col min="742" max="742" width="9.1328125" style="2"/>
    <col min="743" max="743" width="9.1328125" style="2"/>
    <col min="744" max="744" width="9.1328125" style="2"/>
    <col min="745" max="745" width="9.1328125" style="2"/>
    <col min="746" max="746" width="9.1328125" style="2"/>
    <col min="747" max="747" width="9.1328125" style="2"/>
    <col min="748" max="748" width="9.1328125" style="2"/>
    <col min="749" max="749" width="9.1328125" style="2"/>
    <col min="750" max="750" width="9.1328125" style="2"/>
    <col min="751" max="751" width="9.1328125" style="2"/>
    <col min="752" max="752" width="9.1328125" style="2"/>
    <col min="753" max="753" width="9.1328125" style="2"/>
    <col min="754" max="754" width="9.1328125" style="2"/>
    <col min="755" max="755" width="9.1328125" style="2"/>
    <col min="756" max="756" width="9.1328125" style="2"/>
    <col min="757" max="757" width="9.1328125" style="2"/>
    <col min="758" max="758" width="9.1328125" style="2"/>
    <col min="759" max="759" width="9.1328125" style="2"/>
    <col min="760" max="760" width="9.1328125" style="2"/>
    <col min="761" max="761" width="9.1328125" style="2"/>
    <col min="762" max="762" width="9.1328125" style="2"/>
    <col min="763" max="763" width="9.1328125" style="2"/>
    <col min="764" max="764" width="9.1328125" style="2"/>
    <col min="765" max="765" width="9.1328125" style="2"/>
    <col min="766" max="766" width="9.1328125" style="2"/>
    <col min="767" max="767" width="9.1328125" style="2"/>
    <col min="768" max="768" width="9.1328125" style="2"/>
    <col min="769" max="769" width="9.1328125" style="2"/>
    <col min="770" max="770" width="9.1328125" style="2"/>
    <col min="771" max="771" width="9.1328125" style="2"/>
    <col min="772" max="772" width="9.1328125" style="2"/>
    <col min="773" max="773" width="9.1328125" style="2"/>
    <col min="774" max="774" width="9.1328125" style="2"/>
    <col min="775" max="775" width="9.1328125" style="2"/>
    <col min="776" max="776" width="9.1328125" style="2"/>
    <col min="777" max="777" width="9.1328125" style="2"/>
    <col min="778" max="778" width="9.1328125" style="2"/>
    <col min="779" max="779" width="9.1328125" style="2"/>
    <col min="780" max="780" width="9.1328125" style="2"/>
    <col min="781" max="781" width="9.1328125" style="2"/>
    <col min="782" max="782" width="9.1328125" style="2"/>
    <col min="783" max="783" width="9.1328125" style="2"/>
    <col min="784" max="784" width="9.1328125" style="2"/>
    <col min="785" max="785" width="9.1328125" style="2"/>
    <col min="786" max="786" width="9.1328125" style="2"/>
    <col min="787" max="787" width="9.1328125" style="2"/>
    <col min="788" max="788" width="9.1328125" style="2"/>
    <col min="789" max="789" width="9.1328125" style="2"/>
    <col min="790" max="790" width="9.1328125" style="2"/>
    <col min="791" max="791" width="9.1328125" style="2"/>
    <col min="792" max="792" width="9.1328125" style="2"/>
    <col min="793" max="793" width="9.1328125" style="2"/>
    <col min="794" max="794" width="9.1328125" style="2"/>
    <col min="795" max="795" width="9.1328125" style="2"/>
    <col min="796" max="796" width="9.1328125" style="2"/>
    <col min="797" max="797" width="9.1328125" style="2"/>
    <col min="798" max="798" width="9.1328125" style="2"/>
    <col min="799" max="799" width="9.1328125" style="2"/>
    <col min="800" max="800" width="9.1328125" style="2"/>
    <col min="801" max="801" width="9.1328125" style="2"/>
    <col min="802" max="802" width="9.1328125" style="2"/>
    <col min="803" max="803" width="9.1328125" style="2"/>
    <col min="804" max="804" width="9.1328125" style="2"/>
    <col min="805" max="805" width="9.1328125" style="2"/>
    <col min="806" max="806" width="9.1328125" style="2"/>
    <col min="807" max="807" width="9.1328125" style="2"/>
    <col min="808" max="808" width="9.1328125" style="2"/>
    <col min="809" max="809" width="9.1328125" style="2"/>
    <col min="810" max="810" width="9.1328125" style="2"/>
    <col min="811" max="811" width="9.1328125" style="2"/>
    <col min="812" max="812" width="9.1328125" style="2"/>
    <col min="813" max="813" width="9.1328125" style="2"/>
    <col min="814" max="814" width="9.1328125" style="2"/>
    <col min="815" max="815" width="9.1328125" style="2"/>
    <col min="816" max="816" width="9.1328125" style="2"/>
    <col min="817" max="817" width="9.1328125" style="2"/>
    <col min="818" max="818" width="9.1328125" style="2"/>
    <col min="819" max="819" width="9.1328125" style="2"/>
    <col min="820" max="820" width="9.1328125" style="2"/>
    <col min="821" max="821" width="9.1328125" style="2"/>
    <col min="822" max="822" width="9.1328125" style="2"/>
    <col min="823" max="823" width="9.1328125" style="2"/>
    <col min="824" max="824" width="9.1328125" style="2"/>
    <col min="825" max="825" width="9.1328125" style="2"/>
    <col min="826" max="826" width="9.1328125" style="2"/>
    <col min="827" max="827" width="9.1328125" style="2"/>
    <col min="828" max="828" width="9.1328125" style="2"/>
    <col min="829" max="829" width="9.1328125" style="2"/>
    <col min="830" max="830" width="9.1328125" style="2"/>
    <col min="831" max="831" width="9.1328125" style="2"/>
    <col min="832" max="832" width="9.1328125" style="2"/>
    <col min="833" max="833" width="9.1328125" style="2"/>
    <col min="834" max="834" width="9.1328125" style="2"/>
    <col min="835" max="835" width="9.1328125" style="2"/>
    <col min="836" max="836" width="9.1328125" style="2"/>
    <col min="837" max="837" width="9.1328125" style="2"/>
    <col min="838" max="838" width="9.1328125" style="2"/>
    <col min="839" max="839" width="9.1328125" style="2"/>
    <col min="840" max="840" width="9.1328125" style="2"/>
    <col min="841" max="841" width="9.1328125" style="2"/>
    <col min="842" max="842" width="9.1328125" style="2"/>
    <col min="843" max="843" width="9.1328125" style="2"/>
    <col min="844" max="844" width="9.1328125" style="2"/>
    <col min="845" max="845" width="9.1328125" style="2"/>
    <col min="846" max="846" width="9.1328125" style="2"/>
    <col min="847" max="847" width="9.1328125" style="2"/>
    <col min="848" max="848" width="9.1328125" style="2"/>
    <col min="849" max="849" width="9.1328125" style="2"/>
    <col min="850" max="850" width="9.1328125" style="2"/>
    <col min="851" max="851" width="9.1328125" style="2"/>
    <col min="852" max="852" width="9.1328125" style="2"/>
    <col min="853" max="853" width="9.1328125" style="2"/>
    <col min="854" max="854" width="9.1328125" style="2"/>
    <col min="855" max="855" width="9.1328125" style="2"/>
    <col min="856" max="856" width="9.1328125" style="2"/>
    <col min="857" max="857" width="9.1328125" style="2"/>
    <col min="858" max="858" width="9.1328125" style="2"/>
    <col min="859" max="859" width="9.1328125" style="2"/>
    <col min="860" max="860" width="9.1328125" style="2"/>
    <col min="861" max="861" width="9.1328125" style="2"/>
    <col min="862" max="862" width="9.1328125" style="2"/>
    <col min="863" max="863" width="9.1328125" style="2"/>
    <col min="864" max="864" width="9.1328125" style="2"/>
    <col min="865" max="865" width="9.1328125" style="2"/>
    <col min="866" max="866" width="9.1328125" style="2"/>
    <col min="867" max="867" width="9.1328125" style="2"/>
    <col min="868" max="868" width="9.1328125" style="2"/>
    <col min="869" max="869" width="9.1328125" style="2"/>
    <col min="870" max="870" width="9.1328125" style="2"/>
    <col min="871" max="871" width="9.1328125" style="2"/>
    <col min="872" max="872" width="9.1328125" style="2"/>
    <col min="873" max="873" width="9.1328125" style="2"/>
    <col min="874" max="874" width="9.1328125" style="2"/>
    <col min="875" max="875" width="9.1328125" style="2"/>
    <col min="876" max="876" width="9.1328125" style="2"/>
    <col min="877" max="877" width="9.1328125" style="2"/>
    <col min="878" max="878" width="9.1328125" style="2"/>
    <col min="879" max="879" width="9.1328125" style="2"/>
    <col min="880" max="880" width="9.1328125" style="2"/>
    <col min="881" max="881" width="9.1328125" style="2"/>
    <col min="882" max="882" width="9.1328125" style="2"/>
    <col min="883" max="883" width="9.1328125" style="2"/>
    <col min="884" max="884" width="9.1328125" style="2"/>
    <col min="885" max="885" width="9.1328125" style="2"/>
    <col min="886" max="886" width="9.1328125" style="2"/>
    <col min="887" max="887" width="9.1328125" style="2"/>
    <col min="888" max="888" width="9.1328125" style="2"/>
    <col min="889" max="889" width="9.1328125" style="2"/>
    <col min="890" max="890" width="9.1328125" style="2"/>
    <col min="891" max="891" width="9.1328125" style="2"/>
    <col min="892" max="892" width="9.1328125" style="2"/>
    <col min="893" max="893" width="9.1328125" style="2"/>
    <col min="894" max="894" width="9.1328125" style="2"/>
    <col min="895" max="895" width="9.1328125" style="2"/>
    <col min="896" max="896" width="9.1328125" style="2"/>
    <col min="897" max="897" width="9.1328125" style="2"/>
    <col min="898" max="898" width="9.1328125" style="2"/>
    <col min="899" max="899" width="9.1328125" style="2"/>
    <col min="900" max="900" width="9.1328125" style="2"/>
    <col min="901" max="901" width="9.1328125" style="2"/>
    <col min="902" max="902" width="9.1328125" style="2"/>
    <col min="903" max="903" width="9.1328125" style="2"/>
    <col min="904" max="904" width="9.1328125" style="2"/>
    <col min="905" max="905" width="9.1328125" style="2"/>
    <col min="906" max="906" width="9.1328125" style="2"/>
    <col min="907" max="907" width="9.1328125" style="2"/>
    <col min="908" max="908" width="9.1328125" style="2"/>
    <col min="909" max="909" width="9.1328125" style="2"/>
    <col min="910" max="910" width="9.1328125" style="2"/>
    <col min="911" max="911" width="9.1328125" style="2"/>
    <col min="912" max="912" width="9.1328125" style="2"/>
    <col min="913" max="913" width="9.1328125" style="2"/>
    <col min="914" max="914" width="9.1328125" style="2"/>
    <col min="915" max="915" width="9.1328125" style="2"/>
    <col min="916" max="916" width="9.1328125" style="2"/>
    <col min="917" max="917" width="9.1328125" style="2"/>
    <col min="918" max="918" width="9.1328125" style="2"/>
    <col min="919" max="919" width="9.1328125" style="2"/>
    <col min="920" max="920" width="9.1328125" style="2"/>
    <col min="921" max="921" width="9.1328125" style="2"/>
    <col min="922" max="922" width="9.1328125" style="2"/>
    <col min="923" max="923" width="9.1328125" style="2"/>
    <col min="924" max="924" width="9.1328125" style="2"/>
    <col min="925" max="925" width="9.1328125" style="2"/>
    <col min="926" max="926" width="9.1328125" style="2"/>
    <col min="927" max="927" width="9.1328125" style="2"/>
    <col min="928" max="928" width="9.1328125" style="2"/>
    <col min="929" max="929" width="9.1328125" style="2"/>
    <col min="930" max="930" width="9.1328125" style="2"/>
    <col min="931" max="931" width="9.1328125" style="2"/>
    <col min="932" max="932" width="9.1328125" style="2"/>
    <col min="933" max="933" width="9.1328125" style="2"/>
    <col min="934" max="934" width="9.1328125" style="2"/>
    <col min="935" max="935" width="9.1328125" style="2"/>
    <col min="936" max="936" width="9.1328125" style="2"/>
    <col min="937" max="937" width="9.1328125" style="2"/>
    <col min="938" max="938" width="9.1328125" style="2"/>
    <col min="939" max="939" width="9.1328125" style="2"/>
    <col min="940" max="940" width="9.1328125" style="2"/>
    <col min="941" max="941" width="9.1328125" style="2"/>
    <col min="942" max="942" width="9.1328125" style="2"/>
    <col min="943" max="943" width="9.1328125" style="2"/>
    <col min="944" max="944" width="9.1328125" style="2"/>
    <col min="945" max="945" width="9.1328125" style="2"/>
    <col min="946" max="946" width="9.1328125" style="2"/>
    <col min="947" max="947" width="9.1328125" style="2"/>
    <col min="948" max="948" width="9.1328125" style="2"/>
    <col min="949" max="949" width="9.1328125" style="2"/>
    <col min="950" max="950" width="9.1328125" style="2"/>
    <col min="951" max="951" width="9.1328125" style="2"/>
    <col min="952" max="952" width="9.1328125" style="2"/>
    <col min="953" max="953" width="9.1328125" style="2"/>
    <col min="954" max="954" width="9.1328125" style="2"/>
    <col min="955" max="955" width="9.1328125" style="2"/>
    <col min="956" max="956" width="9.1328125" style="2"/>
    <col min="957" max="957" width="9.1328125" style="2"/>
    <col min="958" max="958" width="9.1328125" style="2"/>
    <col min="959" max="959" width="9.1328125" style="2"/>
    <col min="960" max="960" width="9.1328125" style="2"/>
    <col min="961" max="961" width="9.1328125" style="2"/>
    <col min="962" max="962" width="9.1328125" style="2"/>
    <col min="963" max="963" width="9.1328125" style="2"/>
    <col min="964" max="964" width="9.1328125" style="2"/>
    <col min="965" max="965" width="9.1328125" style="2"/>
    <col min="966" max="966" width="9.1328125" style="2"/>
    <col min="967" max="967" width="9.1328125" style="2"/>
    <col min="968" max="968" width="9.1328125" style="2"/>
    <col min="969" max="969" width="9.1328125" style="2"/>
    <col min="970" max="970" width="9.1328125" style="2"/>
    <col min="971" max="971" width="9.1328125" style="2"/>
    <col min="972" max="972" width="9.1328125" style="2"/>
    <col min="973" max="973" width="9.1328125" style="2"/>
    <col min="974" max="974" width="9.1328125" style="2"/>
    <col min="975" max="975" width="9.1328125" style="2"/>
    <col min="976" max="976" width="9.1328125" style="2"/>
    <col min="977" max="977" width="9.1328125" style="2"/>
    <col min="978" max="978" width="9.1328125" style="2"/>
    <col min="979" max="979" width="9.1328125" style="2"/>
    <col min="980" max="980" width="9.1328125" style="2"/>
    <col min="981" max="981" width="9.1328125" style="2"/>
    <col min="982" max="982" width="9.1328125" style="2"/>
    <col min="983" max="983" width="9.1328125" style="2"/>
    <col min="984" max="984" width="9.1328125" style="2"/>
    <col min="985" max="985" width="9.1328125" style="2"/>
    <col min="986" max="986" width="9.1328125" style="2"/>
    <col min="987" max="987" width="9.1328125" style="2"/>
    <col min="988" max="988" width="9.1328125" style="2"/>
    <col min="989" max="989" width="9.1328125" style="2"/>
    <col min="990" max="990" width="9.1328125" style="2"/>
    <col min="991" max="991" width="9.1328125" style="2"/>
    <col min="992" max="992" width="9.1328125" style="2"/>
    <col min="993" max="993" width="9.1328125" style="2"/>
    <col min="994" max="994" width="9.1328125" style="2"/>
    <col min="995" max="995" width="9.1328125" style="2"/>
    <col min="996" max="996" width="9.1328125" style="2"/>
    <col min="997" max="997" width="9.1328125" style="2"/>
    <col min="998" max="998" width="9.1328125" style="2"/>
    <col min="999" max="999" width="9.1328125" style="2"/>
    <col min="1000" max="1000" width="9.1328125" style="2"/>
    <col min="1001" max="1001" width="9.1328125" style="2"/>
    <col min="1002" max="1002" width="9.1328125" style="2"/>
    <col min="1003" max="1003" width="9.1328125" style="2"/>
    <col min="1004" max="1004" width="9.1328125" style="2"/>
    <col min="1005" max="1005" width="9.1328125" style="2"/>
    <col min="1006" max="1006" width="9.1328125" style="2"/>
    <col min="1007" max="1007" width="9.1328125" style="2"/>
    <col min="1008" max="1008" width="9.1328125" style="2"/>
    <col min="1009" max="1009" width="9.1328125" style="2"/>
    <col min="1010" max="1010" width="9.1328125" style="2"/>
    <col min="1011" max="1011" width="9.1328125" style="2"/>
    <col min="1012" max="1012" width="9.1328125" style="2"/>
    <col min="1013" max="1013" width="9.1328125" style="2"/>
    <col min="1014" max="1014" width="9.1328125" style="2"/>
    <col min="1015" max="1015" width="9.1328125" style="2"/>
    <col min="1016" max="1016" width="9.1328125" style="2"/>
    <col min="1017" max="1017" width="9.1328125" style="2"/>
    <col min="1018" max="1018" width="9.1328125" style="2"/>
    <col min="1019" max="1019" width="9.1328125" style="2"/>
    <col min="1020" max="1020" width="9.1328125" style="2"/>
    <col min="1021" max="1021" width="9.1328125" style="2"/>
    <col min="1022" max="1022" width="9.1328125" style="2"/>
    <col min="1023" max="1023" width="9.1328125" style="2"/>
    <col min="1024" max="1024" width="9.1328125" style="2"/>
    <col min="1025" max="1025" width="9.1328125" style="27"/>
  </cols>
  <sheetData>
    <row r="1" spans="1:1025" customHeight="1" ht="50.25" s="2" customFormat="1">
      <c r="A1" s="694" t="s">
        <v>720</v>
      </c>
      <c r="B1" s="694"/>
      <c r="C1" s="694"/>
      <c r="F1" s="1"/>
      <c r="H1" s="1"/>
    </row>
    <row r="2" spans="1:1025">
      <c r="A2" s="43"/>
      <c r="B2" s="43"/>
      <c r="C2" s="43"/>
      <c r="D2" s="27"/>
      <c r="E2" s="27"/>
      <c r="F2" s="1"/>
      <c r="G2" s="27"/>
      <c r="H2" s="1"/>
      <c r="I2" s="27"/>
      <c r="L2" s="27"/>
    </row>
    <row r="3" spans="1:1025" customHeight="1" ht="21.75">
      <c r="A3" s="823" t="str">
        <f>("Rozpočet na rok "&amp;'vstupní data'!B12+1&amp;"")</f>
        <v>0</v>
      </c>
      <c r="B3" s="823"/>
      <c r="C3" s="823"/>
      <c r="D3" s="823"/>
      <c r="E3" s="823"/>
      <c r="F3" s="823"/>
      <c r="G3" s="823"/>
      <c r="H3" s="44"/>
      <c r="I3" s="44"/>
      <c r="J3" s="44"/>
      <c r="K3" s="44"/>
      <c r="L3" s="27"/>
    </row>
    <row r="4" spans="1:1025" customHeight="1" ht="18">
      <c r="A4" s="43"/>
      <c r="B4" s="43"/>
      <c r="C4" s="43"/>
      <c r="D4" s="27"/>
      <c r="E4" s="27"/>
      <c r="F4" s="1"/>
      <c r="G4" s="27"/>
      <c r="H4" s="1"/>
      <c r="I4" s="27"/>
      <c r="L4" s="592" t="s">
        <v>60</v>
      </c>
    </row>
    <row r="5" spans="1:1025">
      <c r="A5" s="45" t="s">
        <v>721</v>
      </c>
      <c r="B5" s="824" t="str">
        <f>'vstupní data'!B3</f>
        <v>0</v>
      </c>
      <c r="C5" s="824"/>
      <c r="D5" s="824"/>
      <c r="E5" s="824"/>
      <c r="F5" s="824"/>
      <c r="G5" s="824"/>
      <c r="H5" s="27"/>
      <c r="I5" s="27"/>
      <c r="J5" s="27"/>
      <c r="K5" s="27"/>
      <c r="L5" s="27"/>
    </row>
    <row r="6" spans="1:1025" customHeight="1" ht="30.75" s="5" customFormat="1">
      <c r="A6" s="487" t="s">
        <v>722</v>
      </c>
      <c r="B6" s="487" t="s">
        <v>723</v>
      </c>
      <c r="C6" s="487" t="s">
        <v>724</v>
      </c>
      <c r="D6" s="488" t="s">
        <v>725</v>
      </c>
      <c r="E6" s="489" t="s">
        <v>726</v>
      </c>
      <c r="F6" s="490" t="s">
        <v>727</v>
      </c>
      <c r="G6" s="489" t="s">
        <v>728</v>
      </c>
      <c r="H6" s="489" t="s">
        <v>729</v>
      </c>
    </row>
    <row r="7" spans="1:1025" customHeight="1" ht="15.75">
      <c r="A7" s="16">
        <v>1</v>
      </c>
      <c r="B7" s="49" t="str">
        <f>'Vyúčtování byt - 1.část'!A10</f>
        <v>0</v>
      </c>
      <c r="C7" s="19" t="str">
        <f>'Vyúčtování byt - 1.část'!VB_Jednotka_Osvětlení</f>
        <v>0</v>
      </c>
      <c r="D7" s="50" t="str">
        <f>'Vyúčtování byt - 1.část'!E10</f>
        <v>0</v>
      </c>
      <c r="E7" s="51" t="str">
        <f>D7/12</f>
        <v>0</v>
      </c>
      <c r="F7" s="51" t="str">
        <f>'Vyúčtování byt - 1.část'!F10</f>
        <v>0</v>
      </c>
      <c r="G7" s="287" t="str">
        <f>IF(D7=0,0,D7/F7)</f>
        <v>0</v>
      </c>
      <c r="H7" s="287" t="str">
        <f>ROUND(G7*'Vyúčtování byt - 1.část'!H10/12,0)</f>
        <v>0</v>
      </c>
    </row>
    <row r="8" spans="1:1025">
      <c r="A8" s="20">
        <v>2</v>
      </c>
      <c r="B8" s="29" t="str">
        <f>'Vyúčtování byt - 1.část'!A11</f>
        <v>0</v>
      </c>
      <c r="C8" s="23" t="str">
        <f>'Vyúčtování byt - 1.část'!C11</f>
        <v>0</v>
      </c>
      <c r="D8" s="52" t="str">
        <f>'Vyúčtování byt - 1.část'!E11</f>
        <v>0</v>
      </c>
      <c r="E8" s="53" t="str">
        <f>D8/12</f>
        <v>0</v>
      </c>
      <c r="F8" s="53" t="str">
        <f>'Vyúčtování byt - 1.část'!F11</f>
        <v>0</v>
      </c>
      <c r="G8" s="288" t="str">
        <f>IF(D8=0,0,D8/F8)</f>
        <v>0</v>
      </c>
      <c r="H8" s="288" t="str">
        <f>ROUND(G8*'Vyúčtování byt - 1.část'!H11/12,0)</f>
        <v>0</v>
      </c>
    </row>
    <row r="9" spans="1:1025">
      <c r="A9" s="20">
        <v>3</v>
      </c>
      <c r="B9" s="29" t="str">
        <f>'Vyúčtování byt - 1.část'!A12</f>
        <v>0</v>
      </c>
      <c r="C9" s="23" t="str">
        <f>'Vyúčtování byt - 1.část'!C12</f>
        <v>0</v>
      </c>
      <c r="D9" s="52" t="str">
        <f>'Vyúčtování byt - 1.část'!E12</f>
        <v>0</v>
      </c>
      <c r="E9" s="53" t="str">
        <f>D9/12</f>
        <v>0</v>
      </c>
      <c r="F9" s="53" t="str">
        <f>'Vyúčtování byt - 1.část'!F12</f>
        <v>0</v>
      </c>
      <c r="G9" s="288" t="str">
        <f>IF(D9=0,0,D9/F9)</f>
        <v>0</v>
      </c>
      <c r="H9" s="288" t="str">
        <f>ROUND(G9*'Vyúčtování byt - 1.část'!H12/12,0)</f>
        <v>0</v>
      </c>
    </row>
    <row r="10" spans="1:1025">
      <c r="A10" s="20">
        <v>4</v>
      </c>
      <c r="B10" s="29" t="str">
        <f>'Vyúčtování byt - 1.část'!A13</f>
        <v>0</v>
      </c>
      <c r="C10" s="23" t="str">
        <f>'Vyúčtování byt - 1.část'!C13</f>
        <v>0</v>
      </c>
      <c r="D10" s="52" t="str">
        <f>'Vyúčtování byt - 1.část'!E13</f>
        <v>0</v>
      </c>
      <c r="E10" s="53" t="str">
        <f>D10/12</f>
        <v>0</v>
      </c>
      <c r="F10" s="53" t="str">
        <f>'Vyúčtování byt - 1.část'!F13</f>
        <v>0</v>
      </c>
      <c r="G10" s="288" t="str">
        <f>IF(D10=0,0,D10/F10)</f>
        <v>0</v>
      </c>
      <c r="H10" s="288" t="str">
        <f>ROUND(G10*'Vyúčtování byt - 1.část'!H13/12,0)</f>
        <v>0</v>
      </c>
    </row>
    <row r="11" spans="1:1025">
      <c r="A11" s="20">
        <v>5</v>
      </c>
      <c r="B11" s="29" t="str">
        <f>'Vyúčtování byt - 1.část'!A14</f>
        <v>0</v>
      </c>
      <c r="C11" s="23" t="str">
        <f>'Vyúčtování byt - 1.část'!C14</f>
        <v>0</v>
      </c>
      <c r="D11" s="52" t="str">
        <f>'Vyúčtování byt - 1.část'!E14</f>
        <v>0</v>
      </c>
      <c r="E11" s="53" t="str">
        <f>D11/12</f>
        <v>0</v>
      </c>
      <c r="F11" s="53" t="str">
        <f>'Vyúčtování byt - 1.část'!F14</f>
        <v>0</v>
      </c>
      <c r="G11" s="288" t="str">
        <f>IF(D11=0,0,D11/F11)</f>
        <v>0</v>
      </c>
      <c r="H11" s="288" t="str">
        <f>ROUND(G11*'Vyúčtování byt - 1.část'!H14/12,0)</f>
        <v>0</v>
      </c>
    </row>
    <row r="12" spans="1:1025">
      <c r="A12" s="20">
        <v>6</v>
      </c>
      <c r="B12" s="29" t="str">
        <f>'Vyúčtování byt - 1.část'!A15</f>
        <v>0</v>
      </c>
      <c r="C12" s="23" t="str">
        <f>'Vyúčtování byt - 1.část'!C15</f>
        <v>0</v>
      </c>
      <c r="D12" s="52" t="str">
        <f>'Vyúčtování byt - 1.část'!E15</f>
        <v>0</v>
      </c>
      <c r="E12" s="53" t="str">
        <f>D12/12</f>
        <v>0</v>
      </c>
      <c r="F12" s="53" t="str">
        <f>'Vyúčtování byt - 1.část'!F15</f>
        <v>0</v>
      </c>
      <c r="G12" s="288" t="str">
        <f>IF(D12=0,0,D12/F12)</f>
        <v>0</v>
      </c>
      <c r="H12" s="288" t="str">
        <f>ROUND(G12*'Vyúčtování byt - 1.část'!H15/12,0)</f>
        <v>0</v>
      </c>
    </row>
    <row r="13" spans="1:1025">
      <c r="A13" s="20">
        <v>7</v>
      </c>
      <c r="B13" s="29" t="str">
        <f>'Vyúčtování byt - 1.část'!A16</f>
        <v>0</v>
      </c>
      <c r="C13" s="23" t="str">
        <f>'Vyúčtování byt - 1.část'!C16</f>
        <v>0</v>
      </c>
      <c r="D13" s="52" t="str">
        <f>'Vyúčtování byt - 1.část'!E16</f>
        <v>0</v>
      </c>
      <c r="E13" s="53" t="str">
        <f>D13/12</f>
        <v>0</v>
      </c>
      <c r="F13" s="53" t="str">
        <f>'Vyúčtování byt - 1.část'!F16</f>
        <v>0</v>
      </c>
      <c r="G13" s="288" t="str">
        <f>IF(D13=0,0,D13/F13)</f>
        <v>0</v>
      </c>
      <c r="H13" s="288" t="str">
        <f>ROUND(G13*'Vyúčtování byt - 1.část'!H16/12,0)</f>
        <v>0</v>
      </c>
    </row>
    <row r="14" spans="1:1025">
      <c r="A14" s="20">
        <v>8</v>
      </c>
      <c r="B14" s="29" t="str">
        <f>'Vyúčtování byt - 1.část'!A17</f>
        <v>0</v>
      </c>
      <c r="C14" s="23" t="str">
        <f>'Vyúčtování byt - 1.část'!C17</f>
        <v>0</v>
      </c>
      <c r="D14" s="52" t="str">
        <f>'Vyúčtování byt - 1.část'!E17</f>
        <v>0</v>
      </c>
      <c r="E14" s="53" t="str">
        <f>D14/12</f>
        <v>0</v>
      </c>
      <c r="F14" s="53" t="str">
        <f>'Vyúčtování byt - 1.část'!F17</f>
        <v>0</v>
      </c>
      <c r="G14" s="288" t="str">
        <f>IF(D14=0,0,D14/F14)</f>
        <v>0</v>
      </c>
      <c r="H14" s="288" t="str">
        <f>ROUND(G14*'Vyúčtování byt - 1.část'!H17/12,0)</f>
        <v>0</v>
      </c>
    </row>
    <row r="15" spans="1:1025">
      <c r="A15" s="20">
        <v>9</v>
      </c>
      <c r="B15" s="29" t="str">
        <f>'Vyúčtování byt - 1.část'!A18</f>
        <v>0</v>
      </c>
      <c r="C15" s="23" t="str">
        <f>'Vyúčtování byt - 1.část'!C18</f>
        <v>0</v>
      </c>
      <c r="D15" s="52" t="str">
        <f>'Vyúčtování byt - 1.část'!E18</f>
        <v>0</v>
      </c>
      <c r="E15" s="53" t="str">
        <f>D15/12</f>
        <v>0</v>
      </c>
      <c r="F15" s="53" t="str">
        <f>'Vyúčtování byt - 1.část'!F18</f>
        <v>0</v>
      </c>
      <c r="G15" s="288" t="str">
        <f>IF(D15=0,0,D15/F15)</f>
        <v>0</v>
      </c>
      <c r="H15" s="288" t="str">
        <f>ROUND(G15*'Vyúčtování byt - 1.část'!H18/12,0)</f>
        <v>0</v>
      </c>
    </row>
    <row r="16" spans="1:1025">
      <c r="A16" s="20">
        <v>10</v>
      </c>
      <c r="B16" s="29" t="str">
        <f>'Vyúčtování byt - 1.část'!A19</f>
        <v>0</v>
      </c>
      <c r="C16" s="23" t="str">
        <f>'Vyúčtování byt - 1.část'!C19</f>
        <v>0</v>
      </c>
      <c r="D16" s="52" t="str">
        <f>'Vyúčtování byt - 1.část'!E19</f>
        <v>0</v>
      </c>
      <c r="E16" s="53" t="str">
        <f>D16/12</f>
        <v>0</v>
      </c>
      <c r="F16" s="53" t="str">
        <f>'Vyúčtování byt - 1.část'!F19</f>
        <v>0</v>
      </c>
      <c r="G16" s="288" t="str">
        <f>IF(D16=0,0,D16/F16)</f>
        <v>0</v>
      </c>
      <c r="H16" s="288" t="str">
        <f>ROUND(G16*'Vyúčtování byt - 1.část'!H19/12,0)</f>
        <v>0</v>
      </c>
    </row>
    <row r="17" spans="1:1025">
      <c r="A17" s="20">
        <v>11</v>
      </c>
      <c r="B17" s="29" t="str">
        <f>'Vyúčtování byt - 1.část'!A20</f>
        <v>0</v>
      </c>
      <c r="C17" s="23" t="str">
        <f>'Vyúčtování byt - 1.část'!C20</f>
        <v>0</v>
      </c>
      <c r="D17" s="52" t="str">
        <f>'Vyúčtování byt - 1.část'!E20</f>
        <v>0</v>
      </c>
      <c r="E17" s="53" t="str">
        <f>D17/12</f>
        <v>0</v>
      </c>
      <c r="F17" s="53" t="str">
        <f>'Vyúčtování byt - 1.část'!F20</f>
        <v>0</v>
      </c>
      <c r="G17" s="288" t="str">
        <f>IF(D17=0,0,D17/F17)</f>
        <v>0</v>
      </c>
      <c r="H17" s="288" t="str">
        <f>ROUND(G17*'Vyúčtování byt - 1.část'!H20/12,0)</f>
        <v>0</v>
      </c>
    </row>
    <row r="18" spans="1:1025">
      <c r="A18" s="20">
        <v>12</v>
      </c>
      <c r="B18" s="29" t="str">
        <f>'Vyúčtování byt - 1.část'!A21</f>
        <v>0</v>
      </c>
      <c r="C18" s="23" t="str">
        <f>'Vyúčtování byt - 1.část'!C21</f>
        <v>0</v>
      </c>
      <c r="D18" s="52" t="str">
        <f>'Vyúčtování byt - 1.část'!E21</f>
        <v>0</v>
      </c>
      <c r="E18" s="53" t="str">
        <f>D18/12</f>
        <v>0</v>
      </c>
      <c r="F18" s="53" t="str">
        <f>'Vyúčtování byt - 1.část'!F21</f>
        <v>0</v>
      </c>
      <c r="G18" s="288" t="str">
        <f>IF(D18=0,0,D18/F18)</f>
        <v>0</v>
      </c>
      <c r="H18" s="288" t="str">
        <f>ROUND(G18*'Vyúčtování byt - 1.část'!H21/12,0)</f>
        <v>0</v>
      </c>
    </row>
    <row r="19" spans="1:1025">
      <c r="A19" s="20">
        <v>13</v>
      </c>
      <c r="B19" s="29" t="str">
        <f>'Vyúčtování byt - 1.část'!A22</f>
        <v>0</v>
      </c>
      <c r="C19" s="23" t="str">
        <f>'Vyúčtování byt - 1.část'!C22</f>
        <v>0</v>
      </c>
      <c r="D19" s="52" t="str">
        <f>'Vyúčtování byt - 1.část'!E22</f>
        <v>0</v>
      </c>
      <c r="E19" s="53" t="str">
        <f>D19/12</f>
        <v>0</v>
      </c>
      <c r="F19" s="53" t="str">
        <f>'Vyúčtování byt - 1.část'!F22</f>
        <v>0</v>
      </c>
      <c r="G19" s="288" t="str">
        <f>IF(D19=0,0,D19/F19)</f>
        <v>0</v>
      </c>
      <c r="H19" s="288" t="str">
        <f>ROUND(G19*'Vyúčtování byt - 1.část'!H22/12,0)</f>
        <v>0</v>
      </c>
    </row>
    <row r="20" spans="1:1025">
      <c r="A20" s="20">
        <v>14</v>
      </c>
      <c r="B20" s="29" t="str">
        <f>'Vyúčtování byt - 1.část'!A23</f>
        <v>0</v>
      </c>
      <c r="C20" s="23" t="str">
        <f>'Vyúčtování byt - 1.část'!C23</f>
        <v>0</v>
      </c>
      <c r="D20" s="52" t="str">
        <f>'Vyúčtování byt - 1.část'!E23</f>
        <v>0</v>
      </c>
      <c r="E20" s="53" t="str">
        <f>D20/12</f>
        <v>0</v>
      </c>
      <c r="F20" s="53" t="str">
        <f>'Vyúčtování byt - 1.část'!F23</f>
        <v>0</v>
      </c>
      <c r="G20" s="288" t="str">
        <f>IF(D20=0,0,D20/F20)</f>
        <v>0</v>
      </c>
      <c r="H20" s="288" t="str">
        <f>ROUND(G20*'Vyúčtování byt - 1.část'!H23/12,0)</f>
        <v>0</v>
      </c>
    </row>
    <row r="21" spans="1:1025">
      <c r="A21" s="20">
        <v>15</v>
      </c>
      <c r="B21" s="29" t="str">
        <f>'Vyúčtování byt - 1.část'!A24</f>
        <v>0</v>
      </c>
      <c r="C21" s="23" t="str">
        <f>'Vyúčtování byt - 1.část'!C24</f>
        <v>0</v>
      </c>
      <c r="D21" s="52" t="str">
        <f>'Vyúčtování byt - 1.část'!E24</f>
        <v>0</v>
      </c>
      <c r="E21" s="53" t="str">
        <f>D21/12</f>
        <v>0</v>
      </c>
      <c r="F21" s="53" t="str">
        <f>'Vyúčtování byt - 1.část'!F24</f>
        <v>0</v>
      </c>
      <c r="G21" s="288" t="str">
        <f>IF(D21=0,0,D21/F21)</f>
        <v>0</v>
      </c>
      <c r="H21" s="288" t="str">
        <f>ROUND(G21*'Vyúčtování byt - 1.část'!H24/12,0)</f>
        <v>0</v>
      </c>
    </row>
    <row r="22" spans="1:1025">
      <c r="A22" s="20">
        <v>16</v>
      </c>
      <c r="B22" s="29" t="str">
        <f>'Vyúčtování byt - 1.část'!A25</f>
        <v>0</v>
      </c>
      <c r="C22" s="23" t="str">
        <f>'Vyúčtování byt - 1.část'!C25</f>
        <v>0</v>
      </c>
      <c r="D22" s="52" t="str">
        <f>'Vyúčtování byt - 1.část'!E25</f>
        <v>0</v>
      </c>
      <c r="E22" s="53" t="str">
        <f>D22/12</f>
        <v>0</v>
      </c>
      <c r="F22" s="53" t="str">
        <f>'Vyúčtování byt - 1.část'!F25</f>
        <v>0</v>
      </c>
      <c r="G22" s="288" t="str">
        <f>IF(D22=0,0,D22/F22)</f>
        <v>0</v>
      </c>
      <c r="H22" s="288" t="str">
        <f>ROUND(G22*'Vyúčtování byt - 1.část'!H25/12,0)</f>
        <v>0</v>
      </c>
    </row>
    <row r="23" spans="1:1025">
      <c r="A23" s="20">
        <v>17</v>
      </c>
      <c r="B23" s="29" t="str">
        <f>'Vyúčtování byt - 1.část'!A26</f>
        <v>0</v>
      </c>
      <c r="C23" s="23" t="str">
        <f>'Vyúčtování byt - 1.část'!C26</f>
        <v>0</v>
      </c>
      <c r="D23" s="52" t="str">
        <f>'Vyúčtování byt - 1.část'!E26</f>
        <v>0</v>
      </c>
      <c r="E23" s="53" t="str">
        <f>D23/12</f>
        <v>0</v>
      </c>
      <c r="F23" s="53" t="str">
        <f>'Vyúčtování byt - 1.část'!F26</f>
        <v>0</v>
      </c>
      <c r="G23" s="288" t="str">
        <f>IF(D23=0,0,D23/F23)</f>
        <v>0</v>
      </c>
      <c r="H23" s="288" t="str">
        <f>ROUND(G23*'Vyúčtování byt - 1.část'!H26/12,0)</f>
        <v>0</v>
      </c>
    </row>
    <row r="24" spans="1:1025">
      <c r="A24" s="20">
        <v>18</v>
      </c>
      <c r="B24" s="29" t="str">
        <f>'Vyúčtování byt - 1.část'!A27</f>
        <v>0</v>
      </c>
      <c r="C24" s="23" t="str">
        <f>'Vyúčtování byt - 1.část'!C27</f>
        <v>0</v>
      </c>
      <c r="D24" s="52" t="str">
        <f>'Vyúčtování byt - 1.část'!E27</f>
        <v>0</v>
      </c>
      <c r="E24" s="53" t="str">
        <f>D24/12</f>
        <v>0</v>
      </c>
      <c r="F24" s="53" t="str">
        <f>'Vyúčtování byt - 1.část'!F27</f>
        <v>0</v>
      </c>
      <c r="G24" s="288" t="str">
        <f>IF(D24=0,0,D24/F24)</f>
        <v>0</v>
      </c>
      <c r="H24" s="288" t="str">
        <f>ROUND(G24*'Vyúčtování byt - 1.část'!H27/12,0)</f>
        <v>0</v>
      </c>
    </row>
    <row r="25" spans="1:1025">
      <c r="A25" s="20">
        <v>19</v>
      </c>
      <c r="B25" s="29" t="str">
        <f>'Vyúčtování byt - 1.část'!A28</f>
        <v>0</v>
      </c>
      <c r="C25" s="23" t="str">
        <f>'Vyúčtování byt - 1.část'!C28</f>
        <v>0</v>
      </c>
      <c r="D25" s="52" t="str">
        <f>'Vyúčtování byt - 1.část'!E28</f>
        <v>0</v>
      </c>
      <c r="E25" s="53" t="str">
        <f>D25/12</f>
        <v>0</v>
      </c>
      <c r="F25" s="53" t="str">
        <f>'Vyúčtování byt - 1.část'!F28</f>
        <v>0</v>
      </c>
      <c r="G25" s="288" t="str">
        <f>IF(D25=0,0,D25/F25)</f>
        <v>0</v>
      </c>
      <c r="H25" s="288" t="str">
        <f>ROUND(G25*'Vyúčtování byt - 1.část'!H28/12,0)</f>
        <v>0</v>
      </c>
    </row>
    <row r="26" spans="1:1025" customHeight="1" ht="15.75">
      <c r="A26" s="54">
        <v>20</v>
      </c>
      <c r="B26" s="55" t="str">
        <f>'Vyúčtování byt - 1.část'!A29</f>
        <v>0</v>
      </c>
      <c r="C26" s="76" t="str">
        <f>'Vyúčtování byt - 1.část'!C29</f>
        <v>0</v>
      </c>
      <c r="D26" s="56" t="str">
        <f>'Vyúčtování byt - 1.část'!E29</f>
        <v>0</v>
      </c>
      <c r="E26" s="58" t="str">
        <f>D26/12</f>
        <v>0</v>
      </c>
      <c r="F26" s="58" t="str">
        <f>'Vyúčtování byt - 1.část'!F29</f>
        <v>0</v>
      </c>
      <c r="G26" s="289" t="str">
        <f>IF(D26=0,0,D26/F26)</f>
        <v>0</v>
      </c>
      <c r="H26" s="289" t="str">
        <f>ROUND(G26*'Vyúčtování byt - 1.část'!H29/12,0)</f>
        <v>0</v>
      </c>
    </row>
    <row r="27" spans="1:1025" customHeight="1" ht="15.75">
      <c r="A27" s="825" t="s">
        <v>498</v>
      </c>
      <c r="B27" s="825"/>
      <c r="C27" s="825"/>
      <c r="D27" s="59" t="str">
        <f>SUM(D7:D26)</f>
        <v>0</v>
      </c>
      <c r="E27" s="60" t="str">
        <f>SUM(E7:E26)</f>
        <v>0</v>
      </c>
      <c r="F27" s="60" t="str">
        <f>SUM(F7:F26)</f>
        <v>0</v>
      </c>
      <c r="G27" s="290" t="str">
        <f>SUM(G7:G26)</f>
        <v>0</v>
      </c>
      <c r="H27" s="290" t="str">
        <f>SUM(H7:H26)</f>
        <v>0</v>
      </c>
    </row>
    <row r="29" spans="1:1025" customHeight="1" ht="26.25">
      <c r="A29" s="190" t="s">
        <v>730</v>
      </c>
      <c r="C29" s="491"/>
      <c r="D29" s="492"/>
    </row>
    <row r="31" spans="1:1025">
      <c r="A31" s="2" t="s">
        <v>731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6:G6"/>
  <mergeCells>
    <mergeCell ref="A1:C1"/>
    <mergeCell ref="A3:G3"/>
    <mergeCell ref="B5:G5"/>
    <mergeCell ref="A27:C27"/>
  </mergeCells>
  <hyperlinks>
    <hyperlink ref="L4" location="Seznam!A1"/>
  </hyperlinks>
  <printOptions gridLines="false" gridLinesSet="true"/>
  <pageMargins left="0.25" right="0.25" top="0.75" bottom="0.75" header="0.3" footer="0.3"/>
  <pageSetup paperSize="9" orientation="landscape" scale="95" fitToHeight="1" fitToWidth="1"/>
  <headerFooter differentOddEven="false" differentFirst="false" scaleWithDoc="true" alignWithMargins="true">
    <oddHeader/>
    <oddFooter>&amp;Ldatum:      &amp;D
vystavil: Ing. Milan Kosť&amp;Ckancelar@adminreal.cz
mobil: 607 959 876&amp;Rwww.onlinesprava.cz</oddFooter>
    <evenHeader/>
    <evenFooter/>
    <firstHeader/>
    <firstFooter/>
  </headerFooter>
  <legacyDrawing r:id="rId_comments_vml1"/>
</worksheet>
</file>

<file path=xl/worksheets/sheet2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33"/>
  <sheetViews>
    <sheetView tabSelected="0" workbookViewId="0" showGridLines="true" showRowColHeaders="1">
      <selection activeCell="D4" sqref="D4"/>
    </sheetView>
  </sheetViews>
  <sheetFormatPr defaultRowHeight="14.4" defaultColWidth="9.1328125" outlineLevelRow="0" outlineLevelCol="0"/>
  <cols>
    <col min="1" max="1" width="11.265625" customWidth="true" style="427"/>
    <col min="2" max="2" width="9.1328125" style="427"/>
    <col min="3" max="3" width="14.1328125" customWidth="true" style="427"/>
    <col min="4" max="4" width="12.73046875" customWidth="true" style="427"/>
    <col min="5" max="5" width="9.1328125" style="427"/>
    <col min="6" max="6" width="12" customWidth="true" style="427"/>
    <col min="7" max="7" width="16.86328125" customWidth="true" style="427"/>
    <col min="8" max="8" width="15.59765625" customWidth="true" style="427"/>
    <col min="9" max="9" width="9.1328125" style="427"/>
    <col min="10" max="10" width="10.265625" customWidth="true" style="427"/>
    <col min="11" max="11" width="9.1328125" style="427"/>
    <col min="12" max="12" width="9.1328125" style="27"/>
  </cols>
  <sheetData>
    <row r="2" spans="1:12" customHeight="1" ht="18">
      <c r="K2" s="592" t="s">
        <v>60</v>
      </c>
    </row>
    <row r="3" spans="1:12">
      <c r="D3" s="428"/>
      <c r="F3" s="826" t="str">
        <f>LOOKUP('vstupní data'!B4,Evidence!A2:A103,Evidence!B2:B103)</f>
        <v>0</v>
      </c>
      <c r="G3" s="826"/>
      <c r="H3" s="826"/>
      <c r="J3" s="429"/>
      <c r="K3" s="430"/>
    </row>
    <row r="4" spans="1:12" customHeight="1" ht="15.95">
      <c r="D4" s="431"/>
      <c r="F4" s="827" t="str">
        <f>LOOKUP('vstupní data'!B4,Evidence!A2:A103,Evidence!C2:C103)</f>
        <v>0</v>
      </c>
      <c r="G4" s="827"/>
      <c r="H4" s="827"/>
      <c r="J4" s="430"/>
      <c r="K4" s="430"/>
    </row>
    <row r="5" spans="1:12">
      <c r="D5" s="431"/>
      <c r="E5" s="431"/>
      <c r="F5" s="431"/>
      <c r="G5" s="431"/>
      <c r="J5" s="430"/>
      <c r="K5" s="430"/>
    </row>
    <row r="6" spans="1:12">
      <c r="F6" s="432"/>
      <c r="J6" s="430"/>
      <c r="K6" s="430"/>
    </row>
    <row r="7" spans="1:12">
      <c r="J7" s="430"/>
      <c r="K7" s="430"/>
    </row>
    <row r="8" spans="1:12" customHeight="1" ht="63.75">
      <c r="J8" s="430"/>
      <c r="K8" s="430"/>
    </row>
    <row r="9" spans="1:12" customHeight="1" ht="27">
      <c r="A9" s="829" t="str">
        <f>VLOOKUP(BYT,'export send mail'!K:O,4,0)</f>
        <v>0</v>
      </c>
      <c r="B9" s="829"/>
      <c r="C9" s="829"/>
      <c r="D9" s="829"/>
      <c r="E9" s="829"/>
      <c r="F9" s="829"/>
      <c r="G9" s="829"/>
      <c r="J9" s="430"/>
      <c r="K9" s="430"/>
    </row>
    <row r="10" spans="1:12" customHeight="1" ht="27">
      <c r="A10" s="828" t="s">
        <v>732</v>
      </c>
      <c r="B10" s="828"/>
      <c r="C10" s="828"/>
      <c r="D10" s="828"/>
      <c r="E10" s="828"/>
      <c r="F10" s="828"/>
      <c r="G10" s="828"/>
      <c r="J10" s="430"/>
      <c r="K10" s="430"/>
    </row>
    <row r="11" spans="1:12" customHeight="1" ht="26.25">
      <c r="A11" s="830" t="str">
        <f>("1.1."&amp;'vstupní data'!B12&amp;" - 31.12."&amp;'vstupní data'!B12&amp;" činí "&amp;'vstupní data'!B39&amp;" Kč")</f>
        <v>0</v>
      </c>
      <c r="B11" s="830"/>
      <c r="C11" s="830"/>
      <c r="D11" s="830"/>
      <c r="E11" s="830"/>
      <c r="F11" s="830"/>
      <c r="G11" s="830"/>
      <c r="H11" s="830"/>
      <c r="J11" s="430"/>
      <c r="K11" s="430"/>
    </row>
    <row r="12" spans="1:12">
      <c r="J12" s="430"/>
      <c r="K12" s="430"/>
    </row>
    <row r="13" spans="1:12" customHeight="1" ht="72.75">
      <c r="A13" s="829" t="s">
        <v>733</v>
      </c>
      <c r="B13" s="829"/>
      <c r="C13" s="829"/>
      <c r="D13" s="829"/>
      <c r="E13" s="829"/>
      <c r="F13" s="829"/>
      <c r="G13" s="829"/>
      <c r="H13" s="829"/>
      <c r="J13" s="430"/>
      <c r="K13" s="430"/>
    </row>
    <row r="14" spans="1:12">
      <c r="J14" s="430"/>
      <c r="K14" s="430"/>
    </row>
    <row r="15" spans="1:12" customHeight="1" ht="25.5">
      <c r="A15" s="828" t="s">
        <v>734</v>
      </c>
      <c r="B15" s="828"/>
      <c r="C15" s="828"/>
      <c r="D15" s="828"/>
      <c r="E15" s="828"/>
      <c r="F15" s="828"/>
      <c r="H15" s="434" t="str">
        <f>LOOKUP('vstupní data'!B4,Evidence!A2:A103,Evidence!I2:I103)</f>
        <v>0</v>
      </c>
      <c r="J15" s="430"/>
      <c r="K15" s="430"/>
    </row>
    <row r="16" spans="1:12" customHeight="1" ht="25.5">
      <c r="A16" s="826" t="str">
        <f>("je Váš příjem určený ke zdanění za rok "&amp;'vstupní data'!B12&amp;"")</f>
        <v>0</v>
      </c>
      <c r="B16" s="826"/>
      <c r="C16" s="826"/>
      <c r="D16" s="826"/>
      <c r="E16" s="826"/>
      <c r="F16" s="826"/>
      <c r="H16" s="433" t="str">
        <f>ODD(VLOOKUP(BYT,Evidence!A1:N77,13,0)/VLOOKUP(BYT,Evidence!A1:N77,12,0)*D24)/12*VD_počet_měsíců_úžívání</f>
        <v>0</v>
      </c>
    </row>
    <row r="17" spans="1:12" customHeight="1" ht="25.5">
      <c r="A17" s="826" t="str">
        <f>("za jednotku - "&amp;'vstupní data'!B4&amp;"")</f>
        <v>0</v>
      </c>
      <c r="B17" s="826"/>
      <c r="C17" s="826"/>
      <c r="D17" s="826"/>
      <c r="E17" s="826"/>
      <c r="F17" s="826"/>
      <c r="G17" s="826"/>
    </row>
    <row r="18" spans="1:12">
      <c r="A18" s="428"/>
      <c r="B18" s="428"/>
    </row>
    <row r="19" spans="1:12" customHeight="1" ht="24.75">
      <c r="A19" s="828" t="str">
        <f>"Výdaje na společné prostory domu "&amp;'vstupní data'!D3&amp;" činí za rok "&amp;'vstupní data'!B12&amp;""</f>
        <v>0</v>
      </c>
      <c r="B19" s="828"/>
      <c r="C19" s="828"/>
      <c r="D19" s="828"/>
      <c r="E19" s="828"/>
      <c r="F19" s="828"/>
      <c r="H19" s="433" t="str">
        <f>'faktury za služby'!T11</f>
        <v>0</v>
      </c>
    </row>
    <row r="20" spans="1:12" customHeight="1" ht="24.75">
      <c r="A20" s="828" t="str">
        <f>"Podle spoluvlastnického podílu činí podíl Vašich výdajů za rok "&amp;'vstupní data'!B12&amp;""</f>
        <v>0</v>
      </c>
      <c r="B20" s="828"/>
      <c r="C20" s="828"/>
      <c r="D20" s="828"/>
      <c r="E20" s="828"/>
      <c r="F20" s="828"/>
      <c r="G20" s="828"/>
      <c r="H20" s="435" t="str">
        <f>VLOOKUP(BYT,Evidence!A1:N77,13,0)/VLOOKUP(BYT,Evidence!A1:N77,12,0)*H19</f>
        <v>0</v>
      </c>
    </row>
    <row r="22" spans="1:12">
      <c r="A22" s="828" t="s">
        <v>735</v>
      </c>
      <c r="B22" s="828"/>
      <c r="C22" s="828"/>
      <c r="D22" s="828"/>
      <c r="E22" s="828"/>
      <c r="F22" s="828"/>
      <c r="G22" s="828"/>
    </row>
    <row r="24" spans="1:12">
      <c r="A24" s="828" t="str">
        <f>("Celkový příjem z nájmu za rok "&amp;'vstupní data'!B12&amp;"")</f>
        <v>0</v>
      </c>
      <c r="B24" s="828"/>
      <c r="C24" s="828"/>
      <c r="D24" s="439" t="str">
        <f>'vstupní data'!B39</f>
        <v>0</v>
      </c>
      <c r="E24" s="828" t="s">
        <v>736</v>
      </c>
      <c r="F24" s="828"/>
      <c r="G24" s="828"/>
    </row>
    <row r="31" spans="1:12">
      <c r="A31" s="427" t="s">
        <v>737</v>
      </c>
    </row>
    <row r="32" spans="1:12">
      <c r="A32" s="436"/>
      <c r="F32" s="427" t="str">
        <f>'vstupní data'!B34</f>
        <v>0</v>
      </c>
    </row>
    <row r="33" spans="1:12">
      <c r="A33" s="436"/>
      <c r="F33" s="427" t="s">
        <v>738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F3:H3"/>
    <mergeCell ref="F4:H4"/>
    <mergeCell ref="A24:C24"/>
    <mergeCell ref="E24:G24"/>
    <mergeCell ref="A15:F15"/>
    <mergeCell ref="A16:F16"/>
    <mergeCell ref="A17:G17"/>
    <mergeCell ref="A19:F19"/>
    <mergeCell ref="A22:G22"/>
    <mergeCell ref="A9:G9"/>
    <mergeCell ref="A10:G10"/>
    <mergeCell ref="A13:H13"/>
    <mergeCell ref="A11:H11"/>
    <mergeCell ref="A20:G20"/>
  </mergeCells>
  <conditionalFormatting sqref="D4">
    <cfRule type="expression" dxfId="3" priority="1">
      <formula>IF(PL_Clen_Zadan,TRUE,FALSE)</formula>
    </cfRule>
  </conditionalFormatting>
  <hyperlinks>
    <hyperlink ref="K2" location="Seznam!A1"/>
  </hyperlinks>
  <printOptions gridLines="false" gridLinesSet="true"/>
  <pageMargins left="0.7" right="0.7" top="0.787401575" bottom="0.787401575" header="0.3" footer="0.3"/>
  <pageSetup paperSize="1" orientation="portrait" scale="8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33"/>
  <sheetViews>
    <sheetView tabSelected="0" workbookViewId="0" showGridLines="true" showRowColHeaders="1">
      <selection activeCell="D4" sqref="D4"/>
    </sheetView>
  </sheetViews>
  <sheetFormatPr defaultRowHeight="14.4" defaultColWidth="9.1328125" outlineLevelRow="0" outlineLevelCol="0"/>
  <cols>
    <col min="1" max="1" width="9.1328125" style="427"/>
    <col min="2" max="2" width="9.1328125" style="427"/>
    <col min="3" max="3" width="15.73046875" customWidth="true" style="427"/>
    <col min="4" max="4" width="12.73046875" customWidth="true" style="427"/>
    <col min="5" max="5" width="9.1328125" style="427"/>
    <col min="6" max="6" width="12" customWidth="true" style="427"/>
    <col min="7" max="7" width="16.86328125" customWidth="true" style="427"/>
    <col min="8" max="8" width="15.59765625" customWidth="true" style="427"/>
    <col min="9" max="9" width="9.1328125" style="427"/>
    <col min="10" max="10" width="10.265625" customWidth="true" style="427"/>
    <col min="11" max="11" width="9.1328125" style="427"/>
    <col min="12" max="12" width="9.1328125" style="27"/>
  </cols>
  <sheetData>
    <row r="2" spans="1:12" customHeight="1" ht="18">
      <c r="K2" s="592" t="s">
        <v>60</v>
      </c>
    </row>
    <row r="3" spans="1:12">
      <c r="D3" s="428"/>
      <c r="F3" s="826" t="str">
        <f>LOOKUP('vstupní data'!B4,Evidence!A2:A103,Evidence!B2:B103)</f>
        <v>0</v>
      </c>
      <c r="G3" s="826"/>
      <c r="H3" s="826"/>
      <c r="J3" s="429"/>
      <c r="K3" s="430"/>
    </row>
    <row r="4" spans="1:12" customHeight="1" ht="15.95">
      <c r="D4" s="431"/>
      <c r="F4" s="827" t="str">
        <f>LOOKUP('vstupní data'!B4,Evidence!A2:A103,Evidence!C2:C103)</f>
        <v>0</v>
      </c>
      <c r="G4" s="827"/>
      <c r="H4" s="827"/>
      <c r="J4" s="430"/>
      <c r="K4" s="430"/>
    </row>
    <row r="5" spans="1:12">
      <c r="D5" s="431"/>
      <c r="E5" s="431"/>
      <c r="F5" s="431"/>
      <c r="G5" s="431"/>
      <c r="J5" s="430"/>
      <c r="K5" s="430"/>
    </row>
    <row r="6" spans="1:12">
      <c r="F6" s="432"/>
      <c r="J6" s="430"/>
      <c r="K6" s="430"/>
    </row>
    <row r="7" spans="1:12">
      <c r="J7" s="430"/>
      <c r="K7" s="430"/>
    </row>
    <row r="8" spans="1:12" customHeight="1" ht="51">
      <c r="J8" s="430"/>
      <c r="K8" s="430"/>
    </row>
    <row r="9" spans="1:12" customHeight="1" ht="27">
      <c r="A9" s="829" t="str">
        <f>VLOOKUP(BYT,'export send mail'!K:O,4,0)</f>
        <v>0</v>
      </c>
      <c r="B9" s="829"/>
      <c r="C9" s="829"/>
      <c r="D9" s="829"/>
      <c r="E9" s="829"/>
      <c r="F9" s="829"/>
      <c r="G9" s="829"/>
      <c r="J9" s="430"/>
      <c r="K9" s="430"/>
    </row>
    <row r="10" spans="1:12" customHeight="1" ht="33">
      <c r="A10" s="831" t="s">
        <v>739</v>
      </c>
      <c r="B10" s="831"/>
      <c r="C10" s="831"/>
      <c r="D10" s="831"/>
      <c r="E10" s="831"/>
      <c r="F10" s="831"/>
      <c r="G10" s="831"/>
      <c r="H10" s="831"/>
      <c r="J10" s="430"/>
      <c r="K10" s="430"/>
    </row>
    <row r="11" spans="1:12">
      <c r="A11" s="830" t="str">
        <f>("1.1."&amp;'vstupní data'!B12&amp;" - 31.12."&amp;'vstupní data'!B12&amp;" činí "&amp;'vstupní data'!B39&amp;" Kč")</f>
        <v>0</v>
      </c>
      <c r="B11" s="830"/>
      <c r="C11" s="830"/>
      <c r="D11" s="830"/>
      <c r="E11" s="830"/>
      <c r="F11" s="830"/>
      <c r="G11" s="830"/>
      <c r="H11" s="830"/>
      <c r="J11" s="430"/>
      <c r="K11" s="430"/>
    </row>
    <row r="12" spans="1:12">
      <c r="J12" s="430"/>
      <c r="K12" s="430"/>
    </row>
    <row r="13" spans="1:12" customHeight="1" ht="72.75">
      <c r="A13" s="829" t="s">
        <v>733</v>
      </c>
      <c r="B13" s="829"/>
      <c r="C13" s="829"/>
      <c r="D13" s="829"/>
      <c r="E13" s="829"/>
      <c r="F13" s="829"/>
      <c r="G13" s="829"/>
      <c r="H13" s="829"/>
      <c r="J13" s="430"/>
      <c r="K13" s="430"/>
    </row>
    <row r="14" spans="1:12">
      <c r="J14" s="430"/>
      <c r="K14" s="430"/>
    </row>
    <row r="15" spans="1:12" customHeight="1" ht="26.25">
      <c r="A15" s="828" t="s">
        <v>734</v>
      </c>
      <c r="B15" s="828"/>
      <c r="C15" s="828"/>
      <c r="D15" s="828"/>
      <c r="E15" s="828"/>
      <c r="F15" s="828"/>
      <c r="H15" s="437" t="str">
        <f>LOOKUP('vstupní data'!B4,Evidence!A2:A103,Evidence!I2:I103)</f>
        <v>0</v>
      </c>
      <c r="J15" s="430"/>
      <c r="K15" s="430"/>
    </row>
    <row r="16" spans="1:12" customHeight="1" ht="26.25">
      <c r="A16" s="826" t="str">
        <f>("je Váš příjem určený ke zdanění za rok "&amp;'vstupní data'!B12&amp;"")</f>
        <v>0</v>
      </c>
      <c r="B16" s="826"/>
      <c r="C16" s="826"/>
      <c r="D16" s="826"/>
      <c r="E16" s="826"/>
      <c r="F16" s="826"/>
      <c r="H16" s="433" t="str">
        <f>ODD(VLOOKUP(BYT,Evidence!A1:N77,13,0)/VLOOKUP(BYT,Evidence!A1:N77,12,0)*D24)/12*VD_počet_měsíců_úžívání</f>
        <v>0</v>
      </c>
    </row>
    <row r="17" spans="1:12" customHeight="1" ht="26.25">
      <c r="A17" s="826" t="str">
        <f>("za jednotku - "&amp;'vstupní data'!B4&amp;"")</f>
        <v>0</v>
      </c>
      <c r="B17" s="826"/>
      <c r="C17" s="826"/>
      <c r="D17" s="826"/>
      <c r="E17" s="826"/>
      <c r="F17" s="826"/>
      <c r="G17" s="826"/>
    </row>
    <row r="18" spans="1:12">
      <c r="A18" s="428"/>
      <c r="B18" s="428"/>
    </row>
    <row r="19" spans="1:12">
      <c r="A19" s="828"/>
      <c r="B19" s="828"/>
      <c r="C19" s="828"/>
      <c r="D19" s="828"/>
      <c r="E19" s="828"/>
      <c r="F19" s="828"/>
      <c r="H19" s="438"/>
    </row>
    <row r="20" spans="1:12">
      <c r="A20" s="828"/>
      <c r="B20" s="828"/>
      <c r="C20" s="828"/>
      <c r="D20" s="828"/>
      <c r="E20" s="828"/>
      <c r="F20" s="828"/>
      <c r="H20" s="438"/>
    </row>
    <row r="22" spans="1:12">
      <c r="A22" s="828"/>
      <c r="B22" s="828"/>
      <c r="C22" s="828"/>
      <c r="D22" s="828"/>
      <c r="E22" s="828"/>
      <c r="F22" s="828"/>
      <c r="G22" s="828"/>
    </row>
    <row r="24" spans="1:12">
      <c r="A24" s="828" t="str">
        <f>("Celkový příjem z nájmu za rok "&amp;'vstupní data'!B12&amp;"")</f>
        <v>0</v>
      </c>
      <c r="B24" s="828"/>
      <c r="C24" s="828"/>
      <c r="D24" s="439" t="str">
        <f>'vstupní data'!B39</f>
        <v>0</v>
      </c>
      <c r="E24" s="828" t="s">
        <v>736</v>
      </c>
      <c r="F24" s="828"/>
      <c r="G24" s="828"/>
    </row>
    <row r="31" spans="1:12">
      <c r="A31" s="427" t="s">
        <v>737</v>
      </c>
    </row>
    <row r="32" spans="1:12">
      <c r="F32" s="427" t="str">
        <f>'vstupní data'!B34</f>
        <v>0</v>
      </c>
    </row>
    <row r="33" spans="1:12">
      <c r="F33" s="427" t="s">
        <v>738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F3:H3"/>
    <mergeCell ref="F4:H4"/>
    <mergeCell ref="A24:C24"/>
    <mergeCell ref="E24:G24"/>
    <mergeCell ref="A9:G9"/>
    <mergeCell ref="A15:F15"/>
    <mergeCell ref="A16:F16"/>
    <mergeCell ref="A17:G17"/>
    <mergeCell ref="A19:F19"/>
    <mergeCell ref="A20:F20"/>
    <mergeCell ref="A22:G22"/>
    <mergeCell ref="A13:H13"/>
    <mergeCell ref="A10:H10"/>
    <mergeCell ref="A11:H11"/>
  </mergeCells>
  <conditionalFormatting sqref="D4">
    <cfRule type="expression" dxfId="3" priority="1">
      <formula>IF(PL_Clen_Zadan,TRUE,FALSE)</formula>
    </cfRule>
  </conditionalFormatting>
  <hyperlinks>
    <hyperlink ref="K2" location="Seznam!A1"/>
  </hyperlinks>
  <printOptions gridLines="false" gridLinesSet="true"/>
  <pageMargins left="0.7" right="0.7" top="0.787401575" bottom="0.787401575" header="0.3" footer="0.3"/>
  <pageSetup paperSize="1" orientation="portrait" scale="8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21"/>
  <sheetViews>
    <sheetView tabSelected="0" workbookViewId="0" showGridLines="true" showRowColHeaders="1">
      <selection activeCell="C16" sqref="C16"/>
    </sheetView>
  </sheetViews>
  <sheetFormatPr defaultRowHeight="14.4" outlineLevelRow="0" outlineLevelCol="0"/>
  <cols>
    <col min="2" max="2" width="40.86328125" customWidth="true" style="0"/>
    <col min="3" max="3" width="179.265625" customWidth="true" style="0"/>
  </cols>
  <sheetData>
    <row r="2" spans="1:3">
      <c r="B2" s="481" t="s">
        <v>740</v>
      </c>
      <c r="C2" s="173"/>
    </row>
    <row r="3" spans="1:3">
      <c r="B3" s="542" t="s">
        <v>741</v>
      </c>
      <c r="C3" s="543" t="s">
        <v>742</v>
      </c>
    </row>
    <row r="4" spans="1:3">
      <c r="B4" s="544" t="s">
        <v>208</v>
      </c>
      <c r="C4" s="173" t="str">
        <f>'vstupní data'!B22</f>
        <v>0</v>
      </c>
    </row>
    <row r="5" spans="1:3">
      <c r="B5" s="545" t="s">
        <v>649</v>
      </c>
      <c r="C5" s="173" t="str">
        <f>'vstupní data'!B36</f>
        <v>0</v>
      </c>
    </row>
    <row r="6" spans="1:3">
      <c r="B6" s="545" t="s">
        <v>650</v>
      </c>
      <c r="C6" s="173" t="str">
        <f>'vstupní data'!B37</f>
        <v>0</v>
      </c>
    </row>
    <row r="7" spans="1:3">
      <c r="B7" s="545" t="s">
        <v>213</v>
      </c>
      <c r="C7" s="173" t="str">
        <f>'vstupní data'!B38</f>
        <v>0</v>
      </c>
    </row>
    <row r="8" spans="1:3">
      <c r="B8" s="546" t="s">
        <v>523</v>
      </c>
      <c r="C8" s="173" t="str">
        <f>'Vyúčtování byt - 1.část'!VB_preplatky_celkem</f>
        <v>0</v>
      </c>
    </row>
    <row r="9" spans="1:3">
      <c r="B9" s="545" t="s">
        <v>743</v>
      </c>
      <c r="C9" s="173" t="str">
        <f>REPLACE(C8,1,1,"")</f>
        <v>0</v>
      </c>
    </row>
    <row r="10" spans="1:3">
      <c r="B10" s="544" t="s">
        <v>744</v>
      </c>
      <c r="C10" s="173" t="s">
        <v>745</v>
      </c>
    </row>
    <row r="11" spans="1:3">
      <c r="B11" s="545" t="s">
        <v>746</v>
      </c>
      <c r="C11" s="173" t="str">
        <f>'vstupní data'!B6</f>
        <v>0</v>
      </c>
    </row>
    <row r="12" spans="1:3">
      <c r="B12" s="544" t="s">
        <v>747</v>
      </c>
      <c r="C12" s="173"/>
    </row>
    <row r="13" spans="1:3">
      <c r="B13" s="544" t="s">
        <v>748</v>
      </c>
      <c r="C13" s="173"/>
    </row>
    <row r="14" spans="1:3">
      <c r="B14" s="544" t="s">
        <v>749</v>
      </c>
      <c r="C14" s="173" t="str">
        <f>IF(C15=TRUE,"NEDOPLATEK ZA JEDNOTKU C."&amp;BYT,"")</f>
        <v>0</v>
      </c>
    </row>
    <row r="15" spans="1:3">
      <c r="B15" s="546" t="s">
        <v>750</v>
      </c>
      <c r="C15" s="173" t="str">
        <f>IF(C8&lt;0,TRUE)</f>
        <v>0</v>
      </c>
    </row>
    <row r="16" spans="1:3">
      <c r="B16" s="545" t="s">
        <v>751</v>
      </c>
      <c r="C16" s="173" t="str">
        <f>"https://api.paylibo.com/paylibo/generator/czech/image?compress=true&amp;branding=false&amp;size=440"&amp;IF(C5="","","&amp;accountPrefix="&amp;C5)&amp;"&amp;accountNumber="&amp;C6&amp;"&amp;bankCode="&amp;C7&amp;"&amp;amount="&amp;C9&amp;"&amp;currency=CZK"&amp;IF(C11="","","&amp;vs="&amp;TEXT(C11,"0000000000"))&amp;IF(C12="","","&amp;ss="&amp;C12)&amp;IF(C13="","","&amp;ks="&amp;C13)</f>
        <v>0</v>
      </c>
    </row>
    <row r="17" spans="1:3">
      <c r="B17" s="544" t="s">
        <v>752</v>
      </c>
      <c r="C17" s="173"/>
    </row>
    <row r="18" spans="1:3">
      <c r="B18" s="541"/>
      <c r="C18" s="173"/>
    </row>
    <row r="19" spans="1:3">
      <c r="B19" s="541"/>
      <c r="C19" s="173"/>
    </row>
    <row r="20" spans="1:3">
      <c r="B20" s="481" t="s">
        <v>753</v>
      </c>
      <c r="C20" s="173"/>
    </row>
    <row r="21" spans="1:3">
      <c r="B21" s="542" t="s">
        <v>754</v>
      </c>
      <c r="C21" s="173" t="str">
        <f>SUM('Vyúčtování byt - 1.část'!E47:E58)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</sheetPr>
  <dimension ref="A1:AML24"/>
  <sheetViews>
    <sheetView tabSelected="0" workbookViewId="0" showGridLines="true" showRowColHeaders="1">
      <selection activeCell="M4" sqref="M4"/>
    </sheetView>
  </sheetViews>
  <sheetFormatPr defaultRowHeight="14.4" defaultColWidth="9.1328125" outlineLevelRow="0" outlineLevelCol="0"/>
  <cols>
    <col min="1" max="1" width="7" customWidth="true" style="2"/>
    <col min="2" max="2" width="28.59765625" customWidth="true" style="2"/>
    <col min="3" max="3" width="14.73046875" customWidth="true" style="2"/>
    <col min="4" max="4" width="16.59765625" customWidth="true" style="26"/>
    <col min="5" max="5" width="9.265625" customWidth="true" style="5"/>
    <col min="6" max="6" width="16.59765625" customWidth="true" style="2"/>
    <col min="7" max="7" width="20.73046875" customWidth="true" style="26"/>
    <col min="8" max="8" width="25.3984375" customWidth="true" style="2"/>
    <col min="9" max="9" width="9.1328125" style="2"/>
    <col min="10" max="10" width="9.1328125" style="2"/>
    <col min="11" max="11" width="9.1328125" style="2"/>
    <col min="12" max="12" width="9.1328125" style="2"/>
    <col min="13" max="13" width="17.59765625" customWidth="true" style="2"/>
    <col min="14" max="14" width="9.1328125" style="2"/>
    <col min="15" max="15" width="9.1328125" style="2"/>
    <col min="16" max="16" width="9.1328125" style="2"/>
    <col min="17" max="17" width="9.1328125" style="2"/>
    <col min="18" max="18" width="9.1328125" style="2"/>
    <col min="19" max="19" width="9.1328125" style="2"/>
    <col min="20" max="20" width="9.1328125" style="2"/>
    <col min="21" max="21" width="9.1328125" style="2"/>
    <col min="22" max="22" width="9.1328125" style="2"/>
    <col min="23" max="23" width="9.1328125" style="2"/>
    <col min="24" max="24" width="9.1328125" style="2"/>
    <col min="25" max="25" width="9.1328125" style="2"/>
    <col min="26" max="26" width="9.1328125" style="2"/>
    <col min="27" max="27" width="9.1328125" style="2"/>
    <col min="28" max="28" width="9.1328125" style="2"/>
    <col min="29" max="29" width="9.1328125" style="2"/>
    <col min="30" max="30" width="9.1328125" style="2"/>
    <col min="31" max="31" width="9.1328125" style="2"/>
    <col min="32" max="32" width="9.1328125" style="2"/>
    <col min="33" max="33" width="9.1328125" style="2"/>
    <col min="34" max="34" width="9.1328125" style="2"/>
    <col min="35" max="35" width="9.1328125" style="2"/>
    <col min="36" max="36" width="9.1328125" style="2"/>
    <col min="37" max="37" width="9.1328125" style="2"/>
    <col min="38" max="38" width="9.1328125" style="2"/>
    <col min="39" max="39" width="9.1328125" style="2"/>
    <col min="40" max="40" width="9.1328125" style="2"/>
    <col min="41" max="41" width="9.1328125" style="2"/>
    <col min="42" max="42" width="9.1328125" style="2"/>
    <col min="43" max="43" width="9.1328125" style="2"/>
    <col min="44" max="44" width="9.1328125" style="2"/>
    <col min="45" max="45" width="9.1328125" style="2"/>
    <col min="46" max="46" width="9.1328125" style="2"/>
    <col min="47" max="47" width="9.1328125" style="2"/>
    <col min="48" max="48" width="9.1328125" style="2"/>
    <col min="49" max="49" width="9.1328125" style="2"/>
    <col min="50" max="50" width="9.1328125" style="2"/>
    <col min="51" max="51" width="9.1328125" style="2"/>
    <col min="52" max="52" width="9.1328125" style="2"/>
    <col min="53" max="53" width="9.1328125" style="2"/>
    <col min="54" max="54" width="9.1328125" style="2"/>
    <col min="55" max="55" width="9.1328125" style="2"/>
    <col min="56" max="56" width="9.1328125" style="2"/>
    <col min="57" max="57" width="9.1328125" style="2"/>
    <col min="58" max="58" width="9.1328125" style="2"/>
    <col min="59" max="59" width="9.1328125" style="2"/>
    <col min="60" max="60" width="9.1328125" style="2"/>
    <col min="61" max="61" width="9.1328125" style="2"/>
    <col min="62" max="62" width="9.1328125" style="2"/>
    <col min="63" max="63" width="9.1328125" style="2"/>
    <col min="64" max="64" width="9.1328125" style="2"/>
    <col min="65" max="65" width="9.1328125" style="2"/>
    <col min="66" max="66" width="9.1328125" style="2"/>
    <col min="67" max="67" width="9.1328125" style="2"/>
    <col min="68" max="68" width="9.1328125" style="2"/>
    <col min="69" max="69" width="9.1328125" style="2"/>
    <col min="70" max="70" width="9.1328125" style="2"/>
    <col min="71" max="71" width="9.1328125" style="2"/>
    <col min="72" max="72" width="9.1328125" style="2"/>
    <col min="73" max="73" width="9.1328125" style="2"/>
    <col min="74" max="74" width="9.1328125" style="2"/>
    <col min="75" max="75" width="9.1328125" style="2"/>
    <col min="76" max="76" width="9.1328125" style="2"/>
    <col min="77" max="77" width="9.1328125" style="2"/>
    <col min="78" max="78" width="9.1328125" style="2"/>
    <col min="79" max="79" width="9.1328125" style="2"/>
    <col min="80" max="80" width="9.1328125" style="2"/>
    <col min="81" max="81" width="9.1328125" style="2"/>
    <col min="82" max="82" width="9.1328125" style="2"/>
    <col min="83" max="83" width="9.1328125" style="2"/>
    <col min="84" max="84" width="9.1328125" style="2"/>
    <col min="85" max="85" width="9.1328125" style="2"/>
    <col min="86" max="86" width="9.1328125" style="2"/>
    <col min="87" max="87" width="9.1328125" style="2"/>
    <col min="88" max="88" width="9.1328125" style="2"/>
    <col min="89" max="89" width="9.1328125" style="2"/>
    <col min="90" max="90" width="9.1328125" style="2"/>
    <col min="91" max="91" width="9.1328125" style="2"/>
    <col min="92" max="92" width="9.1328125" style="2"/>
    <col min="93" max="93" width="9.1328125" style="2"/>
    <col min="94" max="94" width="9.1328125" style="2"/>
    <col min="95" max="95" width="9.1328125" style="2"/>
    <col min="96" max="96" width="9.1328125" style="2"/>
    <col min="97" max="97" width="9.1328125" style="2"/>
    <col min="98" max="98" width="9.1328125" style="2"/>
    <col min="99" max="99" width="9.1328125" style="2"/>
    <col min="100" max="100" width="9.1328125" style="2"/>
    <col min="101" max="101" width="9.1328125" style="2"/>
    <col min="102" max="102" width="9.1328125" style="2"/>
    <col min="103" max="103" width="9.1328125" style="2"/>
    <col min="104" max="104" width="9.1328125" style="2"/>
    <col min="105" max="105" width="9.1328125" style="2"/>
    <col min="106" max="106" width="9.1328125" style="2"/>
    <col min="107" max="107" width="9.1328125" style="2"/>
    <col min="108" max="108" width="9.1328125" style="2"/>
    <col min="109" max="109" width="9.1328125" style="2"/>
    <col min="110" max="110" width="9.1328125" style="2"/>
    <col min="111" max="111" width="9.1328125" style="2"/>
    <col min="112" max="112" width="9.1328125" style="2"/>
    <col min="113" max="113" width="9.1328125" style="2"/>
    <col min="114" max="114" width="9.1328125" style="2"/>
    <col min="115" max="115" width="9.1328125" style="2"/>
    <col min="116" max="116" width="9.1328125" style="2"/>
    <col min="117" max="117" width="9.1328125" style="2"/>
    <col min="118" max="118" width="9.1328125" style="2"/>
    <col min="119" max="119" width="9.1328125" style="2"/>
    <col min="120" max="120" width="9.1328125" style="2"/>
    <col min="121" max="121" width="9.1328125" style="2"/>
    <col min="122" max="122" width="9.1328125" style="2"/>
    <col min="123" max="123" width="9.1328125" style="2"/>
    <col min="124" max="124" width="9.1328125" style="2"/>
    <col min="125" max="125" width="9.1328125" style="2"/>
    <col min="126" max="126" width="9.1328125" style="2"/>
    <col min="127" max="127" width="9.1328125" style="2"/>
    <col min="128" max="128" width="9.1328125" style="2"/>
    <col min="129" max="129" width="9.1328125" style="2"/>
    <col min="130" max="130" width="9.1328125" style="2"/>
    <col min="131" max="131" width="9.1328125" style="2"/>
    <col min="132" max="132" width="9.1328125" style="2"/>
    <col min="133" max="133" width="9.1328125" style="2"/>
    <col min="134" max="134" width="9.1328125" style="2"/>
    <col min="135" max="135" width="9.1328125" style="2"/>
    <col min="136" max="136" width="9.1328125" style="2"/>
    <col min="137" max="137" width="9.1328125" style="2"/>
    <col min="138" max="138" width="9.1328125" style="2"/>
    <col min="139" max="139" width="9.1328125" style="2"/>
    <col min="140" max="140" width="9.1328125" style="2"/>
    <col min="141" max="141" width="9.1328125" style="2"/>
    <col min="142" max="142" width="9.1328125" style="2"/>
    <col min="143" max="143" width="9.1328125" style="2"/>
    <col min="144" max="144" width="9.1328125" style="2"/>
    <col min="145" max="145" width="9.1328125" style="2"/>
    <col min="146" max="146" width="9.1328125" style="2"/>
    <col min="147" max="147" width="9.1328125" style="2"/>
    <col min="148" max="148" width="9.1328125" style="2"/>
    <col min="149" max="149" width="9.1328125" style="2"/>
    <col min="150" max="150" width="9.1328125" style="2"/>
    <col min="151" max="151" width="9.1328125" style="2"/>
    <col min="152" max="152" width="9.1328125" style="2"/>
    <col min="153" max="153" width="9.1328125" style="2"/>
    <col min="154" max="154" width="9.1328125" style="2"/>
    <col min="155" max="155" width="9.1328125" style="2"/>
    <col min="156" max="156" width="9.1328125" style="2"/>
    <col min="157" max="157" width="9.1328125" style="2"/>
    <col min="158" max="158" width="9.1328125" style="2"/>
    <col min="159" max="159" width="9.1328125" style="2"/>
    <col min="160" max="160" width="9.1328125" style="2"/>
    <col min="161" max="161" width="9.1328125" style="2"/>
    <col min="162" max="162" width="9.1328125" style="2"/>
    <col min="163" max="163" width="9.1328125" style="2"/>
    <col min="164" max="164" width="9.1328125" style="2"/>
    <col min="165" max="165" width="9.1328125" style="2"/>
    <col min="166" max="166" width="9.1328125" style="2"/>
    <col min="167" max="167" width="9.1328125" style="2"/>
    <col min="168" max="168" width="9.1328125" style="2"/>
    <col min="169" max="169" width="9.1328125" style="2"/>
    <col min="170" max="170" width="9.1328125" style="2"/>
    <col min="171" max="171" width="9.1328125" style="2"/>
    <col min="172" max="172" width="9.1328125" style="2"/>
    <col min="173" max="173" width="9.1328125" style="2"/>
    <col min="174" max="174" width="9.1328125" style="2"/>
    <col min="175" max="175" width="9.1328125" style="2"/>
    <col min="176" max="176" width="9.1328125" style="2"/>
    <col min="177" max="177" width="9.1328125" style="2"/>
    <col min="178" max="178" width="9.1328125" style="2"/>
    <col min="179" max="179" width="9.1328125" style="2"/>
    <col min="180" max="180" width="9.1328125" style="2"/>
    <col min="181" max="181" width="9.1328125" style="2"/>
    <col min="182" max="182" width="9.1328125" style="2"/>
    <col min="183" max="183" width="9.1328125" style="2"/>
    <col min="184" max="184" width="9.1328125" style="2"/>
    <col min="185" max="185" width="9.1328125" style="2"/>
    <col min="186" max="186" width="9.1328125" style="2"/>
    <col min="187" max="187" width="9.1328125" style="2"/>
    <col min="188" max="188" width="9.1328125" style="2"/>
    <col min="189" max="189" width="9.1328125" style="2"/>
    <col min="190" max="190" width="9.1328125" style="2"/>
    <col min="191" max="191" width="9.1328125" style="2"/>
    <col min="192" max="192" width="9.1328125" style="2"/>
    <col min="193" max="193" width="9.1328125" style="2"/>
    <col min="194" max="194" width="9.1328125" style="2"/>
    <col min="195" max="195" width="9.1328125" style="2"/>
    <col min="196" max="196" width="9.1328125" style="2"/>
    <col min="197" max="197" width="9.1328125" style="2"/>
    <col min="198" max="198" width="9.1328125" style="2"/>
    <col min="199" max="199" width="9.1328125" style="2"/>
    <col min="200" max="200" width="9.1328125" style="2"/>
    <col min="201" max="201" width="9.1328125" style="2"/>
    <col min="202" max="202" width="9.1328125" style="2"/>
    <col min="203" max="203" width="9.1328125" style="2"/>
    <col min="204" max="204" width="9.1328125" style="2"/>
    <col min="205" max="205" width="9.1328125" style="2"/>
    <col min="206" max="206" width="9.1328125" style="2"/>
    <col min="207" max="207" width="9.1328125" style="2"/>
    <col min="208" max="208" width="9.1328125" style="2"/>
    <col min="209" max="209" width="9.1328125" style="2"/>
    <col min="210" max="210" width="9.1328125" style="2"/>
    <col min="211" max="211" width="9.1328125" style="2"/>
    <col min="212" max="212" width="9.1328125" style="2"/>
    <col min="213" max="213" width="9.1328125" style="2"/>
    <col min="214" max="214" width="9.1328125" style="2"/>
    <col min="215" max="215" width="9.1328125" style="2"/>
    <col min="216" max="216" width="9.1328125" style="2"/>
    <col min="217" max="217" width="9.1328125" style="2"/>
    <col min="218" max="218" width="9.1328125" style="2"/>
    <col min="219" max="219" width="9.1328125" style="2"/>
    <col min="220" max="220" width="9.1328125" style="2"/>
    <col min="221" max="221" width="9.1328125" style="2"/>
    <col min="222" max="222" width="9.1328125" style="2"/>
    <col min="223" max="223" width="9.1328125" style="2"/>
    <col min="224" max="224" width="9.1328125" style="2"/>
    <col min="225" max="225" width="9.1328125" style="2"/>
    <col min="226" max="226" width="9.1328125" style="2"/>
    <col min="227" max="227" width="9.1328125" style="2"/>
    <col min="228" max="228" width="9.1328125" style="2"/>
    <col min="229" max="229" width="9.1328125" style="2"/>
    <col min="230" max="230" width="9.1328125" style="2"/>
    <col min="231" max="231" width="9.1328125" style="2"/>
    <col min="232" max="232" width="9.1328125" style="2"/>
    <col min="233" max="233" width="9.1328125" style="2"/>
    <col min="234" max="234" width="9.1328125" style="2"/>
    <col min="235" max="235" width="9.1328125" style="2"/>
    <col min="236" max="236" width="9.1328125" style="2"/>
    <col min="237" max="237" width="9.1328125" style="2"/>
    <col min="238" max="238" width="9.1328125" style="2"/>
    <col min="239" max="239" width="9.1328125" style="2"/>
    <col min="240" max="240" width="9.1328125" style="2"/>
    <col min="241" max="241" width="9.1328125" style="2"/>
    <col min="242" max="242" width="9.1328125" style="2"/>
    <col min="243" max="243" width="9.1328125" style="2"/>
    <col min="244" max="244" width="9.1328125" style="2"/>
    <col min="245" max="245" width="9.1328125" style="2"/>
    <col min="246" max="246" width="9.1328125" style="2"/>
    <col min="247" max="247" width="9.1328125" style="2"/>
    <col min="248" max="248" width="9.1328125" style="2"/>
    <col min="249" max="249" width="9.1328125" style="2"/>
    <col min="250" max="250" width="9.1328125" style="2"/>
    <col min="251" max="251" width="9.1328125" style="2"/>
    <col min="252" max="252" width="9.1328125" style="2"/>
    <col min="253" max="253" width="9.1328125" style="2"/>
    <col min="254" max="254" width="9.1328125" style="2"/>
    <col min="255" max="255" width="9.1328125" style="2"/>
    <col min="256" max="256" width="9.1328125" style="2"/>
    <col min="257" max="257" width="9.1328125" style="2"/>
    <col min="258" max="258" width="9.1328125" style="2"/>
    <col min="259" max="259" width="9.1328125" style="2"/>
    <col min="260" max="260" width="9.1328125" style="2"/>
    <col min="261" max="261" width="9.1328125" style="2"/>
    <col min="262" max="262" width="9.1328125" style="2"/>
    <col min="263" max="263" width="9.1328125" style="2"/>
    <col min="264" max="264" width="9.1328125" style="2"/>
    <col min="265" max="265" width="9.1328125" style="2"/>
    <col min="266" max="266" width="9.1328125" style="2"/>
    <col min="267" max="267" width="9.1328125" style="2"/>
    <col min="268" max="268" width="9.1328125" style="2"/>
    <col min="269" max="269" width="9.1328125" style="2"/>
    <col min="270" max="270" width="9.1328125" style="2"/>
    <col min="271" max="271" width="9.1328125" style="2"/>
    <col min="272" max="272" width="9.1328125" style="2"/>
    <col min="273" max="273" width="9.1328125" style="2"/>
    <col min="274" max="274" width="9.1328125" style="2"/>
    <col min="275" max="275" width="9.1328125" style="2"/>
    <col min="276" max="276" width="9.1328125" style="2"/>
    <col min="277" max="277" width="9.1328125" style="2"/>
    <col min="278" max="278" width="9.1328125" style="2"/>
    <col min="279" max="279" width="9.1328125" style="2"/>
    <col min="280" max="280" width="9.1328125" style="2"/>
    <col min="281" max="281" width="9.1328125" style="2"/>
    <col min="282" max="282" width="9.1328125" style="2"/>
    <col min="283" max="283" width="9.1328125" style="2"/>
    <col min="284" max="284" width="9.1328125" style="2"/>
    <col min="285" max="285" width="9.1328125" style="2"/>
    <col min="286" max="286" width="9.1328125" style="2"/>
    <col min="287" max="287" width="9.1328125" style="2"/>
    <col min="288" max="288" width="9.1328125" style="2"/>
    <col min="289" max="289" width="9.1328125" style="2"/>
    <col min="290" max="290" width="9.1328125" style="2"/>
    <col min="291" max="291" width="9.1328125" style="2"/>
    <col min="292" max="292" width="9.1328125" style="2"/>
    <col min="293" max="293" width="9.1328125" style="2"/>
    <col min="294" max="294" width="9.1328125" style="2"/>
    <col min="295" max="295" width="9.1328125" style="2"/>
    <col min="296" max="296" width="9.1328125" style="2"/>
    <col min="297" max="297" width="9.1328125" style="2"/>
    <col min="298" max="298" width="9.1328125" style="2"/>
    <col min="299" max="299" width="9.1328125" style="2"/>
    <col min="300" max="300" width="9.1328125" style="2"/>
    <col min="301" max="301" width="9.1328125" style="2"/>
    <col min="302" max="302" width="9.1328125" style="2"/>
    <col min="303" max="303" width="9.1328125" style="2"/>
    <col min="304" max="304" width="9.1328125" style="2"/>
    <col min="305" max="305" width="9.1328125" style="2"/>
    <col min="306" max="306" width="9.1328125" style="2"/>
    <col min="307" max="307" width="9.1328125" style="2"/>
    <col min="308" max="308" width="9.1328125" style="2"/>
    <col min="309" max="309" width="9.1328125" style="2"/>
    <col min="310" max="310" width="9.1328125" style="2"/>
    <col min="311" max="311" width="9.1328125" style="2"/>
    <col min="312" max="312" width="9.1328125" style="2"/>
    <col min="313" max="313" width="9.1328125" style="2"/>
    <col min="314" max="314" width="9.1328125" style="2"/>
    <col min="315" max="315" width="9.1328125" style="2"/>
    <col min="316" max="316" width="9.1328125" style="2"/>
    <col min="317" max="317" width="9.1328125" style="2"/>
    <col min="318" max="318" width="9.1328125" style="2"/>
    <col min="319" max="319" width="9.1328125" style="2"/>
    <col min="320" max="320" width="9.1328125" style="2"/>
    <col min="321" max="321" width="9.1328125" style="2"/>
    <col min="322" max="322" width="9.1328125" style="2"/>
    <col min="323" max="323" width="9.1328125" style="2"/>
    <col min="324" max="324" width="9.1328125" style="2"/>
    <col min="325" max="325" width="9.1328125" style="2"/>
    <col min="326" max="326" width="9.1328125" style="2"/>
    <col min="327" max="327" width="9.1328125" style="2"/>
    <col min="328" max="328" width="9.1328125" style="2"/>
    <col min="329" max="329" width="9.1328125" style="2"/>
    <col min="330" max="330" width="9.1328125" style="2"/>
    <col min="331" max="331" width="9.1328125" style="2"/>
    <col min="332" max="332" width="9.1328125" style="2"/>
    <col min="333" max="333" width="9.1328125" style="2"/>
    <col min="334" max="334" width="9.1328125" style="2"/>
    <col min="335" max="335" width="9.1328125" style="2"/>
    <col min="336" max="336" width="9.1328125" style="2"/>
    <col min="337" max="337" width="9.1328125" style="2"/>
    <col min="338" max="338" width="9.1328125" style="2"/>
    <col min="339" max="339" width="9.1328125" style="2"/>
    <col min="340" max="340" width="9.1328125" style="2"/>
    <col min="341" max="341" width="9.1328125" style="2"/>
    <col min="342" max="342" width="9.1328125" style="2"/>
    <col min="343" max="343" width="9.1328125" style="2"/>
    <col min="344" max="344" width="9.1328125" style="2"/>
    <col min="345" max="345" width="9.1328125" style="2"/>
    <col min="346" max="346" width="9.1328125" style="2"/>
    <col min="347" max="347" width="9.1328125" style="2"/>
    <col min="348" max="348" width="9.1328125" style="2"/>
    <col min="349" max="349" width="9.1328125" style="2"/>
    <col min="350" max="350" width="9.1328125" style="2"/>
    <col min="351" max="351" width="9.1328125" style="2"/>
    <col min="352" max="352" width="9.1328125" style="2"/>
    <col min="353" max="353" width="9.1328125" style="2"/>
    <col min="354" max="354" width="9.1328125" style="2"/>
    <col min="355" max="355" width="9.1328125" style="2"/>
    <col min="356" max="356" width="9.1328125" style="2"/>
    <col min="357" max="357" width="9.1328125" style="2"/>
    <col min="358" max="358" width="9.1328125" style="2"/>
    <col min="359" max="359" width="9.1328125" style="2"/>
    <col min="360" max="360" width="9.1328125" style="2"/>
    <col min="361" max="361" width="9.1328125" style="2"/>
    <col min="362" max="362" width="9.1328125" style="2"/>
    <col min="363" max="363" width="9.1328125" style="2"/>
    <col min="364" max="364" width="9.1328125" style="2"/>
    <col min="365" max="365" width="9.1328125" style="2"/>
    <col min="366" max="366" width="9.1328125" style="2"/>
    <col min="367" max="367" width="9.1328125" style="2"/>
    <col min="368" max="368" width="9.1328125" style="2"/>
    <col min="369" max="369" width="9.1328125" style="2"/>
    <col min="370" max="370" width="9.1328125" style="2"/>
    <col min="371" max="371" width="9.1328125" style="2"/>
    <col min="372" max="372" width="9.1328125" style="2"/>
    <col min="373" max="373" width="9.1328125" style="2"/>
    <col min="374" max="374" width="9.1328125" style="2"/>
    <col min="375" max="375" width="9.1328125" style="2"/>
    <col min="376" max="376" width="9.1328125" style="2"/>
    <col min="377" max="377" width="9.1328125" style="2"/>
    <col min="378" max="378" width="9.1328125" style="2"/>
    <col min="379" max="379" width="9.1328125" style="2"/>
    <col min="380" max="380" width="9.1328125" style="2"/>
    <col min="381" max="381" width="9.1328125" style="2"/>
    <col min="382" max="382" width="9.1328125" style="2"/>
    <col min="383" max="383" width="9.1328125" style="2"/>
    <col min="384" max="384" width="9.1328125" style="2"/>
    <col min="385" max="385" width="9.1328125" style="2"/>
    <col min="386" max="386" width="9.1328125" style="2"/>
    <col min="387" max="387" width="9.1328125" style="2"/>
    <col min="388" max="388" width="9.1328125" style="2"/>
    <col min="389" max="389" width="9.1328125" style="2"/>
    <col min="390" max="390" width="9.1328125" style="2"/>
    <col min="391" max="391" width="9.1328125" style="2"/>
    <col min="392" max="392" width="9.1328125" style="2"/>
    <col min="393" max="393" width="9.1328125" style="2"/>
    <col min="394" max="394" width="9.1328125" style="2"/>
    <col min="395" max="395" width="9.1328125" style="2"/>
    <col min="396" max="396" width="9.1328125" style="2"/>
    <col min="397" max="397" width="9.1328125" style="2"/>
    <col min="398" max="398" width="9.1328125" style="2"/>
    <col min="399" max="399" width="9.1328125" style="2"/>
    <col min="400" max="400" width="9.1328125" style="2"/>
    <col min="401" max="401" width="9.1328125" style="2"/>
    <col min="402" max="402" width="9.1328125" style="2"/>
    <col min="403" max="403" width="9.1328125" style="2"/>
    <col min="404" max="404" width="9.1328125" style="2"/>
    <col min="405" max="405" width="9.1328125" style="2"/>
    <col min="406" max="406" width="9.1328125" style="2"/>
    <col min="407" max="407" width="9.1328125" style="2"/>
    <col min="408" max="408" width="9.1328125" style="2"/>
    <col min="409" max="409" width="9.1328125" style="2"/>
    <col min="410" max="410" width="9.1328125" style="2"/>
    <col min="411" max="411" width="9.1328125" style="2"/>
    <col min="412" max="412" width="9.1328125" style="2"/>
    <col min="413" max="413" width="9.1328125" style="2"/>
    <col min="414" max="414" width="9.1328125" style="2"/>
    <col min="415" max="415" width="9.1328125" style="2"/>
    <col min="416" max="416" width="9.1328125" style="2"/>
    <col min="417" max="417" width="9.1328125" style="2"/>
    <col min="418" max="418" width="9.1328125" style="2"/>
    <col min="419" max="419" width="9.1328125" style="2"/>
    <col min="420" max="420" width="9.1328125" style="2"/>
    <col min="421" max="421" width="9.1328125" style="2"/>
    <col min="422" max="422" width="9.1328125" style="2"/>
    <col min="423" max="423" width="9.1328125" style="2"/>
    <col min="424" max="424" width="9.1328125" style="2"/>
    <col min="425" max="425" width="9.1328125" style="2"/>
    <col min="426" max="426" width="9.1328125" style="2"/>
    <col min="427" max="427" width="9.1328125" style="2"/>
    <col min="428" max="428" width="9.1328125" style="2"/>
    <col min="429" max="429" width="9.1328125" style="2"/>
    <col min="430" max="430" width="9.1328125" style="2"/>
    <col min="431" max="431" width="9.1328125" style="2"/>
    <col min="432" max="432" width="9.1328125" style="2"/>
    <col min="433" max="433" width="9.1328125" style="2"/>
    <col min="434" max="434" width="9.1328125" style="2"/>
    <col min="435" max="435" width="9.1328125" style="2"/>
    <col min="436" max="436" width="9.1328125" style="2"/>
    <col min="437" max="437" width="9.1328125" style="2"/>
    <col min="438" max="438" width="9.1328125" style="2"/>
    <col min="439" max="439" width="9.1328125" style="2"/>
    <col min="440" max="440" width="9.1328125" style="2"/>
    <col min="441" max="441" width="9.1328125" style="2"/>
    <col min="442" max="442" width="9.1328125" style="2"/>
    <col min="443" max="443" width="9.1328125" style="2"/>
    <col min="444" max="444" width="9.1328125" style="2"/>
    <col min="445" max="445" width="9.1328125" style="2"/>
    <col min="446" max="446" width="9.1328125" style="2"/>
    <col min="447" max="447" width="9.1328125" style="2"/>
    <col min="448" max="448" width="9.1328125" style="2"/>
    <col min="449" max="449" width="9.1328125" style="2"/>
    <col min="450" max="450" width="9.1328125" style="2"/>
    <col min="451" max="451" width="9.1328125" style="2"/>
    <col min="452" max="452" width="9.1328125" style="2"/>
    <col min="453" max="453" width="9.1328125" style="2"/>
    <col min="454" max="454" width="9.1328125" style="2"/>
    <col min="455" max="455" width="9.1328125" style="2"/>
    <col min="456" max="456" width="9.1328125" style="2"/>
    <col min="457" max="457" width="9.1328125" style="2"/>
    <col min="458" max="458" width="9.1328125" style="2"/>
    <col min="459" max="459" width="9.1328125" style="2"/>
    <col min="460" max="460" width="9.1328125" style="2"/>
    <col min="461" max="461" width="9.1328125" style="2"/>
    <col min="462" max="462" width="9.1328125" style="2"/>
    <col min="463" max="463" width="9.1328125" style="2"/>
    <col min="464" max="464" width="9.1328125" style="2"/>
    <col min="465" max="465" width="9.1328125" style="2"/>
    <col min="466" max="466" width="9.1328125" style="2"/>
    <col min="467" max="467" width="9.1328125" style="2"/>
    <col min="468" max="468" width="9.1328125" style="2"/>
    <col min="469" max="469" width="9.1328125" style="2"/>
    <col min="470" max="470" width="9.1328125" style="2"/>
    <col min="471" max="471" width="9.1328125" style="2"/>
    <col min="472" max="472" width="9.1328125" style="2"/>
    <col min="473" max="473" width="9.1328125" style="2"/>
    <col min="474" max="474" width="9.1328125" style="2"/>
    <col min="475" max="475" width="9.1328125" style="2"/>
    <col min="476" max="476" width="9.1328125" style="2"/>
    <col min="477" max="477" width="9.1328125" style="2"/>
    <col min="478" max="478" width="9.1328125" style="2"/>
    <col min="479" max="479" width="9.1328125" style="2"/>
    <col min="480" max="480" width="9.1328125" style="2"/>
    <col min="481" max="481" width="9.1328125" style="2"/>
    <col min="482" max="482" width="9.1328125" style="2"/>
    <col min="483" max="483" width="9.1328125" style="2"/>
    <col min="484" max="484" width="9.1328125" style="2"/>
    <col min="485" max="485" width="9.1328125" style="2"/>
    <col min="486" max="486" width="9.1328125" style="2"/>
    <col min="487" max="487" width="9.1328125" style="2"/>
    <col min="488" max="488" width="9.1328125" style="2"/>
    <col min="489" max="489" width="9.1328125" style="2"/>
    <col min="490" max="490" width="9.1328125" style="2"/>
    <col min="491" max="491" width="9.1328125" style="2"/>
    <col min="492" max="492" width="9.1328125" style="2"/>
    <col min="493" max="493" width="9.1328125" style="2"/>
    <col min="494" max="494" width="9.1328125" style="2"/>
    <col min="495" max="495" width="9.1328125" style="2"/>
    <col min="496" max="496" width="9.1328125" style="2"/>
    <col min="497" max="497" width="9.1328125" style="2"/>
    <col min="498" max="498" width="9.1328125" style="2"/>
    <col min="499" max="499" width="9.1328125" style="2"/>
    <col min="500" max="500" width="9.1328125" style="2"/>
    <col min="501" max="501" width="9.1328125" style="2"/>
    <col min="502" max="502" width="9.1328125" style="2"/>
    <col min="503" max="503" width="9.1328125" style="2"/>
    <col min="504" max="504" width="9.1328125" style="2"/>
    <col min="505" max="505" width="9.1328125" style="2"/>
    <col min="506" max="506" width="9.1328125" style="2"/>
    <col min="507" max="507" width="9.1328125" style="2"/>
    <col min="508" max="508" width="9.1328125" style="2"/>
    <col min="509" max="509" width="9.1328125" style="2"/>
    <col min="510" max="510" width="9.1328125" style="2"/>
    <col min="511" max="511" width="9.1328125" style="2"/>
    <col min="512" max="512" width="9.1328125" style="2"/>
    <col min="513" max="513" width="9.1328125" style="2"/>
    <col min="514" max="514" width="9.1328125" style="2"/>
    <col min="515" max="515" width="9.1328125" style="2"/>
    <col min="516" max="516" width="9.1328125" style="2"/>
    <col min="517" max="517" width="9.1328125" style="2"/>
    <col min="518" max="518" width="9.1328125" style="2"/>
    <col min="519" max="519" width="9.1328125" style="2"/>
    <col min="520" max="520" width="9.1328125" style="2"/>
    <col min="521" max="521" width="9.1328125" style="2"/>
    <col min="522" max="522" width="9.1328125" style="2"/>
    <col min="523" max="523" width="9.1328125" style="2"/>
    <col min="524" max="524" width="9.1328125" style="2"/>
    <col min="525" max="525" width="9.1328125" style="2"/>
    <col min="526" max="526" width="9.1328125" style="2"/>
    <col min="527" max="527" width="9.1328125" style="2"/>
    <col min="528" max="528" width="9.1328125" style="2"/>
    <col min="529" max="529" width="9.1328125" style="2"/>
    <col min="530" max="530" width="9.1328125" style="2"/>
    <col min="531" max="531" width="9.1328125" style="2"/>
    <col min="532" max="532" width="9.1328125" style="2"/>
    <col min="533" max="533" width="9.1328125" style="2"/>
    <col min="534" max="534" width="9.1328125" style="2"/>
    <col min="535" max="535" width="9.1328125" style="2"/>
    <col min="536" max="536" width="9.1328125" style="2"/>
    <col min="537" max="537" width="9.1328125" style="2"/>
    <col min="538" max="538" width="9.1328125" style="2"/>
    <col min="539" max="539" width="9.1328125" style="2"/>
    <col min="540" max="540" width="9.1328125" style="2"/>
    <col min="541" max="541" width="9.1328125" style="2"/>
    <col min="542" max="542" width="9.1328125" style="2"/>
    <col min="543" max="543" width="9.1328125" style="2"/>
    <col min="544" max="544" width="9.1328125" style="2"/>
    <col min="545" max="545" width="9.1328125" style="2"/>
    <col min="546" max="546" width="9.1328125" style="2"/>
    <col min="547" max="547" width="9.1328125" style="2"/>
    <col min="548" max="548" width="9.1328125" style="2"/>
    <col min="549" max="549" width="9.1328125" style="2"/>
    <col min="550" max="550" width="9.1328125" style="2"/>
    <col min="551" max="551" width="9.1328125" style="2"/>
    <col min="552" max="552" width="9.1328125" style="2"/>
    <col min="553" max="553" width="9.1328125" style="2"/>
    <col min="554" max="554" width="9.1328125" style="2"/>
    <col min="555" max="555" width="9.1328125" style="2"/>
    <col min="556" max="556" width="9.1328125" style="2"/>
    <col min="557" max="557" width="9.1328125" style="2"/>
    <col min="558" max="558" width="9.1328125" style="2"/>
    <col min="559" max="559" width="9.1328125" style="2"/>
    <col min="560" max="560" width="9.1328125" style="2"/>
    <col min="561" max="561" width="9.1328125" style="2"/>
    <col min="562" max="562" width="9.1328125" style="2"/>
    <col min="563" max="563" width="9.1328125" style="2"/>
    <col min="564" max="564" width="9.1328125" style="2"/>
    <col min="565" max="565" width="9.1328125" style="2"/>
    <col min="566" max="566" width="9.1328125" style="2"/>
    <col min="567" max="567" width="9.1328125" style="2"/>
    <col min="568" max="568" width="9.1328125" style="2"/>
    <col min="569" max="569" width="9.1328125" style="2"/>
    <col min="570" max="570" width="9.1328125" style="2"/>
    <col min="571" max="571" width="9.1328125" style="2"/>
    <col min="572" max="572" width="9.1328125" style="2"/>
    <col min="573" max="573" width="9.1328125" style="2"/>
    <col min="574" max="574" width="9.1328125" style="2"/>
    <col min="575" max="575" width="9.1328125" style="2"/>
    <col min="576" max="576" width="9.1328125" style="2"/>
    <col min="577" max="577" width="9.1328125" style="2"/>
    <col min="578" max="578" width="9.1328125" style="2"/>
    <col min="579" max="579" width="9.1328125" style="2"/>
    <col min="580" max="580" width="9.1328125" style="2"/>
    <col min="581" max="581" width="9.1328125" style="2"/>
    <col min="582" max="582" width="9.1328125" style="2"/>
    <col min="583" max="583" width="9.1328125" style="2"/>
    <col min="584" max="584" width="9.1328125" style="2"/>
    <col min="585" max="585" width="9.1328125" style="2"/>
    <col min="586" max="586" width="9.1328125" style="2"/>
    <col min="587" max="587" width="9.1328125" style="2"/>
    <col min="588" max="588" width="9.1328125" style="2"/>
    <col min="589" max="589" width="9.1328125" style="2"/>
    <col min="590" max="590" width="9.1328125" style="2"/>
    <col min="591" max="591" width="9.1328125" style="2"/>
    <col min="592" max="592" width="9.1328125" style="2"/>
    <col min="593" max="593" width="9.1328125" style="2"/>
    <col min="594" max="594" width="9.1328125" style="2"/>
    <col min="595" max="595" width="9.1328125" style="2"/>
    <col min="596" max="596" width="9.1328125" style="2"/>
    <col min="597" max="597" width="9.1328125" style="2"/>
    <col min="598" max="598" width="9.1328125" style="2"/>
    <col min="599" max="599" width="9.1328125" style="2"/>
    <col min="600" max="600" width="9.1328125" style="2"/>
    <col min="601" max="601" width="9.1328125" style="2"/>
    <col min="602" max="602" width="9.1328125" style="2"/>
    <col min="603" max="603" width="9.1328125" style="2"/>
    <col min="604" max="604" width="9.1328125" style="2"/>
    <col min="605" max="605" width="9.1328125" style="2"/>
    <col min="606" max="606" width="9.1328125" style="2"/>
    <col min="607" max="607" width="9.1328125" style="2"/>
    <col min="608" max="608" width="9.1328125" style="2"/>
    <col min="609" max="609" width="9.1328125" style="2"/>
    <col min="610" max="610" width="9.1328125" style="2"/>
    <col min="611" max="611" width="9.1328125" style="2"/>
    <col min="612" max="612" width="9.1328125" style="2"/>
    <col min="613" max="613" width="9.1328125" style="2"/>
    <col min="614" max="614" width="9.1328125" style="2"/>
    <col min="615" max="615" width="9.1328125" style="2"/>
    <col min="616" max="616" width="9.1328125" style="2"/>
    <col min="617" max="617" width="9.1328125" style="2"/>
    <col min="618" max="618" width="9.1328125" style="2"/>
    <col min="619" max="619" width="9.1328125" style="2"/>
    <col min="620" max="620" width="9.1328125" style="2"/>
    <col min="621" max="621" width="9.1328125" style="2"/>
    <col min="622" max="622" width="9.1328125" style="2"/>
    <col min="623" max="623" width="9.1328125" style="2"/>
    <col min="624" max="624" width="9.1328125" style="2"/>
    <col min="625" max="625" width="9.1328125" style="2"/>
    <col min="626" max="626" width="9.1328125" style="2"/>
    <col min="627" max="627" width="9.1328125" style="2"/>
    <col min="628" max="628" width="9.1328125" style="2"/>
    <col min="629" max="629" width="9.1328125" style="2"/>
    <col min="630" max="630" width="9.1328125" style="2"/>
    <col min="631" max="631" width="9.1328125" style="2"/>
    <col min="632" max="632" width="9.1328125" style="2"/>
    <col min="633" max="633" width="9.1328125" style="2"/>
    <col min="634" max="634" width="9.1328125" style="2"/>
    <col min="635" max="635" width="9.1328125" style="2"/>
    <col min="636" max="636" width="9.1328125" style="2"/>
    <col min="637" max="637" width="9.1328125" style="2"/>
    <col min="638" max="638" width="9.1328125" style="2"/>
    <col min="639" max="639" width="9.1328125" style="2"/>
    <col min="640" max="640" width="9.1328125" style="2"/>
    <col min="641" max="641" width="9.1328125" style="2"/>
    <col min="642" max="642" width="9.1328125" style="2"/>
    <col min="643" max="643" width="9.1328125" style="2"/>
    <col min="644" max="644" width="9.1328125" style="2"/>
    <col min="645" max="645" width="9.1328125" style="2"/>
    <col min="646" max="646" width="9.1328125" style="2"/>
    <col min="647" max="647" width="9.1328125" style="2"/>
    <col min="648" max="648" width="9.1328125" style="2"/>
    <col min="649" max="649" width="9.1328125" style="2"/>
    <col min="650" max="650" width="9.1328125" style="2"/>
    <col min="651" max="651" width="9.1328125" style="2"/>
    <col min="652" max="652" width="9.1328125" style="2"/>
    <col min="653" max="653" width="9.1328125" style="2"/>
    <col min="654" max="654" width="9.1328125" style="2"/>
    <col min="655" max="655" width="9.1328125" style="2"/>
    <col min="656" max="656" width="9.1328125" style="2"/>
    <col min="657" max="657" width="9.1328125" style="2"/>
    <col min="658" max="658" width="9.1328125" style="2"/>
    <col min="659" max="659" width="9.1328125" style="2"/>
    <col min="660" max="660" width="9.1328125" style="2"/>
    <col min="661" max="661" width="9.1328125" style="2"/>
    <col min="662" max="662" width="9.1328125" style="2"/>
    <col min="663" max="663" width="9.1328125" style="2"/>
    <col min="664" max="664" width="9.1328125" style="2"/>
    <col min="665" max="665" width="9.1328125" style="2"/>
    <col min="666" max="666" width="9.1328125" style="2"/>
    <col min="667" max="667" width="9.1328125" style="2"/>
    <col min="668" max="668" width="9.1328125" style="2"/>
    <col min="669" max="669" width="9.1328125" style="2"/>
    <col min="670" max="670" width="9.1328125" style="2"/>
    <col min="671" max="671" width="9.1328125" style="2"/>
    <col min="672" max="672" width="9.1328125" style="2"/>
    <col min="673" max="673" width="9.1328125" style="2"/>
    <col min="674" max="674" width="9.1328125" style="2"/>
    <col min="675" max="675" width="9.1328125" style="2"/>
    <col min="676" max="676" width="9.1328125" style="2"/>
    <col min="677" max="677" width="9.1328125" style="2"/>
    <col min="678" max="678" width="9.1328125" style="2"/>
    <col min="679" max="679" width="9.1328125" style="2"/>
    <col min="680" max="680" width="9.1328125" style="2"/>
    <col min="681" max="681" width="9.1328125" style="2"/>
    <col min="682" max="682" width="9.1328125" style="2"/>
    <col min="683" max="683" width="9.1328125" style="2"/>
    <col min="684" max="684" width="9.1328125" style="2"/>
    <col min="685" max="685" width="9.1328125" style="2"/>
    <col min="686" max="686" width="9.1328125" style="2"/>
    <col min="687" max="687" width="9.1328125" style="2"/>
    <col min="688" max="688" width="9.1328125" style="2"/>
    <col min="689" max="689" width="9.1328125" style="2"/>
    <col min="690" max="690" width="9.1328125" style="2"/>
    <col min="691" max="691" width="9.1328125" style="2"/>
    <col min="692" max="692" width="9.1328125" style="2"/>
    <col min="693" max="693" width="9.1328125" style="2"/>
    <col min="694" max="694" width="9.1328125" style="2"/>
    <col min="695" max="695" width="9.1328125" style="2"/>
    <col min="696" max="696" width="9.1328125" style="2"/>
    <col min="697" max="697" width="9.1328125" style="2"/>
    <col min="698" max="698" width="9.1328125" style="2"/>
    <col min="699" max="699" width="9.1328125" style="2"/>
    <col min="700" max="700" width="9.1328125" style="2"/>
    <col min="701" max="701" width="9.1328125" style="2"/>
    <col min="702" max="702" width="9.1328125" style="2"/>
    <col min="703" max="703" width="9.1328125" style="2"/>
    <col min="704" max="704" width="9.1328125" style="2"/>
    <col min="705" max="705" width="9.1328125" style="2"/>
    <col min="706" max="706" width="9.1328125" style="2"/>
    <col min="707" max="707" width="9.1328125" style="2"/>
    <col min="708" max="708" width="9.1328125" style="2"/>
    <col min="709" max="709" width="9.1328125" style="2"/>
    <col min="710" max="710" width="9.1328125" style="2"/>
    <col min="711" max="711" width="9.1328125" style="2"/>
    <col min="712" max="712" width="9.1328125" style="2"/>
    <col min="713" max="713" width="9.1328125" style="2"/>
    <col min="714" max="714" width="9.1328125" style="2"/>
    <col min="715" max="715" width="9.1328125" style="2"/>
    <col min="716" max="716" width="9.1328125" style="2"/>
    <col min="717" max="717" width="9.1328125" style="2"/>
    <col min="718" max="718" width="9.1328125" style="2"/>
    <col min="719" max="719" width="9.1328125" style="2"/>
    <col min="720" max="720" width="9.1328125" style="2"/>
    <col min="721" max="721" width="9.1328125" style="2"/>
    <col min="722" max="722" width="9.1328125" style="2"/>
    <col min="723" max="723" width="9.1328125" style="2"/>
    <col min="724" max="724" width="9.1328125" style="2"/>
    <col min="725" max="725" width="9.1328125" style="2"/>
    <col min="726" max="726" width="9.1328125" style="2"/>
    <col min="727" max="727" width="9.1328125" style="2"/>
    <col min="728" max="728" width="9.1328125" style="2"/>
    <col min="729" max="729" width="9.1328125" style="2"/>
    <col min="730" max="730" width="9.1328125" style="2"/>
    <col min="731" max="731" width="9.1328125" style="2"/>
    <col min="732" max="732" width="9.1328125" style="2"/>
    <col min="733" max="733" width="9.1328125" style="2"/>
    <col min="734" max="734" width="9.1328125" style="2"/>
    <col min="735" max="735" width="9.1328125" style="2"/>
    <col min="736" max="736" width="9.1328125" style="2"/>
    <col min="737" max="737" width="9.1328125" style="2"/>
    <col min="738" max="738" width="9.1328125" style="2"/>
    <col min="739" max="739" width="9.1328125" style="2"/>
    <col min="740" max="740" width="9.1328125" style="2"/>
    <col min="741" max="741" width="9.1328125" style="2"/>
    <col min="742" max="742" width="9.1328125" style="2"/>
    <col min="743" max="743" width="9.1328125" style="2"/>
    <col min="744" max="744" width="9.1328125" style="2"/>
    <col min="745" max="745" width="9.1328125" style="2"/>
    <col min="746" max="746" width="9.1328125" style="2"/>
    <col min="747" max="747" width="9.1328125" style="2"/>
    <col min="748" max="748" width="9.1328125" style="2"/>
    <col min="749" max="749" width="9.1328125" style="2"/>
    <col min="750" max="750" width="9.1328125" style="2"/>
    <col min="751" max="751" width="9.1328125" style="2"/>
    <col min="752" max="752" width="9.1328125" style="2"/>
    <col min="753" max="753" width="9.1328125" style="2"/>
    <col min="754" max="754" width="9.1328125" style="2"/>
    <col min="755" max="755" width="9.1328125" style="2"/>
    <col min="756" max="756" width="9.1328125" style="2"/>
    <col min="757" max="757" width="9.1328125" style="2"/>
    <col min="758" max="758" width="9.1328125" style="2"/>
    <col min="759" max="759" width="9.1328125" style="2"/>
    <col min="760" max="760" width="9.1328125" style="2"/>
    <col min="761" max="761" width="9.1328125" style="2"/>
    <col min="762" max="762" width="9.1328125" style="2"/>
    <col min="763" max="763" width="9.1328125" style="2"/>
    <col min="764" max="764" width="9.1328125" style="2"/>
    <col min="765" max="765" width="9.1328125" style="2"/>
    <col min="766" max="766" width="9.1328125" style="2"/>
    <col min="767" max="767" width="9.1328125" style="2"/>
    <col min="768" max="768" width="9.1328125" style="2"/>
    <col min="769" max="769" width="9.1328125" style="2"/>
    <col min="770" max="770" width="9.1328125" style="2"/>
    <col min="771" max="771" width="9.1328125" style="2"/>
    <col min="772" max="772" width="9.1328125" style="2"/>
    <col min="773" max="773" width="9.1328125" style="2"/>
    <col min="774" max="774" width="9.1328125" style="2"/>
    <col min="775" max="775" width="9.1328125" style="2"/>
    <col min="776" max="776" width="9.1328125" style="2"/>
    <col min="777" max="777" width="9.1328125" style="2"/>
    <col min="778" max="778" width="9.1328125" style="2"/>
    <col min="779" max="779" width="9.1328125" style="2"/>
    <col min="780" max="780" width="9.1328125" style="2"/>
    <col min="781" max="781" width="9.1328125" style="2"/>
    <col min="782" max="782" width="9.1328125" style="2"/>
    <col min="783" max="783" width="9.1328125" style="2"/>
    <col min="784" max="784" width="9.1328125" style="2"/>
    <col min="785" max="785" width="9.1328125" style="2"/>
    <col min="786" max="786" width="9.1328125" style="2"/>
    <col min="787" max="787" width="9.1328125" style="2"/>
    <col min="788" max="788" width="9.1328125" style="2"/>
    <col min="789" max="789" width="9.1328125" style="2"/>
    <col min="790" max="790" width="9.1328125" style="2"/>
    <col min="791" max="791" width="9.1328125" style="2"/>
    <col min="792" max="792" width="9.1328125" style="2"/>
    <col min="793" max="793" width="9.1328125" style="2"/>
    <col min="794" max="794" width="9.1328125" style="2"/>
    <col min="795" max="795" width="9.1328125" style="2"/>
    <col min="796" max="796" width="9.1328125" style="2"/>
    <col min="797" max="797" width="9.1328125" style="2"/>
    <col min="798" max="798" width="9.1328125" style="2"/>
    <col min="799" max="799" width="9.1328125" style="2"/>
    <col min="800" max="800" width="9.1328125" style="2"/>
    <col min="801" max="801" width="9.1328125" style="2"/>
    <col min="802" max="802" width="9.1328125" style="2"/>
    <col min="803" max="803" width="9.1328125" style="2"/>
    <col min="804" max="804" width="9.1328125" style="2"/>
    <col min="805" max="805" width="9.1328125" style="2"/>
    <col min="806" max="806" width="9.1328125" style="2"/>
    <col min="807" max="807" width="9.1328125" style="2"/>
    <col min="808" max="808" width="9.1328125" style="2"/>
    <col min="809" max="809" width="9.1328125" style="2"/>
    <col min="810" max="810" width="9.1328125" style="2"/>
    <col min="811" max="811" width="9.1328125" style="2"/>
    <col min="812" max="812" width="9.1328125" style="2"/>
    <col min="813" max="813" width="9.1328125" style="2"/>
    <col min="814" max="814" width="9.1328125" style="2"/>
    <col min="815" max="815" width="9.1328125" style="2"/>
    <col min="816" max="816" width="9.1328125" style="2"/>
    <col min="817" max="817" width="9.1328125" style="2"/>
    <col min="818" max="818" width="9.1328125" style="2"/>
    <col min="819" max="819" width="9.1328125" style="2"/>
    <col min="820" max="820" width="9.1328125" style="2"/>
    <col min="821" max="821" width="9.1328125" style="2"/>
    <col min="822" max="822" width="9.1328125" style="2"/>
    <col min="823" max="823" width="9.1328125" style="2"/>
    <col min="824" max="824" width="9.1328125" style="2"/>
    <col min="825" max="825" width="9.1328125" style="2"/>
    <col min="826" max="826" width="9.1328125" style="2"/>
    <col min="827" max="827" width="9.1328125" style="2"/>
    <col min="828" max="828" width="9.1328125" style="2"/>
    <col min="829" max="829" width="9.1328125" style="2"/>
    <col min="830" max="830" width="9.1328125" style="2"/>
    <col min="831" max="831" width="9.1328125" style="2"/>
    <col min="832" max="832" width="9.1328125" style="2"/>
    <col min="833" max="833" width="9.1328125" style="2"/>
    <col min="834" max="834" width="9.1328125" style="2"/>
    <col min="835" max="835" width="9.1328125" style="2"/>
    <col min="836" max="836" width="9.1328125" style="2"/>
    <col min="837" max="837" width="9.1328125" style="2"/>
    <col min="838" max="838" width="9.1328125" style="2"/>
    <col min="839" max="839" width="9.1328125" style="2"/>
    <col min="840" max="840" width="9.1328125" style="2"/>
    <col min="841" max="841" width="9.1328125" style="2"/>
    <col min="842" max="842" width="9.1328125" style="2"/>
    <col min="843" max="843" width="9.1328125" style="2"/>
    <col min="844" max="844" width="9.1328125" style="2"/>
    <col min="845" max="845" width="9.1328125" style="2"/>
    <col min="846" max="846" width="9.1328125" style="2"/>
    <col min="847" max="847" width="9.1328125" style="2"/>
    <col min="848" max="848" width="9.1328125" style="2"/>
    <col min="849" max="849" width="9.1328125" style="2"/>
    <col min="850" max="850" width="9.1328125" style="2"/>
    <col min="851" max="851" width="9.1328125" style="2"/>
    <col min="852" max="852" width="9.1328125" style="2"/>
    <col min="853" max="853" width="9.1328125" style="2"/>
    <col min="854" max="854" width="9.1328125" style="2"/>
    <col min="855" max="855" width="9.1328125" style="2"/>
    <col min="856" max="856" width="9.1328125" style="2"/>
    <col min="857" max="857" width="9.1328125" style="2"/>
    <col min="858" max="858" width="9.1328125" style="2"/>
    <col min="859" max="859" width="9.1328125" style="2"/>
    <col min="860" max="860" width="9.1328125" style="2"/>
    <col min="861" max="861" width="9.1328125" style="2"/>
    <col min="862" max="862" width="9.1328125" style="2"/>
    <col min="863" max="863" width="9.1328125" style="2"/>
    <col min="864" max="864" width="9.1328125" style="2"/>
    <col min="865" max="865" width="9.1328125" style="2"/>
    <col min="866" max="866" width="9.1328125" style="2"/>
    <col min="867" max="867" width="9.1328125" style="2"/>
    <col min="868" max="868" width="9.1328125" style="2"/>
    <col min="869" max="869" width="9.1328125" style="2"/>
    <col min="870" max="870" width="9.1328125" style="2"/>
    <col min="871" max="871" width="9.1328125" style="2"/>
    <col min="872" max="872" width="9.1328125" style="2"/>
    <col min="873" max="873" width="9.1328125" style="2"/>
    <col min="874" max="874" width="9.1328125" style="2"/>
    <col min="875" max="875" width="9.1328125" style="2"/>
    <col min="876" max="876" width="9.1328125" style="2"/>
    <col min="877" max="877" width="9.1328125" style="2"/>
    <col min="878" max="878" width="9.1328125" style="2"/>
    <col min="879" max="879" width="9.1328125" style="2"/>
    <col min="880" max="880" width="9.1328125" style="2"/>
    <col min="881" max="881" width="9.1328125" style="2"/>
    <col min="882" max="882" width="9.1328125" style="2"/>
    <col min="883" max="883" width="9.1328125" style="2"/>
    <col min="884" max="884" width="9.1328125" style="2"/>
    <col min="885" max="885" width="9.1328125" style="2"/>
    <col min="886" max="886" width="9.1328125" style="2"/>
    <col min="887" max="887" width="9.1328125" style="2"/>
    <col min="888" max="888" width="9.1328125" style="2"/>
    <col min="889" max="889" width="9.1328125" style="2"/>
    <col min="890" max="890" width="9.1328125" style="2"/>
    <col min="891" max="891" width="9.1328125" style="2"/>
    <col min="892" max="892" width="9.1328125" style="2"/>
    <col min="893" max="893" width="9.1328125" style="2"/>
    <col min="894" max="894" width="9.1328125" style="2"/>
    <col min="895" max="895" width="9.1328125" style="2"/>
    <col min="896" max="896" width="9.1328125" style="2"/>
    <col min="897" max="897" width="9.1328125" style="2"/>
    <col min="898" max="898" width="9.1328125" style="2"/>
    <col min="899" max="899" width="9.1328125" style="2"/>
    <col min="900" max="900" width="9.1328125" style="2"/>
    <col min="901" max="901" width="9.1328125" style="2"/>
    <col min="902" max="902" width="9.1328125" style="2"/>
    <col min="903" max="903" width="9.1328125" style="2"/>
    <col min="904" max="904" width="9.1328125" style="2"/>
    <col min="905" max="905" width="9.1328125" style="2"/>
    <col min="906" max="906" width="9.1328125" style="2"/>
    <col min="907" max="907" width="9.1328125" style="2"/>
    <col min="908" max="908" width="9.1328125" style="2"/>
    <col min="909" max="909" width="9.1328125" style="2"/>
    <col min="910" max="910" width="9.1328125" style="2"/>
    <col min="911" max="911" width="9.1328125" style="2"/>
    <col min="912" max="912" width="9.1328125" style="2"/>
    <col min="913" max="913" width="9.1328125" style="2"/>
    <col min="914" max="914" width="9.1328125" style="2"/>
    <col min="915" max="915" width="9.1328125" style="2"/>
    <col min="916" max="916" width="9.1328125" style="2"/>
    <col min="917" max="917" width="9.1328125" style="2"/>
    <col min="918" max="918" width="9.1328125" style="2"/>
    <col min="919" max="919" width="9.1328125" style="2"/>
    <col min="920" max="920" width="9.1328125" style="2"/>
    <col min="921" max="921" width="9.1328125" style="2"/>
    <col min="922" max="922" width="9.1328125" style="2"/>
    <col min="923" max="923" width="9.1328125" style="2"/>
    <col min="924" max="924" width="9.1328125" style="2"/>
    <col min="925" max="925" width="9.1328125" style="2"/>
    <col min="926" max="926" width="9.1328125" style="2"/>
    <col min="927" max="927" width="9.1328125" style="2"/>
    <col min="928" max="928" width="9.1328125" style="2"/>
    <col min="929" max="929" width="9.1328125" style="2"/>
    <col min="930" max="930" width="9.1328125" style="2"/>
    <col min="931" max="931" width="9.1328125" style="2"/>
    <col min="932" max="932" width="9.1328125" style="2"/>
    <col min="933" max="933" width="9.1328125" style="2"/>
    <col min="934" max="934" width="9.1328125" style="2"/>
    <col min="935" max="935" width="9.1328125" style="2"/>
    <col min="936" max="936" width="9.1328125" style="2"/>
    <col min="937" max="937" width="9.1328125" style="2"/>
    <col min="938" max="938" width="9.1328125" style="2"/>
    <col min="939" max="939" width="9.1328125" style="2"/>
    <col min="940" max="940" width="9.1328125" style="2"/>
    <col min="941" max="941" width="9.1328125" style="2"/>
    <col min="942" max="942" width="9.1328125" style="2"/>
    <col min="943" max="943" width="9.1328125" style="2"/>
    <col min="944" max="944" width="9.1328125" style="2"/>
    <col min="945" max="945" width="9.1328125" style="2"/>
    <col min="946" max="946" width="9.1328125" style="2"/>
    <col min="947" max="947" width="9.1328125" style="2"/>
    <col min="948" max="948" width="9.1328125" style="2"/>
    <col min="949" max="949" width="9.1328125" style="2"/>
    <col min="950" max="950" width="9.1328125" style="2"/>
    <col min="951" max="951" width="9.1328125" style="2"/>
    <col min="952" max="952" width="9.1328125" style="2"/>
    <col min="953" max="953" width="9.1328125" style="2"/>
    <col min="954" max="954" width="9.1328125" style="2"/>
    <col min="955" max="955" width="9.1328125" style="2"/>
    <col min="956" max="956" width="9.1328125" style="2"/>
    <col min="957" max="957" width="9.1328125" style="2"/>
    <col min="958" max="958" width="9.1328125" style="2"/>
    <col min="959" max="959" width="9.1328125" style="2"/>
    <col min="960" max="960" width="9.1328125" style="2"/>
    <col min="961" max="961" width="9.1328125" style="2"/>
    <col min="962" max="962" width="9.1328125" style="2"/>
    <col min="963" max="963" width="9.1328125" style="2"/>
    <col min="964" max="964" width="9.1328125" style="2"/>
    <col min="965" max="965" width="9.1328125" style="2"/>
    <col min="966" max="966" width="9.1328125" style="2"/>
    <col min="967" max="967" width="9.1328125" style="2"/>
    <col min="968" max="968" width="9.1328125" style="2"/>
    <col min="969" max="969" width="9.1328125" style="2"/>
    <col min="970" max="970" width="9.1328125" style="2"/>
    <col min="971" max="971" width="9.1328125" style="2"/>
    <col min="972" max="972" width="9.1328125" style="2"/>
    <col min="973" max="973" width="9.1328125" style="2"/>
    <col min="974" max="974" width="9.1328125" style="2"/>
    <col min="975" max="975" width="9.1328125" style="2"/>
    <col min="976" max="976" width="9.1328125" style="2"/>
    <col min="977" max="977" width="9.1328125" style="2"/>
    <col min="978" max="978" width="9.1328125" style="2"/>
    <col min="979" max="979" width="9.1328125" style="2"/>
    <col min="980" max="980" width="9.1328125" style="2"/>
    <col min="981" max="981" width="9.1328125" style="2"/>
    <col min="982" max="982" width="9.1328125" style="2"/>
    <col min="983" max="983" width="9.1328125" style="2"/>
    <col min="984" max="984" width="9.1328125" style="2"/>
    <col min="985" max="985" width="9.1328125" style="2"/>
    <col min="986" max="986" width="9.1328125" style="2"/>
    <col min="987" max="987" width="9.1328125" style="2"/>
    <col min="988" max="988" width="9.1328125" style="2"/>
    <col min="989" max="989" width="9.1328125" style="2"/>
    <col min="990" max="990" width="9.1328125" style="2"/>
    <col min="991" max="991" width="9.1328125" style="2"/>
    <col min="992" max="992" width="9.1328125" style="2"/>
    <col min="993" max="993" width="9.1328125" style="2"/>
    <col min="994" max="994" width="9.1328125" style="2"/>
    <col min="995" max="995" width="9.1328125" style="2"/>
    <col min="996" max="996" width="9.1328125" style="2"/>
    <col min="997" max="997" width="9.1328125" style="2"/>
    <col min="998" max="998" width="9.1328125" style="2"/>
    <col min="999" max="999" width="9.1328125" style="2"/>
    <col min="1000" max="1000" width="9.1328125" style="2"/>
    <col min="1001" max="1001" width="9.1328125" style="2"/>
    <col min="1002" max="1002" width="9.1328125" style="2"/>
    <col min="1003" max="1003" width="9.1328125" style="2"/>
    <col min="1004" max="1004" width="9.1328125" style="2"/>
    <col min="1005" max="1005" width="9.1328125" style="2"/>
    <col min="1006" max="1006" width="9.1328125" style="2"/>
    <col min="1007" max="1007" width="9.1328125" style="2"/>
    <col min="1008" max="1008" width="9.1328125" style="2"/>
    <col min="1009" max="1009" width="9.1328125" style="2"/>
    <col min="1010" max="1010" width="9.1328125" style="2"/>
    <col min="1011" max="1011" width="9.1328125" style="2"/>
    <col min="1012" max="1012" width="9.1328125" style="2"/>
    <col min="1013" max="1013" width="9.1328125" style="2"/>
    <col min="1014" max="1014" width="9.1328125" style="2"/>
    <col min="1015" max="1015" width="9.1328125" style="2"/>
    <col min="1016" max="1016" width="9.1328125" style="2"/>
    <col min="1017" max="1017" width="9.1328125" style="2"/>
    <col min="1018" max="1018" width="9.1328125" style="2"/>
    <col min="1019" max="1019" width="9.1328125" style="2"/>
    <col min="1020" max="1020" width="9.1328125" style="2"/>
    <col min="1021" max="1021" width="9.1328125" style="2"/>
    <col min="1022" max="1022" width="9.1328125" style="2"/>
    <col min="1023" max="1023" width="9.1328125" style="2"/>
    <col min="1024" max="1024" width="9.1328125" style="2"/>
    <col min="1025" max="1025" width="9.1328125" style="2"/>
    <col min="1026" max="1026" width="9.1328125" style="27"/>
  </cols>
  <sheetData>
    <row r="1" spans="1:1026" customHeight="1" ht="50.25" s="2" customFormat="1">
      <c r="A1" s="694" t="s">
        <v>720</v>
      </c>
      <c r="B1" s="694"/>
      <c r="C1" s="694"/>
      <c r="G1" s="1"/>
      <c r="I1" s="1"/>
    </row>
    <row r="2" spans="1:1026">
      <c r="A2" s="43"/>
      <c r="B2" s="43"/>
      <c r="C2" s="43"/>
      <c r="D2" s="27"/>
      <c r="E2" s="27"/>
      <c r="F2" s="27"/>
      <c r="G2" s="1"/>
      <c r="H2" s="27"/>
      <c r="I2" s="1"/>
      <c r="J2" s="27"/>
      <c r="M2" s="27"/>
    </row>
    <row r="3" spans="1:1026" customHeight="1" ht="21.75">
      <c r="A3" s="823" t="str">
        <f>("Náklady na dům "&amp;'vstupní data'!B12&amp;"")</f>
        <v>0</v>
      </c>
      <c r="B3" s="823"/>
      <c r="C3" s="823"/>
      <c r="D3" s="823"/>
      <c r="E3" s="823"/>
      <c r="F3" s="823"/>
      <c r="G3" s="823"/>
      <c r="H3" s="823"/>
      <c r="I3" s="44"/>
      <c r="J3" s="44"/>
      <c r="K3" s="44"/>
      <c r="L3" s="44"/>
      <c r="M3" s="27"/>
    </row>
    <row r="4" spans="1:1026">
      <c r="A4" s="43"/>
      <c r="B4" s="43"/>
      <c r="C4" s="43"/>
      <c r="D4" s="27"/>
      <c r="E4" s="27"/>
      <c r="F4" s="27"/>
      <c r="G4" s="1"/>
      <c r="H4" s="27"/>
      <c r="I4" s="1"/>
      <c r="J4" s="27"/>
      <c r="M4" s="264" t="s">
        <v>60</v>
      </c>
    </row>
    <row r="5" spans="1:1026">
      <c r="A5" s="45" t="s">
        <v>721</v>
      </c>
      <c r="B5" s="824" t="str">
        <f>'vstupní data'!B3</f>
        <v>0</v>
      </c>
      <c r="C5" s="824"/>
      <c r="D5" s="824"/>
      <c r="E5" s="824"/>
      <c r="F5" s="824"/>
      <c r="G5" s="824"/>
      <c r="H5" s="824"/>
      <c r="I5" s="27"/>
      <c r="J5" s="27"/>
      <c r="K5" s="27"/>
      <c r="L5" s="27"/>
      <c r="M5" s="27"/>
    </row>
    <row r="6" spans="1:1026" customHeight="1" ht="30.75" s="5" customFormat="1">
      <c r="A6" s="210" t="s">
        <v>722</v>
      </c>
      <c r="B6" s="210" t="s">
        <v>723</v>
      </c>
      <c r="C6" s="210" t="s">
        <v>724</v>
      </c>
      <c r="D6" s="47" t="s">
        <v>755</v>
      </c>
      <c r="E6" s="46" t="s">
        <v>488</v>
      </c>
      <c r="F6" s="48" t="s">
        <v>756</v>
      </c>
      <c r="G6" s="47" t="s">
        <v>757</v>
      </c>
      <c r="H6" s="46" t="s">
        <v>758</v>
      </c>
    </row>
    <row r="7" spans="1:1026" customHeight="1" ht="15.75">
      <c r="A7" s="16">
        <v>1</v>
      </c>
      <c r="B7" s="49" t="str">
        <f>'vstupní data'!#REF!</f>
        <v>0</v>
      </c>
      <c r="C7" s="19" t="str">
        <f>'vstupní data'!#REF!</f>
        <v>0</v>
      </c>
      <c r="D7" s="50" t="str">
        <f>VD_částka_Osvětlení</f>
        <v>0</v>
      </c>
      <c r="E7" s="50">
        <v>0</v>
      </c>
      <c r="F7" s="51" t="str">
        <f>D7+D7*E7/100</f>
        <v>0</v>
      </c>
      <c r="G7" s="51" t="str">
        <f>'Předpis po mesici'!N104</f>
        <v>0</v>
      </c>
      <c r="H7" s="287" t="str">
        <f>G7-F7</f>
        <v>0</v>
      </c>
    </row>
    <row r="8" spans="1:1026">
      <c r="A8" s="20">
        <v>2</v>
      </c>
      <c r="B8" s="29" t="str">
        <f>'vstupní data'!#REF!</f>
        <v>0</v>
      </c>
      <c r="C8" s="23" t="str">
        <f>'vstupní data'!#REF!</f>
        <v>0</v>
      </c>
      <c r="D8" s="52" t="str">
        <f>VD_částka_Úklid_hodnota</f>
        <v>0</v>
      </c>
      <c r="E8" s="52">
        <v>0</v>
      </c>
      <c r="F8" s="53" t="str">
        <f>D8+D8*E8/100</f>
        <v>0</v>
      </c>
      <c r="G8" s="53" t="str">
        <f>'Předpis po mesici'!AA104</f>
        <v>0</v>
      </c>
      <c r="H8" s="288" t="str">
        <f>G8-F8</f>
        <v>0</v>
      </c>
    </row>
    <row r="9" spans="1:1026">
      <c r="A9" s="20">
        <v>3</v>
      </c>
      <c r="B9" s="29" t="str">
        <f>'vstupní data'!#REF!</f>
        <v>0</v>
      </c>
      <c r="C9" s="23" t="str">
        <f>'vstupní data'!#REF!</f>
        <v>0</v>
      </c>
      <c r="D9" s="52" t="str">
        <f>VD_částka_Komíny</f>
        <v>0</v>
      </c>
      <c r="E9" s="52">
        <v>0</v>
      </c>
      <c r="F9" s="53" t="str">
        <f>D9+D9*E9/100</f>
        <v>0</v>
      </c>
      <c r="G9" s="53" t="str">
        <f>'Předpis po mesici'!AN104</f>
        <v>0</v>
      </c>
      <c r="H9" s="288" t="str">
        <f>G9-F9</f>
        <v>0</v>
      </c>
    </row>
    <row r="10" spans="1:1026">
      <c r="A10" s="20">
        <v>4</v>
      </c>
      <c r="B10" s="29" t="str">
        <f>'vstupní data'!#REF!</f>
        <v>0</v>
      </c>
      <c r="C10" s="23" t="str">
        <f>'vstupní data'!#REF!</f>
        <v>0</v>
      </c>
      <c r="D10" s="52" t="str">
        <f>VD_částka_Výtah</f>
        <v>0</v>
      </c>
      <c r="E10" s="52">
        <v>0</v>
      </c>
      <c r="F10" s="53" t="str">
        <f>D10+D10*E10/100</f>
        <v>0</v>
      </c>
      <c r="G10" s="53" t="str">
        <f>'Předpis po mesici'!BA104</f>
        <v>0</v>
      </c>
      <c r="H10" s="288" t="str">
        <f>G10-F10</f>
        <v>0</v>
      </c>
    </row>
    <row r="11" spans="1:1026">
      <c r="A11" s="20">
        <v>5</v>
      </c>
      <c r="B11" s="29" t="str">
        <f>'vstupní data'!#REF!</f>
        <v>0</v>
      </c>
      <c r="C11" s="23" t="str">
        <f>'vstupní data'!#REF!</f>
        <v>0</v>
      </c>
      <c r="D11" s="52" t="str">
        <f>VD_částka_Poštovné</f>
        <v>0</v>
      </c>
      <c r="E11" s="52">
        <v>0</v>
      </c>
      <c r="F11" s="53" t="str">
        <f>D11+D11*E11/100</f>
        <v>0</v>
      </c>
      <c r="G11" s="53">
        <v>0</v>
      </c>
      <c r="H11" s="288" t="str">
        <f>G11-F11</f>
        <v>0</v>
      </c>
    </row>
    <row r="12" spans="1:1026">
      <c r="A12" s="20">
        <v>6</v>
      </c>
      <c r="B12" s="29" t="str">
        <f>'vstupní data'!#REF!</f>
        <v>0</v>
      </c>
      <c r="C12" s="23" t="str">
        <f>'vstupní data'!#REF!</f>
        <v>0</v>
      </c>
      <c r="D12" s="52" t="str">
        <f>VD_částka_Pojištění</f>
        <v>0</v>
      </c>
      <c r="E12" s="52">
        <v>0</v>
      </c>
      <c r="F12" s="53" t="str">
        <f>D12+D12*E12/100</f>
        <v>0</v>
      </c>
      <c r="G12" s="53" t="str">
        <f>'Předpis po mesici'!EA104</f>
        <v>0</v>
      </c>
      <c r="H12" s="288" t="str">
        <f>G12-F12</f>
        <v>0</v>
      </c>
    </row>
    <row r="13" spans="1:1026">
      <c r="A13" s="20">
        <v>7</v>
      </c>
      <c r="B13" s="29" t="str">
        <f>'vstupní data'!#REF!</f>
        <v>0</v>
      </c>
      <c r="C13" s="23" t="str">
        <f>'vstupní data'!#REF!</f>
        <v>0</v>
      </c>
      <c r="D13" s="52" t="str">
        <f>VD_částka_Vodné_teplá_voda</f>
        <v>0</v>
      </c>
      <c r="E13" s="52">
        <v>0</v>
      </c>
      <c r="F13" s="53" t="str">
        <f>D13+D13*E13/100</f>
        <v>0</v>
      </c>
      <c r="G13" s="53" t="str">
        <f>'Předpis po mesici'!DN104</f>
        <v>0</v>
      </c>
      <c r="H13" s="288" t="str">
        <f>G13-F13</f>
        <v>0</v>
      </c>
    </row>
    <row r="14" spans="1:1026">
      <c r="A14" s="20">
        <v>8</v>
      </c>
      <c r="B14" s="29" t="str">
        <f>'vstupní data'!#REF!</f>
        <v>0</v>
      </c>
      <c r="C14" s="23" t="str">
        <f>'vstupní data'!#REF!</f>
        <v>0</v>
      </c>
      <c r="D14" s="52" t="str">
        <f>VD_částka_Vodné__studená_voda</f>
        <v>0</v>
      </c>
      <c r="E14" s="52">
        <v>0</v>
      </c>
      <c r="F14" s="53" t="str">
        <f>D14+D14*E14/100</f>
        <v>0</v>
      </c>
      <c r="G14" s="53" t="str">
        <f>'Předpis po mesici'!BN104</f>
        <v>0</v>
      </c>
      <c r="H14" s="288" t="str">
        <f>G14-F14</f>
        <v>0</v>
      </c>
    </row>
    <row r="15" spans="1:1026">
      <c r="A15" s="20">
        <v>9</v>
      </c>
      <c r="B15" s="29" t="str">
        <f>'vstupní data'!#REF!</f>
        <v>0</v>
      </c>
      <c r="C15" s="23" t="str">
        <f>'vstupní data'!#REF!</f>
        <v>0</v>
      </c>
      <c r="D15" s="52" t="str">
        <f>VD_částka_Ohřev_teplé_vody_30</f>
        <v>0</v>
      </c>
      <c r="E15" s="52">
        <v>0</v>
      </c>
      <c r="F15" s="53" t="str">
        <f>D15+D15*E15/100</f>
        <v>0</v>
      </c>
      <c r="G15" s="53"/>
      <c r="H15" s="288" t="str">
        <f>G15-F15</f>
        <v>0</v>
      </c>
    </row>
    <row r="16" spans="1:1026">
      <c r="A16" s="20">
        <v>10</v>
      </c>
      <c r="B16" s="29" t="str">
        <f>'vstupní data'!#REF!</f>
        <v>0</v>
      </c>
      <c r="C16" s="23" t="str">
        <f>'vstupní data'!#REF!</f>
        <v>0</v>
      </c>
      <c r="D16" s="52" t="str">
        <f>VD_částka_Ohřev_teplé_vody_70</f>
        <v>0</v>
      </c>
      <c r="E16" s="52">
        <v>0</v>
      </c>
      <c r="F16" s="53" t="str">
        <f>D16+D16*E16/100</f>
        <v>0</v>
      </c>
      <c r="G16" s="53"/>
      <c r="H16" s="288" t="str">
        <f>G16-F16</f>
        <v>0</v>
      </c>
    </row>
    <row r="17" spans="1:1026">
      <c r="A17" s="20">
        <v>11</v>
      </c>
      <c r="B17" s="29" t="str">
        <f>'vstupní data'!#REF!</f>
        <v>0</v>
      </c>
      <c r="C17" s="23" t="str">
        <f>'vstupní data'!#REF!</f>
        <v>0</v>
      </c>
      <c r="D17" s="52" t="str">
        <f>VD_částka_Ostatní_platby_UPC</f>
        <v>0</v>
      </c>
      <c r="E17" s="52">
        <v>0</v>
      </c>
      <c r="F17" s="53" t="str">
        <f>D17+D17*E17/100</f>
        <v>0</v>
      </c>
      <c r="G17" s="53"/>
      <c r="H17" s="288" t="str">
        <f>G17-F17</f>
        <v>0</v>
      </c>
    </row>
    <row r="18" spans="1:1026">
      <c r="A18" s="20">
        <v>12</v>
      </c>
      <c r="B18" s="29" t="str">
        <f>'vstupní data'!#REF!</f>
        <v>0</v>
      </c>
      <c r="C18" s="23" t="str">
        <f>'vstupní data'!#REF!</f>
        <v>0</v>
      </c>
      <c r="D18" s="52" t="str">
        <f>VD_částka_Teplo</f>
        <v>0</v>
      </c>
      <c r="E18" s="52">
        <v>0</v>
      </c>
      <c r="F18" s="53" t="str">
        <f>D18+D18*E18/100</f>
        <v>0</v>
      </c>
      <c r="G18" s="53" t="str">
        <f>'Předpis po mesici'!DA104</f>
        <v>0</v>
      </c>
      <c r="H18" s="288" t="str">
        <f>G18-F18</f>
        <v>0</v>
      </c>
    </row>
    <row r="19" spans="1:1026">
      <c r="A19" s="20">
        <v>13</v>
      </c>
      <c r="B19" s="29" t="str">
        <f>'vstupní data'!#REF!</f>
        <v>0</v>
      </c>
      <c r="C19" s="23" t="str">
        <f>'vstupní data'!#REF!</f>
        <v>0</v>
      </c>
      <c r="D19" s="52" t="str">
        <f>'vstupní data'!#REF!</f>
        <v>0</v>
      </c>
      <c r="E19" s="52">
        <v>0</v>
      </c>
      <c r="F19" s="53" t="str">
        <f>D19+D19*E19/100</f>
        <v>0</v>
      </c>
      <c r="G19" s="53" t="str">
        <f>'Předpis po mesici'!FA104</f>
        <v>0</v>
      </c>
      <c r="H19" s="288" t="str">
        <f>G19-F19</f>
        <v>0</v>
      </c>
    </row>
    <row r="20" spans="1:1026">
      <c r="A20" s="20">
        <v>14</v>
      </c>
      <c r="B20" s="29" t="str">
        <f>'vstupní data'!#REF!</f>
        <v>0</v>
      </c>
      <c r="C20" s="23" t="str">
        <f>'vstupní data'!#REF!</f>
        <v>0</v>
      </c>
      <c r="D20" s="52" t="str">
        <f>VD_částka_Společné_náklady_sklepy</f>
        <v>0</v>
      </c>
      <c r="E20" s="52">
        <v>0</v>
      </c>
      <c r="F20" s="53" t="str">
        <f>D20+D20*E20/100</f>
        <v>0</v>
      </c>
      <c r="G20" s="53" t="str">
        <f>'Předpis po mesici'!EN104</f>
        <v>0</v>
      </c>
      <c r="H20" s="288" t="str">
        <f>G20-F20</f>
        <v>0</v>
      </c>
    </row>
    <row r="21" spans="1:1026">
      <c r="A21" s="20">
        <v>15</v>
      </c>
      <c r="B21" s="29" t="str">
        <f>'vstupní data'!#REF!</f>
        <v>0</v>
      </c>
      <c r="C21" s="23" t="str">
        <f>'vstupní data'!#REF!</f>
        <v>0</v>
      </c>
      <c r="D21" s="52" t="str">
        <f>VD_částka_Garáže</f>
        <v>0</v>
      </c>
      <c r="E21" s="52">
        <v>0</v>
      </c>
      <c r="F21" s="53" t="str">
        <f>D21+D21*E21/100</f>
        <v>0</v>
      </c>
      <c r="G21" s="53">
        <v>0</v>
      </c>
      <c r="H21" s="288" t="str">
        <f>G21-F21</f>
        <v>0</v>
      </c>
    </row>
    <row r="22" spans="1:1026">
      <c r="A22" s="20">
        <v>16</v>
      </c>
      <c r="B22" s="29" t="str">
        <f>'vstupní data'!#REF!</f>
        <v>0</v>
      </c>
      <c r="C22" s="23" t="str">
        <f>'vstupní data'!#REF!</f>
        <v>0</v>
      </c>
      <c r="D22" s="52" t="str">
        <f>VD_částka_Správa</f>
        <v>0</v>
      </c>
      <c r="E22" s="52">
        <v>0</v>
      </c>
      <c r="F22" s="53" t="str">
        <f>D22+D22*E22/100</f>
        <v>0</v>
      </c>
      <c r="G22" s="53" t="str">
        <f>'Předpis po mesici'!CA104</f>
        <v>0</v>
      </c>
      <c r="H22" s="288" t="str">
        <f>G22-F22</f>
        <v>0</v>
      </c>
    </row>
    <row r="23" spans="1:1026" customHeight="1" ht="15.75">
      <c r="A23" s="54">
        <v>17</v>
      </c>
      <c r="B23" s="55" t="str">
        <f>'vstupní data'!#REF!</f>
        <v>0</v>
      </c>
      <c r="C23" s="76" t="str">
        <f>'vstupní data'!#REF!</f>
        <v>0</v>
      </c>
      <c r="D23" s="56" t="str">
        <f>'vstupní data'!#REF!</f>
        <v>0</v>
      </c>
      <c r="E23" s="56">
        <v>0</v>
      </c>
      <c r="F23" s="57" t="str">
        <f>D23+D23*E23/100</f>
        <v>0</v>
      </c>
      <c r="G23" s="58" t="str">
        <f>'Předpis po mesici'!BN104</f>
        <v>0</v>
      </c>
      <c r="H23" s="289" t="str">
        <f>G23-F23</f>
        <v>0</v>
      </c>
    </row>
    <row r="24" spans="1:1026" customHeight="1" ht="15.75">
      <c r="A24" s="825" t="s">
        <v>498</v>
      </c>
      <c r="B24" s="825"/>
      <c r="C24" s="825"/>
      <c r="D24" s="59" t="str">
        <f>SUM(D7:D23)</f>
        <v>0</v>
      </c>
      <c r="E24" s="59"/>
      <c r="F24" s="60" t="str">
        <f>SUM(F7:F23)</f>
        <v>0</v>
      </c>
      <c r="G24" s="60" t="str">
        <f>SUM(G7:G23)</f>
        <v>0</v>
      </c>
      <c r="H24" s="290" t="str">
        <f>SUM(H7:H23)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6:H6"/>
  <mergeCells>
    <mergeCell ref="A1:C1"/>
    <mergeCell ref="A3:H3"/>
    <mergeCell ref="B5:H5"/>
    <mergeCell ref="A24:C24"/>
  </mergeCells>
  <hyperlinks>
    <hyperlink ref="M4" location="Seznam!A1"/>
  </hyperlinks>
  <printOptions gridLines="false" gridLinesSet="true"/>
  <pageMargins left="0.25" right="0.25" top="0.75" bottom="0.75" header="0.3" footer="0.3"/>
  <pageSetup paperSize="9" orientation="landscape" scale="95" fitToHeight="1" fitToWidth="1"/>
  <headerFooter differentOddEven="false" differentFirst="false" scaleWithDoc="true" alignWithMargins="true">
    <oddHeader/>
    <oddFooter>&amp;Ldatum:      &amp;D
vystavil: Ing. Milan Kosť&amp;Ckancelar@adminreal.cz
mobil: 607 959 876&amp;Rwww.onlinesprava.cz</oddFooter>
    <evenHeader/>
    <evenFooter/>
    <firstHeader/>
    <firstFooter/>
  </headerFooter>
  <legacyDrawing r:id="rId_comments_vml1"/>
</worksheet>
</file>

<file path=xl/worksheets/sheet3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Zborovská 2 - s vodoměry</vt:lpstr>
      <vt:lpstr>Zborovská 2 - bez vodoměrů</vt:lpstr>
      <vt:lpstr>export send mail</vt:lpstr>
      <vt:lpstr>Zálohy byt - měsíčně</vt:lpstr>
      <vt:lpstr>Seznam</vt:lpstr>
      <vt:lpstr>Vyúčtování byt - 1.část</vt:lpstr>
      <vt:lpstr>vstupní data</vt:lpstr>
      <vt:lpstr>Výpočet</vt:lpstr>
      <vt:lpstr>Předpisy - navýšení o částku</vt:lpstr>
      <vt:lpstr>Předpisy - navýšení o procento</vt:lpstr>
      <vt:lpstr>Tisk</vt:lpstr>
      <vt:lpstr>Tisk příjmu SVJ</vt:lpstr>
      <vt:lpstr>Faktury</vt:lpstr>
      <vt:lpstr>Evidence</vt:lpstr>
      <vt:lpstr>faktury za služby</vt:lpstr>
      <vt:lpstr>Parametry</vt:lpstr>
      <vt:lpstr>Počet osob</vt:lpstr>
      <vt:lpstr>Předpis po mesici</vt:lpstr>
      <vt:lpstr>Výtahy</vt:lpstr>
      <vt:lpstr>Vodoměry TUV</vt:lpstr>
      <vt:lpstr>Vodoměry SV</vt:lpstr>
      <vt:lpstr>Teplo</vt:lpstr>
      <vt:lpstr>Elektroměry</vt:lpstr>
      <vt:lpstr>Přeplatky nedoplatky</vt:lpstr>
      <vt:lpstr>uhrady</vt:lpstr>
      <vt:lpstr>Odečty formular</vt:lpstr>
      <vt:lpstr>Bytové domy</vt:lpstr>
      <vt:lpstr>Rozpočet domu</vt:lpstr>
      <vt:lpstr>prijem SVJ</vt:lpstr>
      <vt:lpstr>prijem SVJ bez vydaju</vt:lpstr>
      <vt:lpstr>ExcelMacroData</vt:lpstr>
      <vt:lpstr>Náklady na dům</vt:lpstr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Milan Kosť</dc:creator>
  <cp:lastModifiedBy>Milan Kost</cp:lastModifiedBy>
  <dcterms:created xsi:type="dcterms:W3CDTF">2017-02-08T17:25:08+01:00</dcterms:created>
  <dcterms:modified xsi:type="dcterms:W3CDTF">2025-10-27T20:38:36+01:00</dcterms:modified>
  <dc:title/>
  <dc:description/>
  <dc:subject/>
  <cp:keywords/>
  <cp:category/>
</cp:coreProperties>
</file>